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Flights!$A$4:$AY$26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Status" vbProcedure="false">Settings!$H$4:$H$9</definedName>
    <definedName function="false" hidden="false" name="T12EarlyH" vbProcedure="false">Settings!$B$9</definedName>
    <definedName function="false" hidden="false" name="T24EarlyH" vbProcedure="false">Settings!$B$8</definedName>
    <definedName function="false" hidden="false" name="T7EarlyD" vbProcedure="false">Settings!$B$10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Settings!$B$7</definedName>
    <definedName function="false" hidden="false" localSheetId="2" name="_xlnm.Print_Titles" vbProcedure="false">Flights!$4:$4,Flights!$A:$F</definedName>
    <definedName function="false" hidden="false" localSheetId="3" name="_xlnm.Print_Titles" vbProcedure="false">Checks!$4:$4,Checks!$A:$C</definedName>
    <definedName function="false" hidden="false" localSheetId="4" name="_xlnm.Print_Titles" vbProcedure="false">Documents!$4:$4,Documents!$A:$B</definedName>
    <definedName function="false" hidden="false" localSheetId="6" name="_xlnm.Print_Titles" vbProcedure="false">Requirements!$4:$4,Requirements!$A:$B</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<sst xmlns="http://schemas.openxmlformats.org/spreadsheetml/2006/main" count="12319" uniqueCount="1652">
  <si>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</si>
  <si>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</si>
  <si>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</si>
  <si>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</si>
  <si>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</si>
  <si>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</si>
  <si>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</si>
  <si>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</si>
  <si>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</si>
  <si>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</si>
  <si>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</si>
  <si>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</si>
  <si>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</si>
  <si>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</si>
  <si>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</si>
  <si>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</si>
  <si>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</si>
  <si>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</si>
  <si>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</si>
  <si>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</si>
  <si>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</si>
  <si>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</si>
  <si>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</si>
  <si>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</si>
  <si>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</si>
  <si>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</si>
  <si>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</si>
  <si>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</si>
  <si>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</si>
  <si>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</si>
  <si>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sorting, row sizing and inserting pictures still work. Review &gt; Unprotect Sheet if a structural change is needed.</t>
  </si>
  <si>
    <t xml:space="preserve">•  PIC and verifier must be different people. Every Pass needs a result/assessment. T-7D evidence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</si>
  <si>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</si>
  <si>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</si>
  <si>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</si>
  <si>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latest possible KUL departure (STD minus the KUL-PEN / KUL-LGK block).</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</si>
  <si>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</si>
  <si>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</si>
  <si>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</si>
  <si>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</si>
  <si>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</si>
  <si>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</si>
  <si>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</si>
  <si>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22:10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</si>
  <si>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</si>
  <si>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</si>
  <si>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</si>
  <si>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</si>
  <si>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</si>
  <si>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</si>
  <si>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</si>
  <si>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</si>
  <si>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</si>
  <si>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</si>
  <si>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</si>
  <si>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</si>
  <si>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</si>
  <si>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</si>
  <si>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</si>
  <si>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</si>
  <si>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</si>
  <si>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</si>
  <si>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</si>
  <si>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</si>
  <si>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</si>
  <si>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</si>
  <si>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</si>
  <si>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</si>
  <si>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</si>
  <si>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</si>
  <si>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</si>
  <si>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</si>
  <si>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</si>
  <si>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</si>
  <si>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</si>
  <si>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</si>
  <si>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</si>
  <si>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</si>
  <si>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</si>
  <si>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</si>
  <si>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</si>
  <si>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</si>
  <si>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</si>
  <si>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</si>
  <si>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</si>
  <si>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</si>
  <si>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</si>
  <si>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</si>
  <si>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</si>
  <si>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</si>
  <si>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</si>
  <si>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</si>
  <si>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</si>
  <si>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</si>
  <si>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</si>
  <si>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</si>
  <si>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</si>
  <si>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</si>
  <si>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</si>
  <si>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</si>
  <si>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</si>
  <si>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</si>
  <si>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</si>
  <si>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</si>
  <si>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</si>
  <si>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</si>
  <si>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</si>
  <si>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</si>
  <si>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</si>
  <si>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</si>
  <si>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</si>
  <si>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</si>
  <si>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</si>
  <si>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</si>
  <si>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</si>
  <si>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</si>
  <si>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</si>
  <si>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</si>
  <si>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</si>
  <si>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</si>
  <si>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</si>
  <si>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</si>
  <si>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</si>
  <si>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</si>
  <si>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</si>
  <si>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</si>
  <si>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</si>
  <si>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</si>
  <si>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</si>
  <si>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</si>
  <si>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</si>
  <si>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</si>
  <si>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</si>
  <si>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</si>
  <si>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</si>
  <si>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</si>
  <si>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</si>
  <si>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</si>
  <si>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</si>
  <si>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</si>
  <si>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</si>
  <si>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</si>
  <si>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</si>
  <si>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</si>
  <si>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</si>
  <si>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</si>
  <si>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</si>
  <si>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</si>
  <si>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</si>
  <si>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</si>
  <si>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</si>
  <si>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</si>
  <si>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</si>
  <si>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</si>
  <si>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</si>
  <si>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</si>
  <si>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</si>
  <si>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</si>
  <si>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</si>
  <si>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</si>
  <si>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</si>
  <si>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</si>
  <si>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</si>
  <si>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</si>
  <si>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</si>
  <si>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</si>
  <si>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</si>
  <si>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</si>
  <si>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</si>
  <si>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</si>
  <si>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</si>
  <si>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</si>
  <si>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</si>
  <si>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</si>
  <si>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</si>
  <si>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</si>
  <si>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</si>
  <si>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</si>
  <si>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</si>
  <si>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</si>
  <si>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</si>
  <si>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</si>
  <si>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</si>
  <si>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</si>
  <si>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</si>
  <si>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</si>
  <si>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</si>
  <si>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</si>
  <si>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</si>
  <si>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</si>
  <si>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</si>
  <si>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</si>
  <si>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</si>
  <si>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</si>
  <si>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</si>
  <si>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</si>
  <si>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</si>
  <si>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</si>
  <si>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</si>
  <si>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</si>
  <si>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</si>
  <si>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</si>
  <si>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</si>
  <si>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</si>
  <si>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</si>
  <si>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</si>
  <si>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</si>
  <si>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</si>
  <si>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</si>
  <si>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</si>
  <si>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</si>
  <si>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</si>
  <si>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</si>
  <si>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</si>
  <si>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</si>
  <si>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</si>
  <si>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</si>
  <si>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</si>
  <si>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</si>
  <si>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</si>
  <si>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</si>
  <si>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</si>
  <si>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</si>
  <si>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</si>
  <si>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</si>
  <si>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</si>
  <si>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</si>
  <si>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</si>
  <si>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</si>
  <si>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</si>
  <si>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</si>
  <si>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</si>
  <si>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</si>
  <si>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</si>
  <si>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</si>
  <si>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</si>
  <si>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</si>
  <si>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</si>
  <si>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</si>
  <si>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</si>
  <si>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</si>
  <si>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</si>
  <si>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</si>
  <si>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</si>
  <si>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</si>
  <si>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</si>
  <si>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</si>
  <si>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</si>
  <si>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</si>
  <si>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</si>
  <si>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</si>
  <si>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</si>
  <si>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</si>
  <si>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</si>
  <si>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</si>
  <si>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</si>
  <si>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</si>
  <si>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</si>
  <si>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</si>
  <si>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</si>
  <si>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</si>
  <si>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</si>
  <si>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</si>
  <si>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</si>
  <si>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</si>
  <si>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</si>
  <si>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</si>
  <si>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</si>
  <si>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</si>
  <si>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</si>
  <si>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</si>
  <si>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</si>
  <si>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</si>
  <si>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</si>
  <si>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</si>
  <si>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</si>
  <si>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</si>
  <si>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</si>
  <si>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</si>
  <si>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</si>
  <si>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</si>
  <si>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</si>
  <si>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</si>
  <si>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</si>
  <si>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</si>
  <si>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</si>
  <si>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</si>
  <si>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</si>
  <si>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</si>
  <si>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</si>
  <si>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</si>
  <si>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</si>
  <si>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</si>
  <si>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</si>
  <si>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</si>
  <si>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</si>
  <si>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</si>
  <si>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</si>
  <si>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</si>
  <si>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</si>
  <si>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</si>
  <si>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</si>
  <si>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</si>
  <si>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</si>
  <si>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</si>
  <si>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</si>
  <si>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</si>
  <si>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</si>
  <si>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T–AE.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</si>
  <si>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</si>
  <si>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</si>
  <si>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</si>
  <si>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</si>
  <si>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</si>
  <si>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</si>
  <si>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</si>
  <si>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</si>
  <si>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</si>
  <si>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</si>
  <si>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</si>
  <si>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</si>
  <si>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</si>
  <si>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</si>
  <si>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</si>
  <si>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Expected qty</t>
  </si>
  <si>
    <t xml:space="preserve">Actual qty</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</si>
  <si>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</si>
  <si>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</si>
  <si>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</si>
  <si>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</si>
  <si>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</si>
  <si>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</si>
  <si>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</si>
  <si>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</si>
  <si>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</si>
  <si>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</si>
  <si>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</si>
  <si>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</si>
  <si>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</si>
  <si>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</si>
  <si>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</si>
  <si>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</si>
  <si>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</si>
  <si>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</si>
  <si>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</si>
  <si>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</si>
  <si>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</si>
  <si>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</si>
  <si>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</si>
  <si>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</si>
  <si>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</si>
  <si>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</si>
  <si>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</si>
  <si>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</si>
  <si>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</si>
  <si>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</si>
  <si>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</si>
  <si>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</si>
  <si>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</si>
  <si>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</si>
  <si>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</si>
  <si>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</si>
  <si>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</si>
  <si>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</si>
  <si>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</si>
  <si>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</si>
  <si>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</si>
  <si>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</si>
  <si>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</si>
  <si>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</si>
  <si>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</si>
  <si>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</si>
  <si>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</si>
  <si>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</si>
  <si>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</si>
  <si>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</si>
  <si>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</si>
  <si>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</si>
  <si>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</si>
  <si>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</si>
  <si>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</si>
  <si>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</si>
  <si>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</si>
  <si>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</si>
  <si>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</si>
  <si>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</si>
  <si>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</si>
  <si>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</si>
  <si>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</si>
  <si>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</si>
  <si>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</si>
  <si>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</si>
  <si>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</si>
  <si>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</si>
  <si>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</si>
  <si>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</si>
  <si>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</si>
  <si>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</si>
  <si>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</si>
  <si>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</si>
  <si>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</si>
  <si>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</si>
  <si>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</si>
  <si>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</si>
  <si>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</si>
  <si>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</si>
  <si>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</si>
  <si>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</si>
  <si>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</si>
  <si>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</si>
  <si>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</si>
  <si>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</si>
  <si>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</si>
  <si>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</si>
  <si>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</si>
  <si>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</si>
  <si>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</si>
  <si>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</si>
  <si>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</si>
  <si>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</si>
  <si>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</si>
  <si>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</si>
  <si>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</si>
  <si>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</si>
  <si>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</si>
  <si>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</si>
  <si>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</si>
  <si>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</si>
  <si>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</si>
  <si>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</si>
  <si>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</si>
  <si>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</si>
  <si>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</si>
  <si>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</si>
  <si>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</si>
  <si>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</si>
  <si>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</si>
  <si>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</si>
  <si>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</si>
  <si>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</si>
  <si>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</si>
  <si>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</si>
  <si>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</si>
  <si>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</si>
  <si>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</si>
  <si>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</si>
  <si>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</si>
  <si>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</si>
  <si>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</si>
  <si>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</si>
  <si>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</si>
  <si>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</si>
  <si>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</si>
  <si>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</si>
  <si>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</si>
  <si>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</si>
  <si>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</si>
  <si>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</si>
  <si>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</si>
  <si>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</si>
  <si>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</si>
  <si>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</si>
  <si>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</si>
  <si>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</si>
  <si>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</si>
  <si>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</si>
  <si>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</si>
  <si>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</si>
  <si>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</si>
  <si>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</si>
  <si>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</si>
  <si>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</si>
  <si>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</si>
  <si>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</si>
  <si>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</si>
  <si>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</si>
  <si>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</si>
  <si>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</si>
  <si>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</si>
  <si>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</si>
  <si>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</si>
  <si>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</si>
  <si>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</si>
  <si>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</si>
  <si>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</si>
  <si>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</si>
  <si>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</si>
  <si>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</si>
  <si>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</si>
  <si>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</si>
  <si>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</si>
  <si>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</si>
  <si>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</si>
  <si>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</si>
  <si>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</si>
  <si>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</si>
  <si>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</si>
  <si>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</si>
  <si>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</si>
  <si>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</si>
  <si>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</si>
  <si>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</si>
  <si>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</si>
  <si>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</si>
  <si>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</si>
  <si>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</si>
  <si>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</si>
  <si>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</si>
  <si>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</si>
  <si>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_/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</si>
  <si>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</si>
  <si>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</si>
  <si>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</si>
  <si>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</si>
  <si>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</si>
  <si>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</si>
  <si>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</si>
  <si>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</si>
  <si>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</si>
  <si>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</si>
  <si>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</si>
  <si>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</si>
  <si>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</si>
  <si>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</si>
  <si>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</si>
  <si>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</si>
  <si>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</si>
  <si>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</si>
  <si>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</si>
  <si>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</si>
  <si>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</si>
  <si>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</si>
  <si>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</si>
  <si>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</si>
  <si>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</si>
  <si>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</si>
  <si>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</si>
  <si>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</si>
  <si>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</si>
  <si>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</si>
  <si>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</si>
  <si>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</si>
  <si>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</si>
  <si>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</si>
  <si>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</si>
  <si>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</si>
  <si>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</si>
  <si>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</si>
  <si>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</si>
  <si>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</si>
  <si>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</si>
  <si>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</si>
  <si>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</si>
  <si>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</si>
  <si>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</si>
  <si>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</si>
  <si>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</si>
  <si>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</si>
  <si>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</si>
  <si>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</si>
  <si>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</si>
  <si>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</si>
  <si>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</si>
  <si>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</si>
  <si>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</si>
  <si>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</si>
  <si>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</si>
  <si>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</si>
  <si>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</si>
  <si>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</si>
  <si>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</si>
  <si>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</si>
  <si>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</si>
  <si>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</si>
  <si>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</si>
  <si>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</si>
  <si>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</si>
  <si>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</si>
  <si>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</si>
  <si>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</si>
  <si>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</si>
  <si>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</si>
  <si>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</si>
  <si>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</si>
  <si>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</si>
  <si>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</si>
  <si>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</si>
  <si>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</si>
  <si>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</si>
  <si>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</si>
  <si>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</si>
  <si>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</si>
  <si>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</si>
  <si>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</si>
  <si>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</si>
  <si>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</si>
  <si>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</si>
  <si>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</si>
  <si>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</si>
  <si>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</si>
  <si>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</si>
  <si>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</si>
  <si>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</si>
  <si>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</si>
  <si>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</si>
  <si>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</si>
  <si>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</si>
  <si>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</si>
  <si>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</si>
  <si>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</si>
  <si>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</si>
  <si>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</si>
  <si>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</si>
  <si>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</si>
  <si>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</si>
  <si>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</si>
  <si>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</si>
  <si>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</si>
  <si>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</si>
  <si>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</si>
  <si>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</si>
  <si>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</si>
  <si>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</si>
  <si>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</si>
  <si>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</si>
  <si>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</si>
  <si>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</si>
  <si>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</si>
  <si>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</si>
  <si>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</si>
  <si>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</si>
  <si>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</si>
  <si>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</si>
  <si>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</si>
  <si>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</si>
  <si>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</si>
  <si>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</si>
  <si>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</si>
  <si>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</si>
  <si>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</si>
  <si>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(agenda candidate MH0088 10-Oct (F04)).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</si>
  <si>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</si>
  <si>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</si>
  <si>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</si>
  <si>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</si>
  <si>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</si>
  <si>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</si>
  <si>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</si>
  <si>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</si>
  <si>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</si>
  <si>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</si>
  <si>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</si>
  <si>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</si>
  <si>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</si>
  <si>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</si>
  <si>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</si>
  <si>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</si>
  <si>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</si>
  <si>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</si>
  <si>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</si>
  <si>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</si>
  <si>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</si>
  <si>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</si>
  <si>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</si>
  <si>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</si>
  <si>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</si>
  <si>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</si>
  <si>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</si>
  <si>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</si>
  <si>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</si>
  <si>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</si>
  <si>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</si>
  <si>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</si>
  <si>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</si>
  <si>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</si>
  <si>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</si>
  <si>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</si>
  <si>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</si>
  <si>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</si>
  <si>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</si>
  <si>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</si>
  <si>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</si>
  <si>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</si>
  <si>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</si>
  <si>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</si>
  <si>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</si>
  <si>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</si>
  <si>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</si>
  <si>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</si>
  <si>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</si>
  <si>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</si>
  <si>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</si>
  <si>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</si>
  <si>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</si>
  <si>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</si>
  <si>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</si>
  <si>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</si>
  <si>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</si>
  <si>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</si>
  <si>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</si>
  <si>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</si>
  <si>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</si>
  <si>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</si>
  <si>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</si>
  <si>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</si>
  <si>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</si>
  <si>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</si>
  <si>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</si>
  <si>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</si>
  <si>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</si>
  <si>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</si>
  <si>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</si>
  <si>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</si>
  <si>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</si>
  <si>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</si>
  <si>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</si>
  <si>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</si>
  <si>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</si>
  <si>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</si>
  <si>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</si>
  <si>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</si>
  <si>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</si>
  <si>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</si>
  <si>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</si>
  <si>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</si>
  <si>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</si>
  <si>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</si>
  <si>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</si>
  <si>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</si>
  <si>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</si>
  <si>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</si>
  <si>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</si>
  <si>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</si>
  <si>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</si>
  <si>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</si>
  <si>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</si>
  <si>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</si>
  <si>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</si>
  <si>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</si>
  <si>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</si>
  <si>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</si>
  <si>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</si>
  <si>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</si>
  <si>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</si>
  <si>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</si>
  <si>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</si>
  <si>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</si>
  <si>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</si>
  <si>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</si>
  <si>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</si>
  <si>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</si>
  <si>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</si>
  <si>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</si>
  <si>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</si>
  <si>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</si>
  <si>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</si>
  <si>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</si>
  <si>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</si>
  <si>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</si>
  <si>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</si>
  <si>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</si>
  <si>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</si>
  <si>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</si>
  <si>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</si>
  <si>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</si>
  <si>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</si>
  <si>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</si>
  <si>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</si>
  <si>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</si>
  <si>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</si>
  <si>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</si>
  <si>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</si>
  <si>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</si>
  <si>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</si>
  <si>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</si>
  <si>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</si>
  <si>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</si>
  <si>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</si>
  <si>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</si>
  <si>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</si>
  <si>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</si>
  <si>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</si>
  <si>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</si>
  <si>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</si>
  <si>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</si>
  <si>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</si>
  <si>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</si>
  <si>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</si>
  <si>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</si>
  <si>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</si>
  <si>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</si>
  <si>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</si>
  <si>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</si>
  <si>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</si>
  <si>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</si>
  <si>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</si>
  <si>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</si>
  <si>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</si>
  <si>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</si>
  <si>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</si>
  <si>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</si>
  <si>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</si>
  <si>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</si>
  <si>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</si>
  <si>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</si>
  <si>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</si>
  <si>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</si>
  <si>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</si>
  <si>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</si>
  <si>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</si>
  <si>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</si>
  <si>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</si>
  <si>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</si>
  <si>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</si>
  <si>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</si>
  <si>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</si>
  <si>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</si>
  <si>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</si>
  <si>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</si>
  <si>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</si>
  <si>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</si>
  <si>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</si>
  <si>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</si>
  <si>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</si>
  <si>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</si>
  <si>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</si>
  <si>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</si>
  <si>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</si>
  <si>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</si>
  <si>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</si>
  <si>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</si>
  <si>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</si>
  <si>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</si>
  <si>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</si>
  <si>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</si>
  <si>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</si>
  <si>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</si>
  <si>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</si>
  <si>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</si>
  <si>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</si>
  <si>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</si>
  <si>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</si>
  <si>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</si>
  <si>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</si>
  <si>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</si>
  <si>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</si>
  <si>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</si>
  <si>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</si>
  <si>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</si>
  <si>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</si>
  <si>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</si>
  <si>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</si>
  <si>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</si>
  <si>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</si>
  <si>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</si>
  <si>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</si>
  <si>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</si>
  <si>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</si>
  <si>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</si>
  <si>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</si>
  <si>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</si>
  <si>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</si>
  <si>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</si>
  <si>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</si>
  <si>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</si>
  <si>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</si>
  <si>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</si>
  <si>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</si>
  <si>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</si>
  <si>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</si>
  <si>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</si>
  <si>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</si>
  <si>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</si>
  <si>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</si>
  <si>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</si>
  <si>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</si>
  <si>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</si>
  <si>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</si>
  <si>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</si>
  <si>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</si>
  <si>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</si>
  <si>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</si>
  <si>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</si>
  <si>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</si>
  <si>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</si>
  <si>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</si>
  <si>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</si>
  <si>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</si>
  <si>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</si>
  <si>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</si>
  <si>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</si>
  <si>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</si>
  <si>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</si>
  <si>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</si>
  <si>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</si>
  <si>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</si>
  <si>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</si>
  <si>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</si>
  <si>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</si>
  <si>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</si>
  <si>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</si>
  <si>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</si>
  <si>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</si>
  <si>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</si>
  <si>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</si>
  <si>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</si>
  <si>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</si>
  <si>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</si>
  <si>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</si>
  <si>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</si>
  <si>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</si>
  <si>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</si>
  <si>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</si>
  <si>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</si>
  <si>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</si>
  <si>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</si>
  <si>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</si>
  <si>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</si>
  <si>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</si>
  <si>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</si>
  <si>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</si>
  <si>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</si>
  <si>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</si>
  <si>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</si>
  <si>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</si>
  <si>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</si>
  <si>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</si>
  <si>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</si>
  <si>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</si>
  <si>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</si>
  <si>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</si>
  <si>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</si>
  <si>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</si>
  <si>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</si>
  <si>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</si>
  <si>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</si>
  <si>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</si>
  <si>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</si>
  <si>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</si>
  <si>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</si>
  <si>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</si>
  <si>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</si>
  <si>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</si>
  <si>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</si>
  <si>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</si>
  <si>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</si>
  <si>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</si>
  <si>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</si>
  <si>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</si>
  <si>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</si>
  <si>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</si>
  <si>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</si>
  <si>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</si>
  <si>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</si>
  <si>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</si>
  <si>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</si>
  <si>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</si>
  <si>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</si>
  <si>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</si>
  <si>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</si>
  <si>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</si>
  <si>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</si>
  <si>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</si>
  <si>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</si>
  <si>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</si>
  <si>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</si>
  <si>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</si>
  <si>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</si>
  <si>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</si>
  <si>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</si>
  <si>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</si>
  <si>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</si>
  <si>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</si>
  <si>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</si>
  <si>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</si>
  <si>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</si>
  <si>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</si>
  <si>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</si>
  <si>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</si>
  <si>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</si>
  <si>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</si>
  <si>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</si>
  <si>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</si>
  <si>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</si>
  <si>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</si>
  <si>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</si>
  <si>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</si>
  <si>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</si>
  <si>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</si>
  <si>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</si>
  <si>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</si>
  <si>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</si>
  <si>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</si>
  <si>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</si>
  <si>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</si>
  <si>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</si>
  <si>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</si>
  <si>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</si>
  <si>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</si>
  <si>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</si>
  <si>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</si>
  <si>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</si>
  <si>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</si>
  <si>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</si>
  <si>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</si>
  <si>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</si>
  <si>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</si>
  <si>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</si>
  <si>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</si>
  <si>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</si>
  <si>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</si>
  <si>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</si>
  <si>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</si>
  <si>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</si>
  <si>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</si>
  <si>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</si>
  <si>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</si>
  <si>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</si>
  <si>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</si>
  <si>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</si>
  <si>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</si>
  <si>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</si>
  <si>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</si>
  <si>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</si>
  <si>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</si>
  <si>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</si>
  <si>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</si>
  <si>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</si>
  <si>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</si>
  <si>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</si>
  <si>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</si>
  <si>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</si>
  <si>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</si>
  <si>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</si>
  <si>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</si>
  <si>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</si>
  <si>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</si>
  <si>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</si>
  <si>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</si>
  <si>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</si>
  <si>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</si>
  <si>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</si>
  <si>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</si>
  <si>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</si>
  <si>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</si>
  <si>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</si>
  <si>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</si>
  <si>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</si>
  <si>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</si>
  <si>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</si>
  <si>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</si>
  <si>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</si>
  <si>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</si>
  <si>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</si>
  <si>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</si>
  <si>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</si>
  <si>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</si>
  <si>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</si>
  <si>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</si>
  <si>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</si>
  <si>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</si>
  <si>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</si>
  <si>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</si>
  <si>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</si>
  <si>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</si>
  <si>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</si>
  <si>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</si>
  <si>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</si>
  <si>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</si>
  <si>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</si>
  <si>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</si>
  <si>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</si>
  <si>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</si>
  <si>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</si>
  <si>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</si>
  <si>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</si>
  <si>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</si>
  <si>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</si>
  <si>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</si>
  <si>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</si>
  <si>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</si>
  <si>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</si>
  <si>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</si>
  <si>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</si>
  <si>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</si>
  <si>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</si>
  <si>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</si>
  <si>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</si>
  <si>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</si>
  <si>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</si>
  <si>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</si>
  <si>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</si>
  <si>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</si>
  <si>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</si>
  <si>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</si>
  <si>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</si>
  <si>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</si>
  <si>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</si>
  <si>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</si>
  <si>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</si>
  <si>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</si>
  <si>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</si>
  <si>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</si>
  <si>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</si>
  <si>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</si>
  <si>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</si>
  <si>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F15-T12-01</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</si>
  <si>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</si>
  <si>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</si>
  <si>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</si>
  <si>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</si>
  <si>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</si>
  <si>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</si>
  <si>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</si>
  <si>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</si>
  <si>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</si>
  <si>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</si>
  <si>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</si>
  <si>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</si>
  <si>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</si>
  <si>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</si>
  <si>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</si>
  <si>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</si>
  <si>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</si>
  <si>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</si>
  <si>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</si>
  <si>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</si>
  <si>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</si>
  <si>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</si>
  <si>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</si>
  <si>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</si>
  <si>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</si>
  <si>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</si>
  <si>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</si>
  <si>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</si>
  <si>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</si>
  <si>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</si>
  <si>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</si>
  <si>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</si>
  <si>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</si>
  <si>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</si>
  <si>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</si>
  <si>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</si>
  <si>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</si>
  <si>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</si>
  <si>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</si>
  <si>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_/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</si>
  <si>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</si>
  <si>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</si>
  <si>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</si>
  <si>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</si>
  <si>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</si>
  <si>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</si>
  <si>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</si>
  <si>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</si>
  <si>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</si>
  <si>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_/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</si>
  <si>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</si>
  <si>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</si>
  <si>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</si>
  <si>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</si>
  <si>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</si>
  <si>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</si>
  <si>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</si>
  <si>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</si>
  <si>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</si>
  <si>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</si>
  <si>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</si>
  <si>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</si>
  <si>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</si>
  <si>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</si>
  <si>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</si>
  <si>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</si>
  <si>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</si>
  <si>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</si>
  <si>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</si>
  <si>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</si>
  <si>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</si>
  <si>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</si>
  <si>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</si>
  <si>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</si>
  <si>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</si>
  <si>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</si>
  <si>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</si>
  <si>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</si>
  <si>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</si>
  <si>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</si>
  <si>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</si>
  <si>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</si>
  <si>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</si>
  <si>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</si>
  <si>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</si>
  <si>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</si>
  <si>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</si>
  <si>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</si>
  <si>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_/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</si>
  <si>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</si>
  <si>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</si>
  <si>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</si>
  <si>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</si>
  <si>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</si>
  <si>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</si>
  <si>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</si>
  <si>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</si>
  <si>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</si>
  <si>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</si>
  <si>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</si>
  <si>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</si>
  <si>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</si>
  <si>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</si>
  <si>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</si>
  <si>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</si>
  <si>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</si>
  <si>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</si>
  <si>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</si>
  <si>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</si>
  <si>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</si>
  <si>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</si>
  <si>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</si>
  <si>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</si>
  <si>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_/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</si>
  <si>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</si>
  <si>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</si>
  <si>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</si>
  <si>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</si>
  <si>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</si>
  <si>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</si>
  <si>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</si>
  <si>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</si>
  <si>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</si>
  <si>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</si>
  <si>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</si>
  <si>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</si>
  <si>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</si>
  <si>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</si>
  <si>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</si>
  <si>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</si>
  <si>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</si>
  <si>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</si>
  <si>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</si>
  <si>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</si>
  <si>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</si>
  <si>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</si>
  <si>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</si>
  <si>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</si>
  <si>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</si>
  <si>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</si>
  <si>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</si>
  <si>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</si>
  <si>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</si>
  <si>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</si>
  <si>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</si>
  <si>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</si>
  <si>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</si>
  <si>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</si>
  <si>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</si>
  <si>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</si>
  <si>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</si>
  <si>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</si>
  <si>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</si>
  <si>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</si>
  <si>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</si>
  <si>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</si>
  <si>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</si>
  <si>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</si>
  <si>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</si>
  <si>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</si>
  <si>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</si>
  <si>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</si>
  <si>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</si>
  <si>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</si>
  <si>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</si>
  <si>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</si>
  <si>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</si>
  <si>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</si>
  <si>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</si>
  <si>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</si>
  <si>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</si>
  <si>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</si>
  <si>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</si>
  <si>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</si>
  <si>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</si>
  <si>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</si>
  <si>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</si>
  <si>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</si>
  <si>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</si>
  <si>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</si>
  <si>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</si>
  <si>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</si>
  <si>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</si>
  <si>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</si>
  <si>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</si>
  <si>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</si>
  <si>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</si>
  <si>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</si>
  <si>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</si>
  <si>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</si>
  <si>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</si>
  <si>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</si>
  <si>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</si>
  <si>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</si>
  <si>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</si>
  <si>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</si>
  <si>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</si>
  <si>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</si>
  <si>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</si>
  <si>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</si>
  <si>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</si>
  <si>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</si>
  <si>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</si>
  <si>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</si>
  <si>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</si>
  <si>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</si>
  <si>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</si>
  <si>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</si>
  <si>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</si>
  <si>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</si>
  <si>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</si>
  <si>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</si>
  <si>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</si>
  <si>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</si>
  <si>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</si>
  <si>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</si>
  <si>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</si>
  <si>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</si>
  <si>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</si>
  <si>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</si>
  <si>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</si>
  <si>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</si>
  <si>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</si>
  <si>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</si>
  <si>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</si>
  <si>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</si>
  <si>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</si>
  <si>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</si>
  <si>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</si>
  <si>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</si>
  <si>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</si>
  <si>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</si>
  <si>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</si>
  <si>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</si>
  <si>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</si>
  <si>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</si>
  <si>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</si>
  <si>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</si>
  <si>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</si>
  <si>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</si>
  <si>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</si>
  <si>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</si>
  <si>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</si>
  <si>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</si>
  <si>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</si>
  <si>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</si>
  <si>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</si>
  <si>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</si>
  <si>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</si>
  <si>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</si>
  <si>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</si>
  <si>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</si>
  <si>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</si>
  <si>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</si>
  <si>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</si>
  <si>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</si>
  <si>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</si>
  <si>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</si>
  <si>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</si>
  <si>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</si>
  <si>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</si>
  <si>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</si>
  <si>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</si>
  <si>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</si>
  <si>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</si>
  <si>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</si>
  <si>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</si>
  <si>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</si>
  <si>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</si>
  <si>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</si>
  <si>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</si>
  <si>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</si>
  <si>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</si>
  <si>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</si>
  <si>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</si>
  <si>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</si>
  <si>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</si>
  <si>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</si>
  <si>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</si>
  <si>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</si>
  <si>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</si>
  <si>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</si>
  <si>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</si>
  <si>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</si>
  <si>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</si>
  <si>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</si>
  <si>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</si>
  <si>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</si>
  <si>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</si>
  <si>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</si>
  <si>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</si>
  <si>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</si>
  <si>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</si>
  <si>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</si>
  <si>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</si>
  <si>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</si>
  <si>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</si>
  <si>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</si>
  <si>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</si>
  <si>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</si>
  <si>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</si>
  <si>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</si>
  <si>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</si>
  <si>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</si>
  <si>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</si>
  <si>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</si>
  <si>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</si>
  <si>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</si>
  <si>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</si>
  <si>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</si>
  <si>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</si>
  <si>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</si>
  <si>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</si>
  <si>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</si>
  <si>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</si>
  <si>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</si>
  <si>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</si>
  <si>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</si>
  <si>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</si>
  <si>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</si>
  <si>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</si>
  <si>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</si>
  <si>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</si>
  <si>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</si>
  <si>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</si>
  <si>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</si>
  <si>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</si>
  <si>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</si>
  <si>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</si>
  <si>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</si>
  <si>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</si>
  <si>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</si>
  <si>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</si>
  <si>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</si>
  <si>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</si>
  <si>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</si>
  <si>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</si>
  <si>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</si>
  <si>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</si>
  <si>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</si>
  <si>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</si>
  <si>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</si>
  <si>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</si>
  <si>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</si>
  <si>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</si>
  <si>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</si>
  <si>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</si>
  <si>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</si>
  <si>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</si>
  <si>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</si>
  <si>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</si>
  <si>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</si>
  <si>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</si>
  <si>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</si>
  <si>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</si>
  <si>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</si>
  <si>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</si>
  <si>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</si>
  <si>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</si>
  <si>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</si>
  <si>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</si>
  <si>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</si>
  <si>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</si>
  <si>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</si>
  <si>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</si>
  <si>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</si>
  <si>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</si>
  <si>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</si>
  <si>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</si>
  <si>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</si>
  <si>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</si>
  <si>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</si>
  <si>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</si>
  <si>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</si>
  <si>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</si>
  <si>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</si>
  <si>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</si>
  <si>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</si>
  <si>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</si>
  <si>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</si>
  <si>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</si>
  <si>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</si>
  <si>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</si>
  <si>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</si>
  <si>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</si>
  <si>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</si>
  <si>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</si>
  <si>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</si>
  <si>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</si>
  <si>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</si>
  <si>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</si>
  <si>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</si>
  <si>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</si>
  <si>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</si>
  <si>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</si>
  <si>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</si>
  <si>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</si>
  <si>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</si>
  <si>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</si>
  <si>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</si>
  <si>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</si>
  <si>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</si>
  <si>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</si>
  <si>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</si>
  <si>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</si>
  <si>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</si>
  <si>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</si>
  <si>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</si>
  <si>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</si>
  <si>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</si>
  <si>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</si>
  <si>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</si>
  <si>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</si>
  <si>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</si>
  <si>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</si>
  <si>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</si>
  <si>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</si>
  <si>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</si>
  <si>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</si>
  <si>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</si>
  <si>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</si>
  <si>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</si>
  <si>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</si>
  <si>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</si>
  <si>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</si>
  <si>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</si>
  <si>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</si>
  <si>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</si>
  <si>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</si>
  <si>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</si>
  <si>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</si>
  <si>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</si>
  <si>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</si>
  <si>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</si>
  <si>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</si>
  <si>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</si>
  <si>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</si>
  <si>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</si>
  <si>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</si>
  <si>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</si>
  <si>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</si>
  <si>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</si>
  <si>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</si>
  <si>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</si>
  <si>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</si>
  <si>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</si>
  <si>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</si>
  <si>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</si>
  <si>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</si>
  <si>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</si>
  <si>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</si>
  <si>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</si>
  <si>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</si>
  <si>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</si>
  <si>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</si>
  <si>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</si>
  <si>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</si>
  <si>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</si>
  <si>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</si>
  <si>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</si>
  <si>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</si>
  <si>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</si>
  <si>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</si>
  <si>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</si>
  <si>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</si>
  <si>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</si>
  <si>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</si>
  <si>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</si>
  <si>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</si>
  <si>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As-of override (UTC). Leave blank for the live clock; enter a UTC date-time to review the workbook as at that moment.</t>
  </si>
  <si>
    <t xml:space="preserve">Not started</t>
  </si>
  <si>
    <t xml:space="preserve">This PC's clock offset from UTC (hours). 8 = Malaysia (MYT). Used to convert NOW() to UTC.</t>
  </si>
  <si>
    <t xml:space="preserve">In progress</t>
  </si>
  <si>
    <t xml:space="preserve">Closed</t>
  </si>
  <si>
    <t xml:space="preserve">Effective as-of time (UTC) used for all overdue tests</t>
  </si>
  <si>
    <t xml:space="preserve">← as-of in MYT</t>
  </si>
  <si>
    <t xml:space="preserve">Pass</t>
  </si>
  <si>
    <t xml:space="preserve">Physical-uplift window: on-board confirmation is valid only within this many hours before STD (assumption – adjust to station loading practice)</t>
  </si>
  <si>
    <t xml:space="preserve">Pass after CA</t>
  </si>
  <si>
    <t xml:space="preserve">T-24H sensory test: earliest valid completion, hours before its due time (assumption – production batch must exist)</t>
  </si>
  <si>
    <t xml:space="preserve">Fail</t>
  </si>
  <si>
    <t xml:space="preserve">T-12H preparation check: earliest valid completion, hours before its due time (assumption)</t>
  </si>
  <si>
    <t xml:space="preserve">T-7D checks: earliest valid completion, days before the T-7D due time (assumption – older evidence is stale)</t>
  </si>
  <si>
    <t xml:space="preserve">Station time zones (IANA tz database rules; DST windows cover the Oct-2026 programme)</t>
  </si>
  <si>
    <t xml:space="preserve">Station</t>
  </si>
  <si>
    <t xml:space="preserve">IANA zone</t>
  </si>
  <si>
    <t xml:space="preserve">Std offset (h)</t>
  </si>
  <si>
    <t xml:space="preserve">DST offset (h)</t>
  </si>
  <si>
    <t xml:space="preserve">DST start (UTC)</t>
  </si>
  <si>
    <t xml:space="preserve">DST end (UTC)</t>
  </si>
  <si>
    <t xml:space="preserve">Asia/Kuala_Lumpur</t>
  </si>
  <si>
    <t xml:space="preserve">Europe/London</t>
  </si>
  <si>
    <t xml:space="preserve">Asia/Jakarta</t>
  </si>
  <si>
    <t xml:space="preserve">Asia/Ho_Chi_Minh</t>
  </si>
  <si>
    <t xml:space="preserve">Asia/Tokyo</t>
  </si>
  <si>
    <t xml:space="preserve">Asia/Hong_Kong</t>
  </si>
  <si>
    <t xml:space="preserve">Australia/Adelaide</t>
  </si>
  <si>
    <t xml:space="preserve">Source: IANA tz database. Europe/London BST ends Sun 25-Oct-2026 01:00 UTC; Australia/Adelaide ACDT (UTC+10:30) starts Sun 4-Oct-2026 02:00 local (03-Oct 16:30 UTC). No DST at other stations.</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</si>
  <si>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</si>
  <si>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</si>
  <si>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</si>
  <si>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</si>
  <si>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</si>
  <si>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</si>
  <si>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</si>
  <si>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</si>
  <si>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</si>
  <si>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</si>
  <si>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</si>
  <si>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</si>
  <si>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</si>
  <si>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</si>
  <si>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</si>
  <si>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</si>
  <si>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</si>
  <si>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</si>
  <si>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</si>
  <si>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</si>
  <si>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</si>
  <si>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</si>
  <si>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</si>
  <si>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</si>
  <si>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</si>
  <si>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</si>
  <si>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</si>
  <si>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</si>
  <si>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</si>
  <si>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</si>
  <si>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</si>
  <si>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</si>
  <si>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</si>
  <si>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</si>
  <si>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</si>
  <si>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</si>
  <si>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</si>
  <si>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Cover sheet – checklist starts on page 2 (staple attachments A1 / A2 behind this pack).</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</si>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</sst>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1">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s>
  <fonts count="4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73" fontId="26" fillId="3" borderId="2" xfId="0" applyFont="true" applyBorder="true" applyAlignment="true" applyProtection="false">
      <alignment horizontal="general" vertical="top" textRotation="0" wrapText="true" indent="0" shrinkToFit="false"/>
      <protection locked="true" hidden="false"/>
    </xf>
    <xf numFmtId="164" fontId="28" fillId="2" borderId="2" xfId="0" applyFont="true" applyBorder="true" applyAlignment="true" applyProtection="true">
      <alignment horizontal="general" vertical="top" textRotation="0" wrapText="true" indent="0" shrinkToFit="false"/>
      <protection locked="fals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3"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top"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0"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1"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43.5" hidden="false" customHeight="true" outlineLevel="0" collapsed="false">
      <c r="B32" s="4" t="s">
        <v>30</v>
      </c>
    </row>
    <row r="33" customFormat="false" ht="30" hidden="false" customHeight="true" outlineLevel="0" collapsed="false">
      <c r="B33" s="4" t="s">
        <v>31</v>
      </c>
    </row>
    <row r="34" customFormat="false" ht="30" hidden="false" customHeight="true" outlineLevel="0" collapsed="false">
      <c r="B34" s="4" t="s">
        <v>32</v>
      </c>
    </row>
    <row r="35" customFormat="false" ht="21.75" hidden="false" customHeight="true" outlineLevel="0" collapsed="false">
      <c r="B35" s="5" t="s">
        <v>33</v>
      </c>
    </row>
    <row r="36" customFormat="false" ht="43.5" hidden="false" customHeight="true" outlineLevel="0" collapsed="false">
      <c r="B36" s="4" t="s">
        <v>34</v>
      </c>
    </row>
    <row r="37" customFormat="false" ht="84" hidden="false" customHeight="true" outlineLevel="0" collapsed="false">
      <c r="B37" s="4" t="s">
        <v>35</v>
      </c>
    </row>
    <row r="38" customFormat="false" ht="70.5" hidden="false" customHeight="true" outlineLevel="0" collapsed="false">
      <c r="B38" s="4" t="s">
        <v>36</v>
      </c>
    </row>
    <row r="39" customFormat="false" ht="57" hidden="false" customHeight="true" outlineLevel="0" collapsed="false">
      <c r="B39" s="4" t="s">
        <v>37</v>
      </c>
    </row>
    <row r="40" customFormat="false" ht="21.75" hidden="false" customHeight="true" outlineLevel="0" collapsed="false">
      <c r="B40" s="5" t="s">
        <v>38</v>
      </c>
    </row>
    <row r="41" customFormat="false" ht="57" hidden="false" customHeight="true" outlineLevel="0" collapsed="false">
      <c r="B41" s="4" t="s">
        <v>39</v>
      </c>
    </row>
    <row r="42" customFormat="false" ht="30" hidden="false" customHeight="true" outlineLevel="0" collapsed="false">
      <c r="B42" s="4" t="s">
        <v>40</v>
      </c>
    </row>
    <row r="43" customFormat="false" ht="30" hidden="false" customHeight="true" outlineLevel="0" collapsed="false">
      <c r="B43" s="4" t="s">
        <v>41</v>
      </c>
    </row>
    <row r="44" customFormat="false" ht="21.75" hidden="false" customHeight="true" outlineLevel="0" collapsed="false">
      <c r="B44" s="5" t="s">
        <v>42</v>
      </c>
    </row>
    <row r="45" customFormat="false" ht="43.5" hidden="false" customHeight="true" outlineLevel="0" collapsed="false">
      <c r="B45" s="4" t="s">
        <v>43</v>
      </c>
    </row>
    <row r="46" customFormat="false" ht="21.75" hidden="false" customHeight="true" outlineLevel="0" collapsed="false">
      <c r="B46" s="5" t="s">
        <v>44</v>
      </c>
    </row>
    <row r="47" customFormat="false" ht="16.5" hidden="false" customHeight="true" outlineLevel="0" collapsed="false">
      <c r="B47" s="6" t="s">
        <v>45</v>
      </c>
    </row>
    <row r="48" customFormat="false" ht="16.5" hidden="false" customHeight="true" outlineLevel="0" collapsed="false">
      <c r="B48" s="7" t="s">
        <v>46</v>
      </c>
    </row>
    <row r="49" customFormat="false" ht="16.5" hidden="false" customHeight="true" outlineLevel="0" collapsed="false">
      <c r="B49" s="8" t="s">
        <v>47</v>
      </c>
    </row>
    <row r="50" customFormat="false" ht="30" hidden="false" customHeight="true" outlineLevel="0" collapsed="false">
      <c r="B50" s="9" t="s">
        <v>48</v>
      </c>
    </row>
  </sheetData>
  <sheetProtection sheet="true" formatCells="false" formatColumns="false" formatRows="false" sort="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49</v>
      </c>
      <c r="C1" s="10"/>
      <c r="D1" s="10"/>
      <c r="E1" s="10"/>
      <c r="F1" s="10"/>
      <c r="G1" s="10"/>
      <c r="H1" s="10"/>
      <c r="I1" s="10"/>
      <c r="J1" s="10"/>
      <c r="K1" s="10"/>
      <c r="L1" s="10"/>
      <c r="M1" s="10"/>
      <c r="N1" s="10"/>
      <c r="O1" s="10"/>
      <c r="P1" s="10"/>
      <c r="Q1" s="10"/>
      <c r="R1" s="10"/>
    </row>
    <row r="2" customFormat="false" ht="14.25" hidden="false" customHeight="true" outlineLevel="0" collapsed="false">
      <c r="B2" s="11" t="s">
        <v>50</v>
      </c>
      <c r="C2" s="11"/>
      <c r="D2" s="12" t="n">
        <f aca="false">AsOfUTC</f>
        <v>46293.1381946794</v>
      </c>
      <c r="E2" s="12"/>
      <c r="F2" s="11" t="s">
        <v>51</v>
      </c>
      <c r="G2" s="11"/>
      <c r="H2" s="12" t="n">
        <f aca="false">AsOfUTC+8/24</f>
        <v>46293.4715280127</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52</v>
      </c>
      <c r="C4" s="14"/>
      <c r="D4" s="14"/>
      <c r="E4" s="14"/>
      <c r="F4" s="14"/>
      <c r="G4" s="14"/>
      <c r="H4" s="14"/>
      <c r="I4" s="14"/>
      <c r="J4" s="14"/>
      <c r="K4" s="14"/>
      <c r="L4" s="14"/>
      <c r="M4" s="14"/>
      <c r="N4" s="14"/>
      <c r="O4" s="14"/>
      <c r="P4" s="14"/>
      <c r="Q4" s="14"/>
      <c r="R4" s="14"/>
    </row>
    <row r="5" customFormat="false" ht="27.75" hidden="false" customHeight="true" outlineLevel="0" collapsed="false">
      <c r="B5" s="15" t="s">
        <v>53</v>
      </c>
      <c r="C5" s="15"/>
      <c r="D5" s="15" t="s">
        <v>54</v>
      </c>
      <c r="E5" s="15"/>
      <c r="F5" s="15" t="s">
        <v>55</v>
      </c>
      <c r="G5" s="15"/>
      <c r="H5" s="15" t="s">
        <v>56</v>
      </c>
      <c r="I5" s="15"/>
      <c r="J5" s="15" t="s">
        <v>57</v>
      </c>
      <c r="K5" s="15"/>
      <c r="L5" s="15" t="s">
        <v>58</v>
      </c>
      <c r="M5" s="15"/>
      <c r="N5" s="15" t="s">
        <v>59</v>
      </c>
      <c r="O5" s="15"/>
      <c r="P5" s="15" t="s">
        <v>60</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SUM(Checks!$AN$5:$AN$748)</f>
        <v>44</v>
      </c>
      <c r="O6" s="16"/>
      <c r="P6" s="16" t="n">
        <f aca="false">SUM(Checks!$AM$5:$AM$748)</f>
        <v>0</v>
      </c>
      <c r="Q6" s="16"/>
      <c r="R6" s="16"/>
    </row>
    <row r="7" customFormat="false" ht="36" hidden="false" customHeight="true" outlineLevel="0" collapsed="false">
      <c r="B7" s="18" t="s">
        <v>61</v>
      </c>
      <c r="C7" s="18"/>
      <c r="D7" s="18" t="str">
        <f aca="false">"of "&amp;COUNTA(Flights!$A$5:$A$26)&amp;" flights"</f>
        <v>of 22 flights</v>
      </c>
      <c r="E7" s="18"/>
      <c r="F7" s="18" t="str">
        <f aca="false">SUM(Checks!$AJ$5:$AJ$748)&amp;" of "&amp;SUM(Checks!$AI$5:$AI$748)&amp;" checks"</f>
        <v>0 of 724 checks</v>
      </c>
      <c r="G7" s="18"/>
      <c r="H7" s="18" t="s">
        <v>62</v>
      </c>
      <c r="I7" s="18"/>
      <c r="J7" s="18" t="s">
        <v>63</v>
      </c>
      <c r="K7" s="18"/>
      <c r="L7" s="18" t="s">
        <v>64</v>
      </c>
      <c r="M7" s="18"/>
      <c r="N7" s="18" t="s">
        <v>65</v>
      </c>
      <c r="O7" s="18"/>
      <c r="P7" s="18" t="s">
        <v>66</v>
      </c>
      <c r="Q7" s="18"/>
      <c r="R7" s="18"/>
    </row>
    <row r="8" customFormat="false" ht="7.5" hidden="false" customHeight="true" outlineLevel="0" collapsed="false"/>
    <row r="9" customFormat="false" ht="21.75" hidden="false" customHeight="true" outlineLevel="0" collapsed="false">
      <c r="B9" s="14" t="s">
        <v>67</v>
      </c>
      <c r="C9" s="14"/>
      <c r="D9" s="14"/>
      <c r="E9" s="14"/>
      <c r="F9" s="14"/>
      <c r="G9" s="14"/>
      <c r="H9" s="14"/>
      <c r="I9" s="14"/>
      <c r="J9" s="14"/>
      <c r="K9" s="14"/>
      <c r="L9" s="14"/>
      <c r="M9" s="14"/>
      <c r="N9" s="14"/>
      <c r="O9" s="14"/>
      <c r="P9" s="14"/>
      <c r="Q9" s="14"/>
      <c r="R9" s="14"/>
    </row>
    <row r="10" customFormat="false" ht="39.75" hidden="false" customHeight="true" outlineLevel="0" collapsed="false">
      <c r="B10" s="19" t="s">
        <v>68</v>
      </c>
      <c r="C10" s="19"/>
      <c r="D10" s="19" t="s">
        <v>69</v>
      </c>
      <c r="E10" s="19"/>
      <c r="F10" s="19" t="s">
        <v>70</v>
      </c>
      <c r="G10" s="19"/>
      <c r="H10" s="19" t="s">
        <v>71</v>
      </c>
      <c r="I10" s="19" t="s">
        <v>72</v>
      </c>
      <c r="J10" s="19" t="s">
        <v>73</v>
      </c>
      <c r="K10" s="19"/>
      <c r="L10" s="19" t="s">
        <v>74</v>
      </c>
      <c r="M10" s="19"/>
      <c r="N10" s="19" t="s">
        <v>75</v>
      </c>
      <c r="O10" s="19"/>
      <c r="P10" s="19"/>
      <c r="Q10" s="19"/>
      <c r="R10" s="19"/>
    </row>
    <row r="11" customFormat="false" ht="18" hidden="false" customHeight="true" outlineLevel="0" collapsed="false">
      <c r="B11" s="20" t="s">
        <v>76</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77</v>
      </c>
      <c r="O11" s="23"/>
      <c r="P11" s="23"/>
      <c r="Q11" s="23"/>
      <c r="R11" s="23"/>
    </row>
    <row r="12" customFormat="false" ht="18" hidden="false" customHeight="true" outlineLevel="0" collapsed="false">
      <c r="B12" s="20" t="s">
        <v>78</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79</v>
      </c>
      <c r="O12" s="23"/>
      <c r="P12" s="23"/>
      <c r="Q12" s="23"/>
      <c r="R12" s="23"/>
    </row>
    <row r="13" customFormat="false" ht="18" hidden="false" customHeight="true" outlineLevel="0" collapsed="false">
      <c r="B13" s="20" t="s">
        <v>80</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81</v>
      </c>
      <c r="O13" s="23"/>
      <c r="P13" s="23"/>
      <c r="Q13" s="23"/>
      <c r="R13" s="23"/>
    </row>
    <row r="14" customFormat="false" ht="18" hidden="false" customHeight="true" outlineLevel="0" collapsed="false">
      <c r="B14" s="20" t="s">
        <v>82</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83</v>
      </c>
      <c r="O14" s="23"/>
      <c r="P14" s="23"/>
      <c r="Q14" s="23"/>
      <c r="R14" s="23"/>
    </row>
    <row r="15" customFormat="false" ht="18" hidden="false" customHeight="true" outlineLevel="0" collapsed="false">
      <c r="B15" s="24" t="s">
        <v>84</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85</v>
      </c>
      <c r="O15" s="27"/>
      <c r="P15" s="27"/>
      <c r="Q15" s="27"/>
      <c r="R15" s="27"/>
    </row>
    <row r="16" customFormat="false" ht="7.5" hidden="false" customHeight="true" outlineLevel="0" collapsed="false"/>
    <row r="17" customFormat="false" ht="21.75" hidden="false" customHeight="true" outlineLevel="0" collapsed="false">
      <c r="B17" s="14" t="s">
        <v>86</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87</v>
      </c>
      <c r="C18" s="28"/>
      <c r="D18" s="28"/>
      <c r="E18" s="29" t="s">
        <v>88</v>
      </c>
      <c r="F18" s="29"/>
      <c r="G18" s="29"/>
      <c r="H18" s="29"/>
      <c r="I18" s="29"/>
      <c r="J18" s="29"/>
      <c r="K18" s="29"/>
      <c r="L18" s="29"/>
      <c r="M18" s="29"/>
      <c r="N18" s="29"/>
      <c r="O18" s="29"/>
      <c r="P18" s="29"/>
      <c r="Q18" s="29"/>
      <c r="R18" s="29"/>
    </row>
    <row r="19" customFormat="false" ht="27.75" hidden="false" customHeight="true" outlineLevel="0" collapsed="false">
      <c r="B19" s="28" t="s">
        <v>89</v>
      </c>
      <c r="C19" s="28"/>
      <c r="D19" s="28"/>
      <c r="E19" s="29" t="s">
        <v>90</v>
      </c>
      <c r="F19" s="29"/>
      <c r="G19" s="29"/>
      <c r="H19" s="29"/>
      <c r="I19" s="29"/>
      <c r="J19" s="29"/>
      <c r="K19" s="29"/>
      <c r="L19" s="29"/>
      <c r="M19" s="29"/>
      <c r="N19" s="29"/>
      <c r="O19" s="29"/>
      <c r="P19" s="29"/>
      <c r="Q19" s="29"/>
      <c r="R19" s="29"/>
    </row>
    <row r="20" customFormat="false" ht="51.75" hidden="false" customHeight="true" outlineLevel="0" collapsed="false">
      <c r="B20" s="28" t="s">
        <v>70</v>
      </c>
      <c r="C20" s="28"/>
      <c r="D20" s="28"/>
      <c r="E20" s="29" t="s">
        <v>91</v>
      </c>
      <c r="F20" s="29"/>
      <c r="G20" s="29"/>
      <c r="H20" s="29"/>
      <c r="I20" s="29"/>
      <c r="J20" s="29"/>
      <c r="K20" s="29"/>
      <c r="L20" s="29"/>
      <c r="M20" s="29"/>
      <c r="N20" s="29"/>
      <c r="O20" s="29"/>
      <c r="P20" s="29"/>
      <c r="Q20" s="29"/>
      <c r="R20" s="29"/>
    </row>
    <row r="21" customFormat="false" ht="27.75" hidden="false" customHeight="true" outlineLevel="0" collapsed="false">
      <c r="B21" s="28" t="s">
        <v>92</v>
      </c>
      <c r="C21" s="28"/>
      <c r="D21" s="28"/>
      <c r="E21" s="29" t="s">
        <v>93</v>
      </c>
      <c r="F21" s="29"/>
      <c r="G21" s="29"/>
      <c r="H21" s="29"/>
      <c r="I21" s="29"/>
      <c r="J21" s="29"/>
      <c r="K21" s="29"/>
      <c r="L21" s="29"/>
      <c r="M21" s="29"/>
      <c r="N21" s="29"/>
      <c r="O21" s="29"/>
      <c r="P21" s="29"/>
      <c r="Q21" s="29"/>
      <c r="R21" s="29"/>
    </row>
    <row r="22" customFormat="false" ht="39.75" hidden="false" customHeight="true" outlineLevel="0" collapsed="false">
      <c r="B22" s="28" t="s">
        <v>94</v>
      </c>
      <c r="C22" s="28"/>
      <c r="D22" s="28"/>
      <c r="E22" s="29" t="s">
        <v>95</v>
      </c>
      <c r="F22" s="29"/>
      <c r="G22" s="29"/>
      <c r="H22" s="29"/>
      <c r="I22" s="29"/>
      <c r="J22" s="29"/>
      <c r="K22" s="29"/>
      <c r="L22" s="29"/>
      <c r="M22" s="29"/>
      <c r="N22" s="29"/>
      <c r="O22" s="29"/>
      <c r="P22" s="29"/>
      <c r="Q22" s="29"/>
      <c r="R22" s="29"/>
    </row>
    <row r="23" customFormat="false" ht="27.75" hidden="false" customHeight="true" outlineLevel="0" collapsed="false">
      <c r="B23" s="28" t="s">
        <v>96</v>
      </c>
      <c r="C23" s="28"/>
      <c r="D23" s="28"/>
      <c r="E23" s="29" t="s">
        <v>97</v>
      </c>
      <c r="F23" s="29"/>
      <c r="G23" s="29"/>
      <c r="H23" s="29"/>
      <c r="I23" s="29"/>
      <c r="J23" s="29"/>
      <c r="K23" s="29"/>
      <c r="L23" s="29"/>
      <c r="M23" s="29"/>
      <c r="N23" s="29"/>
      <c r="O23" s="29"/>
      <c r="P23" s="29"/>
      <c r="Q23" s="29"/>
      <c r="R23" s="29"/>
    </row>
    <row r="24" customFormat="false" ht="27.75" hidden="false" customHeight="true" outlineLevel="0" collapsed="false">
      <c r="B24" s="28" t="s">
        <v>98</v>
      </c>
      <c r="C24" s="28"/>
      <c r="D24" s="28"/>
      <c r="E24" s="29" t="s">
        <v>99</v>
      </c>
      <c r="F24" s="29"/>
      <c r="G24" s="29"/>
      <c r="H24" s="29"/>
      <c r="I24" s="29"/>
      <c r="J24" s="29"/>
      <c r="K24" s="29"/>
      <c r="L24" s="29"/>
      <c r="M24" s="29"/>
      <c r="N24" s="29"/>
      <c r="O24" s="29"/>
      <c r="P24" s="29"/>
      <c r="Q24" s="29"/>
      <c r="R24" s="29"/>
    </row>
    <row r="26" customFormat="false" ht="21.75" hidden="false" customHeight="true" outlineLevel="0" collapsed="false">
      <c r="B26" s="14" t="s">
        <v>100</v>
      </c>
      <c r="C26" s="14"/>
      <c r="D26" s="14"/>
      <c r="E26" s="14"/>
      <c r="F26" s="14"/>
      <c r="G26" s="14"/>
      <c r="H26" s="14"/>
      <c r="I26" s="14"/>
      <c r="J26" s="14"/>
      <c r="K26" s="14"/>
      <c r="L26" s="30" t="str">
        <f aca="false">"As of "&amp;TEXT(AsOfUTC+8/24,"dd-mmm-yy hh:mm")&amp;" MYT"</f>
        <v>As of 28-Sep-26 11:19 MYT</v>
      </c>
      <c r="M26" s="30"/>
      <c r="N26" s="30"/>
      <c r="O26" s="30"/>
      <c r="P26" s="30"/>
      <c r="Q26" s="30"/>
      <c r="R26" s="30"/>
    </row>
    <row r="27" customFormat="false" ht="27.75" hidden="false" customHeight="true" outlineLevel="0" collapsed="false">
      <c r="B27" s="19" t="s">
        <v>101</v>
      </c>
      <c r="C27" s="19" t="s">
        <v>102</v>
      </c>
      <c r="D27" s="19" t="s">
        <v>103</v>
      </c>
      <c r="E27" s="19" t="s">
        <v>104</v>
      </c>
      <c r="F27" s="19" t="s">
        <v>105</v>
      </c>
      <c r="G27" s="19" t="s">
        <v>106</v>
      </c>
      <c r="H27" s="19" t="s">
        <v>107</v>
      </c>
      <c r="I27" s="19" t="s">
        <v>76</v>
      </c>
      <c r="J27" s="19" t="s">
        <v>78</v>
      </c>
      <c r="K27" s="19" t="s">
        <v>80</v>
      </c>
      <c r="L27" s="19" t="s">
        <v>82</v>
      </c>
      <c r="M27" s="19" t="s">
        <v>108</v>
      </c>
      <c r="N27" s="19" t="s">
        <v>109</v>
      </c>
      <c r="O27" s="19" t="s">
        <v>110</v>
      </c>
      <c r="P27" s="19" t="s">
        <v>111</v>
      </c>
      <c r="Q27" s="19" t="s">
        <v>112</v>
      </c>
      <c r="R27" s="19" t="s">
        <v>113</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2</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4</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5</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2</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3</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4</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5</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2</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2</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2</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7</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2</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2</v>
      </c>
      <c r="R49" s="43" t="str">
        <f aca="false">IF(Flights!$AT$26="","",Flights!$AT$26)</f>
        <v>NOT READY – DOCUMENTS</v>
      </c>
    </row>
    <row r="50" customFormat="false" ht="25.5" hidden="false" customHeight="true" outlineLevel="0" collapsed="false">
      <c r="B50" s="44" t="s">
        <v>114</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115</v>
      </c>
      <c r="C52" s="14"/>
      <c r="D52" s="14"/>
      <c r="E52" s="14"/>
      <c r="F52" s="14"/>
      <c r="G52" s="14"/>
      <c r="H52" s="14"/>
      <c r="I52" s="14"/>
      <c r="J52" s="14"/>
      <c r="K52" s="14"/>
      <c r="L52" s="30" t="str">
        <f aca="false">"Showing "&amp;MIN(18,SUM(Checks!$AK$5:$AK$748))&amp;" of "&amp;SUM(Checks!$AK$5:$AK$748)&amp;"  •  as of "&amp;TEXT(AsOfUTC+8/24,"dd-mmm-yy hh:mm")&amp;" MYT"</f>
        <v>Showing 0 of 0  •  as of 28-Sep-26 11:19 MYT</v>
      </c>
      <c r="M52" s="30"/>
      <c r="N52" s="30"/>
      <c r="O52" s="30"/>
      <c r="P52" s="30"/>
      <c r="Q52" s="30"/>
      <c r="R52" s="30"/>
    </row>
    <row r="53" customFormat="false" ht="27.75" hidden="false" customHeight="true" outlineLevel="0" collapsed="false">
      <c r="B53" s="19" t="s">
        <v>116</v>
      </c>
      <c r="C53" s="19" t="s">
        <v>117</v>
      </c>
      <c r="D53" s="19"/>
      <c r="E53" s="19" t="s">
        <v>102</v>
      </c>
      <c r="F53" s="19" t="s">
        <v>68</v>
      </c>
      <c r="G53" s="19"/>
      <c r="H53" s="19" t="s">
        <v>118</v>
      </c>
      <c r="I53" s="19"/>
      <c r="J53" s="19"/>
      <c r="K53" s="19"/>
      <c r="L53" s="19"/>
      <c r="M53" s="19"/>
      <c r="N53" s="19" t="s">
        <v>119</v>
      </c>
      <c r="O53" s="19"/>
      <c r="P53" s="19" t="s">
        <v>120</v>
      </c>
      <c r="Q53" s="19"/>
      <c r="R53" s="19" t="s">
        <v>121</v>
      </c>
      <c r="T53" s="45" t="s">
        <v>122</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123</v>
      </c>
      <c r="C74" s="14"/>
      <c r="D74" s="14"/>
      <c r="E74" s="14"/>
      <c r="F74" s="14"/>
      <c r="G74" s="14"/>
      <c r="H74" s="14"/>
      <c r="I74" s="14"/>
      <c r="J74" s="14"/>
      <c r="K74" s="14"/>
      <c r="L74" s="30" t="str">
        <f aca="false">"Showing "&amp;MIN(18,SUM(Checks!$AL$5:$AL$748))&amp;" of "&amp;SUM(Checks!$AL$5:$AL$748)&amp;"  •  as of "&amp;TEXT(AsOfUTC+8/24,"dd-mmm-yy hh:mm")&amp;" MYT"</f>
        <v>Showing 0 of 0  •  as of 28-Sep-26 11:19 MYT</v>
      </c>
      <c r="M74" s="30"/>
      <c r="N74" s="30"/>
      <c r="O74" s="30"/>
      <c r="P74" s="30"/>
      <c r="Q74" s="30"/>
      <c r="R74" s="30"/>
    </row>
    <row r="75" customFormat="false" ht="27.75" hidden="false" customHeight="true" outlineLevel="0" collapsed="false">
      <c r="B75" s="19" t="s">
        <v>116</v>
      </c>
      <c r="C75" s="19" t="s">
        <v>117</v>
      </c>
      <c r="D75" s="19"/>
      <c r="E75" s="19" t="s">
        <v>102</v>
      </c>
      <c r="F75" s="19" t="s">
        <v>68</v>
      </c>
      <c r="G75" s="19"/>
      <c r="H75" s="19" t="s">
        <v>118</v>
      </c>
      <c r="I75" s="19"/>
      <c r="J75" s="19"/>
      <c r="K75" s="19"/>
      <c r="L75" s="19" t="s">
        <v>124</v>
      </c>
      <c r="M75" s="19" t="s">
        <v>125</v>
      </c>
      <c r="N75" s="19" t="s">
        <v>126</v>
      </c>
      <c r="O75" s="19" t="s">
        <v>127</v>
      </c>
      <c r="P75" s="19" t="s">
        <v>128</v>
      </c>
      <c r="Q75" s="19" t="s">
        <v>129</v>
      </c>
      <c r="R75" s="19"/>
      <c r="T75" s="45" t="s">
        <v>122</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sort="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{1FADB7A0-2AA0-47C4-90B4-373B75C3C783}</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{FE20F314-6D6C-4597-AC45-9A4616129ABC}</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1FADB7A0-2AA0-47C4-90B4-373B75C3C783}">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FE20F314-6D6C-4597-AC45-9A4616129ABC}">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Y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1" min="50" style="0" width="17"/>
  </cols>
  <sheetData>
    <row r="1" customFormat="false" ht="24" hidden="false" customHeight="true" outlineLevel="0" collapsed="false">
      <c r="A1" s="54" t="s">
        <v>130</v>
      </c>
    </row>
    <row r="2" customFormat="false" ht="28.5" hidden="false" customHeight="true" outlineLevel="0" collapsed="false">
      <c r="G2" s="55" t="s">
        <v>131</v>
      </c>
      <c r="H2" s="55"/>
      <c r="I2" s="55"/>
      <c r="J2" s="55"/>
      <c r="K2" s="55"/>
      <c r="L2" s="55"/>
      <c r="M2" s="55"/>
    </row>
    <row r="4" customFormat="false" ht="54" hidden="false" customHeight="true" outlineLevel="0" collapsed="false">
      <c r="A4" s="56" t="s">
        <v>132</v>
      </c>
      <c r="B4" s="56" t="s">
        <v>101</v>
      </c>
      <c r="C4" s="56" t="s">
        <v>133</v>
      </c>
      <c r="D4" s="56" t="s">
        <v>103</v>
      </c>
      <c r="E4" s="56" t="s">
        <v>134</v>
      </c>
      <c r="F4" s="56" t="s">
        <v>135</v>
      </c>
      <c r="G4" s="56" t="s">
        <v>136</v>
      </c>
      <c r="H4" s="56" t="s">
        <v>137</v>
      </c>
      <c r="I4" s="56" t="s">
        <v>107</v>
      </c>
      <c r="J4" s="56" t="s">
        <v>138</v>
      </c>
      <c r="K4" s="56" t="s">
        <v>139</v>
      </c>
      <c r="L4" s="56" t="s">
        <v>140</v>
      </c>
      <c r="M4" s="56" t="s">
        <v>141</v>
      </c>
      <c r="N4" s="56" t="s">
        <v>142</v>
      </c>
      <c r="O4" s="56" t="s">
        <v>143</v>
      </c>
      <c r="P4" s="56" t="s">
        <v>144</v>
      </c>
      <c r="Q4" s="56" t="s">
        <v>145</v>
      </c>
      <c r="R4" s="56" t="s">
        <v>146</v>
      </c>
      <c r="S4" s="56" t="s">
        <v>147</v>
      </c>
      <c r="T4" s="56" t="s">
        <v>148</v>
      </c>
      <c r="U4" s="56" t="s">
        <v>149</v>
      </c>
      <c r="V4" s="56" t="s">
        <v>150</v>
      </c>
      <c r="W4" s="56" t="s">
        <v>151</v>
      </c>
      <c r="X4" s="56" t="s">
        <v>152</v>
      </c>
      <c r="Y4" s="56" t="s">
        <v>153</v>
      </c>
      <c r="Z4" s="56" t="s">
        <v>154</v>
      </c>
      <c r="AA4" s="56" t="s">
        <v>155</v>
      </c>
      <c r="AB4" s="56" t="s">
        <v>156</v>
      </c>
      <c r="AC4" s="56" t="s">
        <v>157</v>
      </c>
      <c r="AD4" s="56" t="s">
        <v>158</v>
      </c>
      <c r="AE4" s="56" t="s">
        <v>159</v>
      </c>
      <c r="AF4" s="56" t="s">
        <v>160</v>
      </c>
      <c r="AG4" s="56" t="s">
        <v>161</v>
      </c>
      <c r="AH4" s="56" t="s">
        <v>162</v>
      </c>
      <c r="AI4" s="56" t="s">
        <v>163</v>
      </c>
      <c r="AJ4" s="56" t="s">
        <v>164</v>
      </c>
      <c r="AK4" s="56" t="s">
        <v>165</v>
      </c>
      <c r="AL4" s="56" t="s">
        <v>166</v>
      </c>
      <c r="AM4" s="56" t="s">
        <v>167</v>
      </c>
      <c r="AN4" s="56" t="s">
        <v>168</v>
      </c>
      <c r="AO4" s="56" t="s">
        <v>169</v>
      </c>
      <c r="AP4" s="56" t="s">
        <v>73</v>
      </c>
      <c r="AQ4" s="56" t="s">
        <v>57</v>
      </c>
      <c r="AR4" s="56" t="s">
        <v>58</v>
      </c>
      <c r="AS4" s="56" t="s">
        <v>59</v>
      </c>
      <c r="AT4" s="56" t="s">
        <v>170</v>
      </c>
      <c r="AU4" s="56" t="s">
        <v>60</v>
      </c>
      <c r="AV4" s="56" t="s">
        <v>171</v>
      </c>
      <c r="AW4" s="56" t="s">
        <v>172</v>
      </c>
      <c r="AX4" s="56" t="s">
        <v>173</v>
      </c>
      <c r="AY4" s="56" t="s">
        <v>174</v>
      </c>
    </row>
    <row r="5" customFormat="false" ht="36" hidden="false" customHeight="true" outlineLevel="0" collapsed="false">
      <c r="A5" s="57" t="s">
        <v>175</v>
      </c>
      <c r="B5" s="57" t="n">
        <v>1</v>
      </c>
      <c r="C5" s="57" t="n">
        <v>1</v>
      </c>
      <c r="D5" s="58" t="n">
        <v>46303</v>
      </c>
      <c r="E5" s="57" t="s">
        <v>176</v>
      </c>
      <c r="F5" s="57" t="s">
        <v>177</v>
      </c>
      <c r="G5" s="57" t="s">
        <v>178</v>
      </c>
      <c r="H5" s="57" t="s">
        <v>179</v>
      </c>
      <c r="I5" s="59" t="n">
        <v>46303.8993055556</v>
      </c>
      <c r="J5" s="59" t="n">
        <v>46304.7430555556</v>
      </c>
      <c r="K5" s="57" t="s">
        <v>180</v>
      </c>
      <c r="L5" s="60" t="s">
        <v>181</v>
      </c>
      <c r="M5" s="57" t="s">
        <v>182</v>
      </c>
      <c r="N5" s="60"/>
      <c r="O5" s="57" t="s">
        <v>183</v>
      </c>
      <c r="P5" s="57" t="s">
        <v>184</v>
      </c>
      <c r="Q5" s="57"/>
      <c r="R5" s="57" t="s">
        <v>185</v>
      </c>
      <c r="S5" s="57" t="s">
        <v>186</v>
      </c>
      <c r="T5" s="57" t="s">
        <v>187</v>
      </c>
      <c r="U5" s="57" t="s">
        <v>188</v>
      </c>
      <c r="V5" s="57" t="s">
        <v>178</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f>
        <v>2</v>
      </c>
      <c r="AT5" s="65" t="str">
        <f aca="false">IF(AND(AW5&gt;0,AO5=0,AQ5=0,AR5=0,AU5=0),"READY",IF(AP5&gt;0,"NOT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189</v>
      </c>
      <c r="AY5" s="62" t="s">
        <v>189</v>
      </c>
    </row>
    <row r="6" customFormat="false" ht="36" hidden="false" customHeight="true" outlineLevel="0" collapsed="false">
      <c r="A6" s="57" t="s">
        <v>190</v>
      </c>
      <c r="B6" s="57" t="n">
        <v>1</v>
      </c>
      <c r="C6" s="57" t="n">
        <v>2</v>
      </c>
      <c r="D6" s="58" t="n">
        <v>46304</v>
      </c>
      <c r="E6" s="57" t="s">
        <v>191</v>
      </c>
      <c r="F6" s="57" t="s">
        <v>192</v>
      </c>
      <c r="G6" s="57" t="s">
        <v>179</v>
      </c>
      <c r="H6" s="57" t="s">
        <v>193</v>
      </c>
      <c r="I6" s="59" t="n">
        <v>46304.9097222222</v>
      </c>
      <c r="J6" s="59" t="n">
        <v>46304.9618055556</v>
      </c>
      <c r="K6" s="57" t="s">
        <v>194</v>
      </c>
      <c r="L6" s="60" t="s">
        <v>195</v>
      </c>
      <c r="M6" s="57" t="s">
        <v>196</v>
      </c>
      <c r="N6" s="60"/>
      <c r="O6" s="57" t="s">
        <v>197</v>
      </c>
      <c r="P6" s="57" t="s">
        <v>198</v>
      </c>
      <c r="Q6" s="57" t="s">
        <v>199</v>
      </c>
      <c r="R6" s="57" t="s">
        <v>200</v>
      </c>
      <c r="S6" s="57" t="s">
        <v>201</v>
      </c>
      <c r="T6" s="57" t="s">
        <v>202</v>
      </c>
      <c r="U6" s="57" t="s">
        <v>203</v>
      </c>
      <c r="V6" s="57" t="s">
        <v>179</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f>
        <v>4</v>
      </c>
      <c r="AT6" s="65" t="str">
        <f aca="false">IF(AND(AW6&gt;0,AO6=0,AQ6=0,AR6=0,AU6=0),"READY",IF(AP6&gt;0,"NOT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189</v>
      </c>
      <c r="AY6" s="62" t="s">
        <v>189</v>
      </c>
    </row>
    <row r="7" customFormat="false" ht="36" hidden="false" customHeight="true" outlineLevel="0" collapsed="false">
      <c r="A7" s="57" t="s">
        <v>204</v>
      </c>
      <c r="B7" s="57" t="n">
        <v>1</v>
      </c>
      <c r="C7" s="57" t="n">
        <v>3</v>
      </c>
      <c r="D7" s="58" t="n">
        <v>46305</v>
      </c>
      <c r="E7" s="57" t="s">
        <v>205</v>
      </c>
      <c r="F7" s="57" t="s">
        <v>206</v>
      </c>
      <c r="G7" s="57" t="s">
        <v>193</v>
      </c>
      <c r="H7" s="57" t="s">
        <v>179</v>
      </c>
      <c r="I7" s="59" t="n">
        <v>46305.6701388889</v>
      </c>
      <c r="J7" s="59" t="n">
        <v>46305.8090277778</v>
      </c>
      <c r="K7" s="57" t="s">
        <v>180</v>
      </c>
      <c r="L7" s="60" t="s">
        <v>207</v>
      </c>
      <c r="M7" s="57" t="s">
        <v>208</v>
      </c>
      <c r="N7" s="60"/>
      <c r="O7" s="57" t="s">
        <v>209</v>
      </c>
      <c r="P7" s="57" t="s">
        <v>184</v>
      </c>
      <c r="Q7" s="57"/>
      <c r="R7" s="57" t="s">
        <v>200</v>
      </c>
      <c r="S7" s="57" t="s">
        <v>201</v>
      </c>
      <c r="T7" s="57" t="s">
        <v>202</v>
      </c>
      <c r="U7" s="57" t="s">
        <v>203</v>
      </c>
      <c r="V7" s="57" t="s">
        <v>193</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f>
        <v>0</v>
      </c>
      <c r="AT7" s="65" t="str">
        <f aca="false">IF(AND(AW7&gt;0,AO7=0,AQ7=0,AR7=0,AU7=0),"READY",IF(AP7&gt;0,"NOT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189</v>
      </c>
      <c r="AY7" s="62" t="s">
        <v>189</v>
      </c>
    </row>
    <row r="8" customFormat="false" ht="36" hidden="false" customHeight="true" outlineLevel="0" collapsed="false">
      <c r="A8" s="57" t="s">
        <v>210</v>
      </c>
      <c r="B8" s="57" t="n">
        <v>1</v>
      </c>
      <c r="C8" s="57" t="n">
        <v>4</v>
      </c>
      <c r="D8" s="58" t="n">
        <v>46305</v>
      </c>
      <c r="E8" s="57" t="s">
        <v>205</v>
      </c>
      <c r="F8" s="57" t="s">
        <v>211</v>
      </c>
      <c r="G8" s="57" t="s">
        <v>179</v>
      </c>
      <c r="H8" s="57" t="s">
        <v>212</v>
      </c>
      <c r="I8" s="59" t="n">
        <v>46305.9791666667</v>
      </c>
      <c r="J8" s="59" t="n">
        <v>46306.3194444445</v>
      </c>
      <c r="K8" s="57" t="s">
        <v>194</v>
      </c>
      <c r="L8" s="60" t="s">
        <v>181</v>
      </c>
      <c r="M8" s="57" t="s">
        <v>182</v>
      </c>
      <c r="N8" s="60"/>
      <c r="O8" s="57" t="s">
        <v>213</v>
      </c>
      <c r="P8" s="57" t="s">
        <v>214</v>
      </c>
      <c r="Q8" s="57" t="s">
        <v>215</v>
      </c>
      <c r="R8" s="57" t="s">
        <v>216</v>
      </c>
      <c r="S8" s="57" t="s">
        <v>217</v>
      </c>
      <c r="T8" s="57" t="s">
        <v>218</v>
      </c>
      <c r="U8" s="57" t="s">
        <v>219</v>
      </c>
      <c r="V8" s="57" t="s">
        <v>179</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f>
        <v>0</v>
      </c>
      <c r="AT8" s="65" t="str">
        <f aca="false">IF(AND(AW8&gt;0,AO8=0,AQ8=0,AR8=0,AU8=0),"READY",IF(AP8&gt;0,"NOT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189</v>
      </c>
      <c r="AY8" s="62" t="s">
        <v>189</v>
      </c>
    </row>
    <row r="9" customFormat="false" ht="36" hidden="false" customHeight="true" outlineLevel="0" collapsed="false">
      <c r="A9" s="57" t="s">
        <v>220</v>
      </c>
      <c r="B9" s="57" t="n">
        <v>1</v>
      </c>
      <c r="C9" s="57" t="n">
        <v>5</v>
      </c>
      <c r="D9" s="58" t="n">
        <v>46310</v>
      </c>
      <c r="E9" s="57" t="s">
        <v>176</v>
      </c>
      <c r="F9" s="57" t="s">
        <v>221</v>
      </c>
      <c r="G9" s="57" t="s">
        <v>212</v>
      </c>
      <c r="H9" s="57" t="s">
        <v>179</v>
      </c>
      <c r="I9" s="59" t="n">
        <v>46310.4201388889</v>
      </c>
      <c r="J9" s="59" t="n">
        <v>46310.6979166667</v>
      </c>
      <c r="K9" s="57" t="s">
        <v>180</v>
      </c>
      <c r="L9" s="60" t="s">
        <v>181</v>
      </c>
      <c r="M9" s="57" t="s">
        <v>182</v>
      </c>
      <c r="N9" s="60"/>
      <c r="O9" s="57" t="s">
        <v>222</v>
      </c>
      <c r="P9" s="57" t="s">
        <v>184</v>
      </c>
      <c r="Q9" s="57"/>
      <c r="R9" s="57" t="s">
        <v>216</v>
      </c>
      <c r="S9" s="57" t="s">
        <v>217</v>
      </c>
      <c r="T9" s="57" t="s">
        <v>218</v>
      </c>
      <c r="U9" s="57" t="s">
        <v>219</v>
      </c>
      <c r="V9" s="57" t="s">
        <v>212</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f>
        <v>5</v>
      </c>
      <c r="AT9" s="65" t="str">
        <f aca="false">IF(AND(AW9&gt;0,AO9=0,AQ9=0,AR9=0,AU9=0),"READY",IF(AP9&gt;0,"NOT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ROUND((IF(ISNUMBER(AX9),AX9,$AA$8)-UpliftWindowH/24)*1440,0)/1440</f>
        <v>46305.3958333333</v>
      </c>
    </row>
    <row r="10" customFormat="false" ht="36" hidden="false" customHeight="true" outlineLevel="0" collapsed="false">
      <c r="A10" s="57" t="s">
        <v>223</v>
      </c>
      <c r="B10" s="57" t="n">
        <v>1</v>
      </c>
      <c r="C10" s="57" t="n">
        <v>6</v>
      </c>
      <c r="D10" s="58" t="n">
        <v>46310</v>
      </c>
      <c r="E10" s="57" t="s">
        <v>176</v>
      </c>
      <c r="F10" s="57" t="s">
        <v>224</v>
      </c>
      <c r="G10" s="57" t="s">
        <v>179</v>
      </c>
      <c r="H10" s="57" t="s">
        <v>178</v>
      </c>
      <c r="I10" s="59" t="n">
        <v>46310.9722222222</v>
      </c>
      <c r="J10" s="59" t="n">
        <v>46311.2465277778</v>
      </c>
      <c r="K10" s="57" t="s">
        <v>194</v>
      </c>
      <c r="L10" s="60" t="s">
        <v>181</v>
      </c>
      <c r="M10" s="57" t="s">
        <v>182</v>
      </c>
      <c r="N10" s="60"/>
      <c r="O10" s="57" t="s">
        <v>225</v>
      </c>
      <c r="P10" s="57" t="s">
        <v>226</v>
      </c>
      <c r="Q10" s="57"/>
      <c r="R10" s="57" t="s">
        <v>185</v>
      </c>
      <c r="S10" s="57" t="s">
        <v>186</v>
      </c>
      <c r="T10" s="57" t="s">
        <v>187</v>
      </c>
      <c r="U10" s="57" t="s">
        <v>188</v>
      </c>
      <c r="V10" s="57" t="s">
        <v>179</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f>
        <v>2</v>
      </c>
      <c r="AT10" s="65" t="str">
        <f aca="false">IF(AND(AW10&gt;0,AO10=0,AQ10=0,AR10=0,AU10=0),"READY",IF(AP10&gt;0,"NOT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189</v>
      </c>
      <c r="AY10" s="62" t="s">
        <v>189</v>
      </c>
    </row>
    <row r="11" customFormat="false" ht="36" hidden="false" customHeight="true" outlineLevel="0" collapsed="false">
      <c r="A11" s="57" t="s">
        <v>227</v>
      </c>
      <c r="B11" s="57" t="n">
        <v>2</v>
      </c>
      <c r="C11" s="57" t="n">
        <v>7</v>
      </c>
      <c r="D11" s="58" t="n">
        <v>46304</v>
      </c>
      <c r="E11" s="57" t="s">
        <v>191</v>
      </c>
      <c r="F11" s="57" t="s">
        <v>228</v>
      </c>
      <c r="G11" s="57" t="s">
        <v>178</v>
      </c>
      <c r="H11" s="57" t="s">
        <v>179</v>
      </c>
      <c r="I11" s="59" t="n">
        <v>46304.4583333333</v>
      </c>
      <c r="J11" s="59" t="n">
        <v>46305.28125</v>
      </c>
      <c r="K11" s="57" t="s">
        <v>194</v>
      </c>
      <c r="L11" s="60" t="s">
        <v>181</v>
      </c>
      <c r="M11" s="57" t="s">
        <v>182</v>
      </c>
      <c r="N11" s="60"/>
      <c r="O11" s="57" t="s">
        <v>229</v>
      </c>
      <c r="P11" s="57" t="s">
        <v>184</v>
      </c>
      <c r="Q11" s="57"/>
      <c r="R11" s="57" t="s">
        <v>185</v>
      </c>
      <c r="S11" s="57" t="s">
        <v>186</v>
      </c>
      <c r="T11" s="57" t="s">
        <v>187</v>
      </c>
      <c r="U11" s="57" t="s">
        <v>188</v>
      </c>
      <c r="V11" s="57" t="s">
        <v>178</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f>
        <v>3</v>
      </c>
      <c r="AT11" s="65" t="str">
        <f aca="false">IF(AND(AW11&gt;0,AO11=0,AQ11=0,AR11=0,AU11=0),"READY",IF(AP11&gt;0,"NOT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row>
    <row r="12" customFormat="false" ht="36" hidden="false" customHeight="true" outlineLevel="0" collapsed="false">
      <c r="A12" s="57" t="s">
        <v>230</v>
      </c>
      <c r="B12" s="57" t="n">
        <v>2</v>
      </c>
      <c r="C12" s="57" t="n">
        <v>8</v>
      </c>
      <c r="D12" s="58" t="n">
        <v>46305</v>
      </c>
      <c r="E12" s="57" t="s">
        <v>205</v>
      </c>
      <c r="F12" s="57" t="s">
        <v>231</v>
      </c>
      <c r="G12" s="57" t="s">
        <v>179</v>
      </c>
      <c r="H12" s="57" t="s">
        <v>232</v>
      </c>
      <c r="I12" s="59" t="n">
        <v>46305.3993055556</v>
      </c>
      <c r="J12" s="59" t="n">
        <v>46305.5104166667</v>
      </c>
      <c r="K12" s="57" t="s">
        <v>180</v>
      </c>
      <c r="L12" s="60" t="s">
        <v>195</v>
      </c>
      <c r="M12" s="57" t="s">
        <v>196</v>
      </c>
      <c r="N12" s="60"/>
      <c r="O12" s="57" t="s">
        <v>233</v>
      </c>
      <c r="P12" s="57" t="s">
        <v>234</v>
      </c>
      <c r="Q12" s="57" t="s">
        <v>235</v>
      </c>
      <c r="R12" s="57" t="s">
        <v>236</v>
      </c>
      <c r="S12" s="57" t="s">
        <v>201</v>
      </c>
      <c r="T12" s="57" t="s">
        <v>202</v>
      </c>
      <c r="U12" s="57" t="s">
        <v>237</v>
      </c>
      <c r="V12" s="57" t="s">
        <v>179</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f>
        <v>0</v>
      </c>
      <c r="AT12" s="65" t="str">
        <f aca="false">IF(AND(AW12&gt;0,AO12=0,AQ12=0,AR12=0,AU12=0),"READY",IF(AP12&gt;0,"NOT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189</v>
      </c>
      <c r="AY12" s="62" t="s">
        <v>189</v>
      </c>
    </row>
    <row r="13" customFormat="false" ht="36" hidden="false" customHeight="true" outlineLevel="0" collapsed="false">
      <c r="A13" s="57" t="s">
        <v>238</v>
      </c>
      <c r="B13" s="57" t="n">
        <v>2</v>
      </c>
      <c r="C13" s="57" t="n">
        <v>9</v>
      </c>
      <c r="D13" s="58" t="n">
        <v>46306</v>
      </c>
      <c r="E13" s="57" t="s">
        <v>239</v>
      </c>
      <c r="F13" s="57" t="s">
        <v>240</v>
      </c>
      <c r="G13" s="57" t="s">
        <v>232</v>
      </c>
      <c r="H13" s="57" t="s">
        <v>179</v>
      </c>
      <c r="I13" s="59" t="n">
        <v>46306.5451388889</v>
      </c>
      <c r="J13" s="59" t="n">
        <v>46306.7291666667</v>
      </c>
      <c r="K13" s="57" t="s">
        <v>194</v>
      </c>
      <c r="L13" s="60" t="s">
        <v>195</v>
      </c>
      <c r="M13" s="57" t="s">
        <v>196</v>
      </c>
      <c r="N13" s="60"/>
      <c r="O13" s="57" t="s">
        <v>241</v>
      </c>
      <c r="P13" s="57" t="s">
        <v>184</v>
      </c>
      <c r="Q13" s="57" t="s">
        <v>242</v>
      </c>
      <c r="R13" s="57" t="s">
        <v>236</v>
      </c>
      <c r="S13" s="57" t="s">
        <v>201</v>
      </c>
      <c r="T13" s="57" t="s">
        <v>202</v>
      </c>
      <c r="U13" s="57" t="s">
        <v>237</v>
      </c>
      <c r="V13" s="57" t="s">
        <v>232</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f>
        <v>4</v>
      </c>
      <c r="AT13" s="65" t="str">
        <f aca="false">IF(AND(AW13&gt;0,AO13=0,AQ13=0,AR13=0,AU13=0),"READY",IF(AP13&gt;0,"NOT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189</v>
      </c>
      <c r="AY13" s="62" t="s">
        <v>189</v>
      </c>
    </row>
    <row r="14" customFormat="false" ht="36" hidden="false" customHeight="true" outlineLevel="0" collapsed="false">
      <c r="A14" s="57" t="s">
        <v>243</v>
      </c>
      <c r="B14" s="57" t="n">
        <v>2</v>
      </c>
      <c r="C14" s="57" t="n">
        <v>10</v>
      </c>
      <c r="D14" s="58" t="n">
        <v>46307</v>
      </c>
      <c r="E14" s="57" t="s">
        <v>244</v>
      </c>
      <c r="F14" s="57" t="s">
        <v>245</v>
      </c>
      <c r="G14" s="57" t="s">
        <v>179</v>
      </c>
      <c r="H14" s="57" t="s">
        <v>246</v>
      </c>
      <c r="I14" s="59" t="n">
        <v>46307.4895833333</v>
      </c>
      <c r="J14" s="59" t="n">
        <v>46307.53125</v>
      </c>
      <c r="K14" s="57" t="s">
        <v>194</v>
      </c>
      <c r="L14" s="60" t="s">
        <v>195</v>
      </c>
      <c r="M14" s="57" t="s">
        <v>196</v>
      </c>
      <c r="N14" s="60"/>
      <c r="O14" s="57" t="s">
        <v>241</v>
      </c>
      <c r="P14" s="57" t="s">
        <v>184</v>
      </c>
      <c r="Q14" s="57"/>
      <c r="R14" s="57" t="s">
        <v>247</v>
      </c>
      <c r="S14" s="57" t="s">
        <v>248</v>
      </c>
      <c r="T14" s="57" t="s">
        <v>249</v>
      </c>
      <c r="U14" s="57" t="s">
        <v>179</v>
      </c>
      <c r="V14" s="57" t="s">
        <v>179</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f>
        <v>0</v>
      </c>
      <c r="AT14" s="65" t="str">
        <f aca="false">IF(AND(AW14&gt;0,AO14=0,AQ14=0,AR14=0,AU14=0),"READY",IF(AP14&gt;0,"NOT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189</v>
      </c>
      <c r="AY14" s="62" t="s">
        <v>189</v>
      </c>
    </row>
    <row r="15" customFormat="false" ht="36" hidden="false" customHeight="true" outlineLevel="0" collapsed="false">
      <c r="A15" s="57" t="s">
        <v>250</v>
      </c>
      <c r="B15" s="57" t="n">
        <v>2</v>
      </c>
      <c r="C15" s="57" t="n">
        <v>11</v>
      </c>
      <c r="D15" s="58" t="n">
        <v>46307</v>
      </c>
      <c r="E15" s="57" t="s">
        <v>244</v>
      </c>
      <c r="F15" s="57" t="s">
        <v>251</v>
      </c>
      <c r="G15" s="57" t="s">
        <v>246</v>
      </c>
      <c r="H15" s="57" t="s">
        <v>179</v>
      </c>
      <c r="I15" s="59" t="n">
        <v>46307.6597222222</v>
      </c>
      <c r="J15" s="59" t="n">
        <v>46307.7048611111</v>
      </c>
      <c r="K15" s="57" t="s">
        <v>180</v>
      </c>
      <c r="L15" s="60" t="s">
        <v>195</v>
      </c>
      <c r="M15" s="57" t="s">
        <v>196</v>
      </c>
      <c r="N15" s="60"/>
      <c r="O15" s="57" t="s">
        <v>233</v>
      </c>
      <c r="P15" s="57" t="s">
        <v>252</v>
      </c>
      <c r="Q15" s="57"/>
      <c r="R15" s="57" t="s">
        <v>247</v>
      </c>
      <c r="S15" s="57" t="s">
        <v>248</v>
      </c>
      <c r="T15" s="57" t="s">
        <v>249</v>
      </c>
      <c r="U15" s="57" t="s">
        <v>179</v>
      </c>
      <c r="V15" s="57" t="s">
        <v>179</v>
      </c>
      <c r="W15" s="57" t="s">
        <v>243</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f>
        <v>1</v>
      </c>
      <c r="AT15" s="65" t="str">
        <f aca="false">IF(AND(AW15&gt;0,AO15=0,AQ15=0,AR15=0,AU15=0),"READY",IF(AP15&gt;0,"NOT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row>
    <row r="16" customFormat="false" ht="36" hidden="false" customHeight="true" outlineLevel="0" collapsed="false">
      <c r="A16" s="57" t="s">
        <v>253</v>
      </c>
      <c r="B16" s="57" t="n">
        <v>2</v>
      </c>
      <c r="C16" s="57" t="n">
        <v>12</v>
      </c>
      <c r="D16" s="58" t="n">
        <v>46307</v>
      </c>
      <c r="E16" s="57" t="s">
        <v>244</v>
      </c>
      <c r="F16" s="57" t="s">
        <v>254</v>
      </c>
      <c r="G16" s="57" t="s">
        <v>179</v>
      </c>
      <c r="H16" s="57" t="s">
        <v>255</v>
      </c>
      <c r="I16" s="59" t="n">
        <v>46307.9340277778</v>
      </c>
      <c r="J16" s="59" t="n">
        <v>46308.3333333333</v>
      </c>
      <c r="K16" s="57" t="s">
        <v>194</v>
      </c>
      <c r="L16" s="60" t="s">
        <v>256</v>
      </c>
      <c r="M16" s="57" t="s">
        <v>257</v>
      </c>
      <c r="N16" s="60"/>
      <c r="O16" s="57" t="s">
        <v>258</v>
      </c>
      <c r="P16" s="57" t="s">
        <v>259</v>
      </c>
      <c r="Q16" s="57" t="s">
        <v>260</v>
      </c>
      <c r="R16" s="57" t="s">
        <v>261</v>
      </c>
      <c r="S16" s="57" t="s">
        <v>262</v>
      </c>
      <c r="T16" s="57" t="s">
        <v>218</v>
      </c>
      <c r="U16" s="57" t="s">
        <v>263</v>
      </c>
      <c r="V16" s="57" t="s">
        <v>179</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f>
        <v>0</v>
      </c>
      <c r="AT16" s="65" t="str">
        <f aca="false">IF(AND(AW16&gt;0,AO16=0,AQ16=0,AR16=0,AU16=0),"READY",IF(AP16&gt;0,"NOT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189</v>
      </c>
      <c r="AY16" s="62" t="s">
        <v>189</v>
      </c>
    </row>
    <row r="17" customFormat="false" ht="36" hidden="false" customHeight="true" outlineLevel="0" collapsed="false">
      <c r="A17" s="57" t="s">
        <v>264</v>
      </c>
      <c r="B17" s="57" t="n">
        <v>2</v>
      </c>
      <c r="C17" s="57" t="n">
        <v>13</v>
      </c>
      <c r="D17" s="58" t="n">
        <v>46309</v>
      </c>
      <c r="E17" s="57" t="s">
        <v>265</v>
      </c>
      <c r="F17" s="57" t="s">
        <v>266</v>
      </c>
      <c r="G17" s="57" t="s">
        <v>255</v>
      </c>
      <c r="H17" s="57" t="s">
        <v>179</v>
      </c>
      <c r="I17" s="59" t="n">
        <v>46309.4479166667</v>
      </c>
      <c r="J17" s="59" t="n">
        <v>46309.6666666667</v>
      </c>
      <c r="K17" s="57" t="s">
        <v>180</v>
      </c>
      <c r="L17" s="60" t="s">
        <v>256</v>
      </c>
      <c r="M17" s="57" t="s">
        <v>257</v>
      </c>
      <c r="N17" s="60"/>
      <c r="O17" s="57" t="s">
        <v>267</v>
      </c>
      <c r="P17" s="57" t="s">
        <v>184</v>
      </c>
      <c r="Q17" s="57" t="s">
        <v>242</v>
      </c>
      <c r="R17" s="57" t="s">
        <v>261</v>
      </c>
      <c r="S17" s="57" t="s">
        <v>262</v>
      </c>
      <c r="T17" s="57" t="s">
        <v>218</v>
      </c>
      <c r="U17" s="57" t="s">
        <v>263</v>
      </c>
      <c r="V17" s="57" t="s">
        <v>255</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f>
        <v>5</v>
      </c>
      <c r="AT17" s="65" t="str">
        <f aca="false">IF(AND(AW17&gt;0,AO17=0,AQ17=0,AR17=0,AU17=0),"READY",IF(AP17&gt;0,"NOT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row>
    <row r="18" customFormat="false" ht="36" hidden="false" customHeight="true" outlineLevel="0" collapsed="false">
      <c r="A18" s="57" t="s">
        <v>268</v>
      </c>
      <c r="B18" s="57" t="n">
        <v>2</v>
      </c>
      <c r="C18" s="57" t="n">
        <v>14</v>
      </c>
      <c r="D18" s="58" t="n">
        <v>46310</v>
      </c>
      <c r="E18" s="57" t="s">
        <v>176</v>
      </c>
      <c r="F18" s="57" t="s">
        <v>269</v>
      </c>
      <c r="G18" s="57" t="s">
        <v>179</v>
      </c>
      <c r="H18" s="57" t="s">
        <v>178</v>
      </c>
      <c r="I18" s="59" t="n">
        <v>46310.4097222222</v>
      </c>
      <c r="J18" s="59" t="n">
        <v>46310.6909722222</v>
      </c>
      <c r="K18" s="57" t="s">
        <v>180</v>
      </c>
      <c r="L18" s="60" t="s">
        <v>181</v>
      </c>
      <c r="M18" s="57" t="s">
        <v>182</v>
      </c>
      <c r="N18" s="60"/>
      <c r="O18" s="57" t="s">
        <v>183</v>
      </c>
      <c r="P18" s="57" t="s">
        <v>184</v>
      </c>
      <c r="Q18" s="57"/>
      <c r="R18" s="57" t="s">
        <v>185</v>
      </c>
      <c r="S18" s="57" t="s">
        <v>186</v>
      </c>
      <c r="T18" s="57" t="s">
        <v>187</v>
      </c>
      <c r="U18" s="57" t="s">
        <v>188</v>
      </c>
      <c r="V18" s="57" t="s">
        <v>179</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f>
        <v>2</v>
      </c>
      <c r="AT18" s="65" t="str">
        <f aca="false">IF(AND(AW18&gt;0,AO18=0,AQ18=0,AR18=0,AU18=0),"READY",IF(AP18&gt;0,"NOT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189</v>
      </c>
      <c r="AY18" s="62" t="s">
        <v>189</v>
      </c>
    </row>
    <row r="19" customFormat="false" ht="36" hidden="false" customHeight="true" outlineLevel="0" collapsed="false">
      <c r="A19" s="57" t="s">
        <v>270</v>
      </c>
      <c r="B19" s="57" t="n">
        <v>3</v>
      </c>
      <c r="C19" s="57" t="n">
        <v>15</v>
      </c>
      <c r="D19" s="58" t="n">
        <v>46320</v>
      </c>
      <c r="E19" s="57" t="s">
        <v>239</v>
      </c>
      <c r="F19" s="57" t="s">
        <v>228</v>
      </c>
      <c r="G19" s="57" t="s">
        <v>178</v>
      </c>
      <c r="H19" s="57" t="s">
        <v>179</v>
      </c>
      <c r="I19" s="59" t="n">
        <v>46320.4583333333</v>
      </c>
      <c r="J19" s="59" t="n">
        <v>46321.28125</v>
      </c>
      <c r="K19" s="57" t="s">
        <v>180</v>
      </c>
      <c r="L19" s="60" t="s">
        <v>181</v>
      </c>
      <c r="M19" s="57" t="s">
        <v>182</v>
      </c>
      <c r="N19" s="60"/>
      <c r="O19" s="57" t="s">
        <v>271</v>
      </c>
      <c r="P19" s="57" t="s">
        <v>184</v>
      </c>
      <c r="Q19" s="57"/>
      <c r="R19" s="57" t="s">
        <v>185</v>
      </c>
      <c r="S19" s="57" t="s">
        <v>186</v>
      </c>
      <c r="T19" s="57" t="s">
        <v>187</v>
      </c>
      <c r="U19" s="57" t="s">
        <v>188</v>
      </c>
      <c r="V19" s="57" t="s">
        <v>178</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f>
        <v>2</v>
      </c>
      <c r="AT19" s="65" t="str">
        <f aca="false">IF(AND(AW19&gt;0,AO19=0,AQ19=0,AR19=0,AU19=0),"READY",IF(AP19&gt;0,"NOT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189</v>
      </c>
      <c r="AY19" s="62" t="s">
        <v>189</v>
      </c>
    </row>
    <row r="20" customFormat="false" ht="36" hidden="false" customHeight="true" outlineLevel="0" collapsed="false">
      <c r="A20" s="57" t="s">
        <v>272</v>
      </c>
      <c r="B20" s="57" t="n">
        <v>3</v>
      </c>
      <c r="C20" s="57" t="n">
        <v>16</v>
      </c>
      <c r="D20" s="58" t="n">
        <v>46321</v>
      </c>
      <c r="E20" s="57" t="s">
        <v>244</v>
      </c>
      <c r="F20" s="57" t="s">
        <v>273</v>
      </c>
      <c r="G20" s="57" t="s">
        <v>179</v>
      </c>
      <c r="H20" s="57" t="s">
        <v>274</v>
      </c>
      <c r="I20" s="59" t="n">
        <v>46321.3819444445</v>
      </c>
      <c r="J20" s="59" t="n">
        <v>46321.5520833333</v>
      </c>
      <c r="K20" s="57" t="s">
        <v>180</v>
      </c>
      <c r="L20" s="60" t="s">
        <v>195</v>
      </c>
      <c r="M20" s="57" t="s">
        <v>196</v>
      </c>
      <c r="N20" s="60"/>
      <c r="O20" s="57" t="s">
        <v>275</v>
      </c>
      <c r="P20" s="57" t="s">
        <v>276</v>
      </c>
      <c r="Q20" s="57" t="s">
        <v>277</v>
      </c>
      <c r="R20" s="57" t="s">
        <v>278</v>
      </c>
      <c r="S20" s="57" t="s">
        <v>279</v>
      </c>
      <c r="T20" s="57" t="s">
        <v>280</v>
      </c>
      <c r="U20" s="57" t="s">
        <v>281</v>
      </c>
      <c r="V20" s="57" t="s">
        <v>179</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f>
        <v>2</v>
      </c>
      <c r="AT20" s="65" t="str">
        <f aca="false">IF(AND(AW20&gt;0,AO20=0,AQ20=0,AR20=0,AU20=0),"READY",IF(AP20&gt;0,"NOT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189</v>
      </c>
      <c r="AY20" s="62" t="s">
        <v>189</v>
      </c>
    </row>
    <row r="21" customFormat="false" ht="36" hidden="false" customHeight="true" outlineLevel="0" collapsed="false">
      <c r="A21" s="57" t="s">
        <v>282</v>
      </c>
      <c r="B21" s="57" t="n">
        <v>3</v>
      </c>
      <c r="C21" s="57" t="n">
        <v>17</v>
      </c>
      <c r="D21" s="58" t="n">
        <v>46322</v>
      </c>
      <c r="E21" s="57" t="s">
        <v>283</v>
      </c>
      <c r="F21" s="57" t="s">
        <v>284</v>
      </c>
      <c r="G21" s="57" t="s">
        <v>274</v>
      </c>
      <c r="H21" s="57" t="s">
        <v>179</v>
      </c>
      <c r="I21" s="59" t="n">
        <v>46322.6180555556</v>
      </c>
      <c r="J21" s="59" t="n">
        <v>46322.7881944445</v>
      </c>
      <c r="K21" s="57" t="s">
        <v>194</v>
      </c>
      <c r="L21" s="60" t="s">
        <v>195</v>
      </c>
      <c r="M21" s="57" t="s">
        <v>196</v>
      </c>
      <c r="N21" s="60"/>
      <c r="O21" s="57" t="s">
        <v>197</v>
      </c>
      <c r="P21" s="57" t="s">
        <v>184</v>
      </c>
      <c r="Q21" s="57"/>
      <c r="R21" s="57" t="s">
        <v>278</v>
      </c>
      <c r="S21" s="57" t="s">
        <v>279</v>
      </c>
      <c r="T21" s="57" t="s">
        <v>280</v>
      </c>
      <c r="U21" s="57" t="s">
        <v>281</v>
      </c>
      <c r="V21" s="57" t="s">
        <v>274</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f>
        <v>7</v>
      </c>
      <c r="AT21" s="65" t="str">
        <f aca="false">IF(AND(AW21&gt;0,AO21=0,AQ21=0,AR21=0,AU21=0),"READY",IF(AP21&gt;0,"NOT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row>
    <row r="22" customFormat="false" ht="36" hidden="false" customHeight="true" outlineLevel="0" collapsed="false">
      <c r="A22" s="57" t="s">
        <v>285</v>
      </c>
      <c r="B22" s="57" t="n">
        <v>3</v>
      </c>
      <c r="C22" s="57" t="n">
        <v>18</v>
      </c>
      <c r="D22" s="58" t="n">
        <v>46322</v>
      </c>
      <c r="E22" s="57" t="s">
        <v>283</v>
      </c>
      <c r="F22" s="57" t="s">
        <v>286</v>
      </c>
      <c r="G22" s="57" t="s">
        <v>179</v>
      </c>
      <c r="H22" s="57" t="s">
        <v>287</v>
      </c>
      <c r="I22" s="59" t="n">
        <v>46322.9340277778</v>
      </c>
      <c r="J22" s="59" t="n">
        <v>46323.2465277778</v>
      </c>
      <c r="K22" s="57" t="s">
        <v>194</v>
      </c>
      <c r="L22" s="60" t="s">
        <v>207</v>
      </c>
      <c r="M22" s="57" t="s">
        <v>208</v>
      </c>
      <c r="N22" s="60"/>
      <c r="O22" s="57" t="s">
        <v>288</v>
      </c>
      <c r="P22" s="57" t="s">
        <v>289</v>
      </c>
      <c r="Q22" s="57" t="s">
        <v>290</v>
      </c>
      <c r="R22" s="57" t="s">
        <v>291</v>
      </c>
      <c r="S22" s="57" t="s">
        <v>217</v>
      </c>
      <c r="T22" s="57" t="s">
        <v>218</v>
      </c>
      <c r="U22" s="57" t="s">
        <v>292</v>
      </c>
      <c r="V22" s="57" t="s">
        <v>179</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f>
        <v>0</v>
      </c>
      <c r="AT22" s="65" t="str">
        <f aca="false">IF(AND(AW22&gt;0,AO22=0,AQ22=0,AR22=0,AU22=0),"READY",IF(AP22&gt;0,"NOT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189</v>
      </c>
      <c r="AY22" s="62" t="s">
        <v>189</v>
      </c>
    </row>
    <row r="23" customFormat="false" ht="36" hidden="false" customHeight="true" outlineLevel="0" collapsed="false">
      <c r="A23" s="57" t="s">
        <v>293</v>
      </c>
      <c r="B23" s="57" t="n">
        <v>3</v>
      </c>
      <c r="C23" s="57" t="n">
        <v>19</v>
      </c>
      <c r="D23" s="58" t="n">
        <v>46324</v>
      </c>
      <c r="E23" s="57" t="s">
        <v>176</v>
      </c>
      <c r="F23" s="57" t="s">
        <v>294</v>
      </c>
      <c r="G23" s="57" t="s">
        <v>287</v>
      </c>
      <c r="H23" s="57" t="s">
        <v>179</v>
      </c>
      <c r="I23" s="59" t="n">
        <v>46324.4027777778</v>
      </c>
      <c r="J23" s="59" t="n">
        <v>46324.6979166667</v>
      </c>
      <c r="K23" s="57" t="s">
        <v>180</v>
      </c>
      <c r="L23" s="60" t="s">
        <v>207</v>
      </c>
      <c r="M23" s="57" t="s">
        <v>208</v>
      </c>
      <c r="N23" s="60"/>
      <c r="O23" s="57" t="s">
        <v>295</v>
      </c>
      <c r="P23" s="57" t="s">
        <v>184</v>
      </c>
      <c r="Q23" s="57"/>
      <c r="R23" s="57" t="s">
        <v>291</v>
      </c>
      <c r="S23" s="57" t="s">
        <v>217</v>
      </c>
      <c r="T23" s="57" t="s">
        <v>218</v>
      </c>
      <c r="U23" s="57" t="s">
        <v>292</v>
      </c>
      <c r="V23" s="57" t="s">
        <v>287</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f>
        <v>2</v>
      </c>
      <c r="AT23" s="65" t="str">
        <f aca="false">IF(AND(AW23&gt;0,AO23=0,AQ23=0,AR23=0,AU23=0),"READY",IF(AP23&gt;0,"NOT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189</v>
      </c>
      <c r="AY23" s="62" t="s">
        <v>189</v>
      </c>
    </row>
    <row r="24" customFormat="false" ht="36" hidden="false" customHeight="true" outlineLevel="0" collapsed="false">
      <c r="A24" s="57" t="s">
        <v>296</v>
      </c>
      <c r="B24" s="57" t="n">
        <v>3</v>
      </c>
      <c r="C24" s="57" t="n">
        <v>20</v>
      </c>
      <c r="D24" s="58" t="n">
        <v>46324</v>
      </c>
      <c r="E24" s="57" t="s">
        <v>176</v>
      </c>
      <c r="F24" s="57" t="s">
        <v>297</v>
      </c>
      <c r="G24" s="57" t="s">
        <v>179</v>
      </c>
      <c r="H24" s="57" t="s">
        <v>298</v>
      </c>
      <c r="I24" s="59" t="n">
        <v>46324.7708333333</v>
      </c>
      <c r="J24" s="59" t="n">
        <v>46324.8333333333</v>
      </c>
      <c r="K24" s="57" t="s">
        <v>180</v>
      </c>
      <c r="L24" s="60" t="s">
        <v>195</v>
      </c>
      <c r="M24" s="57" t="s">
        <v>196</v>
      </c>
      <c r="N24" s="60"/>
      <c r="O24" s="57" t="s">
        <v>233</v>
      </c>
      <c r="P24" s="57" t="s">
        <v>299</v>
      </c>
      <c r="Q24" s="57" t="s">
        <v>300</v>
      </c>
      <c r="R24" s="57" t="s">
        <v>301</v>
      </c>
      <c r="S24" s="57" t="s">
        <v>248</v>
      </c>
      <c r="T24" s="57" t="s">
        <v>249</v>
      </c>
      <c r="U24" s="57" t="s">
        <v>179</v>
      </c>
      <c r="V24" s="57" t="s">
        <v>179</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f>
        <v>0</v>
      </c>
      <c r="AT24" s="65" t="str">
        <f aca="false">IF(AND(AW24&gt;0,AO24=0,AQ24=0,AR24=0,AU24=0),"READY",IF(AP24&gt;0,"NOT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189</v>
      </c>
      <c r="AY24" s="62" t="s">
        <v>189</v>
      </c>
    </row>
    <row r="25" customFormat="false" ht="36" hidden="false" customHeight="true" outlineLevel="0" collapsed="false">
      <c r="A25" s="57" t="s">
        <v>302</v>
      </c>
      <c r="B25" s="57" t="n">
        <v>3</v>
      </c>
      <c r="C25" s="57" t="n">
        <v>21</v>
      </c>
      <c r="D25" s="58" t="n">
        <v>46325</v>
      </c>
      <c r="E25" s="57" t="s">
        <v>191</v>
      </c>
      <c r="F25" s="57" t="s">
        <v>303</v>
      </c>
      <c r="G25" s="57" t="s">
        <v>298</v>
      </c>
      <c r="H25" s="57" t="s">
        <v>179</v>
      </c>
      <c r="I25" s="59" t="n">
        <v>46325.6145833333</v>
      </c>
      <c r="J25" s="59" t="n">
        <v>46325.6701388889</v>
      </c>
      <c r="K25" s="57" t="s">
        <v>194</v>
      </c>
      <c r="L25" s="60" t="s">
        <v>195</v>
      </c>
      <c r="M25" s="57" t="s">
        <v>196</v>
      </c>
      <c r="N25" s="60"/>
      <c r="O25" s="57" t="s">
        <v>197</v>
      </c>
      <c r="P25" s="57" t="s">
        <v>184</v>
      </c>
      <c r="Q25" s="57"/>
      <c r="R25" s="57" t="s">
        <v>301</v>
      </c>
      <c r="S25" s="57" t="s">
        <v>248</v>
      </c>
      <c r="T25" s="57" t="s">
        <v>249</v>
      </c>
      <c r="U25" s="57" t="s">
        <v>179</v>
      </c>
      <c r="V25" s="57" t="s">
        <v>179</v>
      </c>
      <c r="W25" s="57" t="s">
        <v>296</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f>
        <v>1</v>
      </c>
      <c r="AT25" s="65" t="str">
        <f aca="false">IF(AND(AW25&gt;0,AO25=0,AQ25=0,AR25=0,AU25=0),"READY",IF(AP25&gt;0,"NOT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row>
    <row r="26" customFormat="false" ht="36" hidden="false" customHeight="true" outlineLevel="0" collapsed="false">
      <c r="A26" s="57" t="s">
        <v>304</v>
      </c>
      <c r="B26" s="57" t="n">
        <v>3</v>
      </c>
      <c r="C26" s="57" t="n">
        <v>22</v>
      </c>
      <c r="D26" s="58" t="n">
        <v>46325</v>
      </c>
      <c r="E26" s="57" t="s">
        <v>191</v>
      </c>
      <c r="F26" s="57" t="s">
        <v>224</v>
      </c>
      <c r="G26" s="57" t="s">
        <v>179</v>
      </c>
      <c r="H26" s="57" t="s">
        <v>178</v>
      </c>
      <c r="I26" s="59" t="n">
        <v>46325.9722222222</v>
      </c>
      <c r="J26" s="59" t="n">
        <v>46326.2465277778</v>
      </c>
      <c r="K26" s="57" t="s">
        <v>194</v>
      </c>
      <c r="L26" s="60" t="s">
        <v>181</v>
      </c>
      <c r="M26" s="57" t="s">
        <v>182</v>
      </c>
      <c r="N26" s="60"/>
      <c r="O26" s="57" t="s">
        <v>305</v>
      </c>
      <c r="P26" s="57" t="s">
        <v>306</v>
      </c>
      <c r="Q26" s="57"/>
      <c r="R26" s="57" t="s">
        <v>185</v>
      </c>
      <c r="S26" s="57" t="s">
        <v>186</v>
      </c>
      <c r="T26" s="57" t="s">
        <v>187</v>
      </c>
      <c r="U26" s="57" t="s">
        <v>188</v>
      </c>
      <c r="V26" s="57" t="s">
        <v>179</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f>
        <v>2</v>
      </c>
      <c r="AT26" s="65" t="str">
        <f aca="false">IF(AND(AW26&gt;0,AO26=0,AQ26=0,AR26=0,AU26=0),"READY",IF(AP26&gt;0,"NOT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189</v>
      </c>
      <c r="AY26" s="62" t="s">
        <v>189</v>
      </c>
    </row>
  </sheetData>
  <sheetProtection sheet="true" formatCells="false" formatColumns="false" formatRows="false" sort="false" autoFilter="false"/>
  <autoFilter ref="A4:AY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2">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T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46" min="46" style="0" width="8"/>
  </cols>
  <sheetData>
    <row r="1" customFormat="false" ht="24" hidden="false" customHeight="true" outlineLevel="0" collapsed="false">
      <c r="A1" s="54" t="s">
        <v>307</v>
      </c>
    </row>
    <row r="2" customFormat="false" ht="41.25" hidden="false" customHeight="true" outlineLevel="0" collapsed="false">
      <c r="D2" s="55" t="s">
        <v>308</v>
      </c>
      <c r="E2" s="55"/>
      <c r="F2" s="55"/>
      <c r="G2" s="55"/>
      <c r="H2" s="55"/>
      <c r="I2" s="55"/>
      <c r="J2" s="55"/>
    </row>
    <row r="4" customFormat="false" ht="54" hidden="false" customHeight="true" outlineLevel="0" collapsed="false">
      <c r="A4" s="56" t="s">
        <v>309</v>
      </c>
      <c r="B4" s="56" t="s">
        <v>132</v>
      </c>
      <c r="C4" s="56" t="s">
        <v>135</v>
      </c>
      <c r="D4" s="56" t="s">
        <v>103</v>
      </c>
      <c r="E4" s="56" t="s">
        <v>104</v>
      </c>
      <c r="F4" s="56" t="s">
        <v>310</v>
      </c>
      <c r="G4" s="56" t="s">
        <v>68</v>
      </c>
      <c r="H4" s="56" t="s">
        <v>311</v>
      </c>
      <c r="I4" s="56" t="s">
        <v>312</v>
      </c>
      <c r="J4" s="56" t="s">
        <v>118</v>
      </c>
      <c r="K4" s="56" t="s">
        <v>313</v>
      </c>
      <c r="L4" s="56" t="s">
        <v>314</v>
      </c>
      <c r="M4" s="56" t="s">
        <v>315</v>
      </c>
      <c r="N4" s="56" t="s">
        <v>316</v>
      </c>
      <c r="O4" s="56" t="s">
        <v>317</v>
      </c>
      <c r="P4" s="56" t="s">
        <v>318</v>
      </c>
      <c r="Q4" s="56" t="s">
        <v>319</v>
      </c>
      <c r="R4" s="56" t="s">
        <v>320</v>
      </c>
      <c r="S4" s="56" t="s">
        <v>321</v>
      </c>
      <c r="T4" s="56" t="s">
        <v>120</v>
      </c>
      <c r="U4" s="56" t="s">
        <v>124</v>
      </c>
      <c r="V4" s="56" t="s">
        <v>322</v>
      </c>
      <c r="W4" s="56" t="s">
        <v>323</v>
      </c>
      <c r="X4" s="56" t="s">
        <v>324</v>
      </c>
      <c r="Y4" s="56" t="s">
        <v>325</v>
      </c>
      <c r="Z4" s="56" t="s">
        <v>326</v>
      </c>
      <c r="AA4" s="56" t="s">
        <v>129</v>
      </c>
      <c r="AB4" s="56" t="s">
        <v>128</v>
      </c>
      <c r="AC4" s="56" t="s">
        <v>327</v>
      </c>
      <c r="AD4" s="56" t="s">
        <v>328</v>
      </c>
      <c r="AE4" s="56" t="s">
        <v>329</v>
      </c>
      <c r="AF4" s="56" t="s">
        <v>330</v>
      </c>
      <c r="AG4" s="56" t="s">
        <v>331</v>
      </c>
      <c r="AH4" s="56" t="s">
        <v>332</v>
      </c>
      <c r="AI4" s="56" t="s">
        <v>69</v>
      </c>
      <c r="AJ4" s="56" t="s">
        <v>70</v>
      </c>
      <c r="AK4" s="56" t="s">
        <v>73</v>
      </c>
      <c r="AL4" s="56" t="s">
        <v>333</v>
      </c>
      <c r="AM4" s="56" t="s">
        <v>334</v>
      </c>
      <c r="AN4" s="56" t="s">
        <v>335</v>
      </c>
      <c r="AO4" s="56" t="s">
        <v>336</v>
      </c>
      <c r="AP4" s="56" t="s">
        <v>337</v>
      </c>
      <c r="AQ4" s="56" t="s">
        <v>338</v>
      </c>
      <c r="AR4" s="56" t="s">
        <v>339</v>
      </c>
      <c r="AS4" s="56" t="s">
        <v>340</v>
      </c>
      <c r="AT4" s="56" t="s">
        <v>341</v>
      </c>
    </row>
    <row r="5" customFormat="false" ht="39.75" hidden="false" customHeight="true" outlineLevel="0" collapsed="false">
      <c r="A5" s="57" t="s">
        <v>342</v>
      </c>
      <c r="B5" s="57" t="s">
        <v>175</v>
      </c>
      <c r="C5" s="57" t="str">
        <f aca="false">Flights!$F$5</f>
        <v>MH0001</v>
      </c>
      <c r="D5" s="58" t="n">
        <f aca="false">Flights!$D$5</f>
        <v>46303</v>
      </c>
      <c r="E5" s="57" t="str">
        <f aca="false">Flights!$G$5&amp;"-"&amp;Flights!$H$5</f>
        <v>LHR-KUL</v>
      </c>
      <c r="F5" s="57" t="str">
        <f aca="false">Flights!$K$5</f>
        <v>EY</v>
      </c>
      <c r="G5" s="57" t="s">
        <v>76</v>
      </c>
      <c r="H5" s="57" t="s">
        <v>343</v>
      </c>
      <c r="I5" s="57" t="s">
        <v>344</v>
      </c>
      <c r="J5" s="57" t="s">
        <v>345</v>
      </c>
      <c r="K5" s="67" t="s">
        <v>346</v>
      </c>
      <c r="L5" s="67" t="s">
        <v>347</v>
      </c>
      <c r="M5" s="67"/>
      <c r="N5" s="67" t="s">
        <v>348</v>
      </c>
      <c r="O5" s="67"/>
      <c r="P5" s="57" t="s">
        <v>178</v>
      </c>
      <c r="Q5" s="59" t="n">
        <f aca="false">ROUND((Flights!$AC$5)*1440,0)/1440</f>
        <v>46296.8576388889</v>
      </c>
      <c r="R5" s="59" t="n">
        <f aca="false">Q5+(IF(AND(INDEX(TZ_DSTS,MATCH(P5,TZ_STN,0))&lt;&gt;"",Q5&gt;=INDEX(TZ_DSTS,MATCH(P5,TZ_STN,0)),Q5&lt;INDEX(TZ_DSTE,MATCH(P5,TZ_STN,0))),INDEX(TZ_DST,MATCH(P5,TZ_STN,0)),INDEX(TZ_STD,MATCH(P5,TZ_STN,0))))/24</f>
        <v>46296.8993055556</v>
      </c>
      <c r="S5" s="59" t="n">
        <f aca="false">Q5-T7EarlyD*24/24</f>
        <v>46282.8576388889</v>
      </c>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IF(N5="N/A – rule","N/A – RULE",IF(TRIM(U5)="N/A",IF(AT5=0,"INVALID – N/A not permitted for this mandatory check",IF(AND(TRIM(AC5)&lt;&gt;"",TRIM(AE5)&lt;&gt;"",TRIM(T5)&lt;&gt;"",TRIM(AE5)&lt;&gt;TRIM(T5)),"N/A – JUSTIFIED","INVALID – N/A needs justification, PIC and a different verifier")),IF(OR(TRIM(U5)="Pass",TRIM(U5)="Pass after CA"),IF(NOT(ISNUMBER(AD5)),"INVALID – completion time missing",IF(TRIM(T5)="","INVALID – PIC missing",IF(TRIM(V5)="","INVALID – result / assessment missing",IF(TRIM(Z5)="","INVALID – evidence missing",IF(TRIM(AE5)="","INVALID – verifier missing",IF(TRIM(AE5)=TRIM(T5),"INVALID – verifier must be someone other than the PIC",IF(AND(AQ5=1,TRIM(W5)=""),"INVALID – batch ID missing",IF(AND(AR5=1,OR(NOT(ISNUMBER(X5)),NOT(ISNUMBER(Y5)))),"INVALID – expected/actual qty missing",IF(IF(AND(TRIM(U5)="Pass",ISNUMBER(AF5)),IF(AF5&lt;&gt;0,"INVALID – qty variance: use Fail or Pass after CA",""),"")&amp;IF(AND(TRIM(U5)="Pass",TRIM(AB5)&lt;&gt;"",TRIM(AB5)&lt;&gt;"Closed"),"INVALID – corrective action not closed: use Fail, then Pass after CA","")&amp;IF(AND(TRIM(AA5)&lt;&gt;"",TRIM(AB5)=""),"INVALID – CA status missing for the recorded corrective action","")&amp;IF(AND(TRIM(U5)="Pass after CA",OR(TRIM(AA5)="",TRIM(AB5)&lt;&gt;"Closed")),"INVALID – corrective action not recorded/closed","")&lt;&gt;"",IF(AND(TRIM(U5)="Pass",ISNUMBER(AF5)),IF(AF5&lt;&gt;0,"INVALID – qty variance: use Fail or Pass after CA",""),"")&amp;IF(AND(TRIM(U5)="Pass",TRIM(AB5)&lt;&gt;"",TRIM(AB5)&lt;&gt;"Closed"),"INVALID – corrective action not closed: use Fail, then Pass after CA","")&amp;IF(AND(TRIM(AA5)&lt;&gt;"",TRIM(AB5)=""),"INVALID – CA status missing for the recorded corrective action","")&amp;IF(AND(TRIM(U5)="Pass after CA",OR(TRIM(AA5)="",TRIM(AB5)&lt;&gt;"Closed")),"INVALID – corrective action not recorded/closed",""),IF(AND(AS5=1,Documents!$J$5&lt;&gt;"ON FILE"),"INVALID – GLD not on file (Documents sheet)",IF(AND(AS5=2,Documents!$O$5&lt;&gt;"ON FILE"),"INVALID – menu checklist not on file (Documents sheet)",IF(AND(AS5=3,NOT(ISNUMBER(Flights!$AX$5))),"INVALID – enter carrying flight KUL departure (Flights AX)",IF(AND(AS5=3,OR(Flights!$AX$5&gt;=Flights!$AA$5,Flights!$AX$5&lt;Flights!$AA$5-3)),"INVALID – Flights AX must be before this leg's STD (within 3 days)",IF(AG5&gt;AsOfUTC,"INVALID – completion time is in the future",IF(AND(ISNUMBER(S5),AG5&lt;S5),IF(H5="Physical uplift","INVALID – before uplift window (cannot confirm loading)","INVALID – before valid window"),IF(AG5&gt;Flights!$AA$5,"INVALID – completed after departure (cannot establish readiness)",IF(AND(H5="Physical uplift",AG5&gt;Q5),"INVALID – recorded after the loading flight departed",IF(AG5&gt;Q5,"COMPLETE – LATE","COMPLETE")))))))))))))))))),IF(TRIM(U5)="Fail","FAIL – DISCREPANCY",IF(AND(TRIM(U5)&lt;&gt;"",TRIM(U5)&lt;&gt;"Not started",TRIM(U5)&lt;&gt;"In progress"),"INVALID – unrecognised status (use the list)",IF(AsOfUTC&gt;Q5,"OVERDUE",IF(N5="Clarification required","OPEN – CLARIFICATION","OPEN")))))))</f>
        <v>OPEN</v>
      </c>
      <c r="AI5" s="61" t="n">
        <f aca="false">IF(OR(AH5="N/A – RULE",AH5="N/A – JUSTIFIED"),0,1)</f>
        <v>1</v>
      </c>
      <c r="AJ5" s="61" t="n">
        <f aca="false">IF(LEFT(AH5,8)="COMPLETE",1,0)</f>
        <v>0</v>
      </c>
      <c r="AK5" s="61" t="n">
        <f aca="false">IF(AND(AI5=1,AJ5=0,AsOfUTC&gt;Q5),1,0)</f>
        <v>0</v>
      </c>
      <c r="AL5" s="61" t="n">
        <f aca="false">IF(AND(AI5=1,OR(TRIM(U5)="Fail",AND(TRIM(AB5)&lt;&gt;"",TRIM(AB5)&lt;&gt;"Closed"),AND(ISNUMBER(AF5),AF5&lt;&gt;0,TRIM(U5)&lt;&gt;"Pass after CA"))),1,0)</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row>
    <row r="6" customFormat="false" ht="39.75" hidden="false" customHeight="true" outlineLevel="0" collapsed="false">
      <c r="A6" s="57" t="s">
        <v>349</v>
      </c>
      <c r="B6" s="57" t="s">
        <v>175</v>
      </c>
      <c r="C6" s="57" t="str">
        <f aca="false">Flights!$F$5</f>
        <v>MH0001</v>
      </c>
      <c r="D6" s="58" t="n">
        <f aca="false">Flights!$D$5</f>
        <v>46303</v>
      </c>
      <c r="E6" s="57" t="str">
        <f aca="false">Flights!$G$5&amp;"-"&amp;Flights!$H$5</f>
        <v>LHR-KUL</v>
      </c>
      <c r="F6" s="57" t="str">
        <f aca="false">Flights!$K$5</f>
        <v>EY</v>
      </c>
      <c r="G6" s="57" t="s">
        <v>76</v>
      </c>
      <c r="H6" s="57" t="s">
        <v>343</v>
      </c>
      <c r="I6" s="57" t="s">
        <v>350</v>
      </c>
      <c r="J6" s="57" t="s">
        <v>351</v>
      </c>
      <c r="K6" s="67" t="s">
        <v>352</v>
      </c>
      <c r="L6" s="67" t="s">
        <v>347</v>
      </c>
      <c r="M6" s="67"/>
      <c r="N6" s="67" t="s">
        <v>348</v>
      </c>
      <c r="O6" s="67"/>
      <c r="P6" s="57" t="s">
        <v>178</v>
      </c>
      <c r="Q6" s="59" t="n">
        <f aca="false">ROUND((Flights!$AC$5)*1440,0)/1440</f>
        <v>46296.8576388889</v>
      </c>
      <c r="R6" s="59" t="n">
        <f aca="false">Q6+(IF(AND(INDEX(TZ_DSTS,MATCH(P6,TZ_STN,0))&lt;&gt;"",Q6&gt;=INDEX(TZ_DSTS,MATCH(P6,TZ_STN,0)),Q6&lt;INDEX(TZ_DSTE,MATCH(P6,TZ_STN,0))),INDEX(TZ_DST,MATCH(P6,TZ_STN,0)),INDEX(TZ_STD,MATCH(P6,TZ_STN,0))))/24</f>
        <v>46296.8993055556</v>
      </c>
      <c r="S6" s="59" t="n">
        <f aca="false">Q6-T7EarlyD*24/24</f>
        <v>46282.8576388889</v>
      </c>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IF(N6="N/A – rule","N/A – RULE",IF(TRIM(U6)="N/A",IF(AT6=0,"INVALID – N/A not permitted for this mandatory check",IF(AND(TRIM(AC6)&lt;&gt;"",TRIM(AE6)&lt;&gt;"",TRIM(T6)&lt;&gt;"",TRIM(AE6)&lt;&gt;TRIM(T6)),"N/A – JUSTIFIED","INVALID – N/A needs justification, PIC and a different verifier")),IF(OR(TRIM(U6)="Pass",TRIM(U6)="Pass after CA"),IF(NOT(ISNUMBER(AD6)),"INVALID – completion time missing",IF(TRIM(T6)="","INVALID – PIC missing",IF(TRIM(V6)="","INVALID – result / assessment missing",IF(TRIM(Z6)="","INVALID – evidence missing",IF(TRIM(AE6)="","INVALID – verifier missing",IF(TRIM(AE6)=TRIM(T6),"INVALID – verifier must be someone other than the PIC",IF(AND(AQ6=1,TRIM(W6)=""),"INVALID – batch ID missing",IF(AND(AR6=1,OR(NOT(ISNUMBER(X6)),NOT(ISNUMBER(Y6)))),"INVALID – expected/actual qty missing",IF(IF(AND(TRIM(U6)="Pass",ISNUMBER(AF6)),IF(AF6&lt;&gt;0,"INVALID – qty variance: use Fail or Pass after CA",""),"")&amp;IF(AND(TRIM(U6)="Pass",TRIM(AB6)&lt;&gt;"",TRIM(AB6)&lt;&gt;"Closed"),"INVALID – corrective action not closed: use Fail, then Pass after CA","")&amp;IF(AND(TRIM(AA6)&lt;&gt;"",TRIM(AB6)=""),"INVALID – CA status missing for the recorded corrective action","")&amp;IF(AND(TRIM(U6)="Pass after CA",OR(TRIM(AA6)="",TRIM(AB6)&lt;&gt;"Closed")),"INVALID – corrective action not recorded/closed","")&lt;&gt;"",IF(AND(TRIM(U6)="Pass",ISNUMBER(AF6)),IF(AF6&lt;&gt;0,"INVALID – qty variance: use Fail or Pass after CA",""),"")&amp;IF(AND(TRIM(U6)="Pass",TRIM(AB6)&lt;&gt;"",TRIM(AB6)&lt;&gt;"Closed"),"INVALID – corrective action not closed: use Fail, then Pass after CA","")&amp;IF(AND(TRIM(AA6)&lt;&gt;"",TRIM(AB6)=""),"INVALID – CA status missing for the recorded corrective action","")&amp;IF(AND(TRIM(U6)="Pass after CA",OR(TRIM(AA6)="",TRIM(AB6)&lt;&gt;"Closed")),"INVALID – corrective action not recorded/closed",""),IF(AND(AS6=1,Documents!$J$5&lt;&gt;"ON FILE"),"INVALID – GLD not on file (Documents sheet)",IF(AND(AS6=2,Documents!$O$5&lt;&gt;"ON FILE"),"INVALID – menu checklist not on file (Documents sheet)",IF(AND(AS6=3,NOT(ISNUMBER(Flights!$AX$5))),"INVALID – enter carrying flight KUL departure (Flights AX)",IF(AND(AS6=3,OR(Flights!$AX$5&gt;=Flights!$AA$5,Flights!$AX$5&lt;Flights!$AA$5-3)),"INVALID – Flights AX must be before this leg's STD (within 3 days)",IF(AG6&gt;AsOfUTC,"INVALID – completion time is in the future",IF(AND(ISNUMBER(S6),AG6&lt;S6),IF(H6="Physical uplift","INVALID – before uplift window (cannot confirm loading)","INVALID – before valid window"),IF(AG6&gt;Flights!$AA$5,"INVALID – completed after departure (cannot establish readiness)",IF(AND(H6="Physical uplift",AG6&gt;Q6),"INVALID – recorded after the loading flight departed",IF(AG6&gt;Q6,"COMPLETE – LATE","COMPLETE")))))))))))))))))),IF(TRIM(U6)="Fail","FAIL – DISCREPANCY",IF(AND(TRIM(U6)&lt;&gt;"",TRIM(U6)&lt;&gt;"Not started",TRIM(U6)&lt;&gt;"In progress"),"INVALID – unrecognised status (use the list)",IF(AsOfUTC&gt;Q6,"OVERDUE",IF(N6="Clarification required","OPEN – CLARIFICATION","OPEN")))))))</f>
        <v>OPEN</v>
      </c>
      <c r="AI6" s="61" t="n">
        <f aca="false">IF(OR(AH6="N/A – RULE",AH6="N/A – JUSTIFIED"),0,1)</f>
        <v>1</v>
      </c>
      <c r="AJ6" s="61" t="n">
        <f aca="false">IF(LEFT(AH6,8)="COMPLETE",1,0)</f>
        <v>0</v>
      </c>
      <c r="AK6" s="61" t="n">
        <f aca="false">IF(AND(AI6=1,AJ6=0,AsOfUTC&gt;Q6),1,0)</f>
        <v>0</v>
      </c>
      <c r="AL6" s="61" t="n">
        <f aca="false">IF(AND(AI6=1,OR(TRIM(U6)="Fail",AND(TRIM(AB6)&lt;&gt;"",TRIM(AB6)&lt;&gt;"Closed"),AND(ISNUMBER(AF6),AF6&lt;&gt;0,TRIM(U6)&lt;&gt;"Pass after CA"))),1,0)</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8" t="b">
        <f aca="false">TRUE()</f>
        <v>1</v>
      </c>
    </row>
    <row r="7" customFormat="false" ht="41.25" hidden="false" customHeight="true" outlineLevel="0" collapsed="false">
      <c r="A7" s="57" t="s">
        <v>353</v>
      </c>
      <c r="B7" s="57" t="s">
        <v>175</v>
      </c>
      <c r="C7" s="57" t="str">
        <f aca="false">Flights!$F$5</f>
        <v>MH0001</v>
      </c>
      <c r="D7" s="58" t="n">
        <f aca="false">Flights!$D$5</f>
        <v>46303</v>
      </c>
      <c r="E7" s="57" t="str">
        <f aca="false">Flights!$G$5&amp;"-"&amp;Flights!$H$5</f>
        <v>LHR-KUL</v>
      </c>
      <c r="F7" s="57" t="str">
        <f aca="false">Flights!$K$5</f>
        <v>EY</v>
      </c>
      <c r="G7" s="57" t="s">
        <v>76</v>
      </c>
      <c r="H7" s="57" t="s">
        <v>343</v>
      </c>
      <c r="I7" s="57" t="s">
        <v>354</v>
      </c>
      <c r="J7" s="57" t="s">
        <v>355</v>
      </c>
      <c r="K7" s="67" t="s">
        <v>356</v>
      </c>
      <c r="L7" s="67" t="s">
        <v>347</v>
      </c>
      <c r="M7" s="67"/>
      <c r="N7" s="67" t="str">
        <f aca="false">IF(TRIM(Flights!$L$5)="A339","Required","N/A – rule")</f>
        <v>N/A – rule</v>
      </c>
      <c r="O7" s="67" t="s">
        <v>357</v>
      </c>
      <c r="P7" s="57" t="s">
        <v>178</v>
      </c>
      <c r="Q7" s="59" t="n">
        <f aca="false">ROUND((Flights!$AC$5)*1440,0)/1440</f>
        <v>46296.8576388889</v>
      </c>
      <c r="R7" s="59" t="n">
        <f aca="false">Q7+(IF(AND(INDEX(TZ_DSTS,MATCH(P7,TZ_STN,0))&lt;&gt;"",Q7&gt;=INDEX(TZ_DSTS,MATCH(P7,TZ_STN,0)),Q7&lt;INDEX(TZ_DSTE,MATCH(P7,TZ_STN,0))),INDEX(TZ_DST,MATCH(P7,TZ_STN,0)),INDEX(TZ_STD,MATCH(P7,TZ_STN,0))))/24</f>
        <v>46296.8993055556</v>
      </c>
      <c r="S7" s="59" t="n">
        <f aca="false">Q7-T7EarlyD*24/24</f>
        <v>46282.8576388889</v>
      </c>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IF(N7="N/A – rule","N/A – RULE",IF(TRIM(U7)="N/A",IF(AT7=0,"INVALID – N/A not permitted for this mandatory check",IF(AND(TRIM(AC7)&lt;&gt;"",TRIM(AE7)&lt;&gt;"",TRIM(T7)&lt;&gt;"",TRIM(AE7)&lt;&gt;TRIM(T7)),"N/A – JUSTIFIED","INVALID – N/A needs justification, PIC and a different verifier")),IF(OR(TRIM(U7)="Pass",TRIM(U7)="Pass after CA"),IF(NOT(ISNUMBER(AD7)),"INVALID – completion time missing",IF(TRIM(T7)="","INVALID – PIC missing",IF(TRIM(V7)="","INVALID – result / assessment missing",IF(TRIM(Z7)="","INVALID – evidence missing",IF(TRIM(AE7)="","INVALID – verifier missing",IF(TRIM(AE7)=TRIM(T7),"INVALID – verifier must be someone other than the PIC",IF(AND(AQ7=1,TRIM(W7)=""),"INVALID – batch ID missing",IF(AND(AR7=1,OR(NOT(ISNUMBER(X7)),NOT(ISNUMBER(Y7)))),"INVALID – expected/actual qty missing",IF(IF(AND(TRIM(U7)="Pass",ISNUMBER(AF7)),IF(AF7&lt;&gt;0,"INVALID – qty variance: use Fail or Pass after CA",""),"")&amp;IF(AND(TRIM(U7)="Pass",TRIM(AB7)&lt;&gt;"",TRIM(AB7)&lt;&gt;"Closed"),"INVALID – corrective action not closed: use Fail, then Pass after CA","")&amp;IF(AND(TRIM(AA7)&lt;&gt;"",TRIM(AB7)=""),"INVALID – CA status missing for the recorded corrective action","")&amp;IF(AND(TRIM(U7)="Pass after CA",OR(TRIM(AA7)="",TRIM(AB7)&lt;&gt;"Closed")),"INVALID – corrective action not recorded/closed","")&lt;&gt;"",IF(AND(TRIM(U7)="Pass",ISNUMBER(AF7)),IF(AF7&lt;&gt;0,"INVALID – qty variance: use Fail or Pass after CA",""),"")&amp;IF(AND(TRIM(U7)="Pass",TRIM(AB7)&lt;&gt;"",TRIM(AB7)&lt;&gt;"Closed"),"INVALID – corrective action not closed: use Fail, then Pass after CA","")&amp;IF(AND(TRIM(AA7)&lt;&gt;"",TRIM(AB7)=""),"INVALID – CA status missing for the recorded corrective action","")&amp;IF(AND(TRIM(U7)="Pass after CA",OR(TRIM(AA7)="",TRIM(AB7)&lt;&gt;"Closed")),"INVALID – corrective action not recorded/closed",""),IF(AND(AS7=1,Documents!$J$5&lt;&gt;"ON FILE"),"INVALID – GLD not on file (Documents sheet)",IF(AND(AS7=2,Documents!$O$5&lt;&gt;"ON FILE"),"INVALID – menu checklist not on file (Documents sheet)",IF(AND(AS7=3,NOT(ISNUMBER(Flights!$AX$5))),"INVALID – enter carrying flight KUL departure (Flights AX)",IF(AND(AS7=3,OR(Flights!$AX$5&gt;=Flights!$AA$5,Flights!$AX$5&lt;Flights!$AA$5-3)),"INVALID – Flights AX must be before this leg's STD (within 3 days)",IF(AG7&gt;AsOfUTC,"INVALID – completion time is in the future",IF(AND(ISNUMBER(S7),AG7&lt;S7),IF(H7="Physical uplift","INVALID – before uplift window (cannot confirm loading)","INVALID – before valid window"),IF(AG7&gt;Flights!$AA$5,"INVALID – completed after departure (cannot establish readiness)",IF(AND(H7="Physical uplift",AG7&gt;Q7),"INVALID – recorded after the loading flight departed",IF(AG7&gt;Q7,"COMPLETE – LATE","COMPLETE")))))))))))))))))),IF(TRIM(U7)="Fail","FAIL – DISCREPANCY",IF(AND(TRIM(U7)&lt;&gt;"",TRIM(U7)&lt;&gt;"Not started",TRIM(U7)&lt;&gt;"In progress"),"INVALID – unrecognised status (use the list)",IF(AsOfUTC&gt;Q7,"OVERDUE",IF(N7="Clarification required","OPEN – CLARIFICATION","OPEN")))))))</f>
        <v>N/A – RULE</v>
      </c>
      <c r="AI7" s="61" t="n">
        <f aca="false">IF(OR(AH7="N/A – RULE",AH7="N/A – JUSTIFIED"),0,1)</f>
        <v>0</v>
      </c>
      <c r="AJ7" s="61" t="n">
        <f aca="false">IF(LEFT(AH7,8)="COMPLETE",1,0)</f>
        <v>0</v>
      </c>
      <c r="AK7" s="61" t="n">
        <f aca="false">IF(AND(AI7=1,AJ7=0,AsOfUTC&gt;Q7),1,0)</f>
        <v>0</v>
      </c>
      <c r="AL7" s="61" t="n">
        <f aca="false">IF(AND(AI7=1,OR(TRIM(U7)="Fail",AND(TRIM(AB7)&lt;&gt;"",TRIM(AB7)&lt;&gt;"Closed"),AND(ISNUMBER(AF7),AF7&lt;&gt;0,TRIM(U7)&lt;&gt;"Pass after CA"))),1,0)</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row>
    <row r="8" customFormat="false" ht="39.75" hidden="false" customHeight="true" outlineLevel="0" collapsed="false">
      <c r="A8" s="57" t="s">
        <v>358</v>
      </c>
      <c r="B8" s="57" t="s">
        <v>175</v>
      </c>
      <c r="C8" s="57" t="str">
        <f aca="false">Flights!$F$5</f>
        <v>MH0001</v>
      </c>
      <c r="D8" s="58" t="n">
        <f aca="false">Flights!$D$5</f>
        <v>46303</v>
      </c>
      <c r="E8" s="57" t="str">
        <f aca="false">Flights!$G$5&amp;"-"&amp;Flights!$H$5</f>
        <v>LHR-KUL</v>
      </c>
      <c r="F8" s="57" t="str">
        <f aca="false">Flights!$K$5</f>
        <v>EY</v>
      </c>
      <c r="G8" s="57" t="s">
        <v>76</v>
      </c>
      <c r="H8" s="57" t="s">
        <v>343</v>
      </c>
      <c r="I8" s="57" t="s">
        <v>359</v>
      </c>
      <c r="J8" s="57" t="s">
        <v>360</v>
      </c>
      <c r="K8" s="67" t="s">
        <v>361</v>
      </c>
      <c r="L8" s="67" t="s">
        <v>347</v>
      </c>
      <c r="M8" s="67"/>
      <c r="N8" s="67" t="s">
        <v>348</v>
      </c>
      <c r="O8" s="67"/>
      <c r="P8" s="57" t="s">
        <v>178</v>
      </c>
      <c r="Q8" s="59" t="n">
        <f aca="false">ROUND((Flights!$AC$5)*1440,0)/1440</f>
        <v>46296.8576388889</v>
      </c>
      <c r="R8" s="59" t="n">
        <f aca="false">Q8+(IF(AND(INDEX(TZ_DSTS,MATCH(P8,TZ_STN,0))&lt;&gt;"",Q8&gt;=INDEX(TZ_DSTS,MATCH(P8,TZ_STN,0)),Q8&lt;INDEX(TZ_DSTE,MATCH(P8,TZ_STN,0))),INDEX(TZ_DST,MATCH(P8,TZ_STN,0)),INDEX(TZ_STD,MATCH(P8,TZ_STN,0))))/24</f>
        <v>46296.8993055556</v>
      </c>
      <c r="S8" s="59" t="n">
        <f aca="false">Q8-T7EarlyD*24/24</f>
        <v>46282.8576388889</v>
      </c>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IF(N8="N/A – rule","N/A – RULE",IF(TRIM(U8)="N/A",IF(AT8=0,"INVALID – N/A not permitted for this mandatory check",IF(AND(TRIM(AC8)&lt;&gt;"",TRIM(AE8)&lt;&gt;"",TRIM(T8)&lt;&gt;"",TRIM(AE8)&lt;&gt;TRIM(T8)),"N/A – JUSTIFIED","INVALID – N/A needs justification, PIC and a different verifier")),IF(OR(TRIM(U8)="Pass",TRIM(U8)="Pass after CA"),IF(NOT(ISNUMBER(AD8)),"INVALID – completion time missing",IF(TRIM(T8)="","INVALID – PIC missing",IF(TRIM(V8)="","INVALID – result / assessment missing",IF(TRIM(Z8)="","INVALID – evidence missing",IF(TRIM(AE8)="","INVALID – verifier missing",IF(TRIM(AE8)=TRIM(T8),"INVALID – verifier must be someone other than the PIC",IF(AND(AQ8=1,TRIM(W8)=""),"INVALID – batch ID missing",IF(AND(AR8=1,OR(NOT(ISNUMBER(X8)),NOT(ISNUMBER(Y8)))),"INVALID – expected/actual qty missing",IF(IF(AND(TRIM(U8)="Pass",ISNUMBER(AF8)),IF(AF8&lt;&gt;0,"INVALID – qty variance: use Fail or Pass after CA",""),"")&amp;IF(AND(TRIM(U8)="Pass",TRIM(AB8)&lt;&gt;"",TRIM(AB8)&lt;&gt;"Closed"),"INVALID – corrective action not closed: use Fail, then Pass after CA","")&amp;IF(AND(TRIM(AA8)&lt;&gt;"",TRIM(AB8)=""),"INVALID – CA status missing for the recorded corrective action","")&amp;IF(AND(TRIM(U8)="Pass after CA",OR(TRIM(AA8)="",TRIM(AB8)&lt;&gt;"Closed")),"INVALID – corrective action not recorded/closed","")&lt;&gt;"",IF(AND(TRIM(U8)="Pass",ISNUMBER(AF8)),IF(AF8&lt;&gt;0,"INVALID – qty variance: use Fail or Pass after CA",""),"")&amp;IF(AND(TRIM(U8)="Pass",TRIM(AB8)&lt;&gt;"",TRIM(AB8)&lt;&gt;"Closed"),"INVALID – corrective action not closed: use Fail, then Pass after CA","")&amp;IF(AND(TRIM(AA8)&lt;&gt;"",TRIM(AB8)=""),"INVALID – CA status missing for the recorded corrective action","")&amp;IF(AND(TRIM(U8)="Pass after CA",OR(TRIM(AA8)="",TRIM(AB8)&lt;&gt;"Closed")),"INVALID – corrective action not recorded/closed",""),IF(AND(AS8=1,Documents!$J$5&lt;&gt;"ON FILE"),"INVALID – GLD not on file (Documents sheet)",IF(AND(AS8=2,Documents!$O$5&lt;&gt;"ON FILE"),"INVALID – menu checklist not on file (Documents sheet)",IF(AND(AS8=3,NOT(ISNUMBER(Flights!$AX$5))),"INVALID – enter carrying flight KUL departure (Flights AX)",IF(AND(AS8=3,OR(Flights!$AX$5&gt;=Flights!$AA$5,Flights!$AX$5&lt;Flights!$AA$5-3)),"INVALID – Flights AX must be before this leg's STD (within 3 days)",IF(AG8&gt;AsOfUTC,"INVALID – completion time is in the future",IF(AND(ISNUMBER(S8),AG8&lt;S8),IF(H8="Physical uplift","INVALID – before uplift window (cannot confirm loading)","INVALID – before valid window"),IF(AG8&gt;Flights!$AA$5,"INVALID – completed after departure (cannot establish readiness)",IF(AND(H8="Physical uplift",AG8&gt;Q8),"INVALID – recorded after the loading flight departed",IF(AG8&gt;Q8,"COMPLETE – LATE","COMPLETE")))))))))))))))))),IF(TRIM(U8)="Fail","FAIL – DISCREPANCY",IF(AND(TRIM(U8)&lt;&gt;"",TRIM(U8)&lt;&gt;"Not started",TRIM(U8)&lt;&gt;"In progress"),"INVALID – unrecognised status (use the list)",IF(AsOfUTC&gt;Q8,"OVERDUE",IF(N8="Clarification required","OPEN – CLARIFICATION","OPEN")))))))</f>
        <v>OPEN</v>
      </c>
      <c r="AI8" s="61" t="n">
        <f aca="false">IF(OR(AH8="N/A – RULE",AH8="N/A – JUSTIFIED"),0,1)</f>
        <v>1</v>
      </c>
      <c r="AJ8" s="61" t="n">
        <f aca="false">IF(LEFT(AH8,8)="COMPLETE",1,0)</f>
        <v>0</v>
      </c>
      <c r="AK8" s="61" t="n">
        <f aca="false">IF(AND(AI8=1,AJ8=0,AsOfUTC&gt;Q8),1,0)</f>
        <v>0</v>
      </c>
      <c r="AL8" s="61" t="n">
        <f aca="false">IF(AND(AI8=1,OR(TRIM(U8)="Fail",AND(TRIM(AB8)&lt;&gt;"",TRIM(AB8)&lt;&gt;"Closed"),AND(ISNUMBER(AF8),AF8&lt;&gt;0,TRIM(U8)&lt;&gt;"Pass after CA"))),1,0)</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row>
    <row r="9" customFormat="false" ht="39.75" hidden="false" customHeight="true" outlineLevel="0" collapsed="false">
      <c r="A9" s="57" t="s">
        <v>362</v>
      </c>
      <c r="B9" s="57" t="s">
        <v>175</v>
      </c>
      <c r="C9" s="57" t="str">
        <f aca="false">Flights!$F$5</f>
        <v>MH0001</v>
      </c>
      <c r="D9" s="58" t="n">
        <f aca="false">Flights!$D$5</f>
        <v>46303</v>
      </c>
      <c r="E9" s="57" t="str">
        <f aca="false">Flights!$G$5&amp;"-"&amp;Flights!$H$5</f>
        <v>LHR-KUL</v>
      </c>
      <c r="F9" s="57" t="str">
        <f aca="false">Flights!$K$5</f>
        <v>EY</v>
      </c>
      <c r="G9" s="57" t="s">
        <v>76</v>
      </c>
      <c r="H9" s="57" t="s">
        <v>343</v>
      </c>
      <c r="I9" s="57" t="s">
        <v>363</v>
      </c>
      <c r="J9" s="57" t="s">
        <v>364</v>
      </c>
      <c r="K9" s="67" t="s">
        <v>365</v>
      </c>
      <c r="L9" s="67" t="s">
        <v>347</v>
      </c>
      <c r="M9" s="67"/>
      <c r="N9" s="67" t="s">
        <v>348</v>
      </c>
      <c r="O9" s="67"/>
      <c r="P9" s="57" t="s">
        <v>178</v>
      </c>
      <c r="Q9" s="59" t="n">
        <f aca="false">ROUND((Flights!$AC$5)*1440,0)/1440</f>
        <v>46296.8576388889</v>
      </c>
      <c r="R9" s="59" t="n">
        <f aca="false">Q9+(IF(AND(INDEX(TZ_DSTS,MATCH(P9,TZ_STN,0))&lt;&gt;"",Q9&gt;=INDEX(TZ_DSTS,MATCH(P9,TZ_STN,0)),Q9&lt;INDEX(TZ_DSTE,MATCH(P9,TZ_STN,0))),INDEX(TZ_DST,MATCH(P9,TZ_STN,0)),INDEX(TZ_STD,MATCH(P9,TZ_STN,0))))/24</f>
        <v>46296.8993055556</v>
      </c>
      <c r="S9" s="59" t="n">
        <f aca="false">Q9-T7EarlyD*24/24</f>
        <v>46282.8576388889</v>
      </c>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IF(N9="N/A – rule","N/A – RULE",IF(TRIM(U9)="N/A",IF(AT9=0,"INVALID – N/A not permitted for this mandatory check",IF(AND(TRIM(AC9)&lt;&gt;"",TRIM(AE9)&lt;&gt;"",TRIM(T9)&lt;&gt;"",TRIM(AE9)&lt;&gt;TRIM(T9)),"N/A – JUSTIFIED","INVALID – N/A needs justification, PIC and a different verifier")),IF(OR(TRIM(U9)="Pass",TRIM(U9)="Pass after CA"),IF(NOT(ISNUMBER(AD9)),"INVALID – completion time missing",IF(TRIM(T9)="","INVALID – PIC missing",IF(TRIM(V9)="","INVALID – result / assessment missing",IF(TRIM(Z9)="","INVALID – evidence missing",IF(TRIM(AE9)="","INVALID – verifier missing",IF(TRIM(AE9)=TRIM(T9),"INVALID – verifier must be someone other than the PIC",IF(AND(AQ9=1,TRIM(W9)=""),"INVALID – batch ID missing",IF(AND(AR9=1,OR(NOT(ISNUMBER(X9)),NOT(ISNUMBER(Y9)))),"INVALID – expected/actual qty missing",IF(IF(AND(TRIM(U9)="Pass",ISNUMBER(AF9)),IF(AF9&lt;&gt;0,"INVALID – qty variance: use Fail or Pass after CA",""),"")&amp;IF(AND(TRIM(U9)="Pass",TRIM(AB9)&lt;&gt;"",TRIM(AB9)&lt;&gt;"Closed"),"INVALID – corrective action not closed: use Fail, then Pass after CA","")&amp;IF(AND(TRIM(AA9)&lt;&gt;"",TRIM(AB9)=""),"INVALID – CA status missing for the recorded corrective action","")&amp;IF(AND(TRIM(U9)="Pass after CA",OR(TRIM(AA9)="",TRIM(AB9)&lt;&gt;"Closed")),"INVALID – corrective action not recorded/closed","")&lt;&gt;"",IF(AND(TRIM(U9)="Pass",ISNUMBER(AF9)),IF(AF9&lt;&gt;0,"INVALID – qty variance: use Fail or Pass after CA",""),"")&amp;IF(AND(TRIM(U9)="Pass",TRIM(AB9)&lt;&gt;"",TRIM(AB9)&lt;&gt;"Closed"),"INVALID – corrective action not closed: use Fail, then Pass after CA","")&amp;IF(AND(TRIM(AA9)&lt;&gt;"",TRIM(AB9)=""),"INVALID – CA status missing for the recorded corrective action","")&amp;IF(AND(TRIM(U9)="Pass after CA",OR(TRIM(AA9)="",TRIM(AB9)&lt;&gt;"Closed")),"INVALID – corrective action not recorded/closed",""),IF(AND(AS9=1,Documents!$J$5&lt;&gt;"ON FILE"),"INVALID – GLD not on file (Documents sheet)",IF(AND(AS9=2,Documents!$O$5&lt;&gt;"ON FILE"),"INVALID – menu checklist not on file (Documents sheet)",IF(AND(AS9=3,NOT(ISNUMBER(Flights!$AX$5))),"INVALID – enter carrying flight KUL departure (Flights AX)",IF(AND(AS9=3,OR(Flights!$AX$5&gt;=Flights!$AA$5,Flights!$AX$5&lt;Flights!$AA$5-3)),"INVALID – Flights AX must be before this leg's STD (within 3 days)",IF(AG9&gt;AsOfUTC,"INVALID – completion time is in the future",IF(AND(ISNUMBER(S9),AG9&lt;S9),IF(H9="Physical uplift","INVALID – before uplift window (cannot confirm loading)","INVALID – before valid window"),IF(AG9&gt;Flights!$AA$5,"INVALID – completed after departure (cannot establish readiness)",IF(AND(H9="Physical uplift",AG9&gt;Q9),"INVALID – recorded after the loading flight departed",IF(AG9&gt;Q9,"COMPLETE – LATE","COMPLETE")))))))))))))))))),IF(TRIM(U9)="Fail","FAIL – DISCREPANCY",IF(AND(TRIM(U9)&lt;&gt;"",TRIM(U9)&lt;&gt;"Not started",TRIM(U9)&lt;&gt;"In progress"),"INVALID – unrecognised status (use the list)",IF(AsOfUTC&gt;Q9,"OVERDUE",IF(N9="Clarification required","OPEN – CLARIFICATION","OPEN")))))))</f>
        <v>OPEN</v>
      </c>
      <c r="AI9" s="61" t="n">
        <f aca="false">IF(OR(AH9="N/A – RULE",AH9="N/A – JUSTIFIED"),0,1)</f>
        <v>1</v>
      </c>
      <c r="AJ9" s="61" t="n">
        <f aca="false">IF(LEFT(AH9,8)="COMPLETE",1,0)</f>
        <v>0</v>
      </c>
      <c r="AK9" s="61" t="n">
        <f aca="false">IF(AND(AI9=1,AJ9=0,AsOfUTC&gt;Q9),1,0)</f>
        <v>0</v>
      </c>
      <c r="AL9" s="61" t="n">
        <f aca="false">IF(AND(AI9=1,OR(TRIM(U9)="Fail",AND(TRIM(AB9)&lt;&gt;"",TRIM(AB9)&lt;&gt;"Closed"),AND(ISNUMBER(AF9),AF9&lt;&gt;0,TRIM(U9)&lt;&gt;"Pass after CA"))),1,0)</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row>
    <row r="10" customFormat="false" ht="39.75" hidden="false" customHeight="true" outlineLevel="0" collapsed="false">
      <c r="A10" s="57" t="s">
        <v>366</v>
      </c>
      <c r="B10" s="57" t="s">
        <v>175</v>
      </c>
      <c r="C10" s="57" t="str">
        <f aca="false">Flights!$F$5</f>
        <v>MH0001</v>
      </c>
      <c r="D10" s="58" t="n">
        <f aca="false">Flights!$D$5</f>
        <v>46303</v>
      </c>
      <c r="E10" s="57" t="str">
        <f aca="false">Flights!$G$5&amp;"-"&amp;Flights!$H$5</f>
        <v>LHR-KUL</v>
      </c>
      <c r="F10" s="57" t="str">
        <f aca="false">Flights!$K$5</f>
        <v>EY</v>
      </c>
      <c r="G10" s="57" t="s">
        <v>76</v>
      </c>
      <c r="H10" s="57" t="s">
        <v>343</v>
      </c>
      <c r="I10" s="57" t="s">
        <v>363</v>
      </c>
      <c r="J10" s="57" t="s">
        <v>367</v>
      </c>
      <c r="K10" s="67" t="s">
        <v>368</v>
      </c>
      <c r="L10" s="67" t="s">
        <v>347</v>
      </c>
      <c r="M10" s="67"/>
      <c r="N10" s="67" t="s">
        <v>348</v>
      </c>
      <c r="O10" s="67"/>
      <c r="P10" s="57" t="s">
        <v>178</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59" t="n">
        <f aca="false">Q10-T7EarlyD*24/24</f>
        <v>46282.8576388889</v>
      </c>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IF(N10="N/A – rule","N/A – RULE",IF(TRIM(U10)="N/A",IF(AT10=0,"INVALID – N/A not permitted for this mandatory check",IF(AND(TRIM(AC10)&lt;&gt;"",TRIM(AE10)&lt;&gt;"",TRIM(T10)&lt;&gt;"",TRIM(AE10)&lt;&gt;TRIM(T10)),"N/A – JUSTIFIED","INVALID – N/A needs justification, PIC and a different verifier")),IF(OR(TRIM(U10)="Pass",TRIM(U10)="Pass after CA"),IF(NOT(ISNUMBER(AD10)),"INVALID – completion time missing",IF(TRIM(T10)="","INVALID – PIC missing",IF(TRIM(V10)="","INVALID – result / assessment missing",IF(TRIM(Z10)="","INVALID – evidence missing",IF(TRIM(AE10)="","INVALID – verifier missing",IF(TRIM(AE10)=TRIM(T10),"INVALID – verifier must be someone other than the PIC",IF(AND(AQ10=1,TRIM(W10)=""),"INVALID – batch ID missing",IF(AND(AR10=1,OR(NOT(ISNUMBER(X10)),NOT(ISNUMBER(Y10)))),"INVALID – expected/actual qty missing",IF(IF(AND(TRIM(U10)="Pass",ISNUMBER(AF10)),IF(AF10&lt;&gt;0,"INVALID – qty variance: use Fail or Pass after CA",""),"")&amp;IF(AND(TRIM(U10)="Pass",TRIM(AB10)&lt;&gt;"",TRIM(AB10)&lt;&gt;"Closed"),"INVALID – corrective action not closed: use Fail, then Pass after CA","")&amp;IF(AND(TRIM(AA10)&lt;&gt;"",TRIM(AB10)=""),"INVALID – CA status missing for the recorded corrective action","")&amp;IF(AND(TRIM(U10)="Pass after CA",OR(TRIM(AA10)="",TRIM(AB10)&lt;&gt;"Closed")),"INVALID – corrective action not recorded/closed","")&lt;&gt;"",IF(AND(TRIM(U10)="Pass",ISNUMBER(AF10)),IF(AF10&lt;&gt;0,"INVALID – qty variance: use Fail or Pass after CA",""),"")&amp;IF(AND(TRIM(U10)="Pass",TRIM(AB10)&lt;&gt;"",TRIM(AB10)&lt;&gt;"Closed"),"INVALID – corrective action not closed: use Fail, then Pass after CA","")&amp;IF(AND(TRIM(AA10)&lt;&gt;"",TRIM(AB10)=""),"INVALID – CA status missing for the recorded corrective action","")&amp;IF(AND(TRIM(U10)="Pass after CA",OR(TRIM(AA10)="",TRIM(AB10)&lt;&gt;"Closed")),"INVALID – corrective action not recorded/closed",""),IF(AND(AS10=1,Documents!$J$5&lt;&gt;"ON FILE"),"INVALID – GLD not on file (Documents sheet)",IF(AND(AS10=2,Documents!$O$5&lt;&gt;"ON FILE"),"INVALID – menu checklist not on file (Documents sheet)",IF(AND(AS10=3,NOT(ISNUMBER(Flights!$AX$5))),"INVALID – enter carrying flight KUL departure (Flights AX)",IF(AND(AS10=3,OR(Flights!$AX$5&gt;=Flights!$AA$5,Flights!$AX$5&lt;Flights!$AA$5-3)),"INVALID – Flights AX must be before this leg's STD (within 3 days)",IF(AG10&gt;AsOfUTC,"INVALID – completion time is in the future",IF(AND(ISNUMBER(S10),AG10&lt;S10),IF(H10="Physical uplift","INVALID – before uplift window (cannot confirm loading)","INVALID – before valid window"),IF(AG10&gt;Flights!$AA$5,"INVALID – completed after departure (cannot establish readiness)",IF(AND(H10="Physical uplift",AG10&gt;Q10),"INVALID – recorded after the loading flight departed",IF(AG10&gt;Q10,"COMPLETE – LATE","COMPLETE")))))))))))))))))),IF(TRIM(U10)="Fail","FAIL – DISCREPANCY",IF(AND(TRIM(U10)&lt;&gt;"",TRIM(U10)&lt;&gt;"Not started",TRIM(U10)&lt;&gt;"In progress"),"INVALID – unrecognised status (use the list)",IF(AsOfUTC&gt;Q10,"OVERDUE",IF(N10="Clarification required","OPEN – CLARIFICATION","OPEN")))))))</f>
        <v>OPEN</v>
      </c>
      <c r="AI10" s="61" t="n">
        <f aca="false">IF(OR(AH10="N/A – RULE",AH10="N/A – JUSTIFIED"),0,1)</f>
        <v>1</v>
      </c>
      <c r="AJ10" s="61" t="n">
        <f aca="false">IF(LEFT(AH10,8)="COMPLETE",1,0)</f>
        <v>0</v>
      </c>
      <c r="AK10" s="61" t="n">
        <f aca="false">IF(AND(AI10=1,AJ10=0,AsOfUTC&gt;Q10),1,0)</f>
        <v>0</v>
      </c>
      <c r="AL10" s="61" t="n">
        <f aca="false">IF(AND(AI10=1,OR(TRIM(U10)="Fail",AND(TRIM(AB10)&lt;&gt;"",TRIM(AB10)&lt;&gt;"Closed"),AND(ISNUMBER(AF10),AF10&lt;&gt;0,TRIM(U10)&lt;&gt;"Pass after CA"))),1,0)</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row>
    <row r="11" customFormat="false" ht="39.75" hidden="false" customHeight="true" outlineLevel="0" collapsed="false">
      <c r="A11" s="57" t="s">
        <v>369</v>
      </c>
      <c r="B11" s="57" t="s">
        <v>175</v>
      </c>
      <c r="C11" s="57" t="str">
        <f aca="false">Flights!$F$5</f>
        <v>MH0001</v>
      </c>
      <c r="D11" s="58" t="n">
        <f aca="false">Flights!$D$5</f>
        <v>46303</v>
      </c>
      <c r="E11" s="57" t="str">
        <f aca="false">Flights!$G$5&amp;"-"&amp;Flights!$H$5</f>
        <v>LHR-KUL</v>
      </c>
      <c r="F11" s="57" t="str">
        <f aca="false">Flights!$K$5</f>
        <v>EY</v>
      </c>
      <c r="G11" s="57" t="s">
        <v>76</v>
      </c>
      <c r="H11" s="57" t="s">
        <v>343</v>
      </c>
      <c r="I11" s="57" t="s">
        <v>370</v>
      </c>
      <c r="J11" s="57" t="s">
        <v>371</v>
      </c>
      <c r="K11" s="67" t="s">
        <v>372</v>
      </c>
      <c r="L11" s="67" t="s">
        <v>347</v>
      </c>
      <c r="M11" s="67"/>
      <c r="N11" s="67" t="s">
        <v>348</v>
      </c>
      <c r="O11" s="67"/>
      <c r="P11" s="57" t="s">
        <v>178</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59" t="n">
        <f aca="false">Q11-T7EarlyD*24/24</f>
        <v>46282.8576388889</v>
      </c>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IF(N11="N/A – rule","N/A – RULE",IF(TRIM(U11)="N/A",IF(AT11=0,"INVALID – N/A not permitted for this mandatory check",IF(AND(TRIM(AC11)&lt;&gt;"",TRIM(AE11)&lt;&gt;"",TRIM(T11)&lt;&gt;"",TRIM(AE11)&lt;&gt;TRIM(T11)),"N/A – JUSTIFIED","INVALID – N/A needs justification, PIC and a different verifier")),IF(OR(TRIM(U11)="Pass",TRIM(U11)="Pass after CA"),IF(NOT(ISNUMBER(AD11)),"INVALID – completion time missing",IF(TRIM(T11)="","INVALID – PIC missing",IF(TRIM(V11)="","INVALID – result / assessment missing",IF(TRIM(Z11)="","INVALID – evidence missing",IF(TRIM(AE11)="","INVALID – verifier missing",IF(TRIM(AE11)=TRIM(T11),"INVALID – verifier must be someone other than the PIC",IF(AND(AQ11=1,TRIM(W11)=""),"INVALID – batch ID missing",IF(AND(AR11=1,OR(NOT(ISNUMBER(X11)),NOT(ISNUMBER(Y11)))),"INVALID – expected/actual qty missing",IF(IF(AND(TRIM(U11)="Pass",ISNUMBER(AF11)),IF(AF11&lt;&gt;0,"INVALID – qty variance: use Fail or Pass after CA",""),"")&amp;IF(AND(TRIM(U11)="Pass",TRIM(AB11)&lt;&gt;"",TRIM(AB11)&lt;&gt;"Closed"),"INVALID – corrective action not closed: use Fail, then Pass after CA","")&amp;IF(AND(TRIM(AA11)&lt;&gt;"",TRIM(AB11)=""),"INVALID – CA status missing for the recorded corrective action","")&amp;IF(AND(TRIM(U11)="Pass after CA",OR(TRIM(AA11)="",TRIM(AB11)&lt;&gt;"Closed")),"INVALID – corrective action not recorded/closed","")&lt;&gt;"",IF(AND(TRIM(U11)="Pass",ISNUMBER(AF11)),IF(AF11&lt;&gt;0,"INVALID – qty variance: use Fail or Pass after CA",""),"")&amp;IF(AND(TRIM(U11)="Pass",TRIM(AB11)&lt;&gt;"",TRIM(AB11)&lt;&gt;"Closed"),"INVALID – corrective action not closed: use Fail, then Pass after CA","")&amp;IF(AND(TRIM(AA11)&lt;&gt;"",TRIM(AB11)=""),"INVALID – CA status missing for the recorded corrective action","")&amp;IF(AND(TRIM(U11)="Pass after CA",OR(TRIM(AA11)="",TRIM(AB11)&lt;&gt;"Closed")),"INVALID – corrective action not recorded/closed",""),IF(AND(AS11=1,Documents!$J$5&lt;&gt;"ON FILE"),"INVALID – GLD not on file (Documents sheet)",IF(AND(AS11=2,Documents!$O$5&lt;&gt;"ON FILE"),"INVALID – menu checklist not on file (Documents sheet)",IF(AND(AS11=3,NOT(ISNUMBER(Flights!$AX$5))),"INVALID – enter carrying flight KUL departure (Flights AX)",IF(AND(AS11=3,OR(Flights!$AX$5&gt;=Flights!$AA$5,Flights!$AX$5&lt;Flights!$AA$5-3)),"INVALID – Flights AX must be before this leg's STD (within 3 days)",IF(AG11&gt;AsOfUTC,"INVALID – completion time is in the future",IF(AND(ISNUMBER(S11),AG11&lt;S11),IF(H11="Physical uplift","INVALID – before uplift window (cannot confirm loading)","INVALID – before valid window"),IF(AG11&gt;Flights!$AA$5,"INVALID – completed after departure (cannot establish readiness)",IF(AND(H11="Physical uplift",AG11&gt;Q11),"INVALID – recorded after the loading flight departed",IF(AG11&gt;Q11,"COMPLETE – LATE","COMPLETE")))))))))))))))))),IF(TRIM(U11)="Fail","FAIL – DISCREPANCY",IF(AND(TRIM(U11)&lt;&gt;"",TRIM(U11)&lt;&gt;"Not started",TRIM(U11)&lt;&gt;"In progress"),"INVALID – unrecognised status (use the list)",IF(AsOfUTC&gt;Q11,"OVERDUE",IF(N11="Clarification required","OPEN – CLARIFICATION","OPEN")))))))</f>
        <v>OPEN</v>
      </c>
      <c r="AI11" s="61" t="n">
        <f aca="false">IF(OR(AH11="N/A – RULE",AH11="N/A – JUSTIFIED"),0,1)</f>
        <v>1</v>
      </c>
      <c r="AJ11" s="61" t="n">
        <f aca="false">IF(LEFT(AH11,8)="COMPLETE",1,0)</f>
        <v>0</v>
      </c>
      <c r="AK11" s="61" t="n">
        <f aca="false">IF(AND(AI11=1,AJ11=0,AsOfUTC&gt;Q11),1,0)</f>
        <v>0</v>
      </c>
      <c r="AL11" s="61" t="n">
        <f aca="false">IF(AND(AI11=1,OR(TRIM(U11)="Fail",AND(TRIM(AB11)&lt;&gt;"",TRIM(AB11)&lt;&gt;"Closed"),AND(ISNUMBER(AF11),AF11&lt;&gt;0,TRIM(U11)&lt;&gt;"Pass after CA"))),1,0)</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row>
    <row r="12" customFormat="false" ht="39.75" hidden="false" customHeight="true" outlineLevel="0" collapsed="false">
      <c r="A12" s="57" t="s">
        <v>373</v>
      </c>
      <c r="B12" s="57" t="s">
        <v>175</v>
      </c>
      <c r="C12" s="57" t="str">
        <f aca="false">Flights!$F$5</f>
        <v>MH0001</v>
      </c>
      <c r="D12" s="58" t="n">
        <f aca="false">Flights!$D$5</f>
        <v>46303</v>
      </c>
      <c r="E12" s="57" t="str">
        <f aca="false">Flights!$G$5&amp;"-"&amp;Flights!$H$5</f>
        <v>LHR-KUL</v>
      </c>
      <c r="F12" s="57" t="str">
        <f aca="false">Flights!$K$5</f>
        <v>EY</v>
      </c>
      <c r="G12" s="57" t="s">
        <v>76</v>
      </c>
      <c r="H12" s="57" t="s">
        <v>343</v>
      </c>
      <c r="I12" s="57" t="s">
        <v>370</v>
      </c>
      <c r="J12" s="57" t="s">
        <v>374</v>
      </c>
      <c r="K12" s="67" t="s">
        <v>372</v>
      </c>
      <c r="L12" s="67" t="s">
        <v>347</v>
      </c>
      <c r="M12" s="67"/>
      <c r="N12" s="67" t="s">
        <v>348</v>
      </c>
      <c r="O12" s="67"/>
      <c r="P12" s="57" t="s">
        <v>178</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59" t="n">
        <f aca="false">Q12-T7EarlyD*24/24</f>
        <v>46282.8576388889</v>
      </c>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IF(N12="N/A – rule","N/A – RULE",IF(TRIM(U12)="N/A",IF(AT12=0,"INVALID – N/A not permitted for this mandatory check",IF(AND(TRIM(AC12)&lt;&gt;"",TRIM(AE12)&lt;&gt;"",TRIM(T12)&lt;&gt;"",TRIM(AE12)&lt;&gt;TRIM(T12)),"N/A – JUSTIFIED","INVALID – N/A needs justification, PIC and a different verifier")),IF(OR(TRIM(U12)="Pass",TRIM(U12)="Pass after CA"),IF(NOT(ISNUMBER(AD12)),"INVALID – completion time missing",IF(TRIM(T12)="","INVALID – PIC missing",IF(TRIM(V12)="","INVALID – result / assessment missing",IF(TRIM(Z12)="","INVALID – evidence missing",IF(TRIM(AE12)="","INVALID – verifier missing",IF(TRIM(AE12)=TRIM(T12),"INVALID – verifier must be someone other than the PIC",IF(AND(AQ12=1,TRIM(W12)=""),"INVALID – batch ID missing",IF(AND(AR12=1,OR(NOT(ISNUMBER(X12)),NOT(ISNUMBER(Y12)))),"INVALID – expected/actual qty missing",IF(IF(AND(TRIM(U12)="Pass",ISNUMBER(AF12)),IF(AF12&lt;&gt;0,"INVALID – qty variance: use Fail or Pass after CA",""),"")&amp;IF(AND(TRIM(U12)="Pass",TRIM(AB12)&lt;&gt;"",TRIM(AB12)&lt;&gt;"Closed"),"INVALID – corrective action not closed: use Fail, then Pass after CA","")&amp;IF(AND(TRIM(AA12)&lt;&gt;"",TRIM(AB12)=""),"INVALID – CA status missing for the recorded corrective action","")&amp;IF(AND(TRIM(U12)="Pass after CA",OR(TRIM(AA12)="",TRIM(AB12)&lt;&gt;"Closed")),"INVALID – corrective action not recorded/closed","")&lt;&gt;"",IF(AND(TRIM(U12)="Pass",ISNUMBER(AF12)),IF(AF12&lt;&gt;0,"INVALID – qty variance: use Fail or Pass after CA",""),"")&amp;IF(AND(TRIM(U12)="Pass",TRIM(AB12)&lt;&gt;"",TRIM(AB12)&lt;&gt;"Closed"),"INVALID – corrective action not closed: use Fail, then Pass after CA","")&amp;IF(AND(TRIM(AA12)&lt;&gt;"",TRIM(AB12)=""),"INVALID – CA status missing for the recorded corrective action","")&amp;IF(AND(TRIM(U12)="Pass after CA",OR(TRIM(AA12)="",TRIM(AB12)&lt;&gt;"Closed")),"INVALID – corrective action not recorded/closed",""),IF(AND(AS12=1,Documents!$J$5&lt;&gt;"ON FILE"),"INVALID – GLD not on file (Documents sheet)",IF(AND(AS12=2,Documents!$O$5&lt;&gt;"ON FILE"),"INVALID – menu checklist not on file (Documents sheet)",IF(AND(AS12=3,NOT(ISNUMBER(Flights!$AX$5))),"INVALID – enter carrying flight KUL departure (Flights AX)",IF(AND(AS12=3,OR(Flights!$AX$5&gt;=Flights!$AA$5,Flights!$AX$5&lt;Flights!$AA$5-3)),"INVALID – Flights AX must be before this leg's STD (within 3 days)",IF(AG12&gt;AsOfUTC,"INVALID – completion time is in the future",IF(AND(ISNUMBER(S12),AG12&lt;S12),IF(H12="Physical uplift","INVALID – before uplift window (cannot confirm loading)","INVALID – before valid window"),IF(AG12&gt;Flights!$AA$5,"INVALID – completed after departure (cannot establish readiness)",IF(AND(H12="Physical uplift",AG12&gt;Q12),"INVALID – recorded after the loading flight departed",IF(AG12&gt;Q12,"COMPLETE – LATE","COMPLETE")))))))))))))))))),IF(TRIM(U12)="Fail","FAIL – DISCREPANCY",IF(AND(TRIM(U12)&lt;&gt;"",TRIM(U12)&lt;&gt;"Not started",TRIM(U12)&lt;&gt;"In progress"),"INVALID – unrecognised status (use the list)",IF(AsOfUTC&gt;Q12,"OVERDUE",IF(N12="Clarification required","OPEN – CLARIFICATION","OPEN")))))))</f>
        <v>OPEN</v>
      </c>
      <c r="AI12" s="61" t="n">
        <f aca="false">IF(OR(AH12="N/A – RULE",AH12="N/A – JUSTIFIED"),0,1)</f>
        <v>1</v>
      </c>
      <c r="AJ12" s="61" t="n">
        <f aca="false">IF(LEFT(AH12,8)="COMPLETE",1,0)</f>
        <v>0</v>
      </c>
      <c r="AK12" s="61" t="n">
        <f aca="false">IF(AND(AI12=1,AJ12=0,AsOfUTC&gt;Q12),1,0)</f>
        <v>0</v>
      </c>
      <c r="AL12" s="61" t="n">
        <f aca="false">IF(AND(AI12=1,OR(TRIM(U12)="Fail",AND(TRIM(AB12)&lt;&gt;"",TRIM(AB12)&lt;&gt;"Closed"),AND(ISNUMBER(AF12),AF12&lt;&gt;0,TRIM(U12)&lt;&gt;"Pass after CA"))),1,0)</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row>
    <row r="13" customFormat="false" ht="39.75" hidden="false" customHeight="true" outlineLevel="0" collapsed="false">
      <c r="A13" s="57" t="s">
        <v>375</v>
      </c>
      <c r="B13" s="57" t="s">
        <v>175</v>
      </c>
      <c r="C13" s="57" t="str">
        <f aca="false">Flights!$F$5</f>
        <v>MH0001</v>
      </c>
      <c r="D13" s="58" t="n">
        <f aca="false">Flights!$D$5</f>
        <v>46303</v>
      </c>
      <c r="E13" s="57" t="str">
        <f aca="false">Flights!$G$5&amp;"-"&amp;Flights!$H$5</f>
        <v>LHR-KUL</v>
      </c>
      <c r="F13" s="57" t="str">
        <f aca="false">Flights!$K$5</f>
        <v>EY</v>
      </c>
      <c r="G13" s="57" t="s">
        <v>76</v>
      </c>
      <c r="H13" s="57" t="s">
        <v>343</v>
      </c>
      <c r="I13" s="57" t="s">
        <v>376</v>
      </c>
      <c r="J13" s="57" t="s">
        <v>377</v>
      </c>
      <c r="K13" s="67" t="s">
        <v>378</v>
      </c>
      <c r="L13" s="67" t="s">
        <v>379</v>
      </c>
      <c r="M13" s="67"/>
      <c r="N13" s="67" t="s">
        <v>348</v>
      </c>
      <c r="O13" s="67"/>
      <c r="P13" s="57" t="s">
        <v>178</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59" t="n">
        <f aca="false">Q13-T7EarlyD*24/24</f>
        <v>46282.8576388889</v>
      </c>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IF(N13="N/A – rule","N/A – RULE",IF(TRIM(U13)="N/A",IF(AT13=0,"INVALID – N/A not permitted for this mandatory check",IF(AND(TRIM(AC13)&lt;&gt;"",TRIM(AE13)&lt;&gt;"",TRIM(T13)&lt;&gt;"",TRIM(AE13)&lt;&gt;TRIM(T13)),"N/A – JUSTIFIED","INVALID – N/A needs justification, PIC and a different verifier")),IF(OR(TRIM(U13)="Pass",TRIM(U13)="Pass after CA"),IF(NOT(ISNUMBER(AD13)),"INVALID – completion time missing",IF(TRIM(T13)="","INVALID – PIC missing",IF(TRIM(V13)="","INVALID – result / assessment missing",IF(TRIM(Z13)="","INVALID – evidence missing",IF(TRIM(AE13)="","INVALID – verifier missing",IF(TRIM(AE13)=TRIM(T13),"INVALID – verifier must be someone other than the PIC",IF(AND(AQ13=1,TRIM(W13)=""),"INVALID – batch ID missing",IF(AND(AR13=1,OR(NOT(ISNUMBER(X13)),NOT(ISNUMBER(Y13)))),"INVALID – expected/actual qty missing",IF(IF(AND(TRIM(U13)="Pass",ISNUMBER(AF13)),IF(AF13&lt;&gt;0,"INVALID – qty variance: use Fail or Pass after CA",""),"")&amp;IF(AND(TRIM(U13)="Pass",TRIM(AB13)&lt;&gt;"",TRIM(AB13)&lt;&gt;"Closed"),"INVALID – corrective action not closed: use Fail, then Pass after CA","")&amp;IF(AND(TRIM(AA13)&lt;&gt;"",TRIM(AB13)=""),"INVALID – CA status missing for the recorded corrective action","")&amp;IF(AND(TRIM(U13)="Pass after CA",OR(TRIM(AA13)="",TRIM(AB13)&lt;&gt;"Closed")),"INVALID – corrective action not recorded/closed","")&lt;&gt;"",IF(AND(TRIM(U13)="Pass",ISNUMBER(AF13)),IF(AF13&lt;&gt;0,"INVALID – qty variance: use Fail or Pass after CA",""),"")&amp;IF(AND(TRIM(U13)="Pass",TRIM(AB13)&lt;&gt;"",TRIM(AB13)&lt;&gt;"Closed"),"INVALID – corrective action not closed: use Fail, then Pass after CA","")&amp;IF(AND(TRIM(AA13)&lt;&gt;"",TRIM(AB13)=""),"INVALID – CA status missing for the recorded corrective action","")&amp;IF(AND(TRIM(U13)="Pass after CA",OR(TRIM(AA13)="",TRIM(AB13)&lt;&gt;"Closed")),"INVALID – corrective action not recorded/closed",""),IF(AND(AS13=1,Documents!$J$5&lt;&gt;"ON FILE"),"INVALID – GLD not on file (Documents sheet)",IF(AND(AS13=2,Documents!$O$5&lt;&gt;"ON FILE"),"INVALID – menu checklist not on file (Documents sheet)",IF(AND(AS13=3,NOT(ISNUMBER(Flights!$AX$5))),"INVALID – enter carrying flight KUL departure (Flights AX)",IF(AND(AS13=3,OR(Flights!$AX$5&gt;=Flights!$AA$5,Flights!$AX$5&lt;Flights!$AA$5-3)),"INVALID – Flights AX must be before this leg's STD (within 3 days)",IF(AG13&gt;AsOfUTC,"INVALID – completion time is in the future",IF(AND(ISNUMBER(S13),AG13&lt;S13),IF(H13="Physical uplift","INVALID – before uplift window (cannot confirm loading)","INVALID – before valid window"),IF(AG13&gt;Flights!$AA$5,"INVALID – completed after departure (cannot establish readiness)",IF(AND(H13="Physical uplift",AG13&gt;Q13),"INVALID – recorded after the loading flight departed",IF(AG13&gt;Q13,"COMPLETE – LATE","COMPLETE")))))))))))))))))),IF(TRIM(U13)="Fail","FAIL – DISCREPANCY",IF(AND(TRIM(U13)&lt;&gt;"",TRIM(U13)&lt;&gt;"Not started",TRIM(U13)&lt;&gt;"In progress"),"INVALID – unrecognised status (use the list)",IF(AsOfUTC&gt;Q13,"OVERDUE",IF(N13="Clarification required","OPEN – CLARIFICATION","OPEN")))))))</f>
        <v>OPEN</v>
      </c>
      <c r="AI13" s="61" t="n">
        <f aca="false">IF(OR(AH13="N/A – RULE",AH13="N/A – JUSTIFIED"),0,1)</f>
        <v>1</v>
      </c>
      <c r="AJ13" s="61" t="n">
        <f aca="false">IF(LEFT(AH13,8)="COMPLETE",1,0)</f>
        <v>0</v>
      </c>
      <c r="AK13" s="61" t="n">
        <f aca="false">IF(AND(AI13=1,AJ13=0,AsOfUTC&gt;Q13),1,0)</f>
        <v>0</v>
      </c>
      <c r="AL13" s="61" t="n">
        <f aca="false">IF(AND(AI13=1,OR(TRIM(U13)="Fail",AND(TRIM(AB13)&lt;&gt;"",TRIM(AB13)&lt;&gt;"Closed"),AND(ISNUMBER(AF13),AF13&lt;&gt;0,TRIM(U13)&lt;&gt;"Pass after CA"))),1,0)</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row>
    <row r="14" customFormat="false" ht="39.75" hidden="false" customHeight="true" outlineLevel="0" collapsed="false">
      <c r="A14" s="57" t="s">
        <v>380</v>
      </c>
      <c r="B14" s="57" t="s">
        <v>175</v>
      </c>
      <c r="C14" s="57" t="str">
        <f aca="false">Flights!$F$5</f>
        <v>MH0001</v>
      </c>
      <c r="D14" s="58" t="n">
        <f aca="false">Flights!$D$5</f>
        <v>46303</v>
      </c>
      <c r="E14" s="57" t="str">
        <f aca="false">Flights!$G$5&amp;"-"&amp;Flights!$H$5</f>
        <v>LHR-KUL</v>
      </c>
      <c r="F14" s="57" t="str">
        <f aca="false">Flights!$K$5</f>
        <v>EY</v>
      </c>
      <c r="G14" s="57" t="s">
        <v>78</v>
      </c>
      <c r="H14" s="57" t="s">
        <v>343</v>
      </c>
      <c r="I14" s="57" t="s">
        <v>344</v>
      </c>
      <c r="J14" s="57" t="s">
        <v>381</v>
      </c>
      <c r="K14" s="67" t="s">
        <v>382</v>
      </c>
      <c r="L14" s="67" t="s">
        <v>383</v>
      </c>
      <c r="M14" s="67"/>
      <c r="N14" s="67" t="s">
        <v>348</v>
      </c>
      <c r="O14" s="67"/>
      <c r="P14" s="57" t="s">
        <v>178</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59" t="n">
        <f aca="false">Q14-T24EarlyH/24</f>
        <v>46301.8576388889</v>
      </c>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IF(N14="N/A – rule","N/A – RULE",IF(TRIM(U14)="N/A",IF(AT14=0,"INVALID – N/A not permitted for this mandatory check",IF(AND(TRIM(AC14)&lt;&gt;"",TRIM(AE14)&lt;&gt;"",TRIM(T14)&lt;&gt;"",TRIM(AE14)&lt;&gt;TRIM(T14)),"N/A – JUSTIFIED","INVALID – N/A needs justification, PIC and a different verifier")),IF(OR(TRIM(U14)="Pass",TRIM(U14)="Pass after CA"),IF(NOT(ISNUMBER(AD14)),"INVALID – completion time missing",IF(TRIM(T14)="","INVALID – PIC missing",IF(TRIM(V14)="","INVALID – result / assessment missing",IF(TRIM(Z14)="","INVALID – evidence missing",IF(TRIM(AE14)="","INVALID – verifier missing",IF(TRIM(AE14)=TRIM(T14),"INVALID – verifier must be someone other than the PIC",IF(AND(AQ14=1,TRIM(W14)=""),"INVALID – batch ID missing",IF(AND(AR14=1,OR(NOT(ISNUMBER(X14)),NOT(ISNUMBER(Y14)))),"INVALID – expected/actual qty missing",IF(IF(AND(TRIM(U14)="Pass",ISNUMBER(AF14)),IF(AF14&lt;&gt;0,"INVALID – qty variance: use Fail or Pass after CA",""),"")&amp;IF(AND(TRIM(U14)="Pass",TRIM(AB14)&lt;&gt;"",TRIM(AB14)&lt;&gt;"Closed"),"INVALID – corrective action not closed: use Fail, then Pass after CA","")&amp;IF(AND(TRIM(AA14)&lt;&gt;"",TRIM(AB14)=""),"INVALID – CA status missing for the recorded corrective action","")&amp;IF(AND(TRIM(U14)="Pass after CA",OR(TRIM(AA14)="",TRIM(AB14)&lt;&gt;"Closed")),"INVALID – corrective action not recorded/closed","")&lt;&gt;"",IF(AND(TRIM(U14)="Pass",ISNUMBER(AF14)),IF(AF14&lt;&gt;0,"INVALID – qty variance: use Fail or Pass after CA",""),"")&amp;IF(AND(TRIM(U14)="Pass",TRIM(AB14)&lt;&gt;"",TRIM(AB14)&lt;&gt;"Closed"),"INVALID – corrective action not closed: use Fail, then Pass after CA","")&amp;IF(AND(TRIM(AA14)&lt;&gt;"",TRIM(AB14)=""),"INVALID – CA status missing for the recorded corrective action","")&amp;IF(AND(TRIM(U14)="Pass after CA",OR(TRIM(AA14)="",TRIM(AB14)&lt;&gt;"Closed")),"INVALID – corrective action not recorded/closed",""),IF(AND(AS14=1,Documents!$J$5&lt;&gt;"ON FILE"),"INVALID – GLD not on file (Documents sheet)",IF(AND(AS14=2,Documents!$O$5&lt;&gt;"ON FILE"),"INVALID – menu checklist not on file (Documents sheet)",IF(AND(AS14=3,NOT(ISNUMBER(Flights!$AX$5))),"INVALID – enter carrying flight KUL departure (Flights AX)",IF(AND(AS14=3,OR(Flights!$AX$5&gt;=Flights!$AA$5,Flights!$AX$5&lt;Flights!$AA$5-3)),"INVALID – Flights AX must be before this leg's STD (within 3 days)",IF(AG14&gt;AsOfUTC,"INVALID – completion time is in the future",IF(AND(ISNUMBER(S14),AG14&lt;S14),IF(H14="Physical uplift","INVALID – before uplift window (cannot confirm loading)","INVALID – before valid window"),IF(AG14&gt;Flights!$AA$5,"INVALID – completed after departure (cannot establish readiness)",IF(AND(H14="Physical uplift",AG14&gt;Q14),"INVALID – recorded after the loading flight departed",IF(AG14&gt;Q14,"COMPLETE – LATE","COMPLETE")))))))))))))))))),IF(TRIM(U14)="Fail","FAIL – DISCREPANCY",IF(AND(TRIM(U14)&lt;&gt;"",TRIM(U14)&lt;&gt;"Not started",TRIM(U14)&lt;&gt;"In progress"),"INVALID – unrecognised status (use the list)",IF(AsOfUTC&gt;Q14,"OVERDUE",IF(N14="Clarification required","OPEN – CLARIFICATION","OPEN")))))))</f>
        <v>OPEN</v>
      </c>
      <c r="AI14" s="61" t="n">
        <f aca="false">IF(OR(AH14="N/A – RULE",AH14="N/A – JUSTIFIED"),0,1)</f>
        <v>1</v>
      </c>
      <c r="AJ14" s="61" t="n">
        <f aca="false">IF(LEFT(AH14,8)="COMPLETE",1,0)</f>
        <v>0</v>
      </c>
      <c r="AK14" s="61" t="n">
        <f aca="false">IF(AND(AI14=1,AJ14=0,AsOfUTC&gt;Q14),1,0)</f>
        <v>0</v>
      </c>
      <c r="AL14" s="61" t="n">
        <f aca="false">IF(AND(AI14=1,OR(TRIM(U14)="Fail",AND(TRIM(AB14)&lt;&gt;"",TRIM(AB14)&lt;&gt;"Closed"),AND(ISNUMBER(AF14),AF14&lt;&gt;0,TRIM(U14)&lt;&gt;"Pass after CA"))),1,0)</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row>
    <row r="15" customFormat="false" ht="39.75" hidden="false" customHeight="true" outlineLevel="0" collapsed="false">
      <c r="A15" s="57" t="s">
        <v>384</v>
      </c>
      <c r="B15" s="57" t="s">
        <v>175</v>
      </c>
      <c r="C15" s="57" t="str">
        <f aca="false">Flights!$F$5</f>
        <v>MH0001</v>
      </c>
      <c r="D15" s="58" t="n">
        <f aca="false">Flights!$D$5</f>
        <v>46303</v>
      </c>
      <c r="E15" s="57" t="str">
        <f aca="false">Flights!$G$5&amp;"-"&amp;Flights!$H$5</f>
        <v>LHR-KUL</v>
      </c>
      <c r="F15" s="57" t="str">
        <f aca="false">Flights!$K$5</f>
        <v>EY</v>
      </c>
      <c r="G15" s="57" t="s">
        <v>385</v>
      </c>
      <c r="H15" s="57" t="s">
        <v>343</v>
      </c>
      <c r="I15" s="57" t="s">
        <v>344</v>
      </c>
      <c r="J15" s="57" t="s">
        <v>386</v>
      </c>
      <c r="K15" s="67"/>
      <c r="L15" s="67" t="s">
        <v>387</v>
      </c>
      <c r="M15" s="67"/>
      <c r="N15" s="67" t="s">
        <v>348</v>
      </c>
      <c r="O15" s="67" t="s">
        <v>388</v>
      </c>
      <c r="P15" s="57" t="s">
        <v>178</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59" t="n">
        <f aca="false">Q15-T12EarlyH/24</f>
        <v>46302.8576388889</v>
      </c>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IF(N15="N/A – rule","N/A – RULE",IF(TRIM(U15)="N/A",IF(AT15=0,"INVALID – N/A not permitted for this mandatory check",IF(AND(TRIM(AC15)&lt;&gt;"",TRIM(AE15)&lt;&gt;"",TRIM(T15)&lt;&gt;"",TRIM(AE15)&lt;&gt;TRIM(T15)),"N/A – JUSTIFIED","INVALID – N/A needs justification, PIC and a different verifier")),IF(OR(TRIM(U15)="Pass",TRIM(U15)="Pass after CA"),IF(NOT(ISNUMBER(AD15)),"INVALID – completion time missing",IF(TRIM(T15)="","INVALID – PIC missing",IF(TRIM(V15)="","INVALID – result / assessment missing",IF(TRIM(Z15)="","INVALID – evidence missing",IF(TRIM(AE15)="","INVALID – verifier missing",IF(TRIM(AE15)=TRIM(T15),"INVALID – verifier must be someone other than the PIC",IF(AND(AQ15=1,TRIM(W15)=""),"INVALID – batch ID missing",IF(AND(AR15=1,OR(NOT(ISNUMBER(X15)),NOT(ISNUMBER(Y15)))),"INVALID – expected/actual qty missing",IF(IF(AND(TRIM(U15)="Pass",ISNUMBER(AF15)),IF(AF15&lt;&gt;0,"INVALID – qty variance: use Fail or Pass after CA",""),"")&amp;IF(AND(TRIM(U15)="Pass",TRIM(AB15)&lt;&gt;"",TRIM(AB15)&lt;&gt;"Closed"),"INVALID – corrective action not closed: use Fail, then Pass after CA","")&amp;IF(AND(TRIM(AA15)&lt;&gt;"",TRIM(AB15)=""),"INVALID – CA status missing for the recorded corrective action","")&amp;IF(AND(TRIM(U15)="Pass after CA",OR(TRIM(AA15)="",TRIM(AB15)&lt;&gt;"Closed")),"INVALID – corrective action not recorded/closed","")&lt;&gt;"",IF(AND(TRIM(U15)="Pass",ISNUMBER(AF15)),IF(AF15&lt;&gt;0,"INVALID – qty variance: use Fail or Pass after CA",""),"")&amp;IF(AND(TRIM(U15)="Pass",TRIM(AB15)&lt;&gt;"",TRIM(AB15)&lt;&gt;"Closed"),"INVALID – corrective action not closed: use Fail, then Pass after CA","")&amp;IF(AND(TRIM(AA15)&lt;&gt;"",TRIM(AB15)=""),"INVALID – CA status missing for the recorded corrective action","")&amp;IF(AND(TRIM(U15)="Pass after CA",OR(TRIM(AA15)="",TRIM(AB15)&lt;&gt;"Closed")),"INVALID – corrective action not recorded/closed",""),IF(AND(AS15=1,Documents!$J$5&lt;&gt;"ON FILE"),"INVALID – GLD not on file (Documents sheet)",IF(AND(AS15=2,Documents!$O$5&lt;&gt;"ON FILE"),"INVALID – menu checklist not on file (Documents sheet)",IF(AND(AS15=3,NOT(ISNUMBER(Flights!$AX$5))),"INVALID – enter carrying flight KUL departure (Flights AX)",IF(AND(AS15=3,OR(Flights!$AX$5&gt;=Flights!$AA$5,Flights!$AX$5&lt;Flights!$AA$5-3)),"INVALID – Flights AX must be before this leg's STD (within 3 days)",IF(AG15&gt;AsOfUTC,"INVALID – completion time is in the future",IF(AND(ISNUMBER(S15),AG15&lt;S15),IF(H15="Physical uplift","INVALID – before uplift window (cannot confirm loading)","INVALID – before valid window"),IF(AG15&gt;Flights!$AA$5,"INVALID – completed after departure (cannot establish readiness)",IF(AND(H15="Physical uplift",AG15&gt;Q15),"INVALID – recorded after the loading flight departed",IF(AG15&gt;Q15,"COMPLETE – LATE","COMPLETE")))))))))))))))))),IF(TRIM(U15)="Fail","FAIL – DISCREPANCY",IF(AND(TRIM(U15)&lt;&gt;"",TRIM(U15)&lt;&gt;"Not started",TRIM(U15)&lt;&gt;"In progress"),"INVALID – unrecognised status (use the list)",IF(AsOfUTC&gt;Q15,"OVERDUE",IF(N15="Clarification required","OPEN – CLARIFICATION","OPEN")))))))</f>
        <v>OPEN</v>
      </c>
      <c r="AI15" s="61" t="n">
        <f aca="false">IF(OR(AH15="N/A – RULE",AH15="N/A – JUSTIFIED"),0,1)</f>
        <v>1</v>
      </c>
      <c r="AJ15" s="61" t="n">
        <f aca="false">IF(LEFT(AH15,8)="COMPLETE",1,0)</f>
        <v>0</v>
      </c>
      <c r="AK15" s="61" t="n">
        <f aca="false">IF(AND(AI15=1,AJ15=0,AsOfUTC&gt;Q15),1,0)</f>
        <v>0</v>
      </c>
      <c r="AL15" s="61" t="n">
        <f aca="false">IF(AND(AI15=1,OR(TRIM(U15)="Fail",AND(TRIM(AB15)&lt;&gt;"",TRIM(AB15)&lt;&gt;"Closed"),AND(ISNUMBER(AF15),AF15&lt;&gt;0,TRIM(U15)&lt;&gt;"Pass after CA"))),1,0)</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row>
    <row r="16" customFormat="false" ht="39.75" hidden="false" customHeight="true" outlineLevel="0" collapsed="false">
      <c r="A16" s="57" t="s">
        <v>389</v>
      </c>
      <c r="B16" s="57" t="s">
        <v>175</v>
      </c>
      <c r="C16" s="57" t="str">
        <f aca="false">Flights!$F$5</f>
        <v>MH0001</v>
      </c>
      <c r="D16" s="58" t="n">
        <f aca="false">Flights!$D$5</f>
        <v>46303</v>
      </c>
      <c r="E16" s="57" t="str">
        <f aca="false">Flights!$G$5&amp;"-"&amp;Flights!$H$5</f>
        <v>LHR-KUL</v>
      </c>
      <c r="F16" s="57" t="str">
        <f aca="false">Flights!$K$5</f>
        <v>EY</v>
      </c>
      <c r="G16" s="57" t="s">
        <v>385</v>
      </c>
      <c r="H16" s="57" t="s">
        <v>343</v>
      </c>
      <c r="I16" s="57" t="s">
        <v>344</v>
      </c>
      <c r="J16" s="57" t="s">
        <v>390</v>
      </c>
      <c r="K16" s="67" t="s">
        <v>391</v>
      </c>
      <c r="L16" s="67" t="s">
        <v>387</v>
      </c>
      <c r="M16" s="67"/>
      <c r="N16" s="67" t="s">
        <v>348</v>
      </c>
      <c r="O16" s="67" t="s">
        <v>388</v>
      </c>
      <c r="P16" s="57" t="s">
        <v>178</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59" t="n">
        <f aca="false">Q16-T12EarlyH/24</f>
        <v>46302.8576388889</v>
      </c>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IF(N16="N/A – rule","N/A – RULE",IF(TRIM(U16)="N/A",IF(AT16=0,"INVALID – N/A not permitted for this mandatory check",IF(AND(TRIM(AC16)&lt;&gt;"",TRIM(AE16)&lt;&gt;"",TRIM(T16)&lt;&gt;"",TRIM(AE16)&lt;&gt;TRIM(T16)),"N/A – JUSTIFIED","INVALID – N/A needs justification, PIC and a different verifier")),IF(OR(TRIM(U16)="Pass",TRIM(U16)="Pass after CA"),IF(NOT(ISNUMBER(AD16)),"INVALID – completion time missing",IF(TRIM(T16)="","INVALID – PIC missing",IF(TRIM(V16)="","INVALID – result / assessment missing",IF(TRIM(Z16)="","INVALID – evidence missing",IF(TRIM(AE16)="","INVALID – verifier missing",IF(TRIM(AE16)=TRIM(T16),"INVALID – verifier must be someone other than the PIC",IF(AND(AQ16=1,TRIM(W16)=""),"INVALID – batch ID missing",IF(AND(AR16=1,OR(NOT(ISNUMBER(X16)),NOT(ISNUMBER(Y16)))),"INVALID – expected/actual qty missing",IF(IF(AND(TRIM(U16)="Pass",ISNUMBER(AF16)),IF(AF16&lt;&gt;0,"INVALID – qty variance: use Fail or Pass after CA",""),"")&amp;IF(AND(TRIM(U16)="Pass",TRIM(AB16)&lt;&gt;"",TRIM(AB16)&lt;&gt;"Closed"),"INVALID – corrective action not closed: use Fail, then Pass after CA","")&amp;IF(AND(TRIM(AA16)&lt;&gt;"",TRIM(AB16)=""),"INVALID – CA status missing for the recorded corrective action","")&amp;IF(AND(TRIM(U16)="Pass after CA",OR(TRIM(AA16)="",TRIM(AB16)&lt;&gt;"Closed")),"INVALID – corrective action not recorded/closed","")&lt;&gt;"",IF(AND(TRIM(U16)="Pass",ISNUMBER(AF16)),IF(AF16&lt;&gt;0,"INVALID – qty variance: use Fail or Pass after CA",""),"")&amp;IF(AND(TRIM(U16)="Pass",TRIM(AB16)&lt;&gt;"",TRIM(AB16)&lt;&gt;"Closed"),"INVALID – corrective action not closed: use Fail, then Pass after CA","")&amp;IF(AND(TRIM(AA16)&lt;&gt;"",TRIM(AB16)=""),"INVALID – CA status missing for the recorded corrective action","")&amp;IF(AND(TRIM(U16)="Pass after CA",OR(TRIM(AA16)="",TRIM(AB16)&lt;&gt;"Closed")),"INVALID – corrective action not recorded/closed",""),IF(AND(AS16=1,Documents!$J$5&lt;&gt;"ON FILE"),"INVALID – GLD not on file (Documents sheet)",IF(AND(AS16=2,Documents!$O$5&lt;&gt;"ON FILE"),"INVALID – menu checklist not on file (Documents sheet)",IF(AND(AS16=3,NOT(ISNUMBER(Flights!$AX$5))),"INVALID – enter carrying flight KUL departure (Flights AX)",IF(AND(AS16=3,OR(Flights!$AX$5&gt;=Flights!$AA$5,Flights!$AX$5&lt;Flights!$AA$5-3)),"INVALID – Flights AX must be before this leg's STD (within 3 days)",IF(AG16&gt;AsOfUTC,"INVALID – completion time is in the future",IF(AND(ISNUMBER(S16),AG16&lt;S16),IF(H16="Physical uplift","INVALID – before uplift window (cannot confirm loading)","INVALID – before valid window"),IF(AG16&gt;Flights!$AA$5,"INVALID – completed after departure (cannot establish readiness)",IF(AND(H16="Physical uplift",AG16&gt;Q16),"INVALID – recorded after the loading flight departed",IF(AG16&gt;Q16,"COMPLETE – LATE","COMPLETE")))))))))))))))))),IF(TRIM(U16)="Fail","FAIL – DISCREPANCY",IF(AND(TRIM(U16)&lt;&gt;"",TRIM(U16)&lt;&gt;"Not started",TRIM(U16)&lt;&gt;"In progress"),"INVALID – unrecognised status (use the list)",IF(AsOfUTC&gt;Q16,"OVERDUE",IF(N16="Clarification required","OPEN – CLARIFICATION","OPEN")))))))</f>
        <v>OPEN</v>
      </c>
      <c r="AI16" s="61" t="n">
        <f aca="false">IF(OR(AH16="N/A – RULE",AH16="N/A – JUSTIFIED"),0,1)</f>
        <v>1</v>
      </c>
      <c r="AJ16" s="61" t="n">
        <f aca="false">IF(LEFT(AH16,8)="COMPLETE",1,0)</f>
        <v>0</v>
      </c>
      <c r="AK16" s="61" t="n">
        <f aca="false">IF(AND(AI16=1,AJ16=0,AsOfUTC&gt;Q16),1,0)</f>
        <v>0</v>
      </c>
      <c r="AL16" s="61" t="n">
        <f aca="false">IF(AND(AI16=1,OR(TRIM(U16)="Fail",AND(TRIM(AB16)&lt;&gt;"",TRIM(AB16)&lt;&gt;"Closed"),AND(ISNUMBER(AF16),AF16&lt;&gt;0,TRIM(U16)&lt;&gt;"Pass after CA"))),1,0)</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row>
    <row r="17" customFormat="false" ht="39.75" hidden="false" customHeight="true" outlineLevel="0" collapsed="false">
      <c r="A17" s="57" t="s">
        <v>392</v>
      </c>
      <c r="B17" s="57" t="s">
        <v>175</v>
      </c>
      <c r="C17" s="57" t="str">
        <f aca="false">Flights!$F$5</f>
        <v>MH0001</v>
      </c>
      <c r="D17" s="58" t="n">
        <f aca="false">Flights!$D$5</f>
        <v>46303</v>
      </c>
      <c r="E17" s="57" t="str">
        <f aca="false">Flights!$G$5&amp;"-"&amp;Flights!$H$5</f>
        <v>LHR-KUL</v>
      </c>
      <c r="F17" s="57" t="str">
        <f aca="false">Flights!$K$5</f>
        <v>EY</v>
      </c>
      <c r="G17" s="57" t="s">
        <v>385</v>
      </c>
      <c r="H17" s="57" t="s">
        <v>343</v>
      </c>
      <c r="I17" s="57" t="s">
        <v>393</v>
      </c>
      <c r="J17" s="57" t="s">
        <v>394</v>
      </c>
      <c r="K17" s="67"/>
      <c r="L17" s="67" t="s">
        <v>387</v>
      </c>
      <c r="M17" s="67"/>
      <c r="N17" s="67" t="s">
        <v>348</v>
      </c>
      <c r="O17" s="67" t="s">
        <v>388</v>
      </c>
      <c r="P17" s="57" t="s">
        <v>178</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59" t="n">
        <f aca="false">Q17-T12EarlyH/24</f>
        <v>46302.8576388889</v>
      </c>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IF(N17="N/A – rule","N/A – RULE",IF(TRIM(U17)="N/A",IF(AT17=0,"INVALID – N/A not permitted for this mandatory check",IF(AND(TRIM(AC17)&lt;&gt;"",TRIM(AE17)&lt;&gt;"",TRIM(T17)&lt;&gt;"",TRIM(AE17)&lt;&gt;TRIM(T17)),"N/A – JUSTIFIED","INVALID – N/A needs justification, PIC and a different verifier")),IF(OR(TRIM(U17)="Pass",TRIM(U17)="Pass after CA"),IF(NOT(ISNUMBER(AD17)),"INVALID – completion time missing",IF(TRIM(T17)="","INVALID – PIC missing",IF(TRIM(V17)="","INVALID – result / assessment missing",IF(TRIM(Z17)="","INVALID – evidence missing",IF(TRIM(AE17)="","INVALID – verifier missing",IF(TRIM(AE17)=TRIM(T17),"INVALID – verifier must be someone other than the PIC",IF(AND(AQ17=1,TRIM(W17)=""),"INVALID – batch ID missing",IF(AND(AR17=1,OR(NOT(ISNUMBER(X17)),NOT(ISNUMBER(Y17)))),"INVALID – expected/actual qty missing",IF(IF(AND(TRIM(U17)="Pass",ISNUMBER(AF17)),IF(AF17&lt;&gt;0,"INVALID – qty variance: use Fail or Pass after CA",""),"")&amp;IF(AND(TRIM(U17)="Pass",TRIM(AB17)&lt;&gt;"",TRIM(AB17)&lt;&gt;"Closed"),"INVALID – corrective action not closed: use Fail, then Pass after CA","")&amp;IF(AND(TRIM(AA17)&lt;&gt;"",TRIM(AB17)=""),"INVALID – CA status missing for the recorded corrective action","")&amp;IF(AND(TRIM(U17)="Pass after CA",OR(TRIM(AA17)="",TRIM(AB17)&lt;&gt;"Closed")),"INVALID – corrective action not recorded/closed","")&lt;&gt;"",IF(AND(TRIM(U17)="Pass",ISNUMBER(AF17)),IF(AF17&lt;&gt;0,"INVALID – qty variance: use Fail or Pass after CA",""),"")&amp;IF(AND(TRIM(U17)="Pass",TRIM(AB17)&lt;&gt;"",TRIM(AB17)&lt;&gt;"Closed"),"INVALID – corrective action not closed: use Fail, then Pass after CA","")&amp;IF(AND(TRIM(AA17)&lt;&gt;"",TRIM(AB17)=""),"INVALID – CA status missing for the recorded corrective action","")&amp;IF(AND(TRIM(U17)="Pass after CA",OR(TRIM(AA17)="",TRIM(AB17)&lt;&gt;"Closed")),"INVALID – corrective action not recorded/closed",""),IF(AND(AS17=1,Documents!$J$5&lt;&gt;"ON FILE"),"INVALID – GLD not on file (Documents sheet)",IF(AND(AS17=2,Documents!$O$5&lt;&gt;"ON FILE"),"INVALID – menu checklist not on file (Documents sheet)",IF(AND(AS17=3,NOT(ISNUMBER(Flights!$AX$5))),"INVALID – enter carrying flight KUL departure (Flights AX)",IF(AND(AS17=3,OR(Flights!$AX$5&gt;=Flights!$AA$5,Flights!$AX$5&lt;Flights!$AA$5-3)),"INVALID – Flights AX must be before this leg's STD (within 3 days)",IF(AG17&gt;AsOfUTC,"INVALID – completion time is in the future",IF(AND(ISNUMBER(S17),AG17&lt;S17),IF(H17="Physical uplift","INVALID – before uplift window (cannot confirm loading)","INVALID – before valid window"),IF(AG17&gt;Flights!$AA$5,"INVALID – completed after departure (cannot establish readiness)",IF(AND(H17="Physical uplift",AG17&gt;Q17),"INVALID – recorded after the loading flight departed",IF(AG17&gt;Q17,"COMPLETE – LATE","COMPLETE")))))))))))))))))),IF(TRIM(U17)="Fail","FAIL – DISCREPANCY",IF(AND(TRIM(U17)&lt;&gt;"",TRIM(U17)&lt;&gt;"Not started",TRIM(U17)&lt;&gt;"In progress"),"INVALID – unrecognised status (use the list)",IF(AsOfUTC&gt;Q17,"OVERDUE",IF(N17="Clarification required","OPEN – CLARIFICATION","OPEN")))))))</f>
        <v>OPEN</v>
      </c>
      <c r="AI17" s="61" t="n">
        <f aca="false">IF(OR(AH17="N/A – RULE",AH17="N/A – JUSTIFIED"),0,1)</f>
        <v>1</v>
      </c>
      <c r="AJ17" s="61" t="n">
        <f aca="false">IF(LEFT(AH17,8)="COMPLETE",1,0)</f>
        <v>0</v>
      </c>
      <c r="AK17" s="61" t="n">
        <f aca="false">IF(AND(AI17=1,AJ17=0,AsOfUTC&gt;Q17),1,0)</f>
        <v>0</v>
      </c>
      <c r="AL17" s="61" t="n">
        <f aca="false">IF(AND(AI17=1,OR(TRIM(U17)="Fail",AND(TRIM(AB17)&lt;&gt;"",TRIM(AB17)&lt;&gt;"Closed"),AND(ISNUMBER(AF17),AF17&lt;&gt;0,TRIM(U17)&lt;&gt;"Pass after CA"))),1,0)</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row>
    <row r="18" customFormat="false" ht="39.75" hidden="false" customHeight="true" outlineLevel="0" collapsed="false">
      <c r="A18" s="57" t="s">
        <v>395</v>
      </c>
      <c r="B18" s="57" t="s">
        <v>175</v>
      </c>
      <c r="C18" s="57" t="str">
        <f aca="false">Flights!$F$5</f>
        <v>MH0001</v>
      </c>
      <c r="D18" s="58" t="n">
        <f aca="false">Flights!$D$5</f>
        <v>46303</v>
      </c>
      <c r="E18" s="57" t="str">
        <f aca="false">Flights!$G$5&amp;"-"&amp;Flights!$H$5</f>
        <v>LHR-KUL</v>
      </c>
      <c r="F18" s="57" t="str">
        <f aca="false">Flights!$K$5</f>
        <v>EY</v>
      </c>
      <c r="G18" s="57" t="s">
        <v>385</v>
      </c>
      <c r="H18" s="57" t="s">
        <v>343</v>
      </c>
      <c r="I18" s="57" t="s">
        <v>393</v>
      </c>
      <c r="J18" s="57" t="s">
        <v>396</v>
      </c>
      <c r="K18" s="67"/>
      <c r="L18" s="67" t="s">
        <v>387</v>
      </c>
      <c r="M18" s="67"/>
      <c r="N18" s="67" t="s">
        <v>348</v>
      </c>
      <c r="O18" s="67" t="s">
        <v>388</v>
      </c>
      <c r="P18" s="57" t="s">
        <v>178</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59" t="n">
        <f aca="false">Q18-T12EarlyH/24</f>
        <v>46302.8576388889</v>
      </c>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IF(N18="N/A – rule","N/A – RULE",IF(TRIM(U18)="N/A",IF(AT18=0,"INVALID – N/A not permitted for this mandatory check",IF(AND(TRIM(AC18)&lt;&gt;"",TRIM(AE18)&lt;&gt;"",TRIM(T18)&lt;&gt;"",TRIM(AE18)&lt;&gt;TRIM(T18)),"N/A – JUSTIFIED","INVALID – N/A needs justification, PIC and a different verifier")),IF(OR(TRIM(U18)="Pass",TRIM(U18)="Pass after CA"),IF(NOT(ISNUMBER(AD18)),"INVALID – completion time missing",IF(TRIM(T18)="","INVALID – PIC missing",IF(TRIM(V18)="","INVALID – result / assessment missing",IF(TRIM(Z18)="","INVALID – evidence missing",IF(TRIM(AE18)="","INVALID – verifier missing",IF(TRIM(AE18)=TRIM(T18),"INVALID – verifier must be someone other than the PIC",IF(AND(AQ18=1,TRIM(W18)=""),"INVALID – batch ID missing",IF(AND(AR18=1,OR(NOT(ISNUMBER(X18)),NOT(ISNUMBER(Y18)))),"INVALID – expected/actual qty missing",IF(IF(AND(TRIM(U18)="Pass",ISNUMBER(AF18)),IF(AF18&lt;&gt;0,"INVALID – qty variance: use Fail or Pass after CA",""),"")&amp;IF(AND(TRIM(U18)="Pass",TRIM(AB18)&lt;&gt;"",TRIM(AB18)&lt;&gt;"Closed"),"INVALID – corrective action not closed: use Fail, then Pass after CA","")&amp;IF(AND(TRIM(AA18)&lt;&gt;"",TRIM(AB18)=""),"INVALID – CA status missing for the recorded corrective action","")&amp;IF(AND(TRIM(U18)="Pass after CA",OR(TRIM(AA18)="",TRIM(AB18)&lt;&gt;"Closed")),"INVALID – corrective action not recorded/closed","")&lt;&gt;"",IF(AND(TRIM(U18)="Pass",ISNUMBER(AF18)),IF(AF18&lt;&gt;0,"INVALID – qty variance: use Fail or Pass after CA",""),"")&amp;IF(AND(TRIM(U18)="Pass",TRIM(AB18)&lt;&gt;"",TRIM(AB18)&lt;&gt;"Closed"),"INVALID – corrective action not closed: use Fail, then Pass after CA","")&amp;IF(AND(TRIM(AA18)&lt;&gt;"",TRIM(AB18)=""),"INVALID – CA status missing for the recorded corrective action","")&amp;IF(AND(TRIM(U18)="Pass after CA",OR(TRIM(AA18)="",TRIM(AB18)&lt;&gt;"Closed")),"INVALID – corrective action not recorded/closed",""),IF(AND(AS18=1,Documents!$J$5&lt;&gt;"ON FILE"),"INVALID – GLD not on file (Documents sheet)",IF(AND(AS18=2,Documents!$O$5&lt;&gt;"ON FILE"),"INVALID – menu checklist not on file (Documents sheet)",IF(AND(AS18=3,NOT(ISNUMBER(Flights!$AX$5))),"INVALID – enter carrying flight KUL departure (Flights AX)",IF(AND(AS18=3,OR(Flights!$AX$5&gt;=Flights!$AA$5,Flights!$AX$5&lt;Flights!$AA$5-3)),"INVALID – Flights AX must be before this leg's STD (within 3 days)",IF(AG18&gt;AsOfUTC,"INVALID – completion time is in the future",IF(AND(ISNUMBER(S18),AG18&lt;S18),IF(H18="Physical uplift","INVALID – before uplift window (cannot confirm loading)","INVALID – before valid window"),IF(AG18&gt;Flights!$AA$5,"INVALID – completed after departure (cannot establish readiness)",IF(AND(H18="Physical uplift",AG18&gt;Q18),"INVALID – recorded after the loading flight departed",IF(AG18&gt;Q18,"COMPLETE – LATE","COMPLETE")))))))))))))))))),IF(TRIM(U18)="Fail","FAIL – DISCREPANCY",IF(AND(TRIM(U18)&lt;&gt;"",TRIM(U18)&lt;&gt;"Not started",TRIM(U18)&lt;&gt;"In progress"),"INVALID – unrecognised status (use the list)",IF(AsOfUTC&gt;Q18,"OVERDUE",IF(N18="Clarification required","OPEN – CLARIFICATION","OPEN")))))))</f>
        <v>OPEN</v>
      </c>
      <c r="AI18" s="61" t="n">
        <f aca="false">IF(OR(AH18="N/A – RULE",AH18="N/A – JUSTIFIED"),0,1)</f>
        <v>1</v>
      </c>
      <c r="AJ18" s="61" t="n">
        <f aca="false">IF(LEFT(AH18,8)="COMPLETE",1,0)</f>
        <v>0</v>
      </c>
      <c r="AK18" s="61" t="n">
        <f aca="false">IF(AND(AI18=1,AJ18=0,AsOfUTC&gt;Q18),1,0)</f>
        <v>0</v>
      </c>
      <c r="AL18" s="61" t="n">
        <f aca="false">IF(AND(AI18=1,OR(TRIM(U18)="Fail",AND(TRIM(AB18)&lt;&gt;"",TRIM(AB18)&lt;&gt;"Closed"),AND(ISNUMBER(AF18),AF18&lt;&gt;0,TRIM(U18)&lt;&gt;"Pass after CA"))),1,0)</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row>
    <row r="19" customFormat="false" ht="39.75" hidden="false" customHeight="true" outlineLevel="0" collapsed="false">
      <c r="A19" s="57" t="s">
        <v>397</v>
      </c>
      <c r="B19" s="57" t="s">
        <v>175</v>
      </c>
      <c r="C19" s="57" t="str">
        <f aca="false">Flights!$F$5</f>
        <v>MH0001</v>
      </c>
      <c r="D19" s="58" t="n">
        <f aca="false">Flights!$D$5</f>
        <v>46303</v>
      </c>
      <c r="E19" s="57" t="str">
        <f aca="false">Flights!$G$5&amp;"-"&amp;Flights!$H$5</f>
        <v>LHR-KUL</v>
      </c>
      <c r="F19" s="57" t="str">
        <f aca="false">Flights!$K$5</f>
        <v>EY</v>
      </c>
      <c r="G19" s="57" t="s">
        <v>385</v>
      </c>
      <c r="H19" s="57" t="s">
        <v>343</v>
      </c>
      <c r="I19" s="57" t="s">
        <v>393</v>
      </c>
      <c r="J19" s="57" t="s">
        <v>398</v>
      </c>
      <c r="K19" s="67"/>
      <c r="L19" s="67" t="s">
        <v>387</v>
      </c>
      <c r="M19" s="67"/>
      <c r="N19" s="67" t="s">
        <v>348</v>
      </c>
      <c r="O19" s="67" t="s">
        <v>388</v>
      </c>
      <c r="P19" s="57" t="s">
        <v>178</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59" t="n">
        <f aca="false">Q19-T12EarlyH/24</f>
        <v>46302.8576388889</v>
      </c>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IF(N19="N/A – rule","N/A – RULE",IF(TRIM(U19)="N/A",IF(AT19=0,"INVALID – N/A not permitted for this mandatory check",IF(AND(TRIM(AC19)&lt;&gt;"",TRIM(AE19)&lt;&gt;"",TRIM(T19)&lt;&gt;"",TRIM(AE19)&lt;&gt;TRIM(T19)),"N/A – JUSTIFIED","INVALID – N/A needs justification, PIC and a different verifier")),IF(OR(TRIM(U19)="Pass",TRIM(U19)="Pass after CA"),IF(NOT(ISNUMBER(AD19)),"INVALID – completion time missing",IF(TRIM(T19)="","INVALID – PIC missing",IF(TRIM(V19)="","INVALID – result / assessment missing",IF(TRIM(Z19)="","INVALID – evidence missing",IF(TRIM(AE19)="","INVALID – verifier missing",IF(TRIM(AE19)=TRIM(T19),"INVALID – verifier must be someone other than the PIC",IF(AND(AQ19=1,TRIM(W19)=""),"INVALID – batch ID missing",IF(AND(AR19=1,OR(NOT(ISNUMBER(X19)),NOT(ISNUMBER(Y19)))),"INVALID – expected/actual qty missing",IF(IF(AND(TRIM(U19)="Pass",ISNUMBER(AF19)),IF(AF19&lt;&gt;0,"INVALID – qty variance: use Fail or Pass after CA",""),"")&amp;IF(AND(TRIM(U19)="Pass",TRIM(AB19)&lt;&gt;"",TRIM(AB19)&lt;&gt;"Closed"),"INVALID – corrective action not closed: use Fail, then Pass after CA","")&amp;IF(AND(TRIM(AA19)&lt;&gt;"",TRIM(AB19)=""),"INVALID – CA status missing for the recorded corrective action","")&amp;IF(AND(TRIM(U19)="Pass after CA",OR(TRIM(AA19)="",TRIM(AB19)&lt;&gt;"Closed")),"INVALID – corrective action not recorded/closed","")&lt;&gt;"",IF(AND(TRIM(U19)="Pass",ISNUMBER(AF19)),IF(AF19&lt;&gt;0,"INVALID – qty variance: use Fail or Pass after CA",""),"")&amp;IF(AND(TRIM(U19)="Pass",TRIM(AB19)&lt;&gt;"",TRIM(AB19)&lt;&gt;"Closed"),"INVALID – corrective action not closed: use Fail, then Pass after CA","")&amp;IF(AND(TRIM(AA19)&lt;&gt;"",TRIM(AB19)=""),"INVALID – CA status missing for the recorded corrective action","")&amp;IF(AND(TRIM(U19)="Pass after CA",OR(TRIM(AA19)="",TRIM(AB19)&lt;&gt;"Closed")),"INVALID – corrective action not recorded/closed",""),IF(AND(AS19=1,Documents!$J$5&lt;&gt;"ON FILE"),"INVALID – GLD not on file (Documents sheet)",IF(AND(AS19=2,Documents!$O$5&lt;&gt;"ON FILE"),"INVALID – menu checklist not on file (Documents sheet)",IF(AND(AS19=3,NOT(ISNUMBER(Flights!$AX$5))),"INVALID – enter carrying flight KUL departure (Flights AX)",IF(AND(AS19=3,OR(Flights!$AX$5&gt;=Flights!$AA$5,Flights!$AX$5&lt;Flights!$AA$5-3)),"INVALID – Flights AX must be before this leg's STD (within 3 days)",IF(AG19&gt;AsOfUTC,"INVALID – completion time is in the future",IF(AND(ISNUMBER(S19),AG19&lt;S19),IF(H19="Physical uplift","INVALID – before uplift window (cannot confirm loading)","INVALID – before valid window"),IF(AG19&gt;Flights!$AA$5,"INVALID – completed after departure (cannot establish readiness)",IF(AND(H19="Physical uplift",AG19&gt;Q19),"INVALID – recorded after the loading flight departed",IF(AG19&gt;Q19,"COMPLETE – LATE","COMPLETE")))))))))))))))))),IF(TRIM(U19)="Fail","FAIL – DISCREPANCY",IF(AND(TRIM(U19)&lt;&gt;"",TRIM(U19)&lt;&gt;"Not started",TRIM(U19)&lt;&gt;"In progress"),"INVALID – unrecognised status (use the list)",IF(AsOfUTC&gt;Q19,"OVERDUE",IF(N19="Clarification required","OPEN – CLARIFICATION","OPEN")))))))</f>
        <v>OPEN</v>
      </c>
      <c r="AI19" s="61" t="n">
        <f aca="false">IF(OR(AH19="N/A – RULE",AH19="N/A – JUSTIFIED"),0,1)</f>
        <v>1</v>
      </c>
      <c r="AJ19" s="61" t="n">
        <f aca="false">IF(LEFT(AH19,8)="COMPLETE",1,0)</f>
        <v>0</v>
      </c>
      <c r="AK19" s="61" t="n">
        <f aca="false">IF(AND(AI19=1,AJ19=0,AsOfUTC&gt;Q19),1,0)</f>
        <v>0</v>
      </c>
      <c r="AL19" s="61" t="n">
        <f aca="false">IF(AND(AI19=1,OR(TRIM(U19)="Fail",AND(TRIM(AB19)&lt;&gt;"",TRIM(AB19)&lt;&gt;"Closed"),AND(ISNUMBER(AF19),AF19&lt;&gt;0,TRIM(U19)&lt;&gt;"Pass after CA"))),1,0)</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row>
    <row r="20" customFormat="false" ht="141" hidden="false" customHeight="true" outlineLevel="0" collapsed="false">
      <c r="A20" s="57" t="s">
        <v>399</v>
      </c>
      <c r="B20" s="57" t="s">
        <v>175</v>
      </c>
      <c r="C20" s="57" t="str">
        <f aca="false">Flights!$F$5</f>
        <v>MH0001</v>
      </c>
      <c r="D20" s="58" t="n">
        <f aca="false">Flights!$D$5</f>
        <v>46303</v>
      </c>
      <c r="E20" s="57" t="str">
        <f aca="false">Flights!$G$5&amp;"-"&amp;Flights!$H$5</f>
        <v>LHR-KUL</v>
      </c>
      <c r="F20" s="57" t="str">
        <f aca="false">Flights!$K$5</f>
        <v>EY</v>
      </c>
      <c r="G20" s="57" t="s">
        <v>385</v>
      </c>
      <c r="H20" s="57" t="s">
        <v>343</v>
      </c>
      <c r="I20" s="57" t="s">
        <v>393</v>
      </c>
      <c r="J20" s="57" t="s">
        <v>400</v>
      </c>
      <c r="K20" s="67" t="s">
        <v>401</v>
      </c>
      <c r="L20" s="67" t="s">
        <v>387</v>
      </c>
      <c r="M20" s="67"/>
      <c r="N20" s="67" t="s">
        <v>348</v>
      </c>
      <c r="O20" s="67" t="s">
        <v>388</v>
      </c>
      <c r="P20" s="57" t="s">
        <v>178</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59" t="n">
        <f aca="false">Q20-T12EarlyH/24</f>
        <v>46302.8576388889</v>
      </c>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IF(N20="N/A – rule","N/A – RULE",IF(TRIM(U20)="N/A",IF(AT20=0,"INVALID – N/A not permitted for this mandatory check",IF(AND(TRIM(AC20)&lt;&gt;"",TRIM(AE20)&lt;&gt;"",TRIM(T20)&lt;&gt;"",TRIM(AE20)&lt;&gt;TRIM(T20)),"N/A – JUSTIFIED","INVALID – N/A needs justification, PIC and a different verifier")),IF(OR(TRIM(U20)="Pass",TRIM(U20)="Pass after CA"),IF(NOT(ISNUMBER(AD20)),"INVALID – completion time missing",IF(TRIM(T20)="","INVALID – PIC missing",IF(TRIM(V20)="","INVALID – result / assessment missing",IF(TRIM(Z20)="","INVALID – evidence missing",IF(TRIM(AE20)="","INVALID – verifier missing",IF(TRIM(AE20)=TRIM(T20),"INVALID – verifier must be someone other than the PIC",IF(AND(AQ20=1,TRIM(W20)=""),"INVALID – batch ID missing",IF(AND(AR20=1,OR(NOT(ISNUMBER(X20)),NOT(ISNUMBER(Y20)))),"INVALID – expected/actual qty missing",IF(IF(AND(TRIM(U20)="Pass",ISNUMBER(AF20)),IF(AF20&lt;&gt;0,"INVALID – qty variance: use Fail or Pass after CA",""),"")&amp;IF(AND(TRIM(U20)="Pass",TRIM(AB20)&lt;&gt;"",TRIM(AB20)&lt;&gt;"Closed"),"INVALID – corrective action not closed: use Fail, then Pass after CA","")&amp;IF(AND(TRIM(AA20)&lt;&gt;"",TRIM(AB20)=""),"INVALID – CA status missing for the recorded corrective action","")&amp;IF(AND(TRIM(U20)="Pass after CA",OR(TRIM(AA20)="",TRIM(AB20)&lt;&gt;"Closed")),"INVALID – corrective action not recorded/closed","")&lt;&gt;"",IF(AND(TRIM(U20)="Pass",ISNUMBER(AF20)),IF(AF20&lt;&gt;0,"INVALID – qty variance: use Fail or Pass after CA",""),"")&amp;IF(AND(TRIM(U20)="Pass",TRIM(AB20)&lt;&gt;"",TRIM(AB20)&lt;&gt;"Closed"),"INVALID – corrective action not closed: use Fail, then Pass after CA","")&amp;IF(AND(TRIM(AA20)&lt;&gt;"",TRIM(AB20)=""),"INVALID – CA status missing for the recorded corrective action","")&amp;IF(AND(TRIM(U20)="Pass after CA",OR(TRIM(AA20)="",TRIM(AB20)&lt;&gt;"Closed")),"INVALID – corrective action not recorded/closed",""),IF(AND(AS20=1,Documents!$J$5&lt;&gt;"ON FILE"),"INVALID – GLD not on file (Documents sheet)",IF(AND(AS20=2,Documents!$O$5&lt;&gt;"ON FILE"),"INVALID – menu checklist not on file (Documents sheet)",IF(AND(AS20=3,NOT(ISNUMBER(Flights!$AX$5))),"INVALID – enter carrying flight KUL departure (Flights AX)",IF(AND(AS20=3,OR(Flights!$AX$5&gt;=Flights!$AA$5,Flights!$AX$5&lt;Flights!$AA$5-3)),"INVALID – Flights AX must be before this leg's STD (within 3 days)",IF(AG20&gt;AsOfUTC,"INVALID – completion time is in the future",IF(AND(ISNUMBER(S20),AG20&lt;S20),IF(H20="Physical uplift","INVALID – before uplift window (cannot confirm loading)","INVALID – before valid window"),IF(AG20&gt;Flights!$AA$5,"INVALID – completed after departure (cannot establish readiness)",IF(AND(H20="Physical uplift",AG20&gt;Q20),"INVALID – recorded after the loading flight departed",IF(AG20&gt;Q20,"COMPLETE – LATE","COMPLETE")))))))))))))))))),IF(TRIM(U20)="Fail","FAIL – DISCREPANCY",IF(AND(TRIM(U20)&lt;&gt;"",TRIM(U20)&lt;&gt;"Not started",TRIM(U20)&lt;&gt;"In progress"),"INVALID – unrecognised status (use the list)",IF(AsOfUTC&gt;Q20,"OVERDUE",IF(N20="Clarification required","OPEN – CLARIFICATION","OPEN")))))))</f>
        <v>OPEN</v>
      </c>
      <c r="AI20" s="61" t="n">
        <f aca="false">IF(OR(AH20="N/A – RULE",AH20="N/A – JUSTIFIED"),0,1)</f>
        <v>1</v>
      </c>
      <c r="AJ20" s="61" t="n">
        <f aca="false">IF(LEFT(AH20,8)="COMPLETE",1,0)</f>
        <v>0</v>
      </c>
      <c r="AK20" s="61" t="n">
        <f aca="false">IF(AND(AI20=1,AJ20=0,AsOfUTC&gt;Q20),1,0)</f>
        <v>0</v>
      </c>
      <c r="AL20" s="61" t="n">
        <f aca="false">IF(AND(AI20=1,OR(TRIM(U20)="Fail",AND(TRIM(AB20)&lt;&gt;"",TRIM(AB20)&lt;&gt;"Closed"),AND(ISNUMBER(AF20),AF20&lt;&gt;0,TRIM(U20)&lt;&gt;"Pass after CA"))),1,0)</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row>
    <row r="21" customFormat="false" ht="39.75" hidden="false" customHeight="true" outlineLevel="0" collapsed="false">
      <c r="A21" s="57" t="s">
        <v>402</v>
      </c>
      <c r="B21" s="57" t="s">
        <v>175</v>
      </c>
      <c r="C21" s="57" t="str">
        <f aca="false">Flights!$F$5</f>
        <v>MH0001</v>
      </c>
      <c r="D21" s="58" t="n">
        <f aca="false">Flights!$D$5</f>
        <v>46303</v>
      </c>
      <c r="E21" s="57" t="str">
        <f aca="false">Flights!$G$5&amp;"-"&amp;Flights!$H$5</f>
        <v>LHR-KUL</v>
      </c>
      <c r="F21" s="57" t="str">
        <f aca="false">Flights!$K$5</f>
        <v>EY</v>
      </c>
      <c r="G21" s="57" t="s">
        <v>385</v>
      </c>
      <c r="H21" s="57" t="s">
        <v>343</v>
      </c>
      <c r="I21" s="57" t="s">
        <v>393</v>
      </c>
      <c r="J21" s="57" t="s">
        <v>403</v>
      </c>
      <c r="K21" s="67"/>
      <c r="L21" s="67" t="s">
        <v>387</v>
      </c>
      <c r="M21" s="67"/>
      <c r="N21" s="67" t="s">
        <v>348</v>
      </c>
      <c r="O21" s="67" t="s">
        <v>388</v>
      </c>
      <c r="P21" s="57" t="s">
        <v>178</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59" t="n">
        <f aca="false">Q21-T12EarlyH/24</f>
        <v>46302.8576388889</v>
      </c>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IF(N21="N/A – rule","N/A – RULE",IF(TRIM(U21)="N/A",IF(AT21=0,"INVALID – N/A not permitted for this mandatory check",IF(AND(TRIM(AC21)&lt;&gt;"",TRIM(AE21)&lt;&gt;"",TRIM(T21)&lt;&gt;"",TRIM(AE21)&lt;&gt;TRIM(T21)),"N/A – JUSTIFIED","INVALID – N/A needs justification, PIC and a different verifier")),IF(OR(TRIM(U21)="Pass",TRIM(U21)="Pass after CA"),IF(NOT(ISNUMBER(AD21)),"INVALID – completion time missing",IF(TRIM(T21)="","INVALID – PIC missing",IF(TRIM(V21)="","INVALID – result / assessment missing",IF(TRIM(Z21)="","INVALID – evidence missing",IF(TRIM(AE21)="","INVALID – verifier missing",IF(TRIM(AE21)=TRIM(T21),"INVALID – verifier must be someone other than the PIC",IF(AND(AQ21=1,TRIM(W21)=""),"INVALID – batch ID missing",IF(AND(AR21=1,OR(NOT(ISNUMBER(X21)),NOT(ISNUMBER(Y21)))),"INVALID – expected/actual qty missing",IF(IF(AND(TRIM(U21)="Pass",ISNUMBER(AF21)),IF(AF21&lt;&gt;0,"INVALID – qty variance: use Fail or Pass after CA",""),"")&amp;IF(AND(TRIM(U21)="Pass",TRIM(AB21)&lt;&gt;"",TRIM(AB21)&lt;&gt;"Closed"),"INVALID – corrective action not closed: use Fail, then Pass after CA","")&amp;IF(AND(TRIM(AA21)&lt;&gt;"",TRIM(AB21)=""),"INVALID – CA status missing for the recorded corrective action","")&amp;IF(AND(TRIM(U21)="Pass after CA",OR(TRIM(AA21)="",TRIM(AB21)&lt;&gt;"Closed")),"INVALID – corrective action not recorded/closed","")&lt;&gt;"",IF(AND(TRIM(U21)="Pass",ISNUMBER(AF21)),IF(AF21&lt;&gt;0,"INVALID – qty variance: use Fail or Pass after CA",""),"")&amp;IF(AND(TRIM(U21)="Pass",TRIM(AB21)&lt;&gt;"",TRIM(AB21)&lt;&gt;"Closed"),"INVALID – corrective action not closed: use Fail, then Pass after CA","")&amp;IF(AND(TRIM(AA21)&lt;&gt;"",TRIM(AB21)=""),"INVALID – CA status missing for the recorded corrective action","")&amp;IF(AND(TRIM(U21)="Pass after CA",OR(TRIM(AA21)="",TRIM(AB21)&lt;&gt;"Closed")),"INVALID – corrective action not recorded/closed",""),IF(AND(AS21=1,Documents!$J$5&lt;&gt;"ON FILE"),"INVALID – GLD not on file (Documents sheet)",IF(AND(AS21=2,Documents!$O$5&lt;&gt;"ON FILE"),"INVALID – menu checklist not on file (Documents sheet)",IF(AND(AS21=3,NOT(ISNUMBER(Flights!$AX$5))),"INVALID – enter carrying flight KUL departure (Flights AX)",IF(AND(AS21=3,OR(Flights!$AX$5&gt;=Flights!$AA$5,Flights!$AX$5&lt;Flights!$AA$5-3)),"INVALID – Flights AX must be before this leg's STD (within 3 days)",IF(AG21&gt;AsOfUTC,"INVALID – completion time is in the future",IF(AND(ISNUMBER(S21),AG21&lt;S21),IF(H21="Physical uplift","INVALID – before uplift window (cannot confirm loading)","INVALID – before valid window"),IF(AG21&gt;Flights!$AA$5,"INVALID – completed after departure (cannot establish readiness)",IF(AND(H21="Physical uplift",AG21&gt;Q21),"INVALID – recorded after the loading flight departed",IF(AG21&gt;Q21,"COMPLETE – LATE","COMPLETE")))))))))))))))))),IF(TRIM(U21)="Fail","FAIL – DISCREPANCY",IF(AND(TRIM(U21)&lt;&gt;"",TRIM(U21)&lt;&gt;"Not started",TRIM(U21)&lt;&gt;"In progress"),"INVALID – unrecognised status (use the list)",IF(AsOfUTC&gt;Q21,"OVERDUE",IF(N21="Clarification required","OPEN – CLARIFICATION","OPEN")))))))</f>
        <v>OPEN</v>
      </c>
      <c r="AI21" s="61" t="n">
        <f aca="false">IF(OR(AH21="N/A – RULE",AH21="N/A – JUSTIFIED"),0,1)</f>
        <v>1</v>
      </c>
      <c r="AJ21" s="61" t="n">
        <f aca="false">IF(LEFT(AH21,8)="COMPLETE",1,0)</f>
        <v>0</v>
      </c>
      <c r="AK21" s="61" t="n">
        <f aca="false">IF(AND(AI21=1,AJ21=0,AsOfUTC&gt;Q21),1,0)</f>
        <v>0</v>
      </c>
      <c r="AL21" s="61" t="n">
        <f aca="false">IF(AND(AI21=1,OR(TRIM(U21)="Fail",AND(TRIM(AB21)&lt;&gt;"",TRIM(AB21)&lt;&gt;"Closed"),AND(ISNUMBER(AF21),AF21&lt;&gt;0,TRIM(U21)&lt;&gt;"Pass after CA"))),1,0)</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row>
    <row r="22" customFormat="false" ht="54" hidden="false" customHeight="true" outlineLevel="0" collapsed="false">
      <c r="A22" s="57" t="s">
        <v>404</v>
      </c>
      <c r="B22" s="57" t="s">
        <v>175</v>
      </c>
      <c r="C22" s="57" t="str">
        <f aca="false">Flights!$F$5</f>
        <v>MH0001</v>
      </c>
      <c r="D22" s="58" t="n">
        <f aca="false">Flights!$D$5</f>
        <v>46303</v>
      </c>
      <c r="E22" s="57" t="str">
        <f aca="false">Flights!$G$5&amp;"-"&amp;Flights!$H$5</f>
        <v>LHR-KUL</v>
      </c>
      <c r="F22" s="57" t="str">
        <f aca="false">Flights!$K$5</f>
        <v>EY</v>
      </c>
      <c r="G22" s="57" t="s">
        <v>385</v>
      </c>
      <c r="H22" s="57" t="s">
        <v>343</v>
      </c>
      <c r="I22" s="57" t="s">
        <v>405</v>
      </c>
      <c r="J22" s="57" t="s">
        <v>406</v>
      </c>
      <c r="K22" s="67" t="s">
        <v>407</v>
      </c>
      <c r="L22" s="67" t="s">
        <v>408</v>
      </c>
      <c r="M22" s="67" t="s">
        <v>178</v>
      </c>
      <c r="N22" s="67" t="s">
        <v>409</v>
      </c>
      <c r="O22" s="67" t="s">
        <v>410</v>
      </c>
      <c r="P22" s="57" t="s">
        <v>178</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59" t="n">
        <f aca="false">Q22-T12EarlyH/24</f>
        <v>46302.8576388889</v>
      </c>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IF(N22="N/A – rule","N/A – RULE",IF(TRIM(U22)="N/A",IF(AT22=0,"INVALID – N/A not permitted for this mandatory check",IF(AND(TRIM(AC22)&lt;&gt;"",TRIM(AE22)&lt;&gt;"",TRIM(T22)&lt;&gt;"",TRIM(AE22)&lt;&gt;TRIM(T22)),"N/A – JUSTIFIED","INVALID – N/A needs justification, PIC and a different verifier")),IF(OR(TRIM(U22)="Pass",TRIM(U22)="Pass after CA"),IF(NOT(ISNUMBER(AD22)),"INVALID – completion time missing",IF(TRIM(T22)="","INVALID – PIC missing",IF(TRIM(V22)="","INVALID – result / assessment missing",IF(TRIM(Z22)="","INVALID – evidence missing",IF(TRIM(AE22)="","INVALID – verifier missing",IF(TRIM(AE22)=TRIM(T22),"INVALID – verifier must be someone other than the PIC",IF(AND(AQ22=1,TRIM(W22)=""),"INVALID – batch ID missing",IF(AND(AR22=1,OR(NOT(ISNUMBER(X22)),NOT(ISNUMBER(Y22)))),"INVALID – expected/actual qty missing",IF(IF(AND(TRIM(U22)="Pass",ISNUMBER(AF22)),IF(AF22&lt;&gt;0,"INVALID – qty variance: use Fail or Pass after CA",""),"")&amp;IF(AND(TRIM(U22)="Pass",TRIM(AB22)&lt;&gt;"",TRIM(AB22)&lt;&gt;"Closed"),"INVALID – corrective action not closed: use Fail, then Pass after CA","")&amp;IF(AND(TRIM(AA22)&lt;&gt;"",TRIM(AB22)=""),"INVALID – CA status missing for the recorded corrective action","")&amp;IF(AND(TRIM(U22)="Pass after CA",OR(TRIM(AA22)="",TRIM(AB22)&lt;&gt;"Closed")),"INVALID – corrective action not recorded/closed","")&lt;&gt;"",IF(AND(TRIM(U22)="Pass",ISNUMBER(AF22)),IF(AF22&lt;&gt;0,"INVALID – qty variance: use Fail or Pass after CA",""),"")&amp;IF(AND(TRIM(U22)="Pass",TRIM(AB22)&lt;&gt;"",TRIM(AB22)&lt;&gt;"Closed"),"INVALID – corrective action not closed: use Fail, then Pass after CA","")&amp;IF(AND(TRIM(AA22)&lt;&gt;"",TRIM(AB22)=""),"INVALID – CA status missing for the recorded corrective action","")&amp;IF(AND(TRIM(U22)="Pass after CA",OR(TRIM(AA22)="",TRIM(AB22)&lt;&gt;"Closed")),"INVALID – corrective action not recorded/closed",""),IF(AND(AS22=1,Documents!$J$5&lt;&gt;"ON FILE"),"INVALID – GLD not on file (Documents sheet)",IF(AND(AS22=2,Documents!$O$5&lt;&gt;"ON FILE"),"INVALID – menu checklist not on file (Documents sheet)",IF(AND(AS22=3,NOT(ISNUMBER(Flights!$AX$5))),"INVALID – enter carrying flight KUL departure (Flights AX)",IF(AND(AS22=3,OR(Flights!$AX$5&gt;=Flights!$AA$5,Flights!$AX$5&lt;Flights!$AA$5-3)),"INVALID – Flights AX must be before this leg's STD (within 3 days)",IF(AG22&gt;AsOfUTC,"INVALID – completion time is in the future",IF(AND(ISNUMBER(S22),AG22&lt;S22),IF(H22="Physical uplift","INVALID – before uplift window (cannot confirm loading)","INVALID – before valid window"),IF(AG22&gt;Flights!$AA$5,"INVALID – completed after departure (cannot establish readiness)",IF(AND(H22="Physical uplift",AG22&gt;Q22),"INVALID – recorded after the loading flight departed",IF(AG22&gt;Q22,"COMPLETE – LATE","COMPLETE")))))))))))))))))),IF(TRIM(U22)="Fail","FAIL – DISCREPANCY",IF(AND(TRIM(U22)&lt;&gt;"",TRIM(U22)&lt;&gt;"Not started",TRIM(U22)&lt;&gt;"In progress"),"INVALID – unrecognised status (use the list)",IF(AsOfUTC&gt;Q22,"OVERDUE",IF(N22="Clarification required","OPEN – CLARIFICATION","OPEN")))))))</f>
        <v>OPEN – CLARIFICATION</v>
      </c>
      <c r="AI22" s="61" t="n">
        <f aca="false">IF(OR(AH22="N/A – RULE",AH22="N/A – JUSTIFIED"),0,1)</f>
        <v>1</v>
      </c>
      <c r="AJ22" s="61" t="n">
        <f aca="false">IF(LEFT(AH22,8)="COMPLETE",1,0)</f>
        <v>0</v>
      </c>
      <c r="AK22" s="61" t="n">
        <f aca="false">IF(AND(AI22=1,AJ22=0,AsOfUTC&gt;Q22),1,0)</f>
        <v>0</v>
      </c>
      <c r="AL22" s="61" t="n">
        <f aca="false">IF(AND(AI22=1,OR(TRIM(U22)="Fail",AND(TRIM(AB22)&lt;&gt;"",TRIM(AB22)&lt;&gt;"Closed"),AND(ISNUMBER(AF22),AF22&lt;&gt;0,TRIM(U22)&lt;&gt;"Pass after CA"))),1,0)</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8" t="b">
        <f aca="false">TRUE()</f>
        <v>1</v>
      </c>
    </row>
    <row r="23" customFormat="false" ht="41.25" hidden="false" customHeight="true" outlineLevel="0" collapsed="false">
      <c r="A23" s="57" t="s">
        <v>411</v>
      </c>
      <c r="B23" s="57" t="s">
        <v>175</v>
      </c>
      <c r="C23" s="57" t="str">
        <f aca="false">Flights!$F$5</f>
        <v>MH0001</v>
      </c>
      <c r="D23" s="58" t="n">
        <f aca="false">Flights!$D$5</f>
        <v>46303</v>
      </c>
      <c r="E23" s="57" t="str">
        <f aca="false">Flights!$G$5&amp;"-"&amp;Flights!$H$5</f>
        <v>LHR-KUL</v>
      </c>
      <c r="F23" s="57" t="str">
        <f aca="false">Flights!$K$5</f>
        <v>EY</v>
      </c>
      <c r="G23" s="57" t="s">
        <v>385</v>
      </c>
      <c r="H23" s="57" t="s">
        <v>343</v>
      </c>
      <c r="I23" s="57" t="s">
        <v>412</v>
      </c>
      <c r="J23" s="57" t="s">
        <v>413</v>
      </c>
      <c r="K23" s="67" t="s">
        <v>414</v>
      </c>
      <c r="L23" s="67" t="s">
        <v>415</v>
      </c>
      <c r="M23" s="67" t="s">
        <v>416</v>
      </c>
      <c r="N23" s="67" t="s">
        <v>348</v>
      </c>
      <c r="O23" s="67" t="s">
        <v>417</v>
      </c>
      <c r="P23" s="57" t="s">
        <v>178</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59" t="n">
        <f aca="false">Q23-T12EarlyH/24</f>
        <v>46302.8576388889</v>
      </c>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IF(N23="N/A – rule","N/A – RULE",IF(TRIM(U23)="N/A",IF(AT23=0,"INVALID – N/A not permitted for this mandatory check",IF(AND(TRIM(AC23)&lt;&gt;"",TRIM(AE23)&lt;&gt;"",TRIM(T23)&lt;&gt;"",TRIM(AE23)&lt;&gt;TRIM(T23)),"N/A – JUSTIFIED","INVALID – N/A needs justification, PIC and a different verifier")),IF(OR(TRIM(U23)="Pass",TRIM(U23)="Pass after CA"),IF(NOT(ISNUMBER(AD23)),"INVALID – completion time missing",IF(TRIM(T23)="","INVALID – PIC missing",IF(TRIM(V23)="","INVALID – result / assessment missing",IF(TRIM(Z23)="","INVALID – evidence missing",IF(TRIM(AE23)="","INVALID – verifier missing",IF(TRIM(AE23)=TRIM(T23),"INVALID – verifier must be someone other than the PIC",IF(AND(AQ23=1,TRIM(W23)=""),"INVALID – batch ID missing",IF(AND(AR23=1,OR(NOT(ISNUMBER(X23)),NOT(ISNUMBER(Y23)))),"INVALID – expected/actual qty missing",IF(IF(AND(TRIM(U23)="Pass",ISNUMBER(AF23)),IF(AF23&lt;&gt;0,"INVALID – qty variance: use Fail or Pass after CA",""),"")&amp;IF(AND(TRIM(U23)="Pass",TRIM(AB23)&lt;&gt;"",TRIM(AB23)&lt;&gt;"Closed"),"INVALID – corrective action not closed: use Fail, then Pass after CA","")&amp;IF(AND(TRIM(AA23)&lt;&gt;"",TRIM(AB23)=""),"INVALID – CA status missing for the recorded corrective action","")&amp;IF(AND(TRIM(U23)="Pass after CA",OR(TRIM(AA23)="",TRIM(AB23)&lt;&gt;"Closed")),"INVALID – corrective action not recorded/closed","")&lt;&gt;"",IF(AND(TRIM(U23)="Pass",ISNUMBER(AF23)),IF(AF23&lt;&gt;0,"INVALID – qty variance: use Fail or Pass after CA",""),"")&amp;IF(AND(TRIM(U23)="Pass",TRIM(AB23)&lt;&gt;"",TRIM(AB23)&lt;&gt;"Closed"),"INVALID – corrective action not closed: use Fail, then Pass after CA","")&amp;IF(AND(TRIM(AA23)&lt;&gt;"",TRIM(AB23)=""),"INVALID – CA status missing for the recorded corrective action","")&amp;IF(AND(TRIM(U23)="Pass after CA",OR(TRIM(AA23)="",TRIM(AB23)&lt;&gt;"Closed")),"INVALID – corrective action not recorded/closed",""),IF(AND(AS23=1,Documents!$J$5&lt;&gt;"ON FILE"),"INVALID – GLD not on file (Documents sheet)",IF(AND(AS23=2,Documents!$O$5&lt;&gt;"ON FILE"),"INVALID – menu checklist not on file (Documents sheet)",IF(AND(AS23=3,NOT(ISNUMBER(Flights!$AX$5))),"INVALID – enter carrying flight KUL departure (Flights AX)",IF(AND(AS23=3,OR(Flights!$AX$5&gt;=Flights!$AA$5,Flights!$AX$5&lt;Flights!$AA$5-3)),"INVALID – Flights AX must be before this leg's STD (within 3 days)",IF(AG23&gt;AsOfUTC,"INVALID – completion time is in the future",IF(AND(ISNUMBER(S23),AG23&lt;S23),IF(H23="Physical uplift","INVALID – before uplift window (cannot confirm loading)","INVALID – before valid window"),IF(AG23&gt;Flights!$AA$5,"INVALID – completed after departure (cannot establish readiness)",IF(AND(H23="Physical uplift",AG23&gt;Q23),"INVALID – recorded after the loading flight departed",IF(AG23&gt;Q23,"COMPLETE – LATE","COMPLETE")))))))))))))))))),IF(TRIM(U23)="Fail","FAIL – DISCREPANCY",IF(AND(TRIM(U23)&lt;&gt;"",TRIM(U23)&lt;&gt;"Not started",TRIM(U23)&lt;&gt;"In progress"),"INVALID – unrecognised status (use the list)",IF(AsOfUTC&gt;Q23,"OVERDUE",IF(N23="Clarification required","OPEN – CLARIFICATION","OPEN")))))))</f>
        <v>OPEN</v>
      </c>
      <c r="AI23" s="61" t="n">
        <f aca="false">IF(OR(AH23="N/A – RULE",AH23="N/A – JUSTIFIED"),0,1)</f>
        <v>1</v>
      </c>
      <c r="AJ23" s="61" t="n">
        <f aca="false">IF(LEFT(AH23,8)="COMPLETE",1,0)</f>
        <v>0</v>
      </c>
      <c r="AK23" s="61" t="n">
        <f aca="false">IF(AND(AI23=1,AJ23=0,AsOfUTC&gt;Q23),1,0)</f>
        <v>0</v>
      </c>
      <c r="AL23" s="61" t="n">
        <f aca="false">IF(AND(AI23=1,OR(TRIM(U23)="Fail",AND(TRIM(AB23)&lt;&gt;"",TRIM(AB23)&lt;&gt;"Closed"),AND(ISNUMBER(AF23),AF23&lt;&gt;0,TRIM(U23)&lt;&gt;"Pass after CA"))),1,0)</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8" t="b">
        <f aca="false">TRUE()</f>
        <v>1</v>
      </c>
    </row>
    <row r="24" customFormat="false" ht="91.5" hidden="false" customHeight="true" outlineLevel="0" collapsed="false">
      <c r="A24" s="57" t="s">
        <v>418</v>
      </c>
      <c r="B24" s="57" t="s">
        <v>175</v>
      </c>
      <c r="C24" s="57" t="str">
        <f aca="false">Flights!$F$5</f>
        <v>MH0001</v>
      </c>
      <c r="D24" s="58" t="n">
        <f aca="false">Flights!$D$5</f>
        <v>46303</v>
      </c>
      <c r="E24" s="57" t="str">
        <f aca="false">Flights!$G$5&amp;"-"&amp;Flights!$H$5</f>
        <v>LHR-KUL</v>
      </c>
      <c r="F24" s="57" t="str">
        <f aca="false">Flights!$K$5</f>
        <v>EY</v>
      </c>
      <c r="G24" s="57" t="s">
        <v>385</v>
      </c>
      <c r="H24" s="57" t="s">
        <v>343</v>
      </c>
      <c r="I24" s="57" t="s">
        <v>412</v>
      </c>
      <c r="J24" s="57" t="s">
        <v>419</v>
      </c>
      <c r="K24" s="67" t="s">
        <v>420</v>
      </c>
      <c r="L24" s="67" t="s">
        <v>421</v>
      </c>
      <c r="M24" s="67" t="s">
        <v>416</v>
      </c>
      <c r="N24" s="67" t="s">
        <v>348</v>
      </c>
      <c r="O24" s="67" t="s">
        <v>422</v>
      </c>
      <c r="P24" s="57" t="s">
        <v>178</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59" t="n">
        <f aca="false">Q24-T12EarlyH/24</f>
        <v>46302.8576388889</v>
      </c>
      <c r="T24" s="60"/>
      <c r="U24" s="60"/>
      <c r="V24" s="60"/>
      <c r="W24" s="61"/>
      <c r="X24" s="69"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IF(N24="N/A – rule","N/A – RULE",IF(TRIM(U24)="N/A",IF(AT24=0,"INVALID – N/A not permitted for this mandatory check",IF(AND(TRIM(AC24)&lt;&gt;"",TRIM(AE24)&lt;&gt;"",TRIM(T24)&lt;&gt;"",TRIM(AE24)&lt;&gt;TRIM(T24)),"N/A – JUSTIFIED","INVALID – N/A needs justification, PIC and a different verifier")),IF(OR(TRIM(U24)="Pass",TRIM(U24)="Pass after CA"),IF(NOT(ISNUMBER(AD24)),"INVALID – completion time missing",IF(TRIM(T24)="","INVALID – PIC missing",IF(TRIM(V24)="","INVALID – result / assessment missing",IF(TRIM(Z24)="","INVALID – evidence missing",IF(TRIM(AE24)="","INVALID – verifier missing",IF(TRIM(AE24)=TRIM(T24),"INVALID – verifier must be someone other than the PIC",IF(AND(AQ24=1,TRIM(W24)=""),"INVALID – batch ID missing",IF(AND(AR24=1,OR(NOT(ISNUMBER(X24)),NOT(ISNUMBER(Y24)))),"INVALID – expected/actual qty missing",IF(IF(AND(TRIM(U24)="Pass",ISNUMBER(AF24)),IF(AF24&lt;&gt;0,"INVALID – qty variance: use Fail or Pass after CA",""),"")&amp;IF(AND(TRIM(U24)="Pass",TRIM(AB24)&lt;&gt;"",TRIM(AB24)&lt;&gt;"Closed"),"INVALID – corrective action not closed: use Fail, then Pass after CA","")&amp;IF(AND(TRIM(AA24)&lt;&gt;"",TRIM(AB24)=""),"INVALID – CA status missing for the recorded corrective action","")&amp;IF(AND(TRIM(U24)="Pass after CA",OR(TRIM(AA24)="",TRIM(AB24)&lt;&gt;"Closed")),"INVALID – corrective action not recorded/closed","")&lt;&gt;"",IF(AND(TRIM(U24)="Pass",ISNUMBER(AF24)),IF(AF24&lt;&gt;0,"INVALID – qty variance: use Fail or Pass after CA",""),"")&amp;IF(AND(TRIM(U24)="Pass",TRIM(AB24)&lt;&gt;"",TRIM(AB24)&lt;&gt;"Closed"),"INVALID – corrective action not closed: use Fail, then Pass after CA","")&amp;IF(AND(TRIM(AA24)&lt;&gt;"",TRIM(AB24)=""),"INVALID – CA status missing for the recorded corrective action","")&amp;IF(AND(TRIM(U24)="Pass after CA",OR(TRIM(AA24)="",TRIM(AB24)&lt;&gt;"Closed")),"INVALID – corrective action not recorded/closed",""),IF(AND(AS24=1,Documents!$J$5&lt;&gt;"ON FILE"),"INVALID – GLD not on file (Documents sheet)",IF(AND(AS24=2,Documents!$O$5&lt;&gt;"ON FILE"),"INVALID – menu checklist not on file (Documents sheet)",IF(AND(AS24=3,NOT(ISNUMBER(Flights!$AX$5))),"INVALID – enter carrying flight KUL departure (Flights AX)",IF(AND(AS24=3,OR(Flights!$AX$5&gt;=Flights!$AA$5,Flights!$AX$5&lt;Flights!$AA$5-3)),"INVALID – Flights AX must be before this leg's STD (within 3 days)",IF(AG24&gt;AsOfUTC,"INVALID – completion time is in the future",IF(AND(ISNUMBER(S24),AG24&lt;S24),IF(H24="Physical uplift","INVALID – before uplift window (cannot confirm loading)","INVALID – before valid window"),IF(AG24&gt;Flights!$AA$5,"INVALID – completed after departure (cannot establish readiness)",IF(AND(H24="Physical uplift",AG24&gt;Q24),"INVALID – recorded after the loading flight departed",IF(AG24&gt;Q24,"COMPLETE – LATE","COMPLETE")))))))))))))))))),IF(TRIM(U24)="Fail","FAIL – DISCREPANCY",IF(AND(TRIM(U24)&lt;&gt;"",TRIM(U24)&lt;&gt;"Not started",TRIM(U24)&lt;&gt;"In progress"),"INVALID – unrecognised status (use the list)",IF(AsOfUTC&gt;Q24,"OVERDUE",IF(N24="Clarification required","OPEN – CLARIFICATION","OPEN")))))))</f>
        <v>OPEN</v>
      </c>
      <c r="AI24" s="61" t="n">
        <f aca="false">IF(OR(AH24="N/A – RULE",AH24="N/A – JUSTIFIED"),0,1)</f>
        <v>1</v>
      </c>
      <c r="AJ24" s="61" t="n">
        <f aca="false">IF(LEFT(AH24,8)="COMPLETE",1,0)</f>
        <v>0</v>
      </c>
      <c r="AK24" s="61" t="n">
        <f aca="false">IF(AND(AI24=1,AJ24=0,AsOfUTC&gt;Q24),1,0)</f>
        <v>0</v>
      </c>
      <c r="AL24" s="61" t="n">
        <f aca="false">IF(AND(AI24=1,OR(TRIM(U24)="Fail",AND(TRIM(AB24)&lt;&gt;"",TRIM(AB24)&lt;&gt;"Closed"),AND(ISNUMBER(AF24),AF24&lt;&gt;0,TRIM(U24)&lt;&gt;"Pass after CA"))),1,0)</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8" t="b">
        <f aca="false">TRUE()</f>
        <v>1</v>
      </c>
    </row>
    <row r="25" customFormat="false" ht="39.75" hidden="false" customHeight="true" outlineLevel="0" collapsed="false">
      <c r="A25" s="57" t="s">
        <v>423</v>
      </c>
      <c r="B25" s="57" t="s">
        <v>175</v>
      </c>
      <c r="C25" s="57" t="str">
        <f aca="false">Flights!$F$5</f>
        <v>MH0001</v>
      </c>
      <c r="D25" s="58" t="n">
        <f aca="false">Flights!$D$5</f>
        <v>46303</v>
      </c>
      <c r="E25" s="57" t="str">
        <f aca="false">Flights!$G$5&amp;"-"&amp;Flights!$H$5</f>
        <v>LHR-KUL</v>
      </c>
      <c r="F25" s="57" t="str">
        <f aca="false">Flights!$K$5</f>
        <v>EY</v>
      </c>
      <c r="G25" s="57" t="s">
        <v>424</v>
      </c>
      <c r="H25" s="57" t="s">
        <v>425</v>
      </c>
      <c r="I25" s="57" t="s">
        <v>344</v>
      </c>
      <c r="J25" s="57" t="s">
        <v>426</v>
      </c>
      <c r="K25" s="67" t="s">
        <v>391</v>
      </c>
      <c r="L25" s="67" t="s">
        <v>427</v>
      </c>
      <c r="M25" s="67"/>
      <c r="N25" s="67" t="s">
        <v>348</v>
      </c>
      <c r="O25" s="67" t="s">
        <v>428</v>
      </c>
      <c r="P25" s="57" t="s">
        <v>178</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59" t="n">
        <f aca="false">IF(ISNUMBER(Flights!$AY$5),MAX(Q25-UpliftWindowH/24,Flights!$AY$5+UpliftWindowH/24),Q25-UpliftWindowH/24)</f>
        <v>46303.6076388889</v>
      </c>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IF(N25="N/A – rule","N/A – RULE",IF(TRIM(U25)="N/A",IF(AT25=0,"INVALID – N/A not permitted for this mandatory check",IF(AND(TRIM(AC25)&lt;&gt;"",TRIM(AE25)&lt;&gt;"",TRIM(T25)&lt;&gt;"",TRIM(AE25)&lt;&gt;TRIM(T25)),"N/A – JUSTIFIED","INVALID – N/A needs justification, PIC and a different verifier")),IF(OR(TRIM(U25)="Pass",TRIM(U25)="Pass after CA"),IF(NOT(ISNUMBER(AD25)),"INVALID – completion time missing",IF(TRIM(T25)="","INVALID – PIC missing",IF(TRIM(V25)="","INVALID – result / assessment missing",IF(TRIM(Z25)="","INVALID – evidence missing",IF(TRIM(AE25)="","INVALID – verifier missing",IF(TRIM(AE25)=TRIM(T25),"INVALID – verifier must be someone other than the PIC",IF(AND(AQ25=1,TRIM(W25)=""),"INVALID – batch ID missing",IF(AND(AR25=1,OR(NOT(ISNUMBER(X25)),NOT(ISNUMBER(Y25)))),"INVALID – expected/actual qty missing",IF(IF(AND(TRIM(U25)="Pass",ISNUMBER(AF25)),IF(AF25&lt;&gt;0,"INVALID – qty variance: use Fail or Pass after CA",""),"")&amp;IF(AND(TRIM(U25)="Pass",TRIM(AB25)&lt;&gt;"",TRIM(AB25)&lt;&gt;"Closed"),"INVALID – corrective action not closed: use Fail, then Pass after CA","")&amp;IF(AND(TRIM(AA25)&lt;&gt;"",TRIM(AB25)=""),"INVALID – CA status missing for the recorded corrective action","")&amp;IF(AND(TRIM(U25)="Pass after CA",OR(TRIM(AA25)="",TRIM(AB25)&lt;&gt;"Closed")),"INVALID – corrective action not recorded/closed","")&lt;&gt;"",IF(AND(TRIM(U25)="Pass",ISNUMBER(AF25)),IF(AF25&lt;&gt;0,"INVALID – qty variance: use Fail or Pass after CA",""),"")&amp;IF(AND(TRIM(U25)="Pass",TRIM(AB25)&lt;&gt;"",TRIM(AB25)&lt;&gt;"Closed"),"INVALID – corrective action not closed: use Fail, then Pass after CA","")&amp;IF(AND(TRIM(AA25)&lt;&gt;"",TRIM(AB25)=""),"INVALID – CA status missing for the recorded corrective action","")&amp;IF(AND(TRIM(U25)="Pass after CA",OR(TRIM(AA25)="",TRIM(AB25)&lt;&gt;"Closed")),"INVALID – corrective action not recorded/closed",""),IF(AND(AS25=1,Documents!$J$5&lt;&gt;"ON FILE"),"INVALID – GLD not on file (Documents sheet)",IF(AND(AS25=2,Documents!$O$5&lt;&gt;"ON FILE"),"INVALID – menu checklist not on file (Documents sheet)",IF(AND(AS25=3,NOT(ISNUMBER(Flights!$AX$5))),"INVALID – enter carrying flight KUL departure (Flights AX)",IF(AND(AS25=3,OR(Flights!$AX$5&gt;=Flights!$AA$5,Flights!$AX$5&lt;Flights!$AA$5-3)),"INVALID – Flights AX must be before this leg's STD (within 3 days)",IF(AG25&gt;AsOfUTC,"INVALID – completion time is in the future",IF(AND(ISNUMBER(S25),AG25&lt;S25),IF(H25="Physical uplift","INVALID – before uplift window (cannot confirm loading)","INVALID – before valid window"),IF(AG25&gt;Flights!$AA$5,"INVALID – completed after departure (cannot establish readiness)",IF(AND(H25="Physical uplift",AG25&gt;Q25),"INVALID – recorded after the loading flight departed",IF(AG25&gt;Q25,"COMPLETE – LATE","COMPLETE")))))))))))))))))),IF(TRIM(U25)="Fail","FAIL – DISCREPANCY",IF(AND(TRIM(U25)&lt;&gt;"",TRIM(U25)&lt;&gt;"Not started",TRIM(U25)&lt;&gt;"In progress"),"INVALID – unrecognised status (use the list)",IF(AsOfUTC&gt;Q25,"OVERDUE",IF(N25="Clarification required","OPEN – CLARIFICATION","OPEN")))))))</f>
        <v>OPEN</v>
      </c>
      <c r="AI25" s="61" t="n">
        <f aca="false">IF(OR(AH25="N/A – RULE",AH25="N/A – JUSTIFIED"),0,1)</f>
        <v>1</v>
      </c>
      <c r="AJ25" s="61" t="n">
        <f aca="false">IF(LEFT(AH25,8)="COMPLETE",1,0)</f>
        <v>0</v>
      </c>
      <c r="AK25" s="61" t="n">
        <f aca="false">IF(AND(AI25=1,AJ25=0,AsOfUTC&gt;Q25),1,0)</f>
        <v>0</v>
      </c>
      <c r="AL25" s="61" t="n">
        <f aca="false">IF(AND(AI25=1,OR(TRIM(U25)="Fail",AND(TRIM(AB25)&lt;&gt;"",TRIM(AB25)&lt;&gt;"Closed"),AND(ISNUMBER(AF25),AF25&lt;&gt;0,TRIM(U25)&lt;&gt;"Pass after CA"))),1,0)</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row>
    <row r="26" customFormat="false" ht="39.75" hidden="false" customHeight="true" outlineLevel="0" collapsed="false">
      <c r="A26" s="57" t="s">
        <v>429</v>
      </c>
      <c r="B26" s="57" t="s">
        <v>175</v>
      </c>
      <c r="C26" s="57" t="str">
        <f aca="false">Flights!$F$5</f>
        <v>MH0001</v>
      </c>
      <c r="D26" s="58" t="n">
        <f aca="false">Flights!$D$5</f>
        <v>46303</v>
      </c>
      <c r="E26" s="57" t="str">
        <f aca="false">Flights!$G$5&amp;"-"&amp;Flights!$H$5</f>
        <v>LHR-KUL</v>
      </c>
      <c r="F26" s="57" t="str">
        <f aca="false">Flights!$K$5</f>
        <v>EY</v>
      </c>
      <c r="G26" s="57" t="s">
        <v>424</v>
      </c>
      <c r="H26" s="57" t="s">
        <v>425</v>
      </c>
      <c r="I26" s="57" t="s">
        <v>393</v>
      </c>
      <c r="J26" s="57" t="s">
        <v>430</v>
      </c>
      <c r="K26" s="67" t="s">
        <v>391</v>
      </c>
      <c r="L26" s="67" t="s">
        <v>427</v>
      </c>
      <c r="M26" s="67"/>
      <c r="N26" s="67" t="s">
        <v>348</v>
      </c>
      <c r="O26" s="67" t="s">
        <v>428</v>
      </c>
      <c r="P26" s="57" t="s">
        <v>178</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59" t="n">
        <f aca="false">IF(ISNUMBER(Flights!$AY$5),MAX(Q26-UpliftWindowH/24,Flights!$AY$5+UpliftWindowH/24),Q26-UpliftWindowH/24)</f>
        <v>46303.6076388889</v>
      </c>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IF(N26="N/A – rule","N/A – RULE",IF(TRIM(U26)="N/A",IF(AT26=0,"INVALID – N/A not permitted for this mandatory check",IF(AND(TRIM(AC26)&lt;&gt;"",TRIM(AE26)&lt;&gt;"",TRIM(T26)&lt;&gt;"",TRIM(AE26)&lt;&gt;TRIM(T26)),"N/A – JUSTIFIED","INVALID – N/A needs justification, PIC and a different verifier")),IF(OR(TRIM(U26)="Pass",TRIM(U26)="Pass after CA"),IF(NOT(ISNUMBER(AD26)),"INVALID – completion time missing",IF(TRIM(T26)="","INVALID – PIC missing",IF(TRIM(V26)="","INVALID – result / assessment missing",IF(TRIM(Z26)="","INVALID – evidence missing",IF(TRIM(AE26)="","INVALID – verifier missing",IF(TRIM(AE26)=TRIM(T26),"INVALID – verifier must be someone other than the PIC",IF(AND(AQ26=1,TRIM(W26)=""),"INVALID – batch ID missing",IF(AND(AR26=1,OR(NOT(ISNUMBER(X26)),NOT(ISNUMBER(Y26)))),"INVALID – expected/actual qty missing",IF(IF(AND(TRIM(U26)="Pass",ISNUMBER(AF26)),IF(AF26&lt;&gt;0,"INVALID – qty variance: use Fail or Pass after CA",""),"")&amp;IF(AND(TRIM(U26)="Pass",TRIM(AB26)&lt;&gt;"",TRIM(AB26)&lt;&gt;"Closed"),"INVALID – corrective action not closed: use Fail, then Pass after CA","")&amp;IF(AND(TRIM(AA26)&lt;&gt;"",TRIM(AB26)=""),"INVALID – CA status missing for the recorded corrective action","")&amp;IF(AND(TRIM(U26)="Pass after CA",OR(TRIM(AA26)="",TRIM(AB26)&lt;&gt;"Closed")),"INVALID – corrective action not recorded/closed","")&lt;&gt;"",IF(AND(TRIM(U26)="Pass",ISNUMBER(AF26)),IF(AF26&lt;&gt;0,"INVALID – qty variance: use Fail or Pass after CA",""),"")&amp;IF(AND(TRIM(U26)="Pass",TRIM(AB26)&lt;&gt;"",TRIM(AB26)&lt;&gt;"Closed"),"INVALID – corrective action not closed: use Fail, then Pass after CA","")&amp;IF(AND(TRIM(AA26)&lt;&gt;"",TRIM(AB26)=""),"INVALID – CA status missing for the recorded corrective action","")&amp;IF(AND(TRIM(U26)="Pass after CA",OR(TRIM(AA26)="",TRIM(AB26)&lt;&gt;"Closed")),"INVALID – corrective action not recorded/closed",""),IF(AND(AS26=1,Documents!$J$5&lt;&gt;"ON FILE"),"INVALID – GLD not on file (Documents sheet)",IF(AND(AS26=2,Documents!$O$5&lt;&gt;"ON FILE"),"INVALID – menu checklist not on file (Documents sheet)",IF(AND(AS26=3,NOT(ISNUMBER(Flights!$AX$5))),"INVALID – enter carrying flight KUL departure (Flights AX)",IF(AND(AS26=3,OR(Flights!$AX$5&gt;=Flights!$AA$5,Flights!$AX$5&lt;Flights!$AA$5-3)),"INVALID – Flights AX must be before this leg's STD (within 3 days)",IF(AG26&gt;AsOfUTC,"INVALID – completion time is in the future",IF(AND(ISNUMBER(S26),AG26&lt;S26),IF(H26="Physical uplift","INVALID – before uplift window (cannot confirm loading)","INVALID – before valid window"),IF(AG26&gt;Flights!$AA$5,"INVALID – completed after departure (cannot establish readiness)",IF(AND(H26="Physical uplift",AG26&gt;Q26),"INVALID – recorded after the loading flight departed",IF(AG26&gt;Q26,"COMPLETE – LATE","COMPLETE")))))))))))))))))),IF(TRIM(U26)="Fail","FAIL – DISCREPANCY",IF(AND(TRIM(U26)&lt;&gt;"",TRIM(U26)&lt;&gt;"Not started",TRIM(U26)&lt;&gt;"In progress"),"INVALID – unrecognised status (use the list)",IF(AsOfUTC&gt;Q26,"OVERDUE",IF(N26="Clarification required","OPEN – CLARIFICATION","OPEN")))))))</f>
        <v>OPEN</v>
      </c>
      <c r="AI26" s="61" t="n">
        <f aca="false">IF(OR(AH26="N/A – RULE",AH26="N/A – JUSTIFIED"),0,1)</f>
        <v>1</v>
      </c>
      <c r="AJ26" s="61" t="n">
        <f aca="false">IF(LEFT(AH26,8)="COMPLETE",1,0)</f>
        <v>0</v>
      </c>
      <c r="AK26" s="61" t="n">
        <f aca="false">IF(AND(AI26=1,AJ26=0,AsOfUTC&gt;Q26),1,0)</f>
        <v>0</v>
      </c>
      <c r="AL26" s="61" t="n">
        <f aca="false">IF(AND(AI26=1,OR(TRIM(U26)="Fail",AND(TRIM(AB26)&lt;&gt;"",TRIM(AB26)&lt;&gt;"Closed"),AND(ISNUMBER(AF26),AF26&lt;&gt;0,TRIM(U26)&lt;&gt;"Pass after CA"))),1,0)</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row>
    <row r="27" customFormat="false" ht="54" hidden="false" customHeight="true" outlineLevel="0" collapsed="false">
      <c r="A27" s="57" t="s">
        <v>431</v>
      </c>
      <c r="B27" s="57" t="s">
        <v>175</v>
      </c>
      <c r="C27" s="57" t="str">
        <f aca="false">Flights!$F$5</f>
        <v>MH0001</v>
      </c>
      <c r="D27" s="58" t="n">
        <f aca="false">Flights!$D$5</f>
        <v>46303</v>
      </c>
      <c r="E27" s="57" t="str">
        <f aca="false">Flights!$G$5&amp;"-"&amp;Flights!$H$5</f>
        <v>LHR-KUL</v>
      </c>
      <c r="F27" s="57" t="str">
        <f aca="false">Flights!$K$5</f>
        <v>EY</v>
      </c>
      <c r="G27" s="57" t="s">
        <v>424</v>
      </c>
      <c r="H27" s="57" t="s">
        <v>425</v>
      </c>
      <c r="I27" s="57" t="s">
        <v>405</v>
      </c>
      <c r="J27" s="57" t="s">
        <v>432</v>
      </c>
      <c r="K27" s="67" t="s">
        <v>407</v>
      </c>
      <c r="L27" s="67" t="s">
        <v>408</v>
      </c>
      <c r="M27" s="67" t="s">
        <v>178</v>
      </c>
      <c r="N27" s="67" t="s">
        <v>409</v>
      </c>
      <c r="O27" s="67" t="s">
        <v>410</v>
      </c>
      <c r="P27" s="57" t="s">
        <v>178</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59" t="n">
        <f aca="false">IF(ISNUMBER(Flights!$AY$5),MAX(Q27-UpliftWindowH/24,Flights!$AY$5+UpliftWindowH/24),Q27-UpliftWindowH/24)</f>
        <v>46303.6076388889</v>
      </c>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IF(N27="N/A – rule","N/A – RULE",IF(TRIM(U27)="N/A",IF(AT27=0,"INVALID – N/A not permitted for this mandatory check",IF(AND(TRIM(AC27)&lt;&gt;"",TRIM(AE27)&lt;&gt;"",TRIM(T27)&lt;&gt;"",TRIM(AE27)&lt;&gt;TRIM(T27)),"N/A – JUSTIFIED","INVALID – N/A needs justification, PIC and a different verifier")),IF(OR(TRIM(U27)="Pass",TRIM(U27)="Pass after CA"),IF(NOT(ISNUMBER(AD27)),"INVALID – completion time missing",IF(TRIM(T27)="","INVALID – PIC missing",IF(TRIM(V27)="","INVALID – result / assessment missing",IF(TRIM(Z27)="","INVALID – evidence missing",IF(TRIM(AE27)="","INVALID – verifier missing",IF(TRIM(AE27)=TRIM(T27),"INVALID – verifier must be someone other than the PIC",IF(AND(AQ27=1,TRIM(W27)=""),"INVALID – batch ID missing",IF(AND(AR27=1,OR(NOT(ISNUMBER(X27)),NOT(ISNUMBER(Y27)))),"INVALID – expected/actual qty missing",IF(IF(AND(TRIM(U27)="Pass",ISNUMBER(AF27)),IF(AF27&lt;&gt;0,"INVALID – qty variance: use Fail or Pass after CA",""),"")&amp;IF(AND(TRIM(U27)="Pass",TRIM(AB27)&lt;&gt;"",TRIM(AB27)&lt;&gt;"Closed"),"INVALID – corrective action not closed: use Fail, then Pass after CA","")&amp;IF(AND(TRIM(AA27)&lt;&gt;"",TRIM(AB27)=""),"INVALID – CA status missing for the recorded corrective action","")&amp;IF(AND(TRIM(U27)="Pass after CA",OR(TRIM(AA27)="",TRIM(AB27)&lt;&gt;"Closed")),"INVALID – corrective action not recorded/closed","")&lt;&gt;"",IF(AND(TRIM(U27)="Pass",ISNUMBER(AF27)),IF(AF27&lt;&gt;0,"INVALID – qty variance: use Fail or Pass after CA",""),"")&amp;IF(AND(TRIM(U27)="Pass",TRIM(AB27)&lt;&gt;"",TRIM(AB27)&lt;&gt;"Closed"),"INVALID – corrective action not closed: use Fail, then Pass after CA","")&amp;IF(AND(TRIM(AA27)&lt;&gt;"",TRIM(AB27)=""),"INVALID – CA status missing for the recorded corrective action","")&amp;IF(AND(TRIM(U27)="Pass after CA",OR(TRIM(AA27)="",TRIM(AB27)&lt;&gt;"Closed")),"INVALID – corrective action not recorded/closed",""),IF(AND(AS27=1,Documents!$J$5&lt;&gt;"ON FILE"),"INVALID – GLD not on file (Documents sheet)",IF(AND(AS27=2,Documents!$O$5&lt;&gt;"ON FILE"),"INVALID – menu checklist not on file (Documents sheet)",IF(AND(AS27=3,NOT(ISNUMBER(Flights!$AX$5))),"INVALID – enter carrying flight KUL departure (Flights AX)",IF(AND(AS27=3,OR(Flights!$AX$5&gt;=Flights!$AA$5,Flights!$AX$5&lt;Flights!$AA$5-3)),"INVALID – Flights AX must be before this leg's STD (within 3 days)",IF(AG27&gt;AsOfUTC,"INVALID – completion time is in the future",IF(AND(ISNUMBER(S27),AG27&lt;S27),IF(H27="Physical uplift","INVALID – before uplift window (cannot confirm loading)","INVALID – before valid window"),IF(AG27&gt;Flights!$AA$5,"INVALID – completed after departure (cannot establish readiness)",IF(AND(H27="Physical uplift",AG27&gt;Q27),"INVALID – recorded after the loading flight departed",IF(AG27&gt;Q27,"COMPLETE – LATE","COMPLETE")))))))))))))))))),IF(TRIM(U27)="Fail","FAIL – DISCREPANCY",IF(AND(TRIM(U27)&lt;&gt;"",TRIM(U27)&lt;&gt;"Not started",TRIM(U27)&lt;&gt;"In progress"),"INVALID – unrecognised status (use the list)",IF(AsOfUTC&gt;Q27,"OVERDUE",IF(N27="Clarification required","OPEN – CLARIFICATION","OPEN")))))))</f>
        <v>OPEN – CLARIFICATION</v>
      </c>
      <c r="AI27" s="61" t="n">
        <f aca="false">IF(OR(AH27="N/A – RULE",AH27="N/A – JUSTIFIED"),0,1)</f>
        <v>1</v>
      </c>
      <c r="AJ27" s="61" t="n">
        <f aca="false">IF(LEFT(AH27,8)="COMPLETE",1,0)</f>
        <v>0</v>
      </c>
      <c r="AK27" s="61" t="n">
        <f aca="false">IF(AND(AI27=1,AJ27=0,AsOfUTC&gt;Q27),1,0)</f>
        <v>0</v>
      </c>
      <c r="AL27" s="61" t="n">
        <f aca="false">IF(AND(AI27=1,OR(TRIM(U27)="Fail",AND(TRIM(AB27)&lt;&gt;"",TRIM(AB27)&lt;&gt;"Closed"),AND(ISNUMBER(AF27),AF27&lt;&gt;0,TRIM(U27)&lt;&gt;"Pass after CA"))),1,0)</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8" t="b">
        <f aca="false">TRUE()</f>
        <v>1</v>
      </c>
    </row>
    <row r="28" customFormat="false" ht="39.75" hidden="false" customHeight="true" outlineLevel="0" collapsed="false">
      <c r="A28" s="57" t="s">
        <v>433</v>
      </c>
      <c r="B28" s="57" t="s">
        <v>175</v>
      </c>
      <c r="C28" s="57" t="str">
        <f aca="false">Flights!$F$5</f>
        <v>MH0001</v>
      </c>
      <c r="D28" s="58" t="n">
        <f aca="false">Flights!$D$5</f>
        <v>46303</v>
      </c>
      <c r="E28" s="57" t="str">
        <f aca="false">Flights!$G$5&amp;"-"&amp;Flights!$H$5</f>
        <v>LHR-KUL</v>
      </c>
      <c r="F28" s="57" t="str">
        <f aca="false">Flights!$K$5</f>
        <v>EY</v>
      </c>
      <c r="G28" s="57" t="s">
        <v>424</v>
      </c>
      <c r="H28" s="57" t="s">
        <v>425</v>
      </c>
      <c r="I28" s="57" t="s">
        <v>412</v>
      </c>
      <c r="J28" s="57" t="s">
        <v>434</v>
      </c>
      <c r="K28" s="67" t="s">
        <v>414</v>
      </c>
      <c r="L28" s="67" t="s">
        <v>415</v>
      </c>
      <c r="M28" s="67" t="s">
        <v>416</v>
      </c>
      <c r="N28" s="67" t="s">
        <v>348</v>
      </c>
      <c r="O28" s="67"/>
      <c r="P28" s="57" t="s">
        <v>178</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59" t="n">
        <f aca="false">IF(ISNUMBER(Flights!$AY$5),MAX(Q28-UpliftWindowH/24,Flights!$AY$5+UpliftWindowH/24),Q28-UpliftWindowH/24)</f>
        <v>46303.6076388889</v>
      </c>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IF(N28="N/A – rule","N/A – RULE",IF(TRIM(U28)="N/A",IF(AT28=0,"INVALID – N/A not permitted for this mandatory check",IF(AND(TRIM(AC28)&lt;&gt;"",TRIM(AE28)&lt;&gt;"",TRIM(T28)&lt;&gt;"",TRIM(AE28)&lt;&gt;TRIM(T28)),"N/A – JUSTIFIED","INVALID – N/A needs justification, PIC and a different verifier")),IF(OR(TRIM(U28)="Pass",TRIM(U28)="Pass after CA"),IF(NOT(ISNUMBER(AD28)),"INVALID – completion time missing",IF(TRIM(T28)="","INVALID – PIC missing",IF(TRIM(V28)="","INVALID – result / assessment missing",IF(TRIM(Z28)="","INVALID – evidence missing",IF(TRIM(AE28)="","INVALID – verifier missing",IF(TRIM(AE28)=TRIM(T28),"INVALID – verifier must be someone other than the PIC",IF(AND(AQ28=1,TRIM(W28)=""),"INVALID – batch ID missing",IF(AND(AR28=1,OR(NOT(ISNUMBER(X28)),NOT(ISNUMBER(Y28)))),"INVALID – expected/actual qty missing",IF(IF(AND(TRIM(U28)="Pass",ISNUMBER(AF28)),IF(AF28&lt;&gt;0,"INVALID – qty variance: use Fail or Pass after CA",""),"")&amp;IF(AND(TRIM(U28)="Pass",TRIM(AB28)&lt;&gt;"",TRIM(AB28)&lt;&gt;"Closed"),"INVALID – corrective action not closed: use Fail, then Pass after CA","")&amp;IF(AND(TRIM(AA28)&lt;&gt;"",TRIM(AB28)=""),"INVALID – CA status missing for the recorded corrective action","")&amp;IF(AND(TRIM(U28)="Pass after CA",OR(TRIM(AA28)="",TRIM(AB28)&lt;&gt;"Closed")),"INVALID – corrective action not recorded/closed","")&lt;&gt;"",IF(AND(TRIM(U28)="Pass",ISNUMBER(AF28)),IF(AF28&lt;&gt;0,"INVALID – qty variance: use Fail or Pass after CA",""),"")&amp;IF(AND(TRIM(U28)="Pass",TRIM(AB28)&lt;&gt;"",TRIM(AB28)&lt;&gt;"Closed"),"INVALID – corrective action not closed: use Fail, then Pass after CA","")&amp;IF(AND(TRIM(AA28)&lt;&gt;"",TRIM(AB28)=""),"INVALID – CA status missing for the recorded corrective action","")&amp;IF(AND(TRIM(U28)="Pass after CA",OR(TRIM(AA28)="",TRIM(AB28)&lt;&gt;"Closed")),"INVALID – corrective action not recorded/closed",""),IF(AND(AS28=1,Documents!$J$5&lt;&gt;"ON FILE"),"INVALID – GLD not on file (Documents sheet)",IF(AND(AS28=2,Documents!$O$5&lt;&gt;"ON FILE"),"INVALID – menu checklist not on file (Documents sheet)",IF(AND(AS28=3,NOT(ISNUMBER(Flights!$AX$5))),"INVALID – enter carrying flight KUL departure (Flights AX)",IF(AND(AS28=3,OR(Flights!$AX$5&gt;=Flights!$AA$5,Flights!$AX$5&lt;Flights!$AA$5-3)),"INVALID – Flights AX must be before this leg's STD (within 3 days)",IF(AG28&gt;AsOfUTC,"INVALID – completion time is in the future",IF(AND(ISNUMBER(S28),AG28&lt;S28),IF(H28="Physical uplift","INVALID – before uplift window (cannot confirm loading)","INVALID – before valid window"),IF(AG28&gt;Flights!$AA$5,"INVALID – completed after departure (cannot establish readiness)",IF(AND(H28="Physical uplift",AG28&gt;Q28),"INVALID – recorded after the loading flight departed",IF(AG28&gt;Q28,"COMPLETE – LATE","COMPLETE")))))))))))))))))),IF(TRIM(U28)="Fail","FAIL – DISCREPANCY",IF(AND(TRIM(U28)&lt;&gt;"",TRIM(U28)&lt;&gt;"Not started",TRIM(U28)&lt;&gt;"In progress"),"INVALID – unrecognised status (use the list)",IF(AsOfUTC&gt;Q28,"OVERDUE",IF(N28="Clarification required","OPEN – CLARIFICATION","OPEN")))))))</f>
        <v>OPEN</v>
      </c>
      <c r="AI28" s="61" t="n">
        <f aca="false">IF(OR(AH28="N/A – RULE",AH28="N/A – JUSTIFIED"),0,1)</f>
        <v>1</v>
      </c>
      <c r="AJ28" s="61" t="n">
        <f aca="false">IF(LEFT(AH28,8)="COMPLETE",1,0)</f>
        <v>0</v>
      </c>
      <c r="AK28" s="61" t="n">
        <f aca="false">IF(AND(AI28=1,AJ28=0,AsOfUTC&gt;Q28),1,0)</f>
        <v>0</v>
      </c>
      <c r="AL28" s="61" t="n">
        <f aca="false">IF(AND(AI28=1,OR(TRIM(U28)="Fail",AND(TRIM(AB28)&lt;&gt;"",TRIM(AB28)&lt;&gt;"Closed"),AND(ISNUMBER(AF28),AF28&lt;&gt;0,TRIM(U28)&lt;&gt;"Pass after CA"))),1,0)</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8" t="b">
        <f aca="false">TRUE()</f>
        <v>1</v>
      </c>
    </row>
    <row r="29" customFormat="false" ht="54" hidden="false" customHeight="true" outlineLevel="0" collapsed="false">
      <c r="A29" s="57" t="s">
        <v>435</v>
      </c>
      <c r="B29" s="57" t="s">
        <v>175</v>
      </c>
      <c r="C29" s="57" t="str">
        <f aca="false">Flights!$F$5</f>
        <v>MH0001</v>
      </c>
      <c r="D29" s="58" t="n">
        <f aca="false">Flights!$D$5</f>
        <v>46303</v>
      </c>
      <c r="E29" s="57" t="str">
        <f aca="false">Flights!$G$5&amp;"-"&amp;Flights!$H$5</f>
        <v>LHR-KUL</v>
      </c>
      <c r="F29" s="57" t="str">
        <f aca="false">Flights!$K$5</f>
        <v>EY</v>
      </c>
      <c r="G29" s="57" t="s">
        <v>424</v>
      </c>
      <c r="H29" s="57" t="s">
        <v>425</v>
      </c>
      <c r="I29" s="57" t="s">
        <v>412</v>
      </c>
      <c r="J29" s="57" t="s">
        <v>436</v>
      </c>
      <c r="K29" s="67" t="s">
        <v>420</v>
      </c>
      <c r="L29" s="67" t="s">
        <v>421</v>
      </c>
      <c r="M29" s="67" t="s">
        <v>416</v>
      </c>
      <c r="N29" s="67" t="s">
        <v>348</v>
      </c>
      <c r="O29" s="67" t="s">
        <v>437</v>
      </c>
      <c r="P29" s="57" t="s">
        <v>178</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59" t="n">
        <f aca="false">IF(ISNUMBER(Flights!$AY$5),MAX(Q29-UpliftWindowH/24,Flights!$AY$5+UpliftWindowH/24),Q29-UpliftWindowH/24)</f>
        <v>46303.6076388889</v>
      </c>
      <c r="T29" s="60"/>
      <c r="U29" s="60"/>
      <c r="V29" s="60"/>
      <c r="W29" s="61"/>
      <c r="X29" s="69"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IF(N29="N/A – rule","N/A – RULE",IF(TRIM(U29)="N/A",IF(AT29=0,"INVALID – N/A not permitted for this mandatory check",IF(AND(TRIM(AC29)&lt;&gt;"",TRIM(AE29)&lt;&gt;"",TRIM(T29)&lt;&gt;"",TRIM(AE29)&lt;&gt;TRIM(T29)),"N/A – JUSTIFIED","INVALID – N/A needs justification, PIC and a different verifier")),IF(OR(TRIM(U29)="Pass",TRIM(U29)="Pass after CA"),IF(NOT(ISNUMBER(AD29)),"INVALID – completion time missing",IF(TRIM(T29)="","INVALID – PIC missing",IF(TRIM(V29)="","INVALID – result / assessment missing",IF(TRIM(Z29)="","INVALID – evidence missing",IF(TRIM(AE29)="","INVALID – verifier missing",IF(TRIM(AE29)=TRIM(T29),"INVALID – verifier must be someone other than the PIC",IF(AND(AQ29=1,TRIM(W29)=""),"INVALID – batch ID missing",IF(AND(AR29=1,OR(NOT(ISNUMBER(X29)),NOT(ISNUMBER(Y29)))),"INVALID – expected/actual qty missing",IF(IF(AND(TRIM(U29)="Pass",ISNUMBER(AF29)),IF(AF29&lt;&gt;0,"INVALID – qty variance: use Fail or Pass after CA",""),"")&amp;IF(AND(TRIM(U29)="Pass",TRIM(AB29)&lt;&gt;"",TRIM(AB29)&lt;&gt;"Closed"),"INVALID – corrective action not closed: use Fail, then Pass after CA","")&amp;IF(AND(TRIM(AA29)&lt;&gt;"",TRIM(AB29)=""),"INVALID – CA status missing for the recorded corrective action","")&amp;IF(AND(TRIM(U29)="Pass after CA",OR(TRIM(AA29)="",TRIM(AB29)&lt;&gt;"Closed")),"INVALID – corrective action not recorded/closed","")&lt;&gt;"",IF(AND(TRIM(U29)="Pass",ISNUMBER(AF29)),IF(AF29&lt;&gt;0,"INVALID – qty variance: use Fail or Pass after CA",""),"")&amp;IF(AND(TRIM(U29)="Pass",TRIM(AB29)&lt;&gt;"",TRIM(AB29)&lt;&gt;"Closed"),"INVALID – corrective action not closed: use Fail, then Pass after CA","")&amp;IF(AND(TRIM(AA29)&lt;&gt;"",TRIM(AB29)=""),"INVALID – CA status missing for the recorded corrective action","")&amp;IF(AND(TRIM(U29)="Pass after CA",OR(TRIM(AA29)="",TRIM(AB29)&lt;&gt;"Closed")),"INVALID – corrective action not recorded/closed",""),IF(AND(AS29=1,Documents!$J$5&lt;&gt;"ON FILE"),"INVALID – GLD not on file (Documents sheet)",IF(AND(AS29=2,Documents!$O$5&lt;&gt;"ON FILE"),"INVALID – menu checklist not on file (Documents sheet)",IF(AND(AS29=3,NOT(ISNUMBER(Flights!$AX$5))),"INVALID – enter carrying flight KUL departure (Flights AX)",IF(AND(AS29=3,OR(Flights!$AX$5&gt;=Flights!$AA$5,Flights!$AX$5&lt;Flights!$AA$5-3)),"INVALID – Flights AX must be before this leg's STD (within 3 days)",IF(AG29&gt;AsOfUTC,"INVALID – completion time is in the future",IF(AND(ISNUMBER(S29),AG29&lt;S29),IF(H29="Physical uplift","INVALID – before uplift window (cannot confirm loading)","INVALID – before valid window"),IF(AG29&gt;Flights!$AA$5,"INVALID – completed after departure (cannot establish readiness)",IF(AND(H29="Physical uplift",AG29&gt;Q29),"INVALID – recorded after the loading flight departed",IF(AG29&gt;Q29,"COMPLETE – LATE","COMPLETE")))))))))))))))))),IF(TRIM(U29)="Fail","FAIL – DISCREPANCY",IF(AND(TRIM(U29)&lt;&gt;"",TRIM(U29)&lt;&gt;"Not started",TRIM(U29)&lt;&gt;"In progress"),"INVALID – unrecognised status (use the list)",IF(AsOfUTC&gt;Q29,"OVERDUE",IF(N29="Clarification required","OPEN – CLARIFICATION","OPEN")))))))</f>
        <v>OPEN</v>
      </c>
      <c r="AI29" s="61" t="n">
        <f aca="false">IF(OR(AH29="N/A – RULE",AH29="N/A – JUSTIFIED"),0,1)</f>
        <v>1</v>
      </c>
      <c r="AJ29" s="61" t="n">
        <f aca="false">IF(LEFT(AH29,8)="COMPLETE",1,0)</f>
        <v>0</v>
      </c>
      <c r="AK29" s="61" t="n">
        <f aca="false">IF(AND(AI29=1,AJ29=0,AsOfUTC&gt;Q29),1,0)</f>
        <v>0</v>
      </c>
      <c r="AL29" s="61" t="n">
        <f aca="false">IF(AND(AI29=1,OR(TRIM(U29)="Fail",AND(TRIM(AB29)&lt;&gt;"",TRIM(AB29)&lt;&gt;"Closed"),AND(ISNUMBER(AF29),AF29&lt;&gt;0,TRIM(U29)&lt;&gt;"Pass after CA"))),1,0)</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8" t="b">
        <f aca="false">TRUE()</f>
        <v>1</v>
      </c>
    </row>
    <row r="30" customFormat="false" ht="39.75" hidden="false" customHeight="true" outlineLevel="0" collapsed="false">
      <c r="A30" s="57" t="s">
        <v>438</v>
      </c>
      <c r="B30" s="57" t="s">
        <v>190</v>
      </c>
      <c r="C30" s="57" t="str">
        <f aca="false">Flights!$F$6</f>
        <v>MH0727</v>
      </c>
      <c r="D30" s="58" t="n">
        <f aca="false">Flights!$D$6</f>
        <v>46304</v>
      </c>
      <c r="E30" s="57" t="str">
        <f aca="false">Flights!$G$6&amp;"-"&amp;Flights!$H$6</f>
        <v>KUL-CGK</v>
      </c>
      <c r="F30" s="57" t="str">
        <f aca="false">Flights!$K$6</f>
        <v>BC</v>
      </c>
      <c r="G30" s="57" t="s">
        <v>76</v>
      </c>
      <c r="H30" s="57" t="s">
        <v>343</v>
      </c>
      <c r="I30" s="57" t="s">
        <v>344</v>
      </c>
      <c r="J30" s="57" t="s">
        <v>345</v>
      </c>
      <c r="K30" s="67" t="s">
        <v>346</v>
      </c>
      <c r="L30" s="67" t="s">
        <v>347</v>
      </c>
      <c r="M30" s="67"/>
      <c r="N30" s="67" t="s">
        <v>348</v>
      </c>
      <c r="O30" s="67"/>
      <c r="P30" s="57" t="s">
        <v>179</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59" t="n">
        <f aca="false">Q30-T7EarlyD*24/24</f>
        <v>46283.5763888889</v>
      </c>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IF(N30="N/A – rule","N/A – RULE",IF(TRIM(U30)="N/A",IF(AT30=0,"INVALID – N/A not permitted for this mandatory check",IF(AND(TRIM(AC30)&lt;&gt;"",TRIM(AE30)&lt;&gt;"",TRIM(T30)&lt;&gt;"",TRIM(AE30)&lt;&gt;TRIM(T30)),"N/A – JUSTIFIED","INVALID – N/A needs justification, PIC and a different verifier")),IF(OR(TRIM(U30)="Pass",TRIM(U30)="Pass after CA"),IF(NOT(ISNUMBER(AD30)),"INVALID – completion time missing",IF(TRIM(T30)="","INVALID – PIC missing",IF(TRIM(V30)="","INVALID – result / assessment missing",IF(TRIM(Z30)="","INVALID – evidence missing",IF(TRIM(AE30)="","INVALID – verifier missing",IF(TRIM(AE30)=TRIM(T30),"INVALID – verifier must be someone other than the PIC",IF(AND(AQ30=1,TRIM(W30)=""),"INVALID – batch ID missing",IF(AND(AR30=1,OR(NOT(ISNUMBER(X30)),NOT(ISNUMBER(Y30)))),"INVALID – expected/actual qty missing",IF(IF(AND(TRIM(U30)="Pass",ISNUMBER(AF30)),IF(AF30&lt;&gt;0,"INVALID – qty variance: use Fail or Pass after CA",""),"")&amp;IF(AND(TRIM(U30)="Pass",TRIM(AB30)&lt;&gt;"",TRIM(AB30)&lt;&gt;"Closed"),"INVALID – corrective action not closed: use Fail, then Pass after CA","")&amp;IF(AND(TRIM(AA30)&lt;&gt;"",TRIM(AB30)=""),"INVALID – CA status missing for the recorded corrective action","")&amp;IF(AND(TRIM(U30)="Pass after CA",OR(TRIM(AA30)="",TRIM(AB30)&lt;&gt;"Closed")),"INVALID – corrective action not recorded/closed","")&lt;&gt;"",IF(AND(TRIM(U30)="Pass",ISNUMBER(AF30)),IF(AF30&lt;&gt;0,"INVALID – qty variance: use Fail or Pass after CA",""),"")&amp;IF(AND(TRIM(U30)="Pass",TRIM(AB30)&lt;&gt;"",TRIM(AB30)&lt;&gt;"Closed"),"INVALID – corrective action not closed: use Fail, then Pass after CA","")&amp;IF(AND(TRIM(AA30)&lt;&gt;"",TRIM(AB30)=""),"INVALID – CA status missing for the recorded corrective action","")&amp;IF(AND(TRIM(U30)="Pass after CA",OR(TRIM(AA30)="",TRIM(AB30)&lt;&gt;"Closed")),"INVALID – corrective action not recorded/closed",""),IF(AND(AS30=1,Documents!$J$6&lt;&gt;"ON FILE"),"INVALID – GLD not on file (Documents sheet)",IF(AND(AS30=2,Documents!$O$6&lt;&gt;"ON FILE"),"INVALID – menu checklist not on file (Documents sheet)",IF(AND(AS30=3,NOT(ISNUMBER(Flights!$AX$6))),"INVALID – enter carrying flight KUL departure (Flights AX)",IF(AND(AS30=3,OR(Flights!$AX$6&gt;=Flights!$AA$6,Flights!$AX$6&lt;Flights!$AA$6-3)),"INVALID – Flights AX must be before this leg's STD (within 3 days)",IF(AG30&gt;AsOfUTC,"INVALID – completion time is in the future",IF(AND(ISNUMBER(S30),AG30&lt;S30),IF(H30="Physical uplift","INVALID – before uplift window (cannot confirm loading)","INVALID – before valid window"),IF(AG30&gt;Flights!$AA$6,"INVALID – completed after departure (cannot establish readiness)",IF(AND(H30="Physical uplift",AG30&gt;Q30),"INVALID – recorded after the loading flight departed",IF(AG30&gt;Q30,"COMPLETE – LATE","COMPLETE")))))))))))))))))),IF(TRIM(U30)="Fail","FAIL – DISCREPANCY",IF(AND(TRIM(U30)&lt;&gt;"",TRIM(U30)&lt;&gt;"Not started",TRIM(U30)&lt;&gt;"In progress"),"INVALID – unrecognised status (use the list)",IF(AsOfUTC&gt;Q30,"OVERDUE",IF(N30="Clarification required","OPEN – CLARIFICATION","OPEN")))))))</f>
        <v>OPEN</v>
      </c>
      <c r="AI30" s="61" t="n">
        <f aca="false">IF(OR(AH30="N/A – RULE",AH30="N/A – JUSTIFIED"),0,1)</f>
        <v>1</v>
      </c>
      <c r="AJ30" s="61" t="n">
        <f aca="false">IF(LEFT(AH30,8)="COMPLETE",1,0)</f>
        <v>0</v>
      </c>
      <c r="AK30" s="61" t="n">
        <f aca="false">IF(AND(AI30=1,AJ30=0,AsOfUTC&gt;Q30),1,0)</f>
        <v>0</v>
      </c>
      <c r="AL30" s="61" t="n">
        <f aca="false">IF(AND(AI30=1,OR(TRIM(U30)="Fail",AND(TRIM(AB30)&lt;&gt;"",TRIM(AB30)&lt;&gt;"Closed"),AND(ISNUMBER(AF30),AF30&lt;&gt;0,TRIM(U30)&lt;&gt;"Pass after CA"))),1,0)</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row>
    <row r="31" customFormat="false" ht="39.75" hidden="false" customHeight="true" outlineLevel="0" collapsed="false">
      <c r="A31" s="57" t="s">
        <v>439</v>
      </c>
      <c r="B31" s="57" t="s">
        <v>190</v>
      </c>
      <c r="C31" s="57" t="str">
        <f aca="false">Flights!$F$6</f>
        <v>MH0727</v>
      </c>
      <c r="D31" s="58" t="n">
        <f aca="false">Flights!$D$6</f>
        <v>46304</v>
      </c>
      <c r="E31" s="57" t="str">
        <f aca="false">Flights!$G$6&amp;"-"&amp;Flights!$H$6</f>
        <v>KUL-CGK</v>
      </c>
      <c r="F31" s="57" t="str">
        <f aca="false">Flights!$K$6</f>
        <v>BC</v>
      </c>
      <c r="G31" s="57" t="s">
        <v>76</v>
      </c>
      <c r="H31" s="57" t="s">
        <v>343</v>
      </c>
      <c r="I31" s="57" t="s">
        <v>350</v>
      </c>
      <c r="J31" s="57" t="s">
        <v>351</v>
      </c>
      <c r="K31" s="67" t="s">
        <v>352</v>
      </c>
      <c r="L31" s="67" t="s">
        <v>347</v>
      </c>
      <c r="M31" s="67"/>
      <c r="N31" s="67" t="s">
        <v>348</v>
      </c>
      <c r="O31" s="67"/>
      <c r="P31" s="57" t="s">
        <v>179</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59" t="n">
        <f aca="false">Q31-T7EarlyD*24/24</f>
        <v>46283.5763888889</v>
      </c>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IF(N31="N/A – rule","N/A – RULE",IF(TRIM(U31)="N/A",IF(AT31=0,"INVALID – N/A not permitted for this mandatory check",IF(AND(TRIM(AC31)&lt;&gt;"",TRIM(AE31)&lt;&gt;"",TRIM(T31)&lt;&gt;"",TRIM(AE31)&lt;&gt;TRIM(T31)),"N/A – JUSTIFIED","INVALID – N/A needs justification, PIC and a different verifier")),IF(OR(TRIM(U31)="Pass",TRIM(U31)="Pass after CA"),IF(NOT(ISNUMBER(AD31)),"INVALID – completion time missing",IF(TRIM(T31)="","INVALID – PIC missing",IF(TRIM(V31)="","INVALID – result / assessment missing",IF(TRIM(Z31)="","INVALID – evidence missing",IF(TRIM(AE31)="","INVALID – verifier missing",IF(TRIM(AE31)=TRIM(T31),"INVALID – verifier must be someone other than the PIC",IF(AND(AQ31=1,TRIM(W31)=""),"INVALID – batch ID missing",IF(AND(AR31=1,OR(NOT(ISNUMBER(X31)),NOT(ISNUMBER(Y31)))),"INVALID – expected/actual qty missing",IF(IF(AND(TRIM(U31)="Pass",ISNUMBER(AF31)),IF(AF31&lt;&gt;0,"INVALID – qty variance: use Fail or Pass after CA",""),"")&amp;IF(AND(TRIM(U31)="Pass",TRIM(AB31)&lt;&gt;"",TRIM(AB31)&lt;&gt;"Closed"),"INVALID – corrective action not closed: use Fail, then Pass after CA","")&amp;IF(AND(TRIM(AA31)&lt;&gt;"",TRIM(AB31)=""),"INVALID – CA status missing for the recorded corrective action","")&amp;IF(AND(TRIM(U31)="Pass after CA",OR(TRIM(AA31)="",TRIM(AB31)&lt;&gt;"Closed")),"INVALID – corrective action not recorded/closed","")&lt;&gt;"",IF(AND(TRIM(U31)="Pass",ISNUMBER(AF31)),IF(AF31&lt;&gt;0,"INVALID – qty variance: use Fail or Pass after CA",""),"")&amp;IF(AND(TRIM(U31)="Pass",TRIM(AB31)&lt;&gt;"",TRIM(AB31)&lt;&gt;"Closed"),"INVALID – corrective action not closed: use Fail, then Pass after CA","")&amp;IF(AND(TRIM(AA31)&lt;&gt;"",TRIM(AB31)=""),"INVALID – CA status missing for the recorded corrective action","")&amp;IF(AND(TRIM(U31)="Pass after CA",OR(TRIM(AA31)="",TRIM(AB31)&lt;&gt;"Closed")),"INVALID – corrective action not recorded/closed",""),IF(AND(AS31=1,Documents!$J$6&lt;&gt;"ON FILE"),"INVALID – GLD not on file (Documents sheet)",IF(AND(AS31=2,Documents!$O$6&lt;&gt;"ON FILE"),"INVALID – menu checklist not on file (Documents sheet)",IF(AND(AS31=3,NOT(ISNUMBER(Flights!$AX$6))),"INVALID – enter carrying flight KUL departure (Flights AX)",IF(AND(AS31=3,OR(Flights!$AX$6&gt;=Flights!$AA$6,Flights!$AX$6&lt;Flights!$AA$6-3)),"INVALID – Flights AX must be before this leg's STD (within 3 days)",IF(AG31&gt;AsOfUTC,"INVALID – completion time is in the future",IF(AND(ISNUMBER(S31),AG31&lt;S31),IF(H31="Physical uplift","INVALID – before uplift window (cannot confirm loading)","INVALID – before valid window"),IF(AG31&gt;Flights!$AA$6,"INVALID – completed after departure (cannot establish readiness)",IF(AND(H31="Physical uplift",AG31&gt;Q31),"INVALID – recorded after the loading flight departed",IF(AG31&gt;Q31,"COMPLETE – LATE","COMPLETE")))))))))))))))))),IF(TRIM(U31)="Fail","FAIL – DISCREPANCY",IF(AND(TRIM(U31)&lt;&gt;"",TRIM(U31)&lt;&gt;"Not started",TRIM(U31)&lt;&gt;"In progress"),"INVALID – unrecognised status (use the list)",IF(AsOfUTC&gt;Q31,"OVERDUE",IF(N31="Clarification required","OPEN – CLARIFICATION","OPEN")))))))</f>
        <v>OPEN</v>
      </c>
      <c r="AI31" s="61" t="n">
        <f aca="false">IF(OR(AH31="N/A – RULE",AH31="N/A – JUSTIFIED"),0,1)</f>
        <v>1</v>
      </c>
      <c r="AJ31" s="61" t="n">
        <f aca="false">IF(LEFT(AH31,8)="COMPLETE",1,0)</f>
        <v>0</v>
      </c>
      <c r="AK31" s="61" t="n">
        <f aca="false">IF(AND(AI31=1,AJ31=0,AsOfUTC&gt;Q31),1,0)</f>
        <v>0</v>
      </c>
      <c r="AL31" s="61" t="n">
        <f aca="false">IF(AND(AI31=1,OR(TRIM(U31)="Fail",AND(TRIM(AB31)&lt;&gt;"",TRIM(AB31)&lt;&gt;"Closed"),AND(ISNUMBER(AF31),AF31&lt;&gt;0,TRIM(U31)&lt;&gt;"Pass after CA"))),1,0)</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8" t="b">
        <f aca="false">TRUE()</f>
        <v>1</v>
      </c>
    </row>
    <row r="32" customFormat="false" ht="41.25" hidden="false" customHeight="true" outlineLevel="0" collapsed="false">
      <c r="A32" s="57" t="s">
        <v>440</v>
      </c>
      <c r="B32" s="57" t="s">
        <v>190</v>
      </c>
      <c r="C32" s="57" t="str">
        <f aca="false">Flights!$F$6</f>
        <v>MH0727</v>
      </c>
      <c r="D32" s="58" t="n">
        <f aca="false">Flights!$D$6</f>
        <v>46304</v>
      </c>
      <c r="E32" s="57" t="str">
        <f aca="false">Flights!$G$6&amp;"-"&amp;Flights!$H$6</f>
        <v>KUL-CGK</v>
      </c>
      <c r="F32" s="57" t="str">
        <f aca="false">Flights!$K$6</f>
        <v>BC</v>
      </c>
      <c r="G32" s="57" t="s">
        <v>76</v>
      </c>
      <c r="H32" s="57" t="s">
        <v>343</v>
      </c>
      <c r="I32" s="57" t="s">
        <v>354</v>
      </c>
      <c r="J32" s="57" t="s">
        <v>355</v>
      </c>
      <c r="K32" s="67" t="s">
        <v>356</v>
      </c>
      <c r="L32" s="67" t="s">
        <v>347</v>
      </c>
      <c r="M32" s="67"/>
      <c r="N32" s="67" t="str">
        <f aca="false">IF(TRIM(Flights!$L$6)="A339","Required","N/A – rule")</f>
        <v>N/A – rule</v>
      </c>
      <c r="O32" s="67" t="s">
        <v>357</v>
      </c>
      <c r="P32" s="57" t="s">
        <v>179</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59" t="n">
        <f aca="false">Q32-T7EarlyD*24/24</f>
        <v>46283.5763888889</v>
      </c>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IF(N32="N/A – rule","N/A – RULE",IF(TRIM(U32)="N/A",IF(AT32=0,"INVALID – N/A not permitted for this mandatory check",IF(AND(TRIM(AC32)&lt;&gt;"",TRIM(AE32)&lt;&gt;"",TRIM(T32)&lt;&gt;"",TRIM(AE32)&lt;&gt;TRIM(T32)),"N/A – JUSTIFIED","INVALID – N/A needs justification, PIC and a different verifier")),IF(OR(TRIM(U32)="Pass",TRIM(U32)="Pass after CA"),IF(NOT(ISNUMBER(AD32)),"INVALID – completion time missing",IF(TRIM(T32)="","INVALID – PIC missing",IF(TRIM(V32)="","INVALID – result / assessment missing",IF(TRIM(Z32)="","INVALID – evidence missing",IF(TRIM(AE32)="","INVALID – verifier missing",IF(TRIM(AE32)=TRIM(T32),"INVALID – verifier must be someone other than the PIC",IF(AND(AQ32=1,TRIM(W32)=""),"INVALID – batch ID missing",IF(AND(AR32=1,OR(NOT(ISNUMBER(X32)),NOT(ISNUMBER(Y32)))),"INVALID – expected/actual qty missing",IF(IF(AND(TRIM(U32)="Pass",ISNUMBER(AF32)),IF(AF32&lt;&gt;0,"INVALID – qty variance: use Fail or Pass after CA",""),"")&amp;IF(AND(TRIM(U32)="Pass",TRIM(AB32)&lt;&gt;"",TRIM(AB32)&lt;&gt;"Closed"),"INVALID – corrective action not closed: use Fail, then Pass after CA","")&amp;IF(AND(TRIM(AA32)&lt;&gt;"",TRIM(AB32)=""),"INVALID – CA status missing for the recorded corrective action","")&amp;IF(AND(TRIM(U32)="Pass after CA",OR(TRIM(AA32)="",TRIM(AB32)&lt;&gt;"Closed")),"INVALID – corrective action not recorded/closed","")&lt;&gt;"",IF(AND(TRIM(U32)="Pass",ISNUMBER(AF32)),IF(AF32&lt;&gt;0,"INVALID – qty variance: use Fail or Pass after CA",""),"")&amp;IF(AND(TRIM(U32)="Pass",TRIM(AB32)&lt;&gt;"",TRIM(AB32)&lt;&gt;"Closed"),"INVALID – corrective action not closed: use Fail, then Pass after CA","")&amp;IF(AND(TRIM(AA32)&lt;&gt;"",TRIM(AB32)=""),"INVALID – CA status missing for the recorded corrective action","")&amp;IF(AND(TRIM(U32)="Pass after CA",OR(TRIM(AA32)="",TRIM(AB32)&lt;&gt;"Closed")),"INVALID – corrective action not recorded/closed",""),IF(AND(AS32=1,Documents!$J$6&lt;&gt;"ON FILE"),"INVALID – GLD not on file (Documents sheet)",IF(AND(AS32=2,Documents!$O$6&lt;&gt;"ON FILE"),"INVALID – menu checklist not on file (Documents sheet)",IF(AND(AS32=3,NOT(ISNUMBER(Flights!$AX$6))),"INVALID – enter carrying flight KUL departure (Flights AX)",IF(AND(AS32=3,OR(Flights!$AX$6&gt;=Flights!$AA$6,Flights!$AX$6&lt;Flights!$AA$6-3)),"INVALID – Flights AX must be before this leg's STD (within 3 days)",IF(AG32&gt;AsOfUTC,"INVALID – completion time is in the future",IF(AND(ISNUMBER(S32),AG32&lt;S32),IF(H32="Physical uplift","INVALID – before uplift window (cannot confirm loading)","INVALID – before valid window"),IF(AG32&gt;Flights!$AA$6,"INVALID – completed after departure (cannot establish readiness)",IF(AND(H32="Physical uplift",AG32&gt;Q32),"INVALID – recorded after the loading flight departed",IF(AG32&gt;Q32,"COMPLETE – LATE","COMPLETE")))))))))))))))))),IF(TRIM(U32)="Fail","FAIL – DISCREPANCY",IF(AND(TRIM(U32)&lt;&gt;"",TRIM(U32)&lt;&gt;"Not started",TRIM(U32)&lt;&gt;"In progress"),"INVALID – unrecognised status (use the list)",IF(AsOfUTC&gt;Q32,"OVERDUE",IF(N32="Clarification required","OPEN – CLARIFICATION","OPEN")))))))</f>
        <v>N/A – RULE</v>
      </c>
      <c r="AI32" s="61" t="n">
        <f aca="false">IF(OR(AH32="N/A – RULE",AH32="N/A – JUSTIFIED"),0,1)</f>
        <v>0</v>
      </c>
      <c r="AJ32" s="61" t="n">
        <f aca="false">IF(LEFT(AH32,8)="COMPLETE",1,0)</f>
        <v>0</v>
      </c>
      <c r="AK32" s="61" t="n">
        <f aca="false">IF(AND(AI32=1,AJ32=0,AsOfUTC&gt;Q32),1,0)</f>
        <v>0</v>
      </c>
      <c r="AL32" s="61" t="n">
        <f aca="false">IF(AND(AI32=1,OR(TRIM(U32)="Fail",AND(TRIM(AB32)&lt;&gt;"",TRIM(AB32)&lt;&gt;"Closed"),AND(ISNUMBER(AF32),AF32&lt;&gt;0,TRIM(U32)&lt;&gt;"Pass after CA"))),1,0)</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row>
    <row r="33" customFormat="false" ht="39.75" hidden="false" customHeight="true" outlineLevel="0" collapsed="false">
      <c r="A33" s="57" t="s">
        <v>441</v>
      </c>
      <c r="B33" s="57" t="s">
        <v>190</v>
      </c>
      <c r="C33" s="57" t="str">
        <f aca="false">Flights!$F$6</f>
        <v>MH0727</v>
      </c>
      <c r="D33" s="58" t="n">
        <f aca="false">Flights!$D$6</f>
        <v>46304</v>
      </c>
      <c r="E33" s="57" t="str">
        <f aca="false">Flights!$G$6&amp;"-"&amp;Flights!$H$6</f>
        <v>KUL-CGK</v>
      </c>
      <c r="F33" s="57" t="str">
        <f aca="false">Flights!$K$6</f>
        <v>BC</v>
      </c>
      <c r="G33" s="57" t="s">
        <v>76</v>
      </c>
      <c r="H33" s="57" t="s">
        <v>343</v>
      </c>
      <c r="I33" s="57" t="s">
        <v>359</v>
      </c>
      <c r="J33" s="57" t="s">
        <v>360</v>
      </c>
      <c r="K33" s="67" t="s">
        <v>361</v>
      </c>
      <c r="L33" s="67" t="s">
        <v>347</v>
      </c>
      <c r="M33" s="67"/>
      <c r="N33" s="67" t="s">
        <v>348</v>
      </c>
      <c r="O33" s="67"/>
      <c r="P33" s="57" t="s">
        <v>179</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59" t="n">
        <f aca="false">Q33-T7EarlyD*24/24</f>
        <v>46283.5763888889</v>
      </c>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IF(N33="N/A – rule","N/A – RULE",IF(TRIM(U33)="N/A",IF(AT33=0,"INVALID – N/A not permitted for this mandatory check",IF(AND(TRIM(AC33)&lt;&gt;"",TRIM(AE33)&lt;&gt;"",TRIM(T33)&lt;&gt;"",TRIM(AE33)&lt;&gt;TRIM(T33)),"N/A – JUSTIFIED","INVALID – N/A needs justification, PIC and a different verifier")),IF(OR(TRIM(U33)="Pass",TRIM(U33)="Pass after CA"),IF(NOT(ISNUMBER(AD33)),"INVALID – completion time missing",IF(TRIM(T33)="","INVALID – PIC missing",IF(TRIM(V33)="","INVALID – result / assessment missing",IF(TRIM(Z33)="","INVALID – evidence missing",IF(TRIM(AE33)="","INVALID – verifier missing",IF(TRIM(AE33)=TRIM(T33),"INVALID – verifier must be someone other than the PIC",IF(AND(AQ33=1,TRIM(W33)=""),"INVALID – batch ID missing",IF(AND(AR33=1,OR(NOT(ISNUMBER(X33)),NOT(ISNUMBER(Y33)))),"INVALID – expected/actual qty missing",IF(IF(AND(TRIM(U33)="Pass",ISNUMBER(AF33)),IF(AF33&lt;&gt;0,"INVALID – qty variance: use Fail or Pass after CA",""),"")&amp;IF(AND(TRIM(U33)="Pass",TRIM(AB33)&lt;&gt;"",TRIM(AB33)&lt;&gt;"Closed"),"INVALID – corrective action not closed: use Fail, then Pass after CA","")&amp;IF(AND(TRIM(AA33)&lt;&gt;"",TRIM(AB33)=""),"INVALID – CA status missing for the recorded corrective action","")&amp;IF(AND(TRIM(U33)="Pass after CA",OR(TRIM(AA33)="",TRIM(AB33)&lt;&gt;"Closed")),"INVALID – corrective action not recorded/closed","")&lt;&gt;"",IF(AND(TRIM(U33)="Pass",ISNUMBER(AF33)),IF(AF33&lt;&gt;0,"INVALID – qty variance: use Fail or Pass after CA",""),"")&amp;IF(AND(TRIM(U33)="Pass",TRIM(AB33)&lt;&gt;"",TRIM(AB33)&lt;&gt;"Closed"),"INVALID – corrective action not closed: use Fail, then Pass after CA","")&amp;IF(AND(TRIM(AA33)&lt;&gt;"",TRIM(AB33)=""),"INVALID – CA status missing for the recorded corrective action","")&amp;IF(AND(TRIM(U33)="Pass after CA",OR(TRIM(AA33)="",TRIM(AB33)&lt;&gt;"Closed")),"INVALID – corrective action not recorded/closed",""),IF(AND(AS33=1,Documents!$J$6&lt;&gt;"ON FILE"),"INVALID – GLD not on file (Documents sheet)",IF(AND(AS33=2,Documents!$O$6&lt;&gt;"ON FILE"),"INVALID – menu checklist not on file (Documents sheet)",IF(AND(AS33=3,NOT(ISNUMBER(Flights!$AX$6))),"INVALID – enter carrying flight KUL departure (Flights AX)",IF(AND(AS33=3,OR(Flights!$AX$6&gt;=Flights!$AA$6,Flights!$AX$6&lt;Flights!$AA$6-3)),"INVALID – Flights AX must be before this leg's STD (within 3 days)",IF(AG33&gt;AsOfUTC,"INVALID – completion time is in the future",IF(AND(ISNUMBER(S33),AG33&lt;S33),IF(H33="Physical uplift","INVALID – before uplift window (cannot confirm loading)","INVALID – before valid window"),IF(AG33&gt;Flights!$AA$6,"INVALID – completed after departure (cannot establish readiness)",IF(AND(H33="Physical uplift",AG33&gt;Q33),"INVALID – recorded after the loading flight departed",IF(AG33&gt;Q33,"COMPLETE – LATE","COMPLETE")))))))))))))))))),IF(TRIM(U33)="Fail","FAIL – DISCREPANCY",IF(AND(TRIM(U33)&lt;&gt;"",TRIM(U33)&lt;&gt;"Not started",TRIM(U33)&lt;&gt;"In progress"),"INVALID – unrecognised status (use the list)",IF(AsOfUTC&gt;Q33,"OVERDUE",IF(N33="Clarification required","OPEN – CLARIFICATION","OPEN")))))))</f>
        <v>OPEN</v>
      </c>
      <c r="AI33" s="61" t="n">
        <f aca="false">IF(OR(AH33="N/A – RULE",AH33="N/A – JUSTIFIED"),0,1)</f>
        <v>1</v>
      </c>
      <c r="AJ33" s="61" t="n">
        <f aca="false">IF(LEFT(AH33,8)="COMPLETE",1,0)</f>
        <v>0</v>
      </c>
      <c r="AK33" s="61" t="n">
        <f aca="false">IF(AND(AI33=1,AJ33=0,AsOfUTC&gt;Q33),1,0)</f>
        <v>0</v>
      </c>
      <c r="AL33" s="61" t="n">
        <f aca="false">IF(AND(AI33=1,OR(TRIM(U33)="Fail",AND(TRIM(AB33)&lt;&gt;"",TRIM(AB33)&lt;&gt;"Closed"),AND(ISNUMBER(AF33),AF33&lt;&gt;0,TRIM(U33)&lt;&gt;"Pass after CA"))),1,0)</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row>
    <row r="34" customFormat="false" ht="39.75" hidden="false" customHeight="true" outlineLevel="0" collapsed="false">
      <c r="A34" s="57" t="s">
        <v>442</v>
      </c>
      <c r="B34" s="57" t="s">
        <v>190</v>
      </c>
      <c r="C34" s="57" t="str">
        <f aca="false">Flights!$F$6</f>
        <v>MH0727</v>
      </c>
      <c r="D34" s="58" t="n">
        <f aca="false">Flights!$D$6</f>
        <v>46304</v>
      </c>
      <c r="E34" s="57" t="str">
        <f aca="false">Flights!$G$6&amp;"-"&amp;Flights!$H$6</f>
        <v>KUL-CGK</v>
      </c>
      <c r="F34" s="57" t="str">
        <f aca="false">Flights!$K$6</f>
        <v>BC</v>
      </c>
      <c r="G34" s="57" t="s">
        <v>76</v>
      </c>
      <c r="H34" s="57" t="s">
        <v>343</v>
      </c>
      <c r="I34" s="57" t="s">
        <v>363</v>
      </c>
      <c r="J34" s="57" t="s">
        <v>364</v>
      </c>
      <c r="K34" s="67" t="s">
        <v>365</v>
      </c>
      <c r="L34" s="67" t="s">
        <v>347</v>
      </c>
      <c r="M34" s="67"/>
      <c r="N34" s="67" t="s">
        <v>348</v>
      </c>
      <c r="O34" s="67"/>
      <c r="P34" s="57" t="s">
        <v>179</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59" t="n">
        <f aca="false">Q34-T7EarlyD*24/24</f>
        <v>46283.5763888889</v>
      </c>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IF(N34="N/A – rule","N/A – RULE",IF(TRIM(U34)="N/A",IF(AT34=0,"INVALID – N/A not permitted for this mandatory check",IF(AND(TRIM(AC34)&lt;&gt;"",TRIM(AE34)&lt;&gt;"",TRIM(T34)&lt;&gt;"",TRIM(AE34)&lt;&gt;TRIM(T34)),"N/A – JUSTIFIED","INVALID – N/A needs justification, PIC and a different verifier")),IF(OR(TRIM(U34)="Pass",TRIM(U34)="Pass after CA"),IF(NOT(ISNUMBER(AD34)),"INVALID – completion time missing",IF(TRIM(T34)="","INVALID – PIC missing",IF(TRIM(V34)="","INVALID – result / assessment missing",IF(TRIM(Z34)="","INVALID – evidence missing",IF(TRIM(AE34)="","INVALID – verifier missing",IF(TRIM(AE34)=TRIM(T34),"INVALID – verifier must be someone other than the PIC",IF(AND(AQ34=1,TRIM(W34)=""),"INVALID – batch ID missing",IF(AND(AR34=1,OR(NOT(ISNUMBER(X34)),NOT(ISNUMBER(Y34)))),"INVALID – expected/actual qty missing",IF(IF(AND(TRIM(U34)="Pass",ISNUMBER(AF34)),IF(AF34&lt;&gt;0,"INVALID – qty variance: use Fail or Pass after CA",""),"")&amp;IF(AND(TRIM(U34)="Pass",TRIM(AB34)&lt;&gt;"",TRIM(AB34)&lt;&gt;"Closed"),"INVALID – corrective action not closed: use Fail, then Pass after CA","")&amp;IF(AND(TRIM(AA34)&lt;&gt;"",TRIM(AB34)=""),"INVALID – CA status missing for the recorded corrective action","")&amp;IF(AND(TRIM(U34)="Pass after CA",OR(TRIM(AA34)="",TRIM(AB34)&lt;&gt;"Closed")),"INVALID – corrective action not recorded/closed","")&lt;&gt;"",IF(AND(TRIM(U34)="Pass",ISNUMBER(AF34)),IF(AF34&lt;&gt;0,"INVALID – qty variance: use Fail or Pass after CA",""),"")&amp;IF(AND(TRIM(U34)="Pass",TRIM(AB34)&lt;&gt;"",TRIM(AB34)&lt;&gt;"Closed"),"INVALID – corrective action not closed: use Fail, then Pass after CA","")&amp;IF(AND(TRIM(AA34)&lt;&gt;"",TRIM(AB34)=""),"INVALID – CA status missing for the recorded corrective action","")&amp;IF(AND(TRIM(U34)="Pass after CA",OR(TRIM(AA34)="",TRIM(AB34)&lt;&gt;"Closed")),"INVALID – corrective action not recorded/closed",""),IF(AND(AS34=1,Documents!$J$6&lt;&gt;"ON FILE"),"INVALID – GLD not on file (Documents sheet)",IF(AND(AS34=2,Documents!$O$6&lt;&gt;"ON FILE"),"INVALID – menu checklist not on file (Documents sheet)",IF(AND(AS34=3,NOT(ISNUMBER(Flights!$AX$6))),"INVALID – enter carrying flight KUL departure (Flights AX)",IF(AND(AS34=3,OR(Flights!$AX$6&gt;=Flights!$AA$6,Flights!$AX$6&lt;Flights!$AA$6-3)),"INVALID – Flights AX must be before this leg's STD (within 3 days)",IF(AG34&gt;AsOfUTC,"INVALID – completion time is in the future",IF(AND(ISNUMBER(S34),AG34&lt;S34),IF(H34="Physical uplift","INVALID – before uplift window (cannot confirm loading)","INVALID – before valid window"),IF(AG34&gt;Flights!$AA$6,"INVALID – completed after departure (cannot establish readiness)",IF(AND(H34="Physical uplift",AG34&gt;Q34),"INVALID – recorded after the loading flight departed",IF(AG34&gt;Q34,"COMPLETE – LATE","COMPLETE")))))))))))))))))),IF(TRIM(U34)="Fail","FAIL – DISCREPANCY",IF(AND(TRIM(U34)&lt;&gt;"",TRIM(U34)&lt;&gt;"Not started",TRIM(U34)&lt;&gt;"In progress"),"INVALID – unrecognised status (use the list)",IF(AsOfUTC&gt;Q34,"OVERDUE",IF(N34="Clarification required","OPEN – CLARIFICATION","OPEN")))))))</f>
        <v>OPEN</v>
      </c>
      <c r="AI34" s="61" t="n">
        <f aca="false">IF(OR(AH34="N/A – RULE",AH34="N/A – JUSTIFIED"),0,1)</f>
        <v>1</v>
      </c>
      <c r="AJ34" s="61" t="n">
        <f aca="false">IF(LEFT(AH34,8)="COMPLETE",1,0)</f>
        <v>0</v>
      </c>
      <c r="AK34" s="61" t="n">
        <f aca="false">IF(AND(AI34=1,AJ34=0,AsOfUTC&gt;Q34),1,0)</f>
        <v>0</v>
      </c>
      <c r="AL34" s="61" t="n">
        <f aca="false">IF(AND(AI34=1,OR(TRIM(U34)="Fail",AND(TRIM(AB34)&lt;&gt;"",TRIM(AB34)&lt;&gt;"Closed"),AND(ISNUMBER(AF34),AF34&lt;&gt;0,TRIM(U34)&lt;&gt;"Pass after CA"))),1,0)</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row>
    <row r="35" customFormat="false" ht="39.75" hidden="false" customHeight="true" outlineLevel="0" collapsed="false">
      <c r="A35" s="57" t="s">
        <v>443</v>
      </c>
      <c r="B35" s="57" t="s">
        <v>190</v>
      </c>
      <c r="C35" s="57" t="str">
        <f aca="false">Flights!$F$6</f>
        <v>MH0727</v>
      </c>
      <c r="D35" s="58" t="n">
        <f aca="false">Flights!$D$6</f>
        <v>46304</v>
      </c>
      <c r="E35" s="57" t="str">
        <f aca="false">Flights!$G$6&amp;"-"&amp;Flights!$H$6</f>
        <v>KUL-CGK</v>
      </c>
      <c r="F35" s="57" t="str">
        <f aca="false">Flights!$K$6</f>
        <v>BC</v>
      </c>
      <c r="G35" s="57" t="s">
        <v>76</v>
      </c>
      <c r="H35" s="57" t="s">
        <v>343</v>
      </c>
      <c r="I35" s="57" t="s">
        <v>363</v>
      </c>
      <c r="J35" s="57" t="s">
        <v>367</v>
      </c>
      <c r="K35" s="67" t="s">
        <v>368</v>
      </c>
      <c r="L35" s="67" t="s">
        <v>347</v>
      </c>
      <c r="M35" s="67"/>
      <c r="N35" s="67" t="s">
        <v>348</v>
      </c>
      <c r="O35" s="67"/>
      <c r="P35" s="57" t="s">
        <v>179</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59" t="n">
        <f aca="false">Q35-T7EarlyD*24/24</f>
        <v>46283.5763888889</v>
      </c>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IF(N35="N/A – rule","N/A – RULE",IF(TRIM(U35)="N/A",IF(AT35=0,"INVALID – N/A not permitted for this mandatory check",IF(AND(TRIM(AC35)&lt;&gt;"",TRIM(AE35)&lt;&gt;"",TRIM(T35)&lt;&gt;"",TRIM(AE35)&lt;&gt;TRIM(T35)),"N/A – JUSTIFIED","INVALID – N/A needs justification, PIC and a different verifier")),IF(OR(TRIM(U35)="Pass",TRIM(U35)="Pass after CA"),IF(NOT(ISNUMBER(AD35)),"INVALID – completion time missing",IF(TRIM(T35)="","INVALID – PIC missing",IF(TRIM(V35)="","INVALID – result / assessment missing",IF(TRIM(Z35)="","INVALID – evidence missing",IF(TRIM(AE35)="","INVALID – verifier missing",IF(TRIM(AE35)=TRIM(T35),"INVALID – verifier must be someone other than the PIC",IF(AND(AQ35=1,TRIM(W35)=""),"INVALID – batch ID missing",IF(AND(AR35=1,OR(NOT(ISNUMBER(X35)),NOT(ISNUMBER(Y35)))),"INVALID – expected/actual qty missing",IF(IF(AND(TRIM(U35)="Pass",ISNUMBER(AF35)),IF(AF35&lt;&gt;0,"INVALID – qty variance: use Fail or Pass after CA",""),"")&amp;IF(AND(TRIM(U35)="Pass",TRIM(AB35)&lt;&gt;"",TRIM(AB35)&lt;&gt;"Closed"),"INVALID – corrective action not closed: use Fail, then Pass after CA","")&amp;IF(AND(TRIM(AA35)&lt;&gt;"",TRIM(AB35)=""),"INVALID – CA status missing for the recorded corrective action","")&amp;IF(AND(TRIM(U35)="Pass after CA",OR(TRIM(AA35)="",TRIM(AB35)&lt;&gt;"Closed")),"INVALID – corrective action not recorded/closed","")&lt;&gt;"",IF(AND(TRIM(U35)="Pass",ISNUMBER(AF35)),IF(AF35&lt;&gt;0,"INVALID – qty variance: use Fail or Pass after CA",""),"")&amp;IF(AND(TRIM(U35)="Pass",TRIM(AB35)&lt;&gt;"",TRIM(AB35)&lt;&gt;"Closed"),"INVALID – corrective action not closed: use Fail, then Pass after CA","")&amp;IF(AND(TRIM(AA35)&lt;&gt;"",TRIM(AB35)=""),"INVALID – CA status missing for the recorded corrective action","")&amp;IF(AND(TRIM(U35)="Pass after CA",OR(TRIM(AA35)="",TRIM(AB35)&lt;&gt;"Closed")),"INVALID – corrective action not recorded/closed",""),IF(AND(AS35=1,Documents!$J$6&lt;&gt;"ON FILE"),"INVALID – GLD not on file (Documents sheet)",IF(AND(AS35=2,Documents!$O$6&lt;&gt;"ON FILE"),"INVALID – menu checklist not on file (Documents sheet)",IF(AND(AS35=3,NOT(ISNUMBER(Flights!$AX$6))),"INVALID – enter carrying flight KUL departure (Flights AX)",IF(AND(AS35=3,OR(Flights!$AX$6&gt;=Flights!$AA$6,Flights!$AX$6&lt;Flights!$AA$6-3)),"INVALID – Flights AX must be before this leg's STD (within 3 days)",IF(AG35&gt;AsOfUTC,"INVALID – completion time is in the future",IF(AND(ISNUMBER(S35),AG35&lt;S35),IF(H35="Physical uplift","INVALID – before uplift window (cannot confirm loading)","INVALID – before valid window"),IF(AG35&gt;Flights!$AA$6,"INVALID – completed after departure (cannot establish readiness)",IF(AND(H35="Physical uplift",AG35&gt;Q35),"INVALID – recorded after the loading flight departed",IF(AG35&gt;Q35,"COMPLETE – LATE","COMPLETE")))))))))))))))))),IF(TRIM(U35)="Fail","FAIL – DISCREPANCY",IF(AND(TRIM(U35)&lt;&gt;"",TRIM(U35)&lt;&gt;"Not started",TRIM(U35)&lt;&gt;"In progress"),"INVALID – unrecognised status (use the list)",IF(AsOfUTC&gt;Q35,"OVERDUE",IF(N35="Clarification required","OPEN – CLARIFICATION","OPEN")))))))</f>
        <v>OPEN</v>
      </c>
      <c r="AI35" s="61" t="n">
        <f aca="false">IF(OR(AH35="N/A – RULE",AH35="N/A – JUSTIFIED"),0,1)</f>
        <v>1</v>
      </c>
      <c r="AJ35" s="61" t="n">
        <f aca="false">IF(LEFT(AH35,8)="COMPLETE",1,0)</f>
        <v>0</v>
      </c>
      <c r="AK35" s="61" t="n">
        <f aca="false">IF(AND(AI35=1,AJ35=0,AsOfUTC&gt;Q35),1,0)</f>
        <v>0</v>
      </c>
      <c r="AL35" s="61" t="n">
        <f aca="false">IF(AND(AI35=1,OR(TRIM(U35)="Fail",AND(TRIM(AB35)&lt;&gt;"",TRIM(AB35)&lt;&gt;"Closed"),AND(ISNUMBER(AF35),AF35&lt;&gt;0,TRIM(U35)&lt;&gt;"Pass after CA"))),1,0)</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row>
    <row r="36" customFormat="false" ht="39.75" hidden="false" customHeight="true" outlineLevel="0" collapsed="false">
      <c r="A36" s="57" t="s">
        <v>444</v>
      </c>
      <c r="B36" s="57" t="s">
        <v>190</v>
      </c>
      <c r="C36" s="57" t="str">
        <f aca="false">Flights!$F$6</f>
        <v>MH0727</v>
      </c>
      <c r="D36" s="58" t="n">
        <f aca="false">Flights!$D$6</f>
        <v>46304</v>
      </c>
      <c r="E36" s="57" t="str">
        <f aca="false">Flights!$G$6&amp;"-"&amp;Flights!$H$6</f>
        <v>KUL-CGK</v>
      </c>
      <c r="F36" s="57" t="str">
        <f aca="false">Flights!$K$6</f>
        <v>BC</v>
      </c>
      <c r="G36" s="57" t="s">
        <v>76</v>
      </c>
      <c r="H36" s="57" t="s">
        <v>343</v>
      </c>
      <c r="I36" s="57" t="s">
        <v>370</v>
      </c>
      <c r="J36" s="57" t="s">
        <v>371</v>
      </c>
      <c r="K36" s="67" t="s">
        <v>372</v>
      </c>
      <c r="L36" s="67" t="s">
        <v>347</v>
      </c>
      <c r="M36" s="67"/>
      <c r="N36" s="67" t="s">
        <v>348</v>
      </c>
      <c r="O36" s="67"/>
      <c r="P36" s="57" t="s">
        <v>179</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59" t="n">
        <f aca="false">Q36-T7EarlyD*24/24</f>
        <v>46283.5763888889</v>
      </c>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IF(N36="N/A – rule","N/A – RULE",IF(TRIM(U36)="N/A",IF(AT36=0,"INVALID – N/A not permitted for this mandatory check",IF(AND(TRIM(AC36)&lt;&gt;"",TRIM(AE36)&lt;&gt;"",TRIM(T36)&lt;&gt;"",TRIM(AE36)&lt;&gt;TRIM(T36)),"N/A – JUSTIFIED","INVALID – N/A needs justification, PIC and a different verifier")),IF(OR(TRIM(U36)="Pass",TRIM(U36)="Pass after CA"),IF(NOT(ISNUMBER(AD36)),"INVALID – completion time missing",IF(TRIM(T36)="","INVALID – PIC missing",IF(TRIM(V36)="","INVALID – result / assessment missing",IF(TRIM(Z36)="","INVALID – evidence missing",IF(TRIM(AE36)="","INVALID – verifier missing",IF(TRIM(AE36)=TRIM(T36),"INVALID – verifier must be someone other than the PIC",IF(AND(AQ36=1,TRIM(W36)=""),"INVALID – batch ID missing",IF(AND(AR36=1,OR(NOT(ISNUMBER(X36)),NOT(ISNUMBER(Y36)))),"INVALID – expected/actual qty missing",IF(IF(AND(TRIM(U36)="Pass",ISNUMBER(AF36)),IF(AF36&lt;&gt;0,"INVALID – qty variance: use Fail or Pass after CA",""),"")&amp;IF(AND(TRIM(U36)="Pass",TRIM(AB36)&lt;&gt;"",TRIM(AB36)&lt;&gt;"Closed"),"INVALID – corrective action not closed: use Fail, then Pass after CA","")&amp;IF(AND(TRIM(AA36)&lt;&gt;"",TRIM(AB36)=""),"INVALID – CA status missing for the recorded corrective action","")&amp;IF(AND(TRIM(U36)="Pass after CA",OR(TRIM(AA36)="",TRIM(AB36)&lt;&gt;"Closed")),"INVALID – corrective action not recorded/closed","")&lt;&gt;"",IF(AND(TRIM(U36)="Pass",ISNUMBER(AF36)),IF(AF36&lt;&gt;0,"INVALID – qty variance: use Fail or Pass after CA",""),"")&amp;IF(AND(TRIM(U36)="Pass",TRIM(AB36)&lt;&gt;"",TRIM(AB36)&lt;&gt;"Closed"),"INVALID – corrective action not closed: use Fail, then Pass after CA","")&amp;IF(AND(TRIM(AA36)&lt;&gt;"",TRIM(AB36)=""),"INVALID – CA status missing for the recorded corrective action","")&amp;IF(AND(TRIM(U36)="Pass after CA",OR(TRIM(AA36)="",TRIM(AB36)&lt;&gt;"Closed")),"INVALID – corrective action not recorded/closed",""),IF(AND(AS36=1,Documents!$J$6&lt;&gt;"ON FILE"),"INVALID – GLD not on file (Documents sheet)",IF(AND(AS36=2,Documents!$O$6&lt;&gt;"ON FILE"),"INVALID – menu checklist not on file (Documents sheet)",IF(AND(AS36=3,NOT(ISNUMBER(Flights!$AX$6))),"INVALID – enter carrying flight KUL departure (Flights AX)",IF(AND(AS36=3,OR(Flights!$AX$6&gt;=Flights!$AA$6,Flights!$AX$6&lt;Flights!$AA$6-3)),"INVALID – Flights AX must be before this leg's STD (within 3 days)",IF(AG36&gt;AsOfUTC,"INVALID – completion time is in the future",IF(AND(ISNUMBER(S36),AG36&lt;S36),IF(H36="Physical uplift","INVALID – before uplift window (cannot confirm loading)","INVALID – before valid window"),IF(AG36&gt;Flights!$AA$6,"INVALID – completed after departure (cannot establish readiness)",IF(AND(H36="Physical uplift",AG36&gt;Q36),"INVALID – recorded after the loading flight departed",IF(AG36&gt;Q36,"COMPLETE – LATE","COMPLETE")))))))))))))))))),IF(TRIM(U36)="Fail","FAIL – DISCREPANCY",IF(AND(TRIM(U36)&lt;&gt;"",TRIM(U36)&lt;&gt;"Not started",TRIM(U36)&lt;&gt;"In progress"),"INVALID – unrecognised status (use the list)",IF(AsOfUTC&gt;Q36,"OVERDUE",IF(N36="Clarification required","OPEN – CLARIFICATION","OPEN")))))))</f>
        <v>OPEN</v>
      </c>
      <c r="AI36" s="61" t="n">
        <f aca="false">IF(OR(AH36="N/A – RULE",AH36="N/A – JUSTIFIED"),0,1)</f>
        <v>1</v>
      </c>
      <c r="AJ36" s="61" t="n">
        <f aca="false">IF(LEFT(AH36,8)="COMPLETE",1,0)</f>
        <v>0</v>
      </c>
      <c r="AK36" s="61" t="n">
        <f aca="false">IF(AND(AI36=1,AJ36=0,AsOfUTC&gt;Q36),1,0)</f>
        <v>0</v>
      </c>
      <c r="AL36" s="61" t="n">
        <f aca="false">IF(AND(AI36=1,OR(TRIM(U36)="Fail",AND(TRIM(AB36)&lt;&gt;"",TRIM(AB36)&lt;&gt;"Closed"),AND(ISNUMBER(AF36),AF36&lt;&gt;0,TRIM(U36)&lt;&gt;"Pass after CA"))),1,0)</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row>
    <row r="37" customFormat="false" ht="39.75" hidden="false" customHeight="true" outlineLevel="0" collapsed="false">
      <c r="A37" s="57" t="s">
        <v>445</v>
      </c>
      <c r="B37" s="57" t="s">
        <v>190</v>
      </c>
      <c r="C37" s="57" t="str">
        <f aca="false">Flights!$F$6</f>
        <v>MH0727</v>
      </c>
      <c r="D37" s="58" t="n">
        <f aca="false">Flights!$D$6</f>
        <v>46304</v>
      </c>
      <c r="E37" s="57" t="str">
        <f aca="false">Flights!$G$6&amp;"-"&amp;Flights!$H$6</f>
        <v>KUL-CGK</v>
      </c>
      <c r="F37" s="57" t="str">
        <f aca="false">Flights!$K$6</f>
        <v>BC</v>
      </c>
      <c r="G37" s="57" t="s">
        <v>76</v>
      </c>
      <c r="H37" s="57" t="s">
        <v>343</v>
      </c>
      <c r="I37" s="57" t="s">
        <v>370</v>
      </c>
      <c r="J37" s="57" t="s">
        <v>374</v>
      </c>
      <c r="K37" s="67" t="s">
        <v>372</v>
      </c>
      <c r="L37" s="67" t="s">
        <v>347</v>
      </c>
      <c r="M37" s="67"/>
      <c r="N37" s="67" t="s">
        <v>348</v>
      </c>
      <c r="O37" s="67"/>
      <c r="P37" s="57" t="s">
        <v>179</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59" t="n">
        <f aca="false">Q37-T7EarlyD*24/24</f>
        <v>46283.5763888889</v>
      </c>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IF(N37="N/A – rule","N/A – RULE",IF(TRIM(U37)="N/A",IF(AT37=0,"INVALID – N/A not permitted for this mandatory check",IF(AND(TRIM(AC37)&lt;&gt;"",TRIM(AE37)&lt;&gt;"",TRIM(T37)&lt;&gt;"",TRIM(AE37)&lt;&gt;TRIM(T37)),"N/A – JUSTIFIED","INVALID – N/A needs justification, PIC and a different verifier")),IF(OR(TRIM(U37)="Pass",TRIM(U37)="Pass after CA"),IF(NOT(ISNUMBER(AD37)),"INVALID – completion time missing",IF(TRIM(T37)="","INVALID – PIC missing",IF(TRIM(V37)="","INVALID – result / assessment missing",IF(TRIM(Z37)="","INVALID – evidence missing",IF(TRIM(AE37)="","INVALID – verifier missing",IF(TRIM(AE37)=TRIM(T37),"INVALID – verifier must be someone other than the PIC",IF(AND(AQ37=1,TRIM(W37)=""),"INVALID – batch ID missing",IF(AND(AR37=1,OR(NOT(ISNUMBER(X37)),NOT(ISNUMBER(Y37)))),"INVALID – expected/actual qty missing",IF(IF(AND(TRIM(U37)="Pass",ISNUMBER(AF37)),IF(AF37&lt;&gt;0,"INVALID – qty variance: use Fail or Pass after CA",""),"")&amp;IF(AND(TRIM(U37)="Pass",TRIM(AB37)&lt;&gt;"",TRIM(AB37)&lt;&gt;"Closed"),"INVALID – corrective action not closed: use Fail, then Pass after CA","")&amp;IF(AND(TRIM(AA37)&lt;&gt;"",TRIM(AB37)=""),"INVALID – CA status missing for the recorded corrective action","")&amp;IF(AND(TRIM(U37)="Pass after CA",OR(TRIM(AA37)="",TRIM(AB37)&lt;&gt;"Closed")),"INVALID – corrective action not recorded/closed","")&lt;&gt;"",IF(AND(TRIM(U37)="Pass",ISNUMBER(AF37)),IF(AF37&lt;&gt;0,"INVALID – qty variance: use Fail or Pass after CA",""),"")&amp;IF(AND(TRIM(U37)="Pass",TRIM(AB37)&lt;&gt;"",TRIM(AB37)&lt;&gt;"Closed"),"INVALID – corrective action not closed: use Fail, then Pass after CA","")&amp;IF(AND(TRIM(AA37)&lt;&gt;"",TRIM(AB37)=""),"INVALID – CA status missing for the recorded corrective action","")&amp;IF(AND(TRIM(U37)="Pass after CA",OR(TRIM(AA37)="",TRIM(AB37)&lt;&gt;"Closed")),"INVALID – corrective action not recorded/closed",""),IF(AND(AS37=1,Documents!$J$6&lt;&gt;"ON FILE"),"INVALID – GLD not on file (Documents sheet)",IF(AND(AS37=2,Documents!$O$6&lt;&gt;"ON FILE"),"INVALID – menu checklist not on file (Documents sheet)",IF(AND(AS37=3,NOT(ISNUMBER(Flights!$AX$6))),"INVALID – enter carrying flight KUL departure (Flights AX)",IF(AND(AS37=3,OR(Flights!$AX$6&gt;=Flights!$AA$6,Flights!$AX$6&lt;Flights!$AA$6-3)),"INVALID – Flights AX must be before this leg's STD (within 3 days)",IF(AG37&gt;AsOfUTC,"INVALID – completion time is in the future",IF(AND(ISNUMBER(S37),AG37&lt;S37),IF(H37="Physical uplift","INVALID – before uplift window (cannot confirm loading)","INVALID – before valid window"),IF(AG37&gt;Flights!$AA$6,"INVALID – completed after departure (cannot establish readiness)",IF(AND(H37="Physical uplift",AG37&gt;Q37),"INVALID – recorded after the loading flight departed",IF(AG37&gt;Q37,"COMPLETE – LATE","COMPLETE")))))))))))))))))),IF(TRIM(U37)="Fail","FAIL – DISCREPANCY",IF(AND(TRIM(U37)&lt;&gt;"",TRIM(U37)&lt;&gt;"Not started",TRIM(U37)&lt;&gt;"In progress"),"INVALID – unrecognised status (use the list)",IF(AsOfUTC&gt;Q37,"OVERDUE",IF(N37="Clarification required","OPEN – CLARIFICATION","OPEN")))))))</f>
        <v>OPEN</v>
      </c>
      <c r="AI37" s="61" t="n">
        <f aca="false">IF(OR(AH37="N/A – RULE",AH37="N/A – JUSTIFIED"),0,1)</f>
        <v>1</v>
      </c>
      <c r="AJ37" s="61" t="n">
        <f aca="false">IF(LEFT(AH37,8)="COMPLETE",1,0)</f>
        <v>0</v>
      </c>
      <c r="AK37" s="61" t="n">
        <f aca="false">IF(AND(AI37=1,AJ37=0,AsOfUTC&gt;Q37),1,0)</f>
        <v>0</v>
      </c>
      <c r="AL37" s="61" t="n">
        <f aca="false">IF(AND(AI37=1,OR(TRIM(U37)="Fail",AND(TRIM(AB37)&lt;&gt;"",TRIM(AB37)&lt;&gt;"Closed"),AND(ISNUMBER(AF37),AF37&lt;&gt;0,TRIM(U37)&lt;&gt;"Pass after CA"))),1,0)</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row>
    <row r="38" customFormat="false" ht="39.75" hidden="false" customHeight="true" outlineLevel="0" collapsed="false">
      <c r="A38" s="57" t="s">
        <v>446</v>
      </c>
      <c r="B38" s="57" t="s">
        <v>190</v>
      </c>
      <c r="C38" s="57" t="str">
        <f aca="false">Flights!$F$6</f>
        <v>MH0727</v>
      </c>
      <c r="D38" s="58" t="n">
        <f aca="false">Flights!$D$6</f>
        <v>46304</v>
      </c>
      <c r="E38" s="57" t="str">
        <f aca="false">Flights!$G$6&amp;"-"&amp;Flights!$H$6</f>
        <v>KUL-CGK</v>
      </c>
      <c r="F38" s="57" t="str">
        <f aca="false">Flights!$K$6</f>
        <v>BC</v>
      </c>
      <c r="G38" s="57" t="s">
        <v>76</v>
      </c>
      <c r="H38" s="57" t="s">
        <v>343</v>
      </c>
      <c r="I38" s="57" t="s">
        <v>376</v>
      </c>
      <c r="J38" s="57" t="s">
        <v>377</v>
      </c>
      <c r="K38" s="67" t="s">
        <v>447</v>
      </c>
      <c r="L38" s="67" t="s">
        <v>448</v>
      </c>
      <c r="M38" s="67"/>
      <c r="N38" s="67" t="s">
        <v>348</v>
      </c>
      <c r="O38" s="67"/>
      <c r="P38" s="57" t="s">
        <v>179</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59" t="n">
        <f aca="false">Q38-T7EarlyD*24/24</f>
        <v>46283.5763888889</v>
      </c>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IF(N38="N/A – rule","N/A – RULE",IF(TRIM(U38)="N/A",IF(AT38=0,"INVALID – N/A not permitted for this mandatory check",IF(AND(TRIM(AC38)&lt;&gt;"",TRIM(AE38)&lt;&gt;"",TRIM(T38)&lt;&gt;"",TRIM(AE38)&lt;&gt;TRIM(T38)),"N/A – JUSTIFIED","INVALID – N/A needs justification, PIC and a different verifier")),IF(OR(TRIM(U38)="Pass",TRIM(U38)="Pass after CA"),IF(NOT(ISNUMBER(AD38)),"INVALID – completion time missing",IF(TRIM(T38)="","INVALID – PIC missing",IF(TRIM(V38)="","INVALID – result / assessment missing",IF(TRIM(Z38)="","INVALID – evidence missing",IF(TRIM(AE38)="","INVALID – verifier missing",IF(TRIM(AE38)=TRIM(T38),"INVALID – verifier must be someone other than the PIC",IF(AND(AQ38=1,TRIM(W38)=""),"INVALID – batch ID missing",IF(AND(AR38=1,OR(NOT(ISNUMBER(X38)),NOT(ISNUMBER(Y38)))),"INVALID – expected/actual qty missing",IF(IF(AND(TRIM(U38)="Pass",ISNUMBER(AF38)),IF(AF38&lt;&gt;0,"INVALID – qty variance: use Fail or Pass after CA",""),"")&amp;IF(AND(TRIM(U38)="Pass",TRIM(AB38)&lt;&gt;"",TRIM(AB38)&lt;&gt;"Closed"),"INVALID – corrective action not closed: use Fail, then Pass after CA","")&amp;IF(AND(TRIM(AA38)&lt;&gt;"",TRIM(AB38)=""),"INVALID – CA status missing for the recorded corrective action","")&amp;IF(AND(TRIM(U38)="Pass after CA",OR(TRIM(AA38)="",TRIM(AB38)&lt;&gt;"Closed")),"INVALID – corrective action not recorded/closed","")&lt;&gt;"",IF(AND(TRIM(U38)="Pass",ISNUMBER(AF38)),IF(AF38&lt;&gt;0,"INVALID – qty variance: use Fail or Pass after CA",""),"")&amp;IF(AND(TRIM(U38)="Pass",TRIM(AB38)&lt;&gt;"",TRIM(AB38)&lt;&gt;"Closed"),"INVALID – corrective action not closed: use Fail, then Pass after CA","")&amp;IF(AND(TRIM(AA38)&lt;&gt;"",TRIM(AB38)=""),"INVALID – CA status missing for the recorded corrective action","")&amp;IF(AND(TRIM(U38)="Pass after CA",OR(TRIM(AA38)="",TRIM(AB38)&lt;&gt;"Closed")),"INVALID – corrective action not recorded/closed",""),IF(AND(AS38=1,Documents!$J$6&lt;&gt;"ON FILE"),"INVALID – GLD not on file (Documents sheet)",IF(AND(AS38=2,Documents!$O$6&lt;&gt;"ON FILE"),"INVALID – menu checklist not on file (Documents sheet)",IF(AND(AS38=3,NOT(ISNUMBER(Flights!$AX$6))),"INVALID – enter carrying flight KUL departure (Flights AX)",IF(AND(AS38=3,OR(Flights!$AX$6&gt;=Flights!$AA$6,Flights!$AX$6&lt;Flights!$AA$6-3)),"INVALID – Flights AX must be before this leg's STD (within 3 days)",IF(AG38&gt;AsOfUTC,"INVALID – completion time is in the future",IF(AND(ISNUMBER(S38),AG38&lt;S38),IF(H38="Physical uplift","INVALID – before uplift window (cannot confirm loading)","INVALID – before valid window"),IF(AG38&gt;Flights!$AA$6,"INVALID – completed after departure (cannot establish readiness)",IF(AND(H38="Physical uplift",AG38&gt;Q38),"INVALID – recorded after the loading flight departed",IF(AG38&gt;Q38,"COMPLETE – LATE","COMPLETE")))))))))))))))))),IF(TRIM(U38)="Fail","FAIL – DISCREPANCY",IF(AND(TRIM(U38)&lt;&gt;"",TRIM(U38)&lt;&gt;"Not started",TRIM(U38)&lt;&gt;"In progress"),"INVALID – unrecognised status (use the list)",IF(AsOfUTC&gt;Q38,"OVERDUE",IF(N38="Clarification required","OPEN – CLARIFICATION","OPEN")))))))</f>
        <v>OPEN</v>
      </c>
      <c r="AI38" s="61" t="n">
        <f aca="false">IF(OR(AH38="N/A – RULE",AH38="N/A – JUSTIFIED"),0,1)</f>
        <v>1</v>
      </c>
      <c r="AJ38" s="61" t="n">
        <f aca="false">IF(LEFT(AH38,8)="COMPLETE",1,0)</f>
        <v>0</v>
      </c>
      <c r="AK38" s="61" t="n">
        <f aca="false">IF(AND(AI38=1,AJ38=0,AsOfUTC&gt;Q38),1,0)</f>
        <v>0</v>
      </c>
      <c r="AL38" s="61" t="n">
        <f aca="false">IF(AND(AI38=1,OR(TRIM(U38)="Fail",AND(TRIM(AB38)&lt;&gt;"",TRIM(AB38)&lt;&gt;"Closed"),AND(ISNUMBER(AF38),AF38&lt;&gt;0,TRIM(U38)&lt;&gt;"Pass after CA"))),1,0)</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row>
    <row r="39" customFormat="false" ht="39.75" hidden="false" customHeight="true" outlineLevel="0" collapsed="false">
      <c r="A39" s="57" t="s">
        <v>449</v>
      </c>
      <c r="B39" s="57" t="s">
        <v>190</v>
      </c>
      <c r="C39" s="57" t="str">
        <f aca="false">Flights!$F$6</f>
        <v>MH0727</v>
      </c>
      <c r="D39" s="58" t="n">
        <f aca="false">Flights!$D$6</f>
        <v>46304</v>
      </c>
      <c r="E39" s="57" t="str">
        <f aca="false">Flights!$G$6&amp;"-"&amp;Flights!$H$6</f>
        <v>KUL-CGK</v>
      </c>
      <c r="F39" s="57" t="str">
        <f aca="false">Flights!$K$6</f>
        <v>BC</v>
      </c>
      <c r="G39" s="57" t="s">
        <v>78</v>
      </c>
      <c r="H39" s="57" t="s">
        <v>343</v>
      </c>
      <c r="I39" s="57" t="s">
        <v>344</v>
      </c>
      <c r="J39" s="57" t="s">
        <v>381</v>
      </c>
      <c r="K39" s="67" t="s">
        <v>382</v>
      </c>
      <c r="L39" s="67" t="s">
        <v>383</v>
      </c>
      <c r="M39" s="67"/>
      <c r="N39" s="67" t="s">
        <v>348</v>
      </c>
      <c r="O39" s="67"/>
      <c r="P39" s="57" t="s">
        <v>179</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59" t="n">
        <f aca="false">Q39-T24EarlyH/24</f>
        <v>46302.5763888889</v>
      </c>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IF(N39="N/A – rule","N/A – RULE",IF(TRIM(U39)="N/A",IF(AT39=0,"INVALID – N/A not permitted for this mandatory check",IF(AND(TRIM(AC39)&lt;&gt;"",TRIM(AE39)&lt;&gt;"",TRIM(T39)&lt;&gt;"",TRIM(AE39)&lt;&gt;TRIM(T39)),"N/A – JUSTIFIED","INVALID – N/A needs justification, PIC and a different verifier")),IF(OR(TRIM(U39)="Pass",TRIM(U39)="Pass after CA"),IF(NOT(ISNUMBER(AD39)),"INVALID – completion time missing",IF(TRIM(T39)="","INVALID – PIC missing",IF(TRIM(V39)="","INVALID – result / assessment missing",IF(TRIM(Z39)="","INVALID – evidence missing",IF(TRIM(AE39)="","INVALID – verifier missing",IF(TRIM(AE39)=TRIM(T39),"INVALID – verifier must be someone other than the PIC",IF(AND(AQ39=1,TRIM(W39)=""),"INVALID – batch ID missing",IF(AND(AR39=1,OR(NOT(ISNUMBER(X39)),NOT(ISNUMBER(Y39)))),"INVALID – expected/actual qty missing",IF(IF(AND(TRIM(U39)="Pass",ISNUMBER(AF39)),IF(AF39&lt;&gt;0,"INVALID – qty variance: use Fail or Pass after CA",""),"")&amp;IF(AND(TRIM(U39)="Pass",TRIM(AB39)&lt;&gt;"",TRIM(AB39)&lt;&gt;"Closed"),"INVALID – corrective action not closed: use Fail, then Pass after CA","")&amp;IF(AND(TRIM(AA39)&lt;&gt;"",TRIM(AB39)=""),"INVALID – CA status missing for the recorded corrective action","")&amp;IF(AND(TRIM(U39)="Pass after CA",OR(TRIM(AA39)="",TRIM(AB39)&lt;&gt;"Closed")),"INVALID – corrective action not recorded/closed","")&lt;&gt;"",IF(AND(TRIM(U39)="Pass",ISNUMBER(AF39)),IF(AF39&lt;&gt;0,"INVALID – qty variance: use Fail or Pass after CA",""),"")&amp;IF(AND(TRIM(U39)="Pass",TRIM(AB39)&lt;&gt;"",TRIM(AB39)&lt;&gt;"Closed"),"INVALID – corrective action not closed: use Fail, then Pass after CA","")&amp;IF(AND(TRIM(AA39)&lt;&gt;"",TRIM(AB39)=""),"INVALID – CA status missing for the recorded corrective action","")&amp;IF(AND(TRIM(U39)="Pass after CA",OR(TRIM(AA39)="",TRIM(AB39)&lt;&gt;"Closed")),"INVALID – corrective action not recorded/closed",""),IF(AND(AS39=1,Documents!$J$6&lt;&gt;"ON FILE"),"INVALID – GLD not on file (Documents sheet)",IF(AND(AS39=2,Documents!$O$6&lt;&gt;"ON FILE"),"INVALID – menu checklist not on file (Documents sheet)",IF(AND(AS39=3,NOT(ISNUMBER(Flights!$AX$6))),"INVALID – enter carrying flight KUL departure (Flights AX)",IF(AND(AS39=3,OR(Flights!$AX$6&gt;=Flights!$AA$6,Flights!$AX$6&lt;Flights!$AA$6-3)),"INVALID – Flights AX must be before this leg's STD (within 3 days)",IF(AG39&gt;AsOfUTC,"INVALID – completion time is in the future",IF(AND(ISNUMBER(S39),AG39&lt;S39),IF(H39="Physical uplift","INVALID – before uplift window (cannot confirm loading)","INVALID – before valid window"),IF(AG39&gt;Flights!$AA$6,"INVALID – completed after departure (cannot establish readiness)",IF(AND(H39="Physical uplift",AG39&gt;Q39),"INVALID – recorded after the loading flight departed",IF(AG39&gt;Q39,"COMPLETE – LATE","COMPLETE")))))))))))))))))),IF(TRIM(U39)="Fail","FAIL – DISCREPANCY",IF(AND(TRIM(U39)&lt;&gt;"",TRIM(U39)&lt;&gt;"Not started",TRIM(U39)&lt;&gt;"In progress"),"INVALID – unrecognised status (use the list)",IF(AsOfUTC&gt;Q39,"OVERDUE",IF(N39="Clarification required","OPEN – CLARIFICATION","OPEN")))))))</f>
        <v>OPEN</v>
      </c>
      <c r="AI39" s="61" t="n">
        <f aca="false">IF(OR(AH39="N/A – RULE",AH39="N/A – JUSTIFIED"),0,1)</f>
        <v>1</v>
      </c>
      <c r="AJ39" s="61" t="n">
        <f aca="false">IF(LEFT(AH39,8)="COMPLETE",1,0)</f>
        <v>0</v>
      </c>
      <c r="AK39" s="61" t="n">
        <f aca="false">IF(AND(AI39=1,AJ39=0,AsOfUTC&gt;Q39),1,0)</f>
        <v>0</v>
      </c>
      <c r="AL39" s="61" t="n">
        <f aca="false">IF(AND(AI39=1,OR(TRIM(U39)="Fail",AND(TRIM(AB39)&lt;&gt;"",TRIM(AB39)&lt;&gt;"Closed"),AND(ISNUMBER(AF39),AF39&lt;&gt;0,TRIM(U39)&lt;&gt;"Pass after CA"))),1,0)</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row>
    <row r="40" customFormat="false" ht="39.75" hidden="false" customHeight="true" outlineLevel="0" collapsed="false">
      <c r="A40" s="57" t="s">
        <v>450</v>
      </c>
      <c r="B40" s="57" t="s">
        <v>190</v>
      </c>
      <c r="C40" s="57" t="str">
        <f aca="false">Flights!$F$6</f>
        <v>MH0727</v>
      </c>
      <c r="D40" s="58" t="n">
        <f aca="false">Flights!$D$6</f>
        <v>46304</v>
      </c>
      <c r="E40" s="57" t="str">
        <f aca="false">Flights!$G$6&amp;"-"&amp;Flights!$H$6</f>
        <v>KUL-CGK</v>
      </c>
      <c r="F40" s="57" t="str">
        <f aca="false">Flights!$K$6</f>
        <v>BC</v>
      </c>
      <c r="G40" s="57" t="s">
        <v>385</v>
      </c>
      <c r="H40" s="57" t="s">
        <v>343</v>
      </c>
      <c r="I40" s="57" t="s">
        <v>344</v>
      </c>
      <c r="J40" s="57" t="s">
        <v>386</v>
      </c>
      <c r="K40" s="67"/>
      <c r="L40" s="67" t="s">
        <v>387</v>
      </c>
      <c r="M40" s="67"/>
      <c r="N40" s="67" t="s">
        <v>348</v>
      </c>
      <c r="O40" s="67" t="s">
        <v>388</v>
      </c>
      <c r="P40" s="57" t="s">
        <v>179</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59" t="n">
        <f aca="false">Q40-T12EarlyH/24</f>
        <v>46303.5763888889</v>
      </c>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IF(N40="N/A – rule","N/A – RULE",IF(TRIM(U40)="N/A",IF(AT40=0,"INVALID – N/A not permitted for this mandatory check",IF(AND(TRIM(AC40)&lt;&gt;"",TRIM(AE40)&lt;&gt;"",TRIM(T40)&lt;&gt;"",TRIM(AE40)&lt;&gt;TRIM(T40)),"N/A – JUSTIFIED","INVALID – N/A needs justification, PIC and a different verifier")),IF(OR(TRIM(U40)="Pass",TRIM(U40)="Pass after CA"),IF(NOT(ISNUMBER(AD40)),"INVALID – completion time missing",IF(TRIM(T40)="","INVALID – PIC missing",IF(TRIM(V40)="","INVALID – result / assessment missing",IF(TRIM(Z40)="","INVALID – evidence missing",IF(TRIM(AE40)="","INVALID – verifier missing",IF(TRIM(AE40)=TRIM(T40),"INVALID – verifier must be someone other than the PIC",IF(AND(AQ40=1,TRIM(W40)=""),"INVALID – batch ID missing",IF(AND(AR40=1,OR(NOT(ISNUMBER(X40)),NOT(ISNUMBER(Y40)))),"INVALID – expected/actual qty missing",IF(IF(AND(TRIM(U40)="Pass",ISNUMBER(AF40)),IF(AF40&lt;&gt;0,"INVALID – qty variance: use Fail or Pass after CA",""),"")&amp;IF(AND(TRIM(U40)="Pass",TRIM(AB40)&lt;&gt;"",TRIM(AB40)&lt;&gt;"Closed"),"INVALID – corrective action not closed: use Fail, then Pass after CA","")&amp;IF(AND(TRIM(AA40)&lt;&gt;"",TRIM(AB40)=""),"INVALID – CA status missing for the recorded corrective action","")&amp;IF(AND(TRIM(U40)="Pass after CA",OR(TRIM(AA40)="",TRIM(AB40)&lt;&gt;"Closed")),"INVALID – corrective action not recorded/closed","")&lt;&gt;"",IF(AND(TRIM(U40)="Pass",ISNUMBER(AF40)),IF(AF40&lt;&gt;0,"INVALID – qty variance: use Fail or Pass after CA",""),"")&amp;IF(AND(TRIM(U40)="Pass",TRIM(AB40)&lt;&gt;"",TRIM(AB40)&lt;&gt;"Closed"),"INVALID – corrective action not closed: use Fail, then Pass after CA","")&amp;IF(AND(TRIM(AA40)&lt;&gt;"",TRIM(AB40)=""),"INVALID – CA status missing for the recorded corrective action","")&amp;IF(AND(TRIM(U40)="Pass after CA",OR(TRIM(AA40)="",TRIM(AB40)&lt;&gt;"Closed")),"INVALID – corrective action not recorded/closed",""),IF(AND(AS40=1,Documents!$J$6&lt;&gt;"ON FILE"),"INVALID – GLD not on file (Documents sheet)",IF(AND(AS40=2,Documents!$O$6&lt;&gt;"ON FILE"),"INVALID – menu checklist not on file (Documents sheet)",IF(AND(AS40=3,NOT(ISNUMBER(Flights!$AX$6))),"INVALID – enter carrying flight KUL departure (Flights AX)",IF(AND(AS40=3,OR(Flights!$AX$6&gt;=Flights!$AA$6,Flights!$AX$6&lt;Flights!$AA$6-3)),"INVALID – Flights AX must be before this leg's STD (within 3 days)",IF(AG40&gt;AsOfUTC,"INVALID – completion time is in the future",IF(AND(ISNUMBER(S40),AG40&lt;S40),IF(H40="Physical uplift","INVALID – before uplift window (cannot confirm loading)","INVALID – before valid window"),IF(AG40&gt;Flights!$AA$6,"INVALID – completed after departure (cannot establish readiness)",IF(AND(H40="Physical uplift",AG40&gt;Q40),"INVALID – recorded after the loading flight departed",IF(AG40&gt;Q40,"COMPLETE – LATE","COMPLETE")))))))))))))))))),IF(TRIM(U40)="Fail","FAIL – DISCREPANCY",IF(AND(TRIM(U40)&lt;&gt;"",TRIM(U40)&lt;&gt;"Not started",TRIM(U40)&lt;&gt;"In progress"),"INVALID – unrecognised status (use the list)",IF(AsOfUTC&gt;Q40,"OVERDUE",IF(N40="Clarification required","OPEN – CLARIFICATION","OPEN")))))))</f>
        <v>OPEN</v>
      </c>
      <c r="AI40" s="61" t="n">
        <f aca="false">IF(OR(AH40="N/A – RULE",AH40="N/A – JUSTIFIED"),0,1)</f>
        <v>1</v>
      </c>
      <c r="AJ40" s="61" t="n">
        <f aca="false">IF(LEFT(AH40,8)="COMPLETE",1,0)</f>
        <v>0</v>
      </c>
      <c r="AK40" s="61" t="n">
        <f aca="false">IF(AND(AI40=1,AJ40=0,AsOfUTC&gt;Q40),1,0)</f>
        <v>0</v>
      </c>
      <c r="AL40" s="61" t="n">
        <f aca="false">IF(AND(AI40=1,OR(TRIM(U40)="Fail",AND(TRIM(AB40)&lt;&gt;"",TRIM(AB40)&lt;&gt;"Closed"),AND(ISNUMBER(AF40),AF40&lt;&gt;0,TRIM(U40)&lt;&gt;"Pass after CA"))),1,0)</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row>
    <row r="41" customFormat="false" ht="39.75" hidden="false" customHeight="true" outlineLevel="0" collapsed="false">
      <c r="A41" s="57" t="s">
        <v>451</v>
      </c>
      <c r="B41" s="57" t="s">
        <v>190</v>
      </c>
      <c r="C41" s="57" t="str">
        <f aca="false">Flights!$F$6</f>
        <v>MH0727</v>
      </c>
      <c r="D41" s="58" t="n">
        <f aca="false">Flights!$D$6</f>
        <v>46304</v>
      </c>
      <c r="E41" s="57" t="str">
        <f aca="false">Flights!$G$6&amp;"-"&amp;Flights!$H$6</f>
        <v>KUL-CGK</v>
      </c>
      <c r="F41" s="57" t="str">
        <f aca="false">Flights!$K$6</f>
        <v>BC</v>
      </c>
      <c r="G41" s="57" t="s">
        <v>385</v>
      </c>
      <c r="H41" s="57" t="s">
        <v>343</v>
      </c>
      <c r="I41" s="57" t="s">
        <v>344</v>
      </c>
      <c r="J41" s="57" t="s">
        <v>390</v>
      </c>
      <c r="K41" s="67" t="s">
        <v>391</v>
      </c>
      <c r="L41" s="67" t="s">
        <v>387</v>
      </c>
      <c r="M41" s="67"/>
      <c r="N41" s="67" t="s">
        <v>348</v>
      </c>
      <c r="O41" s="67" t="s">
        <v>388</v>
      </c>
      <c r="P41" s="57" t="s">
        <v>179</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59" t="n">
        <f aca="false">Q41-T12EarlyH/24</f>
        <v>46303.5763888889</v>
      </c>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IF(N41="N/A – rule","N/A – RULE",IF(TRIM(U41)="N/A",IF(AT41=0,"INVALID – N/A not permitted for this mandatory check",IF(AND(TRIM(AC41)&lt;&gt;"",TRIM(AE41)&lt;&gt;"",TRIM(T41)&lt;&gt;"",TRIM(AE41)&lt;&gt;TRIM(T41)),"N/A – JUSTIFIED","INVALID – N/A needs justification, PIC and a different verifier")),IF(OR(TRIM(U41)="Pass",TRIM(U41)="Pass after CA"),IF(NOT(ISNUMBER(AD41)),"INVALID – completion time missing",IF(TRIM(T41)="","INVALID – PIC missing",IF(TRIM(V41)="","INVALID – result / assessment missing",IF(TRIM(Z41)="","INVALID – evidence missing",IF(TRIM(AE41)="","INVALID – verifier missing",IF(TRIM(AE41)=TRIM(T41),"INVALID – verifier must be someone other than the PIC",IF(AND(AQ41=1,TRIM(W41)=""),"INVALID – batch ID missing",IF(AND(AR41=1,OR(NOT(ISNUMBER(X41)),NOT(ISNUMBER(Y41)))),"INVALID – expected/actual qty missing",IF(IF(AND(TRIM(U41)="Pass",ISNUMBER(AF41)),IF(AF41&lt;&gt;0,"INVALID – qty variance: use Fail or Pass after CA",""),"")&amp;IF(AND(TRIM(U41)="Pass",TRIM(AB41)&lt;&gt;"",TRIM(AB41)&lt;&gt;"Closed"),"INVALID – corrective action not closed: use Fail, then Pass after CA","")&amp;IF(AND(TRIM(AA41)&lt;&gt;"",TRIM(AB41)=""),"INVALID – CA status missing for the recorded corrective action","")&amp;IF(AND(TRIM(U41)="Pass after CA",OR(TRIM(AA41)="",TRIM(AB41)&lt;&gt;"Closed")),"INVALID – corrective action not recorded/closed","")&lt;&gt;"",IF(AND(TRIM(U41)="Pass",ISNUMBER(AF41)),IF(AF41&lt;&gt;0,"INVALID – qty variance: use Fail or Pass after CA",""),"")&amp;IF(AND(TRIM(U41)="Pass",TRIM(AB41)&lt;&gt;"",TRIM(AB41)&lt;&gt;"Closed"),"INVALID – corrective action not closed: use Fail, then Pass after CA","")&amp;IF(AND(TRIM(AA41)&lt;&gt;"",TRIM(AB41)=""),"INVALID – CA status missing for the recorded corrective action","")&amp;IF(AND(TRIM(U41)="Pass after CA",OR(TRIM(AA41)="",TRIM(AB41)&lt;&gt;"Closed")),"INVALID – corrective action not recorded/closed",""),IF(AND(AS41=1,Documents!$J$6&lt;&gt;"ON FILE"),"INVALID – GLD not on file (Documents sheet)",IF(AND(AS41=2,Documents!$O$6&lt;&gt;"ON FILE"),"INVALID – menu checklist not on file (Documents sheet)",IF(AND(AS41=3,NOT(ISNUMBER(Flights!$AX$6))),"INVALID – enter carrying flight KUL departure (Flights AX)",IF(AND(AS41=3,OR(Flights!$AX$6&gt;=Flights!$AA$6,Flights!$AX$6&lt;Flights!$AA$6-3)),"INVALID – Flights AX must be before this leg's STD (within 3 days)",IF(AG41&gt;AsOfUTC,"INVALID – completion time is in the future",IF(AND(ISNUMBER(S41),AG41&lt;S41),IF(H41="Physical uplift","INVALID – before uplift window (cannot confirm loading)","INVALID – before valid window"),IF(AG41&gt;Flights!$AA$6,"INVALID – completed after departure (cannot establish readiness)",IF(AND(H41="Physical uplift",AG41&gt;Q41),"INVALID – recorded after the loading flight departed",IF(AG41&gt;Q41,"COMPLETE – LATE","COMPLETE")))))))))))))))))),IF(TRIM(U41)="Fail","FAIL – DISCREPANCY",IF(AND(TRIM(U41)&lt;&gt;"",TRIM(U41)&lt;&gt;"Not started",TRIM(U41)&lt;&gt;"In progress"),"INVALID – unrecognised status (use the list)",IF(AsOfUTC&gt;Q41,"OVERDUE",IF(N41="Clarification required","OPEN – CLARIFICATION","OPEN")))))))</f>
        <v>OPEN</v>
      </c>
      <c r="AI41" s="61" t="n">
        <f aca="false">IF(OR(AH41="N/A – RULE",AH41="N/A – JUSTIFIED"),0,1)</f>
        <v>1</v>
      </c>
      <c r="AJ41" s="61" t="n">
        <f aca="false">IF(LEFT(AH41,8)="COMPLETE",1,0)</f>
        <v>0</v>
      </c>
      <c r="AK41" s="61" t="n">
        <f aca="false">IF(AND(AI41=1,AJ41=0,AsOfUTC&gt;Q41),1,0)</f>
        <v>0</v>
      </c>
      <c r="AL41" s="61" t="n">
        <f aca="false">IF(AND(AI41=1,OR(TRIM(U41)="Fail",AND(TRIM(AB41)&lt;&gt;"",TRIM(AB41)&lt;&gt;"Closed"),AND(ISNUMBER(AF41),AF41&lt;&gt;0,TRIM(U41)&lt;&gt;"Pass after CA"))),1,0)</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row>
    <row r="42" customFormat="false" ht="39.75" hidden="false" customHeight="true" outlineLevel="0" collapsed="false">
      <c r="A42" s="57" t="s">
        <v>452</v>
      </c>
      <c r="B42" s="57" t="s">
        <v>190</v>
      </c>
      <c r="C42" s="57" t="str">
        <f aca="false">Flights!$F$6</f>
        <v>MH0727</v>
      </c>
      <c r="D42" s="58" t="n">
        <f aca="false">Flights!$D$6</f>
        <v>46304</v>
      </c>
      <c r="E42" s="57" t="str">
        <f aca="false">Flights!$G$6&amp;"-"&amp;Flights!$H$6</f>
        <v>KUL-CGK</v>
      </c>
      <c r="F42" s="57" t="str">
        <f aca="false">Flights!$K$6</f>
        <v>BC</v>
      </c>
      <c r="G42" s="57" t="s">
        <v>385</v>
      </c>
      <c r="H42" s="57" t="s">
        <v>343</v>
      </c>
      <c r="I42" s="57" t="s">
        <v>393</v>
      </c>
      <c r="J42" s="57" t="s">
        <v>394</v>
      </c>
      <c r="K42" s="67"/>
      <c r="L42" s="67" t="s">
        <v>387</v>
      </c>
      <c r="M42" s="67"/>
      <c r="N42" s="67" t="s">
        <v>348</v>
      </c>
      <c r="O42" s="67" t="s">
        <v>388</v>
      </c>
      <c r="P42" s="57" t="s">
        <v>179</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59" t="n">
        <f aca="false">Q42-T12EarlyH/24</f>
        <v>46303.5763888889</v>
      </c>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IF(N42="N/A – rule","N/A – RULE",IF(TRIM(U42)="N/A",IF(AT42=0,"INVALID – N/A not permitted for this mandatory check",IF(AND(TRIM(AC42)&lt;&gt;"",TRIM(AE42)&lt;&gt;"",TRIM(T42)&lt;&gt;"",TRIM(AE42)&lt;&gt;TRIM(T42)),"N/A – JUSTIFIED","INVALID – N/A needs justification, PIC and a different verifier")),IF(OR(TRIM(U42)="Pass",TRIM(U42)="Pass after CA"),IF(NOT(ISNUMBER(AD42)),"INVALID – completion time missing",IF(TRIM(T42)="","INVALID – PIC missing",IF(TRIM(V42)="","INVALID – result / assessment missing",IF(TRIM(Z42)="","INVALID – evidence missing",IF(TRIM(AE42)="","INVALID – verifier missing",IF(TRIM(AE42)=TRIM(T42),"INVALID – verifier must be someone other than the PIC",IF(AND(AQ42=1,TRIM(W42)=""),"INVALID – batch ID missing",IF(AND(AR42=1,OR(NOT(ISNUMBER(X42)),NOT(ISNUMBER(Y42)))),"INVALID – expected/actual qty missing",IF(IF(AND(TRIM(U42)="Pass",ISNUMBER(AF42)),IF(AF42&lt;&gt;0,"INVALID – qty variance: use Fail or Pass after CA",""),"")&amp;IF(AND(TRIM(U42)="Pass",TRIM(AB42)&lt;&gt;"",TRIM(AB42)&lt;&gt;"Closed"),"INVALID – corrective action not closed: use Fail, then Pass after CA","")&amp;IF(AND(TRIM(AA42)&lt;&gt;"",TRIM(AB42)=""),"INVALID – CA status missing for the recorded corrective action","")&amp;IF(AND(TRIM(U42)="Pass after CA",OR(TRIM(AA42)="",TRIM(AB42)&lt;&gt;"Closed")),"INVALID – corrective action not recorded/closed","")&lt;&gt;"",IF(AND(TRIM(U42)="Pass",ISNUMBER(AF42)),IF(AF42&lt;&gt;0,"INVALID – qty variance: use Fail or Pass after CA",""),"")&amp;IF(AND(TRIM(U42)="Pass",TRIM(AB42)&lt;&gt;"",TRIM(AB42)&lt;&gt;"Closed"),"INVALID – corrective action not closed: use Fail, then Pass after CA","")&amp;IF(AND(TRIM(AA42)&lt;&gt;"",TRIM(AB42)=""),"INVALID – CA status missing for the recorded corrective action","")&amp;IF(AND(TRIM(U42)="Pass after CA",OR(TRIM(AA42)="",TRIM(AB42)&lt;&gt;"Closed")),"INVALID – corrective action not recorded/closed",""),IF(AND(AS42=1,Documents!$J$6&lt;&gt;"ON FILE"),"INVALID – GLD not on file (Documents sheet)",IF(AND(AS42=2,Documents!$O$6&lt;&gt;"ON FILE"),"INVALID – menu checklist not on file (Documents sheet)",IF(AND(AS42=3,NOT(ISNUMBER(Flights!$AX$6))),"INVALID – enter carrying flight KUL departure (Flights AX)",IF(AND(AS42=3,OR(Flights!$AX$6&gt;=Flights!$AA$6,Flights!$AX$6&lt;Flights!$AA$6-3)),"INVALID – Flights AX must be before this leg's STD (within 3 days)",IF(AG42&gt;AsOfUTC,"INVALID – completion time is in the future",IF(AND(ISNUMBER(S42),AG42&lt;S42),IF(H42="Physical uplift","INVALID – before uplift window (cannot confirm loading)","INVALID – before valid window"),IF(AG42&gt;Flights!$AA$6,"INVALID – completed after departure (cannot establish readiness)",IF(AND(H42="Physical uplift",AG42&gt;Q42),"INVALID – recorded after the loading flight departed",IF(AG42&gt;Q42,"COMPLETE – LATE","COMPLETE")))))))))))))))))),IF(TRIM(U42)="Fail","FAIL – DISCREPANCY",IF(AND(TRIM(U42)&lt;&gt;"",TRIM(U42)&lt;&gt;"Not started",TRIM(U42)&lt;&gt;"In progress"),"INVALID – unrecognised status (use the list)",IF(AsOfUTC&gt;Q42,"OVERDUE",IF(N42="Clarification required","OPEN – CLARIFICATION","OPEN")))))))</f>
        <v>OPEN</v>
      </c>
      <c r="AI42" s="61" t="n">
        <f aca="false">IF(OR(AH42="N/A – RULE",AH42="N/A – JUSTIFIED"),0,1)</f>
        <v>1</v>
      </c>
      <c r="AJ42" s="61" t="n">
        <f aca="false">IF(LEFT(AH42,8)="COMPLETE",1,0)</f>
        <v>0</v>
      </c>
      <c r="AK42" s="61" t="n">
        <f aca="false">IF(AND(AI42=1,AJ42=0,AsOfUTC&gt;Q42),1,0)</f>
        <v>0</v>
      </c>
      <c r="AL42" s="61" t="n">
        <f aca="false">IF(AND(AI42=1,OR(TRIM(U42)="Fail",AND(TRIM(AB42)&lt;&gt;"",TRIM(AB42)&lt;&gt;"Closed"),AND(ISNUMBER(AF42),AF42&lt;&gt;0,TRIM(U42)&lt;&gt;"Pass after CA"))),1,0)</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row>
    <row r="43" customFormat="false" ht="39.75" hidden="false" customHeight="true" outlineLevel="0" collapsed="false">
      <c r="A43" s="57" t="s">
        <v>453</v>
      </c>
      <c r="B43" s="57" t="s">
        <v>190</v>
      </c>
      <c r="C43" s="57" t="str">
        <f aca="false">Flights!$F$6</f>
        <v>MH0727</v>
      </c>
      <c r="D43" s="58" t="n">
        <f aca="false">Flights!$D$6</f>
        <v>46304</v>
      </c>
      <c r="E43" s="57" t="str">
        <f aca="false">Flights!$G$6&amp;"-"&amp;Flights!$H$6</f>
        <v>KUL-CGK</v>
      </c>
      <c r="F43" s="57" t="str">
        <f aca="false">Flights!$K$6</f>
        <v>BC</v>
      </c>
      <c r="G43" s="57" t="s">
        <v>385</v>
      </c>
      <c r="H43" s="57" t="s">
        <v>343</v>
      </c>
      <c r="I43" s="57" t="s">
        <v>393</v>
      </c>
      <c r="J43" s="57" t="s">
        <v>396</v>
      </c>
      <c r="K43" s="67"/>
      <c r="L43" s="67" t="s">
        <v>387</v>
      </c>
      <c r="M43" s="67"/>
      <c r="N43" s="67" t="s">
        <v>348</v>
      </c>
      <c r="O43" s="67" t="s">
        <v>388</v>
      </c>
      <c r="P43" s="57" t="s">
        <v>179</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59" t="n">
        <f aca="false">Q43-T12EarlyH/24</f>
        <v>46303.5763888889</v>
      </c>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IF(N43="N/A – rule","N/A – RULE",IF(TRIM(U43)="N/A",IF(AT43=0,"INVALID – N/A not permitted for this mandatory check",IF(AND(TRIM(AC43)&lt;&gt;"",TRIM(AE43)&lt;&gt;"",TRIM(T43)&lt;&gt;"",TRIM(AE43)&lt;&gt;TRIM(T43)),"N/A – JUSTIFIED","INVALID – N/A needs justification, PIC and a different verifier")),IF(OR(TRIM(U43)="Pass",TRIM(U43)="Pass after CA"),IF(NOT(ISNUMBER(AD43)),"INVALID – completion time missing",IF(TRIM(T43)="","INVALID – PIC missing",IF(TRIM(V43)="","INVALID – result / assessment missing",IF(TRIM(Z43)="","INVALID – evidence missing",IF(TRIM(AE43)="","INVALID – verifier missing",IF(TRIM(AE43)=TRIM(T43),"INVALID – verifier must be someone other than the PIC",IF(AND(AQ43=1,TRIM(W43)=""),"INVALID – batch ID missing",IF(AND(AR43=1,OR(NOT(ISNUMBER(X43)),NOT(ISNUMBER(Y43)))),"INVALID – expected/actual qty missing",IF(IF(AND(TRIM(U43)="Pass",ISNUMBER(AF43)),IF(AF43&lt;&gt;0,"INVALID – qty variance: use Fail or Pass after CA",""),"")&amp;IF(AND(TRIM(U43)="Pass",TRIM(AB43)&lt;&gt;"",TRIM(AB43)&lt;&gt;"Closed"),"INVALID – corrective action not closed: use Fail, then Pass after CA","")&amp;IF(AND(TRIM(AA43)&lt;&gt;"",TRIM(AB43)=""),"INVALID – CA status missing for the recorded corrective action","")&amp;IF(AND(TRIM(U43)="Pass after CA",OR(TRIM(AA43)="",TRIM(AB43)&lt;&gt;"Closed")),"INVALID – corrective action not recorded/closed","")&lt;&gt;"",IF(AND(TRIM(U43)="Pass",ISNUMBER(AF43)),IF(AF43&lt;&gt;0,"INVALID – qty variance: use Fail or Pass after CA",""),"")&amp;IF(AND(TRIM(U43)="Pass",TRIM(AB43)&lt;&gt;"",TRIM(AB43)&lt;&gt;"Closed"),"INVALID – corrective action not closed: use Fail, then Pass after CA","")&amp;IF(AND(TRIM(AA43)&lt;&gt;"",TRIM(AB43)=""),"INVALID – CA status missing for the recorded corrective action","")&amp;IF(AND(TRIM(U43)="Pass after CA",OR(TRIM(AA43)="",TRIM(AB43)&lt;&gt;"Closed")),"INVALID – corrective action not recorded/closed",""),IF(AND(AS43=1,Documents!$J$6&lt;&gt;"ON FILE"),"INVALID – GLD not on file (Documents sheet)",IF(AND(AS43=2,Documents!$O$6&lt;&gt;"ON FILE"),"INVALID – menu checklist not on file (Documents sheet)",IF(AND(AS43=3,NOT(ISNUMBER(Flights!$AX$6))),"INVALID – enter carrying flight KUL departure (Flights AX)",IF(AND(AS43=3,OR(Flights!$AX$6&gt;=Flights!$AA$6,Flights!$AX$6&lt;Flights!$AA$6-3)),"INVALID – Flights AX must be before this leg's STD (within 3 days)",IF(AG43&gt;AsOfUTC,"INVALID – completion time is in the future",IF(AND(ISNUMBER(S43),AG43&lt;S43),IF(H43="Physical uplift","INVALID – before uplift window (cannot confirm loading)","INVALID – before valid window"),IF(AG43&gt;Flights!$AA$6,"INVALID – completed after departure (cannot establish readiness)",IF(AND(H43="Physical uplift",AG43&gt;Q43),"INVALID – recorded after the loading flight departed",IF(AG43&gt;Q43,"COMPLETE – LATE","COMPLETE")))))))))))))))))),IF(TRIM(U43)="Fail","FAIL – DISCREPANCY",IF(AND(TRIM(U43)&lt;&gt;"",TRIM(U43)&lt;&gt;"Not started",TRIM(U43)&lt;&gt;"In progress"),"INVALID – unrecognised status (use the list)",IF(AsOfUTC&gt;Q43,"OVERDUE",IF(N43="Clarification required","OPEN – CLARIFICATION","OPEN")))))))</f>
        <v>OPEN</v>
      </c>
      <c r="AI43" s="61" t="n">
        <f aca="false">IF(OR(AH43="N/A – RULE",AH43="N/A – JUSTIFIED"),0,1)</f>
        <v>1</v>
      </c>
      <c r="AJ43" s="61" t="n">
        <f aca="false">IF(LEFT(AH43,8)="COMPLETE",1,0)</f>
        <v>0</v>
      </c>
      <c r="AK43" s="61" t="n">
        <f aca="false">IF(AND(AI43=1,AJ43=0,AsOfUTC&gt;Q43),1,0)</f>
        <v>0</v>
      </c>
      <c r="AL43" s="61" t="n">
        <f aca="false">IF(AND(AI43=1,OR(TRIM(U43)="Fail",AND(TRIM(AB43)&lt;&gt;"",TRIM(AB43)&lt;&gt;"Closed"),AND(ISNUMBER(AF43),AF43&lt;&gt;0,TRIM(U43)&lt;&gt;"Pass after CA"))),1,0)</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row>
    <row r="44" customFormat="false" ht="39.75" hidden="false" customHeight="true" outlineLevel="0" collapsed="false">
      <c r="A44" s="57" t="s">
        <v>454</v>
      </c>
      <c r="B44" s="57" t="s">
        <v>190</v>
      </c>
      <c r="C44" s="57" t="str">
        <f aca="false">Flights!$F$6</f>
        <v>MH0727</v>
      </c>
      <c r="D44" s="58" t="n">
        <f aca="false">Flights!$D$6</f>
        <v>46304</v>
      </c>
      <c r="E44" s="57" t="str">
        <f aca="false">Flights!$G$6&amp;"-"&amp;Flights!$H$6</f>
        <v>KUL-CGK</v>
      </c>
      <c r="F44" s="57" t="str">
        <f aca="false">Flights!$K$6</f>
        <v>BC</v>
      </c>
      <c r="G44" s="57" t="s">
        <v>385</v>
      </c>
      <c r="H44" s="57" t="s">
        <v>343</v>
      </c>
      <c r="I44" s="57" t="s">
        <v>393</v>
      </c>
      <c r="J44" s="57" t="s">
        <v>398</v>
      </c>
      <c r="K44" s="67"/>
      <c r="L44" s="67" t="s">
        <v>387</v>
      </c>
      <c r="M44" s="67"/>
      <c r="N44" s="67" t="s">
        <v>348</v>
      </c>
      <c r="O44" s="67" t="s">
        <v>388</v>
      </c>
      <c r="P44" s="57" t="s">
        <v>179</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59" t="n">
        <f aca="false">Q44-T12EarlyH/24</f>
        <v>46303.5763888889</v>
      </c>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IF(N44="N/A – rule","N/A – RULE",IF(TRIM(U44)="N/A",IF(AT44=0,"INVALID – N/A not permitted for this mandatory check",IF(AND(TRIM(AC44)&lt;&gt;"",TRIM(AE44)&lt;&gt;"",TRIM(T44)&lt;&gt;"",TRIM(AE44)&lt;&gt;TRIM(T44)),"N/A – JUSTIFIED","INVALID – N/A needs justification, PIC and a different verifier")),IF(OR(TRIM(U44)="Pass",TRIM(U44)="Pass after CA"),IF(NOT(ISNUMBER(AD44)),"INVALID – completion time missing",IF(TRIM(T44)="","INVALID – PIC missing",IF(TRIM(V44)="","INVALID – result / assessment missing",IF(TRIM(Z44)="","INVALID – evidence missing",IF(TRIM(AE44)="","INVALID – verifier missing",IF(TRIM(AE44)=TRIM(T44),"INVALID – verifier must be someone other than the PIC",IF(AND(AQ44=1,TRIM(W44)=""),"INVALID – batch ID missing",IF(AND(AR44=1,OR(NOT(ISNUMBER(X44)),NOT(ISNUMBER(Y44)))),"INVALID – expected/actual qty missing",IF(IF(AND(TRIM(U44)="Pass",ISNUMBER(AF44)),IF(AF44&lt;&gt;0,"INVALID – qty variance: use Fail or Pass after CA",""),"")&amp;IF(AND(TRIM(U44)="Pass",TRIM(AB44)&lt;&gt;"",TRIM(AB44)&lt;&gt;"Closed"),"INVALID – corrective action not closed: use Fail, then Pass after CA","")&amp;IF(AND(TRIM(AA44)&lt;&gt;"",TRIM(AB44)=""),"INVALID – CA status missing for the recorded corrective action","")&amp;IF(AND(TRIM(U44)="Pass after CA",OR(TRIM(AA44)="",TRIM(AB44)&lt;&gt;"Closed")),"INVALID – corrective action not recorded/closed","")&lt;&gt;"",IF(AND(TRIM(U44)="Pass",ISNUMBER(AF44)),IF(AF44&lt;&gt;0,"INVALID – qty variance: use Fail or Pass after CA",""),"")&amp;IF(AND(TRIM(U44)="Pass",TRIM(AB44)&lt;&gt;"",TRIM(AB44)&lt;&gt;"Closed"),"INVALID – corrective action not closed: use Fail, then Pass after CA","")&amp;IF(AND(TRIM(AA44)&lt;&gt;"",TRIM(AB44)=""),"INVALID – CA status missing for the recorded corrective action","")&amp;IF(AND(TRIM(U44)="Pass after CA",OR(TRIM(AA44)="",TRIM(AB44)&lt;&gt;"Closed")),"INVALID – corrective action not recorded/closed",""),IF(AND(AS44=1,Documents!$J$6&lt;&gt;"ON FILE"),"INVALID – GLD not on file (Documents sheet)",IF(AND(AS44=2,Documents!$O$6&lt;&gt;"ON FILE"),"INVALID – menu checklist not on file (Documents sheet)",IF(AND(AS44=3,NOT(ISNUMBER(Flights!$AX$6))),"INVALID – enter carrying flight KUL departure (Flights AX)",IF(AND(AS44=3,OR(Flights!$AX$6&gt;=Flights!$AA$6,Flights!$AX$6&lt;Flights!$AA$6-3)),"INVALID – Flights AX must be before this leg's STD (within 3 days)",IF(AG44&gt;AsOfUTC,"INVALID – completion time is in the future",IF(AND(ISNUMBER(S44),AG44&lt;S44),IF(H44="Physical uplift","INVALID – before uplift window (cannot confirm loading)","INVALID – before valid window"),IF(AG44&gt;Flights!$AA$6,"INVALID – completed after departure (cannot establish readiness)",IF(AND(H44="Physical uplift",AG44&gt;Q44),"INVALID – recorded after the loading flight departed",IF(AG44&gt;Q44,"COMPLETE – LATE","COMPLETE")))))))))))))))))),IF(TRIM(U44)="Fail","FAIL – DISCREPANCY",IF(AND(TRIM(U44)&lt;&gt;"",TRIM(U44)&lt;&gt;"Not started",TRIM(U44)&lt;&gt;"In progress"),"INVALID – unrecognised status (use the list)",IF(AsOfUTC&gt;Q44,"OVERDUE",IF(N44="Clarification required","OPEN – CLARIFICATION","OPEN")))))))</f>
        <v>OPEN</v>
      </c>
      <c r="AI44" s="61" t="n">
        <f aca="false">IF(OR(AH44="N/A – RULE",AH44="N/A – JUSTIFIED"),0,1)</f>
        <v>1</v>
      </c>
      <c r="AJ44" s="61" t="n">
        <f aca="false">IF(LEFT(AH44,8)="COMPLETE",1,0)</f>
        <v>0</v>
      </c>
      <c r="AK44" s="61" t="n">
        <f aca="false">IF(AND(AI44=1,AJ44=0,AsOfUTC&gt;Q44),1,0)</f>
        <v>0</v>
      </c>
      <c r="AL44" s="61" t="n">
        <f aca="false">IF(AND(AI44=1,OR(TRIM(U44)="Fail",AND(TRIM(AB44)&lt;&gt;"",TRIM(AB44)&lt;&gt;"Closed"),AND(ISNUMBER(AF44),AF44&lt;&gt;0,TRIM(U44)&lt;&gt;"Pass after CA"))),1,0)</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row>
    <row r="45" customFormat="false" ht="78.75" hidden="false" customHeight="true" outlineLevel="0" collapsed="false">
      <c r="A45" s="57" t="s">
        <v>455</v>
      </c>
      <c r="B45" s="57" t="s">
        <v>190</v>
      </c>
      <c r="C45" s="57" t="str">
        <f aca="false">Flights!$F$6</f>
        <v>MH0727</v>
      </c>
      <c r="D45" s="58" t="n">
        <f aca="false">Flights!$D$6</f>
        <v>46304</v>
      </c>
      <c r="E45" s="57" t="str">
        <f aca="false">Flights!$G$6&amp;"-"&amp;Flights!$H$6</f>
        <v>KUL-CGK</v>
      </c>
      <c r="F45" s="57" t="str">
        <f aca="false">Flights!$K$6</f>
        <v>BC</v>
      </c>
      <c r="G45" s="57" t="s">
        <v>385</v>
      </c>
      <c r="H45" s="57" t="s">
        <v>343</v>
      </c>
      <c r="I45" s="57" t="s">
        <v>393</v>
      </c>
      <c r="J45" s="57" t="s">
        <v>400</v>
      </c>
      <c r="K45" s="67" t="s">
        <v>456</v>
      </c>
      <c r="L45" s="67" t="s">
        <v>387</v>
      </c>
      <c r="M45" s="67"/>
      <c r="N45" s="67" t="s">
        <v>348</v>
      </c>
      <c r="O45" s="67" t="s">
        <v>388</v>
      </c>
      <c r="P45" s="57" t="s">
        <v>179</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59" t="n">
        <f aca="false">Q45-T12EarlyH/24</f>
        <v>46303.5763888889</v>
      </c>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IF(N45="N/A – rule","N/A – RULE",IF(TRIM(U45)="N/A",IF(AT45=0,"INVALID – N/A not permitted for this mandatory check",IF(AND(TRIM(AC45)&lt;&gt;"",TRIM(AE45)&lt;&gt;"",TRIM(T45)&lt;&gt;"",TRIM(AE45)&lt;&gt;TRIM(T45)),"N/A – JUSTIFIED","INVALID – N/A needs justification, PIC and a different verifier")),IF(OR(TRIM(U45)="Pass",TRIM(U45)="Pass after CA"),IF(NOT(ISNUMBER(AD45)),"INVALID – completion time missing",IF(TRIM(T45)="","INVALID – PIC missing",IF(TRIM(V45)="","INVALID – result / assessment missing",IF(TRIM(Z45)="","INVALID – evidence missing",IF(TRIM(AE45)="","INVALID – verifier missing",IF(TRIM(AE45)=TRIM(T45),"INVALID – verifier must be someone other than the PIC",IF(AND(AQ45=1,TRIM(W45)=""),"INVALID – batch ID missing",IF(AND(AR45=1,OR(NOT(ISNUMBER(X45)),NOT(ISNUMBER(Y45)))),"INVALID – expected/actual qty missing",IF(IF(AND(TRIM(U45)="Pass",ISNUMBER(AF45)),IF(AF45&lt;&gt;0,"INVALID – qty variance: use Fail or Pass after CA",""),"")&amp;IF(AND(TRIM(U45)="Pass",TRIM(AB45)&lt;&gt;"",TRIM(AB45)&lt;&gt;"Closed"),"INVALID – corrective action not closed: use Fail, then Pass after CA","")&amp;IF(AND(TRIM(AA45)&lt;&gt;"",TRIM(AB45)=""),"INVALID – CA status missing for the recorded corrective action","")&amp;IF(AND(TRIM(U45)="Pass after CA",OR(TRIM(AA45)="",TRIM(AB45)&lt;&gt;"Closed")),"INVALID – corrective action not recorded/closed","")&lt;&gt;"",IF(AND(TRIM(U45)="Pass",ISNUMBER(AF45)),IF(AF45&lt;&gt;0,"INVALID – qty variance: use Fail or Pass after CA",""),"")&amp;IF(AND(TRIM(U45)="Pass",TRIM(AB45)&lt;&gt;"",TRIM(AB45)&lt;&gt;"Closed"),"INVALID – corrective action not closed: use Fail, then Pass after CA","")&amp;IF(AND(TRIM(AA45)&lt;&gt;"",TRIM(AB45)=""),"INVALID – CA status missing for the recorded corrective action","")&amp;IF(AND(TRIM(U45)="Pass after CA",OR(TRIM(AA45)="",TRIM(AB45)&lt;&gt;"Closed")),"INVALID – corrective action not recorded/closed",""),IF(AND(AS45=1,Documents!$J$6&lt;&gt;"ON FILE"),"INVALID – GLD not on file (Documents sheet)",IF(AND(AS45=2,Documents!$O$6&lt;&gt;"ON FILE"),"INVALID – menu checklist not on file (Documents sheet)",IF(AND(AS45=3,NOT(ISNUMBER(Flights!$AX$6))),"INVALID – enter carrying flight KUL departure (Flights AX)",IF(AND(AS45=3,OR(Flights!$AX$6&gt;=Flights!$AA$6,Flights!$AX$6&lt;Flights!$AA$6-3)),"INVALID – Flights AX must be before this leg's STD (within 3 days)",IF(AG45&gt;AsOfUTC,"INVALID – completion time is in the future",IF(AND(ISNUMBER(S45),AG45&lt;S45),IF(H45="Physical uplift","INVALID – before uplift window (cannot confirm loading)","INVALID – before valid window"),IF(AG45&gt;Flights!$AA$6,"INVALID – completed after departure (cannot establish readiness)",IF(AND(H45="Physical uplift",AG45&gt;Q45),"INVALID – recorded after the loading flight departed",IF(AG45&gt;Q45,"COMPLETE – LATE","COMPLETE")))))))))))))))))),IF(TRIM(U45)="Fail","FAIL – DISCREPANCY",IF(AND(TRIM(U45)&lt;&gt;"",TRIM(U45)&lt;&gt;"Not started",TRIM(U45)&lt;&gt;"In progress"),"INVALID – unrecognised status (use the list)",IF(AsOfUTC&gt;Q45,"OVERDUE",IF(N45="Clarification required","OPEN – CLARIFICATION","OPEN")))))))</f>
        <v>OPEN</v>
      </c>
      <c r="AI45" s="61" t="n">
        <f aca="false">IF(OR(AH45="N/A – RULE",AH45="N/A – JUSTIFIED"),0,1)</f>
        <v>1</v>
      </c>
      <c r="AJ45" s="61" t="n">
        <f aca="false">IF(LEFT(AH45,8)="COMPLETE",1,0)</f>
        <v>0</v>
      </c>
      <c r="AK45" s="61" t="n">
        <f aca="false">IF(AND(AI45=1,AJ45=0,AsOfUTC&gt;Q45),1,0)</f>
        <v>0</v>
      </c>
      <c r="AL45" s="61" t="n">
        <f aca="false">IF(AND(AI45=1,OR(TRIM(U45)="Fail",AND(TRIM(AB45)&lt;&gt;"",TRIM(AB45)&lt;&gt;"Closed"),AND(ISNUMBER(AF45),AF45&lt;&gt;0,TRIM(U45)&lt;&gt;"Pass after CA"))),1,0)</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row>
    <row r="46" customFormat="false" ht="39.75" hidden="false" customHeight="true" outlineLevel="0" collapsed="false">
      <c r="A46" s="57" t="s">
        <v>457</v>
      </c>
      <c r="B46" s="57" t="s">
        <v>190</v>
      </c>
      <c r="C46" s="57" t="str">
        <f aca="false">Flights!$F$6</f>
        <v>MH0727</v>
      </c>
      <c r="D46" s="58" t="n">
        <f aca="false">Flights!$D$6</f>
        <v>46304</v>
      </c>
      <c r="E46" s="57" t="str">
        <f aca="false">Flights!$G$6&amp;"-"&amp;Flights!$H$6</f>
        <v>KUL-CGK</v>
      </c>
      <c r="F46" s="57" t="str">
        <f aca="false">Flights!$K$6</f>
        <v>BC</v>
      </c>
      <c r="G46" s="57" t="s">
        <v>385</v>
      </c>
      <c r="H46" s="57" t="s">
        <v>343</v>
      </c>
      <c r="I46" s="57" t="s">
        <v>393</v>
      </c>
      <c r="J46" s="57" t="s">
        <v>403</v>
      </c>
      <c r="K46" s="67"/>
      <c r="L46" s="67" t="s">
        <v>387</v>
      </c>
      <c r="M46" s="67"/>
      <c r="N46" s="67" t="s">
        <v>348</v>
      </c>
      <c r="O46" s="67" t="s">
        <v>388</v>
      </c>
      <c r="P46" s="57" t="s">
        <v>179</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59" t="n">
        <f aca="false">Q46-T12EarlyH/24</f>
        <v>46303.5763888889</v>
      </c>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IF(N46="N/A – rule","N/A – RULE",IF(TRIM(U46)="N/A",IF(AT46=0,"INVALID – N/A not permitted for this mandatory check",IF(AND(TRIM(AC46)&lt;&gt;"",TRIM(AE46)&lt;&gt;"",TRIM(T46)&lt;&gt;"",TRIM(AE46)&lt;&gt;TRIM(T46)),"N/A – JUSTIFIED","INVALID – N/A needs justification, PIC and a different verifier")),IF(OR(TRIM(U46)="Pass",TRIM(U46)="Pass after CA"),IF(NOT(ISNUMBER(AD46)),"INVALID – completion time missing",IF(TRIM(T46)="","INVALID – PIC missing",IF(TRIM(V46)="","INVALID – result / assessment missing",IF(TRIM(Z46)="","INVALID – evidence missing",IF(TRIM(AE46)="","INVALID – verifier missing",IF(TRIM(AE46)=TRIM(T46),"INVALID – verifier must be someone other than the PIC",IF(AND(AQ46=1,TRIM(W46)=""),"INVALID – batch ID missing",IF(AND(AR46=1,OR(NOT(ISNUMBER(X46)),NOT(ISNUMBER(Y46)))),"INVALID – expected/actual qty missing",IF(IF(AND(TRIM(U46)="Pass",ISNUMBER(AF46)),IF(AF46&lt;&gt;0,"INVALID – qty variance: use Fail or Pass after CA",""),"")&amp;IF(AND(TRIM(U46)="Pass",TRIM(AB46)&lt;&gt;"",TRIM(AB46)&lt;&gt;"Closed"),"INVALID – corrective action not closed: use Fail, then Pass after CA","")&amp;IF(AND(TRIM(AA46)&lt;&gt;"",TRIM(AB46)=""),"INVALID – CA status missing for the recorded corrective action","")&amp;IF(AND(TRIM(U46)="Pass after CA",OR(TRIM(AA46)="",TRIM(AB46)&lt;&gt;"Closed")),"INVALID – corrective action not recorded/closed","")&lt;&gt;"",IF(AND(TRIM(U46)="Pass",ISNUMBER(AF46)),IF(AF46&lt;&gt;0,"INVALID – qty variance: use Fail or Pass after CA",""),"")&amp;IF(AND(TRIM(U46)="Pass",TRIM(AB46)&lt;&gt;"",TRIM(AB46)&lt;&gt;"Closed"),"INVALID – corrective action not closed: use Fail, then Pass after CA","")&amp;IF(AND(TRIM(AA46)&lt;&gt;"",TRIM(AB46)=""),"INVALID – CA status missing for the recorded corrective action","")&amp;IF(AND(TRIM(U46)="Pass after CA",OR(TRIM(AA46)="",TRIM(AB46)&lt;&gt;"Closed")),"INVALID – corrective action not recorded/closed",""),IF(AND(AS46=1,Documents!$J$6&lt;&gt;"ON FILE"),"INVALID – GLD not on file (Documents sheet)",IF(AND(AS46=2,Documents!$O$6&lt;&gt;"ON FILE"),"INVALID – menu checklist not on file (Documents sheet)",IF(AND(AS46=3,NOT(ISNUMBER(Flights!$AX$6))),"INVALID – enter carrying flight KUL departure (Flights AX)",IF(AND(AS46=3,OR(Flights!$AX$6&gt;=Flights!$AA$6,Flights!$AX$6&lt;Flights!$AA$6-3)),"INVALID – Flights AX must be before this leg's STD (within 3 days)",IF(AG46&gt;AsOfUTC,"INVALID – completion time is in the future",IF(AND(ISNUMBER(S46),AG46&lt;S46),IF(H46="Physical uplift","INVALID – before uplift window (cannot confirm loading)","INVALID – before valid window"),IF(AG46&gt;Flights!$AA$6,"INVALID – completed after departure (cannot establish readiness)",IF(AND(H46="Physical uplift",AG46&gt;Q46),"INVALID – recorded after the loading flight departed",IF(AG46&gt;Q46,"COMPLETE – LATE","COMPLETE")))))))))))))))))),IF(TRIM(U46)="Fail","FAIL – DISCREPANCY",IF(AND(TRIM(U46)&lt;&gt;"",TRIM(U46)&lt;&gt;"Not started",TRIM(U46)&lt;&gt;"In progress"),"INVALID – unrecognised status (use the list)",IF(AsOfUTC&gt;Q46,"OVERDUE",IF(N46="Clarification required","OPEN – CLARIFICATION","OPEN")))))))</f>
        <v>OPEN</v>
      </c>
      <c r="AI46" s="61" t="n">
        <f aca="false">IF(OR(AH46="N/A – RULE",AH46="N/A – JUSTIFIED"),0,1)</f>
        <v>1</v>
      </c>
      <c r="AJ46" s="61" t="n">
        <f aca="false">IF(LEFT(AH46,8)="COMPLETE",1,0)</f>
        <v>0</v>
      </c>
      <c r="AK46" s="61" t="n">
        <f aca="false">IF(AND(AI46=1,AJ46=0,AsOfUTC&gt;Q46),1,0)</f>
        <v>0</v>
      </c>
      <c r="AL46" s="61" t="n">
        <f aca="false">IF(AND(AI46=1,OR(TRIM(U46)="Fail",AND(TRIM(AB46)&lt;&gt;"",TRIM(AB46)&lt;&gt;"Closed"),AND(ISNUMBER(AF46),AF46&lt;&gt;0,TRIM(U46)&lt;&gt;"Pass after CA"))),1,0)</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row>
    <row r="47" customFormat="false" ht="66" hidden="false" customHeight="true" outlineLevel="0" collapsed="false">
      <c r="A47" s="57" t="s">
        <v>458</v>
      </c>
      <c r="B47" s="57" t="s">
        <v>190</v>
      </c>
      <c r="C47" s="57" t="str">
        <f aca="false">Flights!$F$6</f>
        <v>MH0727</v>
      </c>
      <c r="D47" s="58" t="n">
        <f aca="false">Flights!$D$6</f>
        <v>46304</v>
      </c>
      <c r="E47" s="57" t="str">
        <f aca="false">Flights!$G$6&amp;"-"&amp;Flights!$H$6</f>
        <v>KUL-CGK</v>
      </c>
      <c r="F47" s="57" t="str">
        <f aca="false">Flights!$K$6</f>
        <v>BC</v>
      </c>
      <c r="G47" s="57" t="s">
        <v>385</v>
      </c>
      <c r="H47" s="57" t="s">
        <v>343</v>
      </c>
      <c r="I47" s="57" t="s">
        <v>405</v>
      </c>
      <c r="J47" s="57" t="s">
        <v>459</v>
      </c>
      <c r="K47" s="67" t="s">
        <v>460</v>
      </c>
      <c r="L47" s="67" t="s">
        <v>461</v>
      </c>
      <c r="M47" s="67" t="s">
        <v>416</v>
      </c>
      <c r="N47" s="67" t="s">
        <v>348</v>
      </c>
      <c r="O47" s="67" t="s">
        <v>462</v>
      </c>
      <c r="P47" s="57" t="s">
        <v>179</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59" t="n">
        <f aca="false">Q47-T12EarlyH/24</f>
        <v>46303.5763888889</v>
      </c>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IF(N47="N/A – rule","N/A – RULE",IF(TRIM(U47)="N/A",IF(AT47=0,"INVALID – N/A not permitted for this mandatory check",IF(AND(TRIM(AC47)&lt;&gt;"",TRIM(AE47)&lt;&gt;"",TRIM(T47)&lt;&gt;"",TRIM(AE47)&lt;&gt;TRIM(T47)),"N/A – JUSTIFIED","INVALID – N/A needs justification, PIC and a different verifier")),IF(OR(TRIM(U47)="Pass",TRIM(U47)="Pass after CA"),IF(NOT(ISNUMBER(AD47)),"INVALID – completion time missing",IF(TRIM(T47)="","INVALID – PIC missing",IF(TRIM(V47)="","INVALID – result / assessment missing",IF(TRIM(Z47)="","INVALID – evidence missing",IF(TRIM(AE47)="","INVALID – verifier missing",IF(TRIM(AE47)=TRIM(T47),"INVALID – verifier must be someone other than the PIC",IF(AND(AQ47=1,TRIM(W47)=""),"INVALID – batch ID missing",IF(AND(AR47=1,OR(NOT(ISNUMBER(X47)),NOT(ISNUMBER(Y47)))),"INVALID – expected/actual qty missing",IF(IF(AND(TRIM(U47)="Pass",ISNUMBER(AF47)),IF(AF47&lt;&gt;0,"INVALID – qty variance: use Fail or Pass after CA",""),"")&amp;IF(AND(TRIM(U47)="Pass",TRIM(AB47)&lt;&gt;"",TRIM(AB47)&lt;&gt;"Closed"),"INVALID – corrective action not closed: use Fail, then Pass after CA","")&amp;IF(AND(TRIM(AA47)&lt;&gt;"",TRIM(AB47)=""),"INVALID – CA status missing for the recorded corrective action","")&amp;IF(AND(TRIM(U47)="Pass after CA",OR(TRIM(AA47)="",TRIM(AB47)&lt;&gt;"Closed")),"INVALID – corrective action not recorded/closed","")&lt;&gt;"",IF(AND(TRIM(U47)="Pass",ISNUMBER(AF47)),IF(AF47&lt;&gt;0,"INVALID – qty variance: use Fail or Pass after CA",""),"")&amp;IF(AND(TRIM(U47)="Pass",TRIM(AB47)&lt;&gt;"",TRIM(AB47)&lt;&gt;"Closed"),"INVALID – corrective action not closed: use Fail, then Pass after CA","")&amp;IF(AND(TRIM(AA47)&lt;&gt;"",TRIM(AB47)=""),"INVALID – CA status missing for the recorded corrective action","")&amp;IF(AND(TRIM(U47)="Pass after CA",OR(TRIM(AA47)="",TRIM(AB47)&lt;&gt;"Closed")),"INVALID – corrective action not recorded/closed",""),IF(AND(AS47=1,Documents!$J$6&lt;&gt;"ON FILE"),"INVALID – GLD not on file (Documents sheet)",IF(AND(AS47=2,Documents!$O$6&lt;&gt;"ON FILE"),"INVALID – menu checklist not on file (Documents sheet)",IF(AND(AS47=3,NOT(ISNUMBER(Flights!$AX$6))),"INVALID – enter carrying flight KUL departure (Flights AX)",IF(AND(AS47=3,OR(Flights!$AX$6&gt;=Flights!$AA$6,Flights!$AX$6&lt;Flights!$AA$6-3)),"INVALID – Flights AX must be before this leg's STD (within 3 days)",IF(AG47&gt;AsOfUTC,"INVALID – completion time is in the future",IF(AND(ISNUMBER(S47),AG47&lt;S47),IF(H47="Physical uplift","INVALID – before uplift window (cannot confirm loading)","INVALID – before valid window"),IF(AG47&gt;Flights!$AA$6,"INVALID – completed after departure (cannot establish readiness)",IF(AND(H47="Physical uplift",AG47&gt;Q47),"INVALID – recorded after the loading flight departed",IF(AG47&gt;Q47,"COMPLETE – LATE","COMPLETE")))))))))))))))))),IF(TRIM(U47)="Fail","FAIL – DISCREPANCY",IF(AND(TRIM(U47)&lt;&gt;"",TRIM(U47)&lt;&gt;"Not started",TRIM(U47)&lt;&gt;"In progress"),"INVALID – unrecognised status (use the list)",IF(AsOfUTC&gt;Q47,"OVERDUE",IF(N47="Clarification required","OPEN – CLARIFICATION","OPEN")))))))</f>
        <v>OPEN</v>
      </c>
      <c r="AI47" s="61" t="n">
        <f aca="false">IF(OR(AH47="N/A – RULE",AH47="N/A – JUSTIFIED"),0,1)</f>
        <v>1</v>
      </c>
      <c r="AJ47" s="61" t="n">
        <f aca="false">IF(LEFT(AH47,8)="COMPLETE",1,0)</f>
        <v>0</v>
      </c>
      <c r="AK47" s="61" t="n">
        <f aca="false">IF(AND(AI47=1,AJ47=0,AsOfUTC&gt;Q47),1,0)</f>
        <v>0</v>
      </c>
      <c r="AL47" s="61" t="n">
        <f aca="false">IF(AND(AI47=1,OR(TRIM(U47)="Fail",AND(TRIM(AB47)&lt;&gt;"",TRIM(AB47)&lt;&gt;"Closed"),AND(ISNUMBER(AF47),AF47&lt;&gt;0,TRIM(U47)&lt;&gt;"Pass after CA"))),1,0)</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8" t="b">
        <f aca="false">TRUE()</f>
        <v>1</v>
      </c>
    </row>
    <row r="48" customFormat="false" ht="41.25" hidden="false" customHeight="true" outlineLevel="0" collapsed="false">
      <c r="A48" s="57" t="s">
        <v>463</v>
      </c>
      <c r="B48" s="57" t="s">
        <v>190</v>
      </c>
      <c r="C48" s="57" t="str">
        <f aca="false">Flights!$F$6</f>
        <v>MH0727</v>
      </c>
      <c r="D48" s="58" t="n">
        <f aca="false">Flights!$D$6</f>
        <v>46304</v>
      </c>
      <c r="E48" s="57" t="str">
        <f aca="false">Flights!$G$6&amp;"-"&amp;Flights!$H$6</f>
        <v>KUL-CGK</v>
      </c>
      <c r="F48" s="57" t="str">
        <f aca="false">Flights!$K$6</f>
        <v>BC</v>
      </c>
      <c r="G48" s="57" t="s">
        <v>385</v>
      </c>
      <c r="H48" s="57" t="s">
        <v>343</v>
      </c>
      <c r="I48" s="57" t="s">
        <v>464</v>
      </c>
      <c r="J48" s="57" t="s">
        <v>465</v>
      </c>
      <c r="K48" s="67" t="s">
        <v>466</v>
      </c>
      <c r="L48" s="67" t="s">
        <v>467</v>
      </c>
      <c r="M48" s="67" t="s">
        <v>416</v>
      </c>
      <c r="N48" s="67" t="s">
        <v>348</v>
      </c>
      <c r="O48" s="67" t="s">
        <v>468</v>
      </c>
      <c r="P48" s="57" t="s">
        <v>179</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59" t="n">
        <f aca="false">Q48-T12EarlyH/24</f>
        <v>46303.5763888889</v>
      </c>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IF(N48="N/A – rule","N/A – RULE",IF(TRIM(U48)="N/A",IF(AT48=0,"INVALID – N/A not permitted for this mandatory check",IF(AND(TRIM(AC48)&lt;&gt;"",TRIM(AE48)&lt;&gt;"",TRIM(T48)&lt;&gt;"",TRIM(AE48)&lt;&gt;TRIM(T48)),"N/A – JUSTIFIED","INVALID – N/A needs justification, PIC and a different verifier")),IF(OR(TRIM(U48)="Pass",TRIM(U48)="Pass after CA"),IF(NOT(ISNUMBER(AD48)),"INVALID – completion time missing",IF(TRIM(T48)="","INVALID – PIC missing",IF(TRIM(V48)="","INVALID – result / assessment missing",IF(TRIM(Z48)="","INVALID – evidence missing",IF(TRIM(AE48)="","INVALID – verifier missing",IF(TRIM(AE48)=TRIM(T48),"INVALID – verifier must be someone other than the PIC",IF(AND(AQ48=1,TRIM(W48)=""),"INVALID – batch ID missing",IF(AND(AR48=1,OR(NOT(ISNUMBER(X48)),NOT(ISNUMBER(Y48)))),"INVALID – expected/actual qty missing",IF(IF(AND(TRIM(U48)="Pass",ISNUMBER(AF48)),IF(AF48&lt;&gt;0,"INVALID – qty variance: use Fail or Pass after CA",""),"")&amp;IF(AND(TRIM(U48)="Pass",TRIM(AB48)&lt;&gt;"",TRIM(AB48)&lt;&gt;"Closed"),"INVALID – corrective action not closed: use Fail, then Pass after CA","")&amp;IF(AND(TRIM(AA48)&lt;&gt;"",TRIM(AB48)=""),"INVALID – CA status missing for the recorded corrective action","")&amp;IF(AND(TRIM(U48)="Pass after CA",OR(TRIM(AA48)="",TRIM(AB48)&lt;&gt;"Closed")),"INVALID – corrective action not recorded/closed","")&lt;&gt;"",IF(AND(TRIM(U48)="Pass",ISNUMBER(AF48)),IF(AF48&lt;&gt;0,"INVALID – qty variance: use Fail or Pass after CA",""),"")&amp;IF(AND(TRIM(U48)="Pass",TRIM(AB48)&lt;&gt;"",TRIM(AB48)&lt;&gt;"Closed"),"INVALID – corrective action not closed: use Fail, then Pass after CA","")&amp;IF(AND(TRIM(AA48)&lt;&gt;"",TRIM(AB48)=""),"INVALID – CA status missing for the recorded corrective action","")&amp;IF(AND(TRIM(U48)="Pass after CA",OR(TRIM(AA48)="",TRIM(AB48)&lt;&gt;"Closed")),"INVALID – corrective action not recorded/closed",""),IF(AND(AS48=1,Documents!$J$6&lt;&gt;"ON FILE"),"INVALID – GLD not on file (Documents sheet)",IF(AND(AS48=2,Documents!$O$6&lt;&gt;"ON FILE"),"INVALID – menu checklist not on file (Documents sheet)",IF(AND(AS48=3,NOT(ISNUMBER(Flights!$AX$6))),"INVALID – enter carrying flight KUL departure (Flights AX)",IF(AND(AS48=3,OR(Flights!$AX$6&gt;=Flights!$AA$6,Flights!$AX$6&lt;Flights!$AA$6-3)),"INVALID – Flights AX must be before this leg's STD (within 3 days)",IF(AG48&gt;AsOfUTC,"INVALID – completion time is in the future",IF(AND(ISNUMBER(S48),AG48&lt;S48),IF(H48="Physical uplift","INVALID – before uplift window (cannot confirm loading)","INVALID – before valid window"),IF(AG48&gt;Flights!$AA$6,"INVALID – completed after departure (cannot establish readiness)",IF(AND(H48="Physical uplift",AG48&gt;Q48),"INVALID – recorded after the loading flight departed",IF(AG48&gt;Q48,"COMPLETE – LATE","COMPLETE")))))))))))))))))),IF(TRIM(U48)="Fail","FAIL – DISCREPANCY",IF(AND(TRIM(U48)&lt;&gt;"",TRIM(U48)&lt;&gt;"Not started",TRIM(U48)&lt;&gt;"In progress"),"INVALID – unrecognised status (use the list)",IF(AsOfUTC&gt;Q48,"OVERDUE",IF(N48="Clarification required","OPEN – CLARIFICATION","OPEN")))))))</f>
        <v>OPEN</v>
      </c>
      <c r="AI48" s="61" t="n">
        <f aca="false">IF(OR(AH48="N/A – RULE",AH48="N/A – JUSTIFIED"),0,1)</f>
        <v>1</v>
      </c>
      <c r="AJ48" s="61" t="n">
        <f aca="false">IF(LEFT(AH48,8)="COMPLETE",1,0)</f>
        <v>0</v>
      </c>
      <c r="AK48" s="61" t="n">
        <f aca="false">IF(AND(AI48=1,AJ48=0,AsOfUTC&gt;Q48),1,0)</f>
        <v>0</v>
      </c>
      <c r="AL48" s="61" t="n">
        <f aca="false">IF(AND(AI48=1,OR(TRIM(U48)="Fail",AND(TRIM(AB48)&lt;&gt;"",TRIM(AB48)&lt;&gt;"Closed"),AND(ISNUMBER(AF48),AF48&lt;&gt;0,TRIM(U48)&lt;&gt;"Pass after CA"))),1,0)</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8" t="b">
        <f aca="false">TRUE()</f>
        <v>1</v>
      </c>
    </row>
    <row r="49" customFormat="false" ht="41.25" hidden="false" customHeight="true" outlineLevel="0" collapsed="false">
      <c r="A49" s="57" t="s">
        <v>469</v>
      </c>
      <c r="B49" s="57" t="s">
        <v>190</v>
      </c>
      <c r="C49" s="57" t="str">
        <f aca="false">Flights!$F$6</f>
        <v>MH0727</v>
      </c>
      <c r="D49" s="58" t="n">
        <f aca="false">Flights!$D$6</f>
        <v>46304</v>
      </c>
      <c r="E49" s="57" t="str">
        <f aca="false">Flights!$G$6&amp;"-"&amp;Flights!$H$6</f>
        <v>KUL-CGK</v>
      </c>
      <c r="F49" s="57" t="str">
        <f aca="false">Flights!$K$6</f>
        <v>BC</v>
      </c>
      <c r="G49" s="57" t="s">
        <v>385</v>
      </c>
      <c r="H49" s="57" t="s">
        <v>343</v>
      </c>
      <c r="I49" s="57" t="s">
        <v>464</v>
      </c>
      <c r="J49" s="57" t="s">
        <v>470</v>
      </c>
      <c r="K49" s="67" t="s">
        <v>466</v>
      </c>
      <c r="L49" s="67" t="s">
        <v>471</v>
      </c>
      <c r="M49" s="67" t="s">
        <v>416</v>
      </c>
      <c r="N49" s="67" t="s">
        <v>348</v>
      </c>
      <c r="O49" s="67" t="s">
        <v>468</v>
      </c>
      <c r="P49" s="57" t="s">
        <v>179</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59" t="n">
        <f aca="false">Q49-T12EarlyH/24</f>
        <v>46303.5763888889</v>
      </c>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IF(N49="N/A – rule","N/A – RULE",IF(TRIM(U49)="N/A",IF(AT49=0,"INVALID – N/A not permitted for this mandatory check",IF(AND(TRIM(AC49)&lt;&gt;"",TRIM(AE49)&lt;&gt;"",TRIM(T49)&lt;&gt;"",TRIM(AE49)&lt;&gt;TRIM(T49)),"N/A – JUSTIFIED","INVALID – N/A needs justification, PIC and a different verifier")),IF(OR(TRIM(U49)="Pass",TRIM(U49)="Pass after CA"),IF(NOT(ISNUMBER(AD49)),"INVALID – completion time missing",IF(TRIM(T49)="","INVALID – PIC missing",IF(TRIM(V49)="","INVALID – result / assessment missing",IF(TRIM(Z49)="","INVALID – evidence missing",IF(TRIM(AE49)="","INVALID – verifier missing",IF(TRIM(AE49)=TRIM(T49),"INVALID – verifier must be someone other than the PIC",IF(AND(AQ49=1,TRIM(W49)=""),"INVALID – batch ID missing",IF(AND(AR49=1,OR(NOT(ISNUMBER(X49)),NOT(ISNUMBER(Y49)))),"INVALID – expected/actual qty missing",IF(IF(AND(TRIM(U49)="Pass",ISNUMBER(AF49)),IF(AF49&lt;&gt;0,"INVALID – qty variance: use Fail or Pass after CA",""),"")&amp;IF(AND(TRIM(U49)="Pass",TRIM(AB49)&lt;&gt;"",TRIM(AB49)&lt;&gt;"Closed"),"INVALID – corrective action not closed: use Fail, then Pass after CA","")&amp;IF(AND(TRIM(AA49)&lt;&gt;"",TRIM(AB49)=""),"INVALID – CA status missing for the recorded corrective action","")&amp;IF(AND(TRIM(U49)="Pass after CA",OR(TRIM(AA49)="",TRIM(AB49)&lt;&gt;"Closed")),"INVALID – corrective action not recorded/closed","")&lt;&gt;"",IF(AND(TRIM(U49)="Pass",ISNUMBER(AF49)),IF(AF49&lt;&gt;0,"INVALID – qty variance: use Fail or Pass after CA",""),"")&amp;IF(AND(TRIM(U49)="Pass",TRIM(AB49)&lt;&gt;"",TRIM(AB49)&lt;&gt;"Closed"),"INVALID – corrective action not closed: use Fail, then Pass after CA","")&amp;IF(AND(TRIM(AA49)&lt;&gt;"",TRIM(AB49)=""),"INVALID – CA status missing for the recorded corrective action","")&amp;IF(AND(TRIM(U49)="Pass after CA",OR(TRIM(AA49)="",TRIM(AB49)&lt;&gt;"Closed")),"INVALID – corrective action not recorded/closed",""),IF(AND(AS49=1,Documents!$J$6&lt;&gt;"ON FILE"),"INVALID – GLD not on file (Documents sheet)",IF(AND(AS49=2,Documents!$O$6&lt;&gt;"ON FILE"),"INVALID – menu checklist not on file (Documents sheet)",IF(AND(AS49=3,NOT(ISNUMBER(Flights!$AX$6))),"INVALID – enter carrying flight KUL departure (Flights AX)",IF(AND(AS49=3,OR(Flights!$AX$6&gt;=Flights!$AA$6,Flights!$AX$6&lt;Flights!$AA$6-3)),"INVALID – Flights AX must be before this leg's STD (within 3 days)",IF(AG49&gt;AsOfUTC,"INVALID – completion time is in the future",IF(AND(ISNUMBER(S49),AG49&lt;S49),IF(H49="Physical uplift","INVALID – before uplift window (cannot confirm loading)","INVALID – before valid window"),IF(AG49&gt;Flights!$AA$6,"INVALID – completed after departure (cannot establish readiness)",IF(AND(H49="Physical uplift",AG49&gt;Q49),"INVALID – recorded after the loading flight departed",IF(AG49&gt;Q49,"COMPLETE – LATE","COMPLETE")))))))))))))))))),IF(TRIM(U49)="Fail","FAIL – DISCREPANCY",IF(AND(TRIM(U49)&lt;&gt;"",TRIM(U49)&lt;&gt;"Not started",TRIM(U49)&lt;&gt;"In progress"),"INVALID – unrecognised status (use the list)",IF(AsOfUTC&gt;Q49,"OVERDUE",IF(N49="Clarification required","OPEN – CLARIFICATION","OPEN")))))))</f>
        <v>OPEN</v>
      </c>
      <c r="AI49" s="61" t="n">
        <f aca="false">IF(OR(AH49="N/A – RULE",AH49="N/A – JUSTIFIED"),0,1)</f>
        <v>1</v>
      </c>
      <c r="AJ49" s="61" t="n">
        <f aca="false">IF(LEFT(AH49,8)="COMPLETE",1,0)</f>
        <v>0</v>
      </c>
      <c r="AK49" s="61" t="n">
        <f aca="false">IF(AND(AI49=1,AJ49=0,AsOfUTC&gt;Q49),1,0)</f>
        <v>0</v>
      </c>
      <c r="AL49" s="61" t="n">
        <f aca="false">IF(AND(AI49=1,OR(TRIM(U49)="Fail",AND(TRIM(AB49)&lt;&gt;"",TRIM(AB49)&lt;&gt;"Closed"),AND(ISNUMBER(AF49),AF49&lt;&gt;0,TRIM(U49)&lt;&gt;"Pass after CA"))),1,0)</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8" t="b">
        <f aca="false">TRUE()</f>
        <v>1</v>
      </c>
    </row>
    <row r="50" customFormat="false" ht="41.25" hidden="false" customHeight="true" outlineLevel="0" collapsed="false">
      <c r="A50" s="57" t="s">
        <v>472</v>
      </c>
      <c r="B50" s="57" t="s">
        <v>190</v>
      </c>
      <c r="C50" s="57" t="str">
        <f aca="false">Flights!$F$6</f>
        <v>MH0727</v>
      </c>
      <c r="D50" s="58" t="n">
        <f aca="false">Flights!$D$6</f>
        <v>46304</v>
      </c>
      <c r="E50" s="57" t="str">
        <f aca="false">Flights!$G$6&amp;"-"&amp;Flights!$H$6</f>
        <v>KUL-CGK</v>
      </c>
      <c r="F50" s="57" t="str">
        <f aca="false">Flights!$K$6</f>
        <v>BC</v>
      </c>
      <c r="G50" s="57" t="s">
        <v>385</v>
      </c>
      <c r="H50" s="57" t="s">
        <v>343</v>
      </c>
      <c r="I50" s="57" t="s">
        <v>464</v>
      </c>
      <c r="J50" s="57" t="s">
        <v>473</v>
      </c>
      <c r="K50" s="67" t="s">
        <v>466</v>
      </c>
      <c r="L50" s="67" t="s">
        <v>474</v>
      </c>
      <c r="M50" s="67" t="s">
        <v>416</v>
      </c>
      <c r="N50" s="67" t="s">
        <v>348</v>
      </c>
      <c r="O50" s="67" t="s">
        <v>468</v>
      </c>
      <c r="P50" s="57" t="s">
        <v>179</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59" t="n">
        <f aca="false">Q50-T12EarlyH/24</f>
        <v>46303.5763888889</v>
      </c>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IF(N50="N/A – rule","N/A – RULE",IF(TRIM(U50)="N/A",IF(AT50=0,"INVALID – N/A not permitted for this mandatory check",IF(AND(TRIM(AC50)&lt;&gt;"",TRIM(AE50)&lt;&gt;"",TRIM(T50)&lt;&gt;"",TRIM(AE50)&lt;&gt;TRIM(T50)),"N/A – JUSTIFIED","INVALID – N/A needs justification, PIC and a different verifier")),IF(OR(TRIM(U50)="Pass",TRIM(U50)="Pass after CA"),IF(NOT(ISNUMBER(AD50)),"INVALID – completion time missing",IF(TRIM(T50)="","INVALID – PIC missing",IF(TRIM(V50)="","INVALID – result / assessment missing",IF(TRIM(Z50)="","INVALID – evidence missing",IF(TRIM(AE50)="","INVALID – verifier missing",IF(TRIM(AE50)=TRIM(T50),"INVALID – verifier must be someone other than the PIC",IF(AND(AQ50=1,TRIM(W50)=""),"INVALID – batch ID missing",IF(AND(AR50=1,OR(NOT(ISNUMBER(X50)),NOT(ISNUMBER(Y50)))),"INVALID – expected/actual qty missing",IF(IF(AND(TRIM(U50)="Pass",ISNUMBER(AF50)),IF(AF50&lt;&gt;0,"INVALID – qty variance: use Fail or Pass after CA",""),"")&amp;IF(AND(TRIM(U50)="Pass",TRIM(AB50)&lt;&gt;"",TRIM(AB50)&lt;&gt;"Closed"),"INVALID – corrective action not closed: use Fail, then Pass after CA","")&amp;IF(AND(TRIM(AA50)&lt;&gt;"",TRIM(AB50)=""),"INVALID – CA status missing for the recorded corrective action","")&amp;IF(AND(TRIM(U50)="Pass after CA",OR(TRIM(AA50)="",TRIM(AB50)&lt;&gt;"Closed")),"INVALID – corrective action not recorded/closed","")&lt;&gt;"",IF(AND(TRIM(U50)="Pass",ISNUMBER(AF50)),IF(AF50&lt;&gt;0,"INVALID – qty variance: use Fail or Pass after CA",""),"")&amp;IF(AND(TRIM(U50)="Pass",TRIM(AB50)&lt;&gt;"",TRIM(AB50)&lt;&gt;"Closed"),"INVALID – corrective action not closed: use Fail, then Pass after CA","")&amp;IF(AND(TRIM(AA50)&lt;&gt;"",TRIM(AB50)=""),"INVALID – CA status missing for the recorded corrective action","")&amp;IF(AND(TRIM(U50)="Pass after CA",OR(TRIM(AA50)="",TRIM(AB50)&lt;&gt;"Closed")),"INVALID – corrective action not recorded/closed",""),IF(AND(AS50=1,Documents!$J$6&lt;&gt;"ON FILE"),"INVALID – GLD not on file (Documents sheet)",IF(AND(AS50=2,Documents!$O$6&lt;&gt;"ON FILE"),"INVALID – menu checklist not on file (Documents sheet)",IF(AND(AS50=3,NOT(ISNUMBER(Flights!$AX$6))),"INVALID – enter carrying flight KUL departure (Flights AX)",IF(AND(AS50=3,OR(Flights!$AX$6&gt;=Flights!$AA$6,Flights!$AX$6&lt;Flights!$AA$6-3)),"INVALID – Flights AX must be before this leg's STD (within 3 days)",IF(AG50&gt;AsOfUTC,"INVALID – completion time is in the future",IF(AND(ISNUMBER(S50),AG50&lt;S50),IF(H50="Physical uplift","INVALID – before uplift window (cannot confirm loading)","INVALID – before valid window"),IF(AG50&gt;Flights!$AA$6,"INVALID – completed after departure (cannot establish readiness)",IF(AND(H50="Physical uplift",AG50&gt;Q50),"INVALID – recorded after the loading flight departed",IF(AG50&gt;Q50,"COMPLETE – LATE","COMPLETE")))))))))))))))))),IF(TRIM(U50)="Fail","FAIL – DISCREPANCY",IF(AND(TRIM(U50)&lt;&gt;"",TRIM(U50)&lt;&gt;"Not started",TRIM(U50)&lt;&gt;"In progress"),"INVALID – unrecognised status (use the list)",IF(AsOfUTC&gt;Q50,"OVERDUE",IF(N50="Clarification required","OPEN – CLARIFICATION","OPEN")))))))</f>
        <v>OPEN</v>
      </c>
      <c r="AI50" s="61" t="n">
        <f aca="false">IF(OR(AH50="N/A – RULE",AH50="N/A – JUSTIFIED"),0,1)</f>
        <v>1</v>
      </c>
      <c r="AJ50" s="61" t="n">
        <f aca="false">IF(LEFT(AH50,8)="COMPLETE",1,0)</f>
        <v>0</v>
      </c>
      <c r="AK50" s="61" t="n">
        <f aca="false">IF(AND(AI50=1,AJ50=0,AsOfUTC&gt;Q50),1,0)</f>
        <v>0</v>
      </c>
      <c r="AL50" s="61" t="n">
        <f aca="false">IF(AND(AI50=1,OR(TRIM(U50)="Fail",AND(TRIM(AB50)&lt;&gt;"",TRIM(AB50)&lt;&gt;"Closed"),AND(ISNUMBER(AF50),AF50&lt;&gt;0,TRIM(U50)&lt;&gt;"Pass after CA"))),1,0)</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8" t="b">
        <f aca="false">TRUE()</f>
        <v>1</v>
      </c>
    </row>
    <row r="51" customFormat="false" ht="116.25" hidden="false" customHeight="true" outlineLevel="0" collapsed="false">
      <c r="A51" s="57" t="s">
        <v>475</v>
      </c>
      <c r="B51" s="57" t="s">
        <v>190</v>
      </c>
      <c r="C51" s="57" t="str">
        <f aca="false">Flights!$F$6</f>
        <v>MH0727</v>
      </c>
      <c r="D51" s="58" t="n">
        <f aca="false">Flights!$D$6</f>
        <v>46304</v>
      </c>
      <c r="E51" s="57" t="str">
        <f aca="false">Flights!$G$6&amp;"-"&amp;Flights!$H$6</f>
        <v>KUL-CGK</v>
      </c>
      <c r="F51" s="57" t="str">
        <f aca="false">Flights!$K$6</f>
        <v>BC</v>
      </c>
      <c r="G51" s="57" t="s">
        <v>385</v>
      </c>
      <c r="H51" s="57" t="s">
        <v>343</v>
      </c>
      <c r="I51" s="57" t="s">
        <v>464</v>
      </c>
      <c r="J51" s="57" t="s">
        <v>476</v>
      </c>
      <c r="K51" s="67" t="s">
        <v>466</v>
      </c>
      <c r="L51" s="67" t="s">
        <v>477</v>
      </c>
      <c r="M51" s="67" t="s">
        <v>416</v>
      </c>
      <c r="N51" s="67" t="s">
        <v>409</v>
      </c>
      <c r="O51" s="67" t="s">
        <v>478</v>
      </c>
      <c r="P51" s="57" t="s">
        <v>179</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59" t="n">
        <f aca="false">Q51-T12EarlyH/24</f>
        <v>46303.5763888889</v>
      </c>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IF(N51="N/A – rule","N/A – RULE",IF(TRIM(U51)="N/A",IF(AT51=0,"INVALID – N/A not permitted for this mandatory check",IF(AND(TRIM(AC51)&lt;&gt;"",TRIM(AE51)&lt;&gt;"",TRIM(T51)&lt;&gt;"",TRIM(AE51)&lt;&gt;TRIM(T51)),"N/A – JUSTIFIED","INVALID – N/A needs justification, PIC and a different verifier")),IF(OR(TRIM(U51)="Pass",TRIM(U51)="Pass after CA"),IF(NOT(ISNUMBER(AD51)),"INVALID – completion time missing",IF(TRIM(T51)="","INVALID – PIC missing",IF(TRIM(V51)="","INVALID – result / assessment missing",IF(TRIM(Z51)="","INVALID – evidence missing",IF(TRIM(AE51)="","INVALID – verifier missing",IF(TRIM(AE51)=TRIM(T51),"INVALID – verifier must be someone other than the PIC",IF(AND(AQ51=1,TRIM(W51)=""),"INVALID – batch ID missing",IF(AND(AR51=1,OR(NOT(ISNUMBER(X51)),NOT(ISNUMBER(Y51)))),"INVALID – expected/actual qty missing",IF(IF(AND(TRIM(U51)="Pass",ISNUMBER(AF51)),IF(AF51&lt;&gt;0,"INVALID – qty variance: use Fail or Pass after CA",""),"")&amp;IF(AND(TRIM(U51)="Pass",TRIM(AB51)&lt;&gt;"",TRIM(AB51)&lt;&gt;"Closed"),"INVALID – corrective action not closed: use Fail, then Pass after CA","")&amp;IF(AND(TRIM(AA51)&lt;&gt;"",TRIM(AB51)=""),"INVALID – CA status missing for the recorded corrective action","")&amp;IF(AND(TRIM(U51)="Pass after CA",OR(TRIM(AA51)="",TRIM(AB51)&lt;&gt;"Closed")),"INVALID – corrective action not recorded/closed","")&lt;&gt;"",IF(AND(TRIM(U51)="Pass",ISNUMBER(AF51)),IF(AF51&lt;&gt;0,"INVALID – qty variance: use Fail or Pass after CA",""),"")&amp;IF(AND(TRIM(U51)="Pass",TRIM(AB51)&lt;&gt;"",TRIM(AB51)&lt;&gt;"Closed"),"INVALID – corrective action not closed: use Fail, then Pass after CA","")&amp;IF(AND(TRIM(AA51)&lt;&gt;"",TRIM(AB51)=""),"INVALID – CA status missing for the recorded corrective action","")&amp;IF(AND(TRIM(U51)="Pass after CA",OR(TRIM(AA51)="",TRIM(AB51)&lt;&gt;"Closed")),"INVALID – corrective action not recorded/closed",""),IF(AND(AS51=1,Documents!$J$6&lt;&gt;"ON FILE"),"INVALID – GLD not on file (Documents sheet)",IF(AND(AS51=2,Documents!$O$6&lt;&gt;"ON FILE"),"INVALID – menu checklist not on file (Documents sheet)",IF(AND(AS51=3,NOT(ISNUMBER(Flights!$AX$6))),"INVALID – enter carrying flight KUL departure (Flights AX)",IF(AND(AS51=3,OR(Flights!$AX$6&gt;=Flights!$AA$6,Flights!$AX$6&lt;Flights!$AA$6-3)),"INVALID – Flights AX must be before this leg's STD (within 3 days)",IF(AG51&gt;AsOfUTC,"INVALID – completion time is in the future",IF(AND(ISNUMBER(S51),AG51&lt;S51),IF(H51="Physical uplift","INVALID – before uplift window (cannot confirm loading)","INVALID – before valid window"),IF(AG51&gt;Flights!$AA$6,"INVALID – completed after departure (cannot establish readiness)",IF(AND(H51="Physical uplift",AG51&gt;Q51),"INVALID – recorded after the loading flight departed",IF(AG51&gt;Q51,"COMPLETE – LATE","COMPLETE")))))))))))))))))),IF(TRIM(U51)="Fail","FAIL – DISCREPANCY",IF(AND(TRIM(U51)&lt;&gt;"",TRIM(U51)&lt;&gt;"Not started",TRIM(U51)&lt;&gt;"In progress"),"INVALID – unrecognised status (use the list)",IF(AsOfUTC&gt;Q51,"OVERDUE",IF(N51="Clarification required","OPEN – CLARIFICATION","OPEN")))))))</f>
        <v>OPEN – CLARIFICATION</v>
      </c>
      <c r="AI51" s="61" t="n">
        <f aca="false">IF(OR(AH51="N/A – RULE",AH51="N/A – JUSTIFIED"),0,1)</f>
        <v>1</v>
      </c>
      <c r="AJ51" s="61" t="n">
        <f aca="false">IF(LEFT(AH51,8)="COMPLETE",1,0)</f>
        <v>0</v>
      </c>
      <c r="AK51" s="61" t="n">
        <f aca="false">IF(AND(AI51=1,AJ51=0,AsOfUTC&gt;Q51),1,0)</f>
        <v>0</v>
      </c>
      <c r="AL51" s="61" t="n">
        <f aca="false">IF(AND(AI51=1,OR(TRIM(U51)="Fail",AND(TRIM(AB51)&lt;&gt;"",TRIM(AB51)&lt;&gt;"Closed"),AND(ISNUMBER(AF51),AF51&lt;&gt;0,TRIM(U51)&lt;&gt;"Pass after CA"))),1,0)</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8" t="b">
        <f aca="false">TRUE()</f>
        <v>1</v>
      </c>
    </row>
    <row r="52" customFormat="false" ht="116.25" hidden="false" customHeight="true" outlineLevel="0" collapsed="false">
      <c r="A52" s="57" t="s">
        <v>479</v>
      </c>
      <c r="B52" s="57" t="s">
        <v>190</v>
      </c>
      <c r="C52" s="57" t="str">
        <f aca="false">Flights!$F$6</f>
        <v>MH0727</v>
      </c>
      <c r="D52" s="58" t="n">
        <f aca="false">Flights!$D$6</f>
        <v>46304</v>
      </c>
      <c r="E52" s="57" t="str">
        <f aca="false">Flights!$G$6&amp;"-"&amp;Flights!$H$6</f>
        <v>KUL-CGK</v>
      </c>
      <c r="F52" s="57" t="str">
        <f aca="false">Flights!$K$6</f>
        <v>BC</v>
      </c>
      <c r="G52" s="57" t="s">
        <v>385</v>
      </c>
      <c r="H52" s="57" t="s">
        <v>343</v>
      </c>
      <c r="I52" s="57" t="s">
        <v>464</v>
      </c>
      <c r="J52" s="57" t="s">
        <v>480</v>
      </c>
      <c r="K52" s="67" t="s">
        <v>466</v>
      </c>
      <c r="L52" s="67" t="s">
        <v>481</v>
      </c>
      <c r="M52" s="67" t="s">
        <v>416</v>
      </c>
      <c r="N52" s="67" t="s">
        <v>409</v>
      </c>
      <c r="O52" s="67" t="s">
        <v>478</v>
      </c>
      <c r="P52" s="57" t="s">
        <v>179</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59" t="n">
        <f aca="false">Q52-T12EarlyH/24</f>
        <v>46303.5763888889</v>
      </c>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IF(N52="N/A – rule","N/A – RULE",IF(TRIM(U52)="N/A",IF(AT52=0,"INVALID – N/A not permitted for this mandatory check",IF(AND(TRIM(AC52)&lt;&gt;"",TRIM(AE52)&lt;&gt;"",TRIM(T52)&lt;&gt;"",TRIM(AE52)&lt;&gt;TRIM(T52)),"N/A – JUSTIFIED","INVALID – N/A needs justification, PIC and a different verifier")),IF(OR(TRIM(U52)="Pass",TRIM(U52)="Pass after CA"),IF(NOT(ISNUMBER(AD52)),"INVALID – completion time missing",IF(TRIM(T52)="","INVALID – PIC missing",IF(TRIM(V52)="","INVALID – result / assessment missing",IF(TRIM(Z52)="","INVALID – evidence missing",IF(TRIM(AE52)="","INVALID – verifier missing",IF(TRIM(AE52)=TRIM(T52),"INVALID – verifier must be someone other than the PIC",IF(AND(AQ52=1,TRIM(W52)=""),"INVALID – batch ID missing",IF(AND(AR52=1,OR(NOT(ISNUMBER(X52)),NOT(ISNUMBER(Y52)))),"INVALID – expected/actual qty missing",IF(IF(AND(TRIM(U52)="Pass",ISNUMBER(AF52)),IF(AF52&lt;&gt;0,"INVALID – qty variance: use Fail or Pass after CA",""),"")&amp;IF(AND(TRIM(U52)="Pass",TRIM(AB52)&lt;&gt;"",TRIM(AB52)&lt;&gt;"Closed"),"INVALID – corrective action not closed: use Fail, then Pass after CA","")&amp;IF(AND(TRIM(AA52)&lt;&gt;"",TRIM(AB52)=""),"INVALID – CA status missing for the recorded corrective action","")&amp;IF(AND(TRIM(U52)="Pass after CA",OR(TRIM(AA52)="",TRIM(AB52)&lt;&gt;"Closed")),"INVALID – corrective action not recorded/closed","")&lt;&gt;"",IF(AND(TRIM(U52)="Pass",ISNUMBER(AF52)),IF(AF52&lt;&gt;0,"INVALID – qty variance: use Fail or Pass after CA",""),"")&amp;IF(AND(TRIM(U52)="Pass",TRIM(AB52)&lt;&gt;"",TRIM(AB52)&lt;&gt;"Closed"),"INVALID – corrective action not closed: use Fail, then Pass after CA","")&amp;IF(AND(TRIM(AA52)&lt;&gt;"",TRIM(AB52)=""),"INVALID – CA status missing for the recorded corrective action","")&amp;IF(AND(TRIM(U52)="Pass after CA",OR(TRIM(AA52)="",TRIM(AB52)&lt;&gt;"Closed")),"INVALID – corrective action not recorded/closed",""),IF(AND(AS52=1,Documents!$J$6&lt;&gt;"ON FILE"),"INVALID – GLD not on file (Documents sheet)",IF(AND(AS52=2,Documents!$O$6&lt;&gt;"ON FILE"),"INVALID – menu checklist not on file (Documents sheet)",IF(AND(AS52=3,NOT(ISNUMBER(Flights!$AX$6))),"INVALID – enter carrying flight KUL departure (Flights AX)",IF(AND(AS52=3,OR(Flights!$AX$6&gt;=Flights!$AA$6,Flights!$AX$6&lt;Flights!$AA$6-3)),"INVALID – Flights AX must be before this leg's STD (within 3 days)",IF(AG52&gt;AsOfUTC,"INVALID – completion time is in the future",IF(AND(ISNUMBER(S52),AG52&lt;S52),IF(H52="Physical uplift","INVALID – before uplift window (cannot confirm loading)","INVALID – before valid window"),IF(AG52&gt;Flights!$AA$6,"INVALID – completed after departure (cannot establish readiness)",IF(AND(H52="Physical uplift",AG52&gt;Q52),"INVALID – recorded after the loading flight departed",IF(AG52&gt;Q52,"COMPLETE – LATE","COMPLETE")))))))))))))))))),IF(TRIM(U52)="Fail","FAIL – DISCREPANCY",IF(AND(TRIM(U52)&lt;&gt;"",TRIM(U52)&lt;&gt;"Not started",TRIM(U52)&lt;&gt;"In progress"),"INVALID – unrecognised status (use the list)",IF(AsOfUTC&gt;Q52,"OVERDUE",IF(N52="Clarification required","OPEN – CLARIFICATION","OPEN")))))))</f>
        <v>OPEN – CLARIFICATION</v>
      </c>
      <c r="AI52" s="61" t="n">
        <f aca="false">IF(OR(AH52="N/A – RULE",AH52="N/A – JUSTIFIED"),0,1)</f>
        <v>1</v>
      </c>
      <c r="AJ52" s="61" t="n">
        <f aca="false">IF(LEFT(AH52,8)="COMPLETE",1,0)</f>
        <v>0</v>
      </c>
      <c r="AK52" s="61" t="n">
        <f aca="false">IF(AND(AI52=1,AJ52=0,AsOfUTC&gt;Q52),1,0)</f>
        <v>0</v>
      </c>
      <c r="AL52" s="61" t="n">
        <f aca="false">IF(AND(AI52=1,OR(TRIM(U52)="Fail",AND(TRIM(AB52)&lt;&gt;"",TRIM(AB52)&lt;&gt;"Closed"),AND(ISNUMBER(AF52),AF52&lt;&gt;0,TRIM(U52)&lt;&gt;"Pass after CA"))),1,0)</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8" t="b">
        <f aca="false">TRUE()</f>
        <v>1</v>
      </c>
    </row>
    <row r="53" customFormat="false" ht="54" hidden="false" customHeight="true" outlineLevel="0" collapsed="false">
      <c r="A53" s="57" t="s">
        <v>482</v>
      </c>
      <c r="B53" s="57" t="s">
        <v>190</v>
      </c>
      <c r="C53" s="57" t="str">
        <f aca="false">Flights!$F$6</f>
        <v>MH0727</v>
      </c>
      <c r="D53" s="58" t="n">
        <f aca="false">Flights!$D$6</f>
        <v>46304</v>
      </c>
      <c r="E53" s="57" t="str">
        <f aca="false">Flights!$G$6&amp;"-"&amp;Flights!$H$6</f>
        <v>KUL-CGK</v>
      </c>
      <c r="F53" s="57" t="str">
        <f aca="false">Flights!$K$6</f>
        <v>BC</v>
      </c>
      <c r="G53" s="57" t="s">
        <v>385</v>
      </c>
      <c r="H53" s="57" t="s">
        <v>343</v>
      </c>
      <c r="I53" s="57" t="s">
        <v>464</v>
      </c>
      <c r="J53" s="57" t="s">
        <v>483</v>
      </c>
      <c r="K53" s="67" t="s">
        <v>484</v>
      </c>
      <c r="L53" s="67" t="s">
        <v>485</v>
      </c>
      <c r="M53" s="67" t="s">
        <v>416</v>
      </c>
      <c r="N53" s="67" t="s">
        <v>348</v>
      </c>
      <c r="O53" s="67" t="s">
        <v>486</v>
      </c>
      <c r="P53" s="57" t="s">
        <v>179</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59" t="n">
        <f aca="false">Q53-T12EarlyH/24</f>
        <v>46303.5763888889</v>
      </c>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IF(N53="N/A – rule","N/A – RULE",IF(TRIM(U53)="N/A",IF(AT53=0,"INVALID – N/A not permitted for this mandatory check",IF(AND(TRIM(AC53)&lt;&gt;"",TRIM(AE53)&lt;&gt;"",TRIM(T53)&lt;&gt;"",TRIM(AE53)&lt;&gt;TRIM(T53)),"N/A – JUSTIFIED","INVALID – N/A needs justification, PIC and a different verifier")),IF(OR(TRIM(U53)="Pass",TRIM(U53)="Pass after CA"),IF(NOT(ISNUMBER(AD53)),"INVALID – completion time missing",IF(TRIM(T53)="","INVALID – PIC missing",IF(TRIM(V53)="","INVALID – result / assessment missing",IF(TRIM(Z53)="","INVALID – evidence missing",IF(TRIM(AE53)="","INVALID – verifier missing",IF(TRIM(AE53)=TRIM(T53),"INVALID – verifier must be someone other than the PIC",IF(AND(AQ53=1,TRIM(W53)=""),"INVALID – batch ID missing",IF(AND(AR53=1,OR(NOT(ISNUMBER(X53)),NOT(ISNUMBER(Y53)))),"INVALID – expected/actual qty missing",IF(IF(AND(TRIM(U53)="Pass",ISNUMBER(AF53)),IF(AF53&lt;&gt;0,"INVALID – qty variance: use Fail or Pass after CA",""),"")&amp;IF(AND(TRIM(U53)="Pass",TRIM(AB53)&lt;&gt;"",TRIM(AB53)&lt;&gt;"Closed"),"INVALID – corrective action not closed: use Fail, then Pass after CA","")&amp;IF(AND(TRIM(AA53)&lt;&gt;"",TRIM(AB53)=""),"INVALID – CA status missing for the recorded corrective action","")&amp;IF(AND(TRIM(U53)="Pass after CA",OR(TRIM(AA53)="",TRIM(AB53)&lt;&gt;"Closed")),"INVALID – corrective action not recorded/closed","")&lt;&gt;"",IF(AND(TRIM(U53)="Pass",ISNUMBER(AF53)),IF(AF53&lt;&gt;0,"INVALID – qty variance: use Fail or Pass after CA",""),"")&amp;IF(AND(TRIM(U53)="Pass",TRIM(AB53)&lt;&gt;"",TRIM(AB53)&lt;&gt;"Closed"),"INVALID – corrective action not closed: use Fail, then Pass after CA","")&amp;IF(AND(TRIM(AA53)&lt;&gt;"",TRIM(AB53)=""),"INVALID – CA status missing for the recorded corrective action","")&amp;IF(AND(TRIM(U53)="Pass after CA",OR(TRIM(AA53)="",TRIM(AB53)&lt;&gt;"Closed")),"INVALID – corrective action not recorded/closed",""),IF(AND(AS53=1,Documents!$J$6&lt;&gt;"ON FILE"),"INVALID – GLD not on file (Documents sheet)",IF(AND(AS53=2,Documents!$O$6&lt;&gt;"ON FILE"),"INVALID – menu checklist not on file (Documents sheet)",IF(AND(AS53=3,NOT(ISNUMBER(Flights!$AX$6))),"INVALID – enter carrying flight KUL departure (Flights AX)",IF(AND(AS53=3,OR(Flights!$AX$6&gt;=Flights!$AA$6,Flights!$AX$6&lt;Flights!$AA$6-3)),"INVALID – Flights AX must be before this leg's STD (within 3 days)",IF(AG53&gt;AsOfUTC,"INVALID – completion time is in the future",IF(AND(ISNUMBER(S53),AG53&lt;S53),IF(H53="Physical uplift","INVALID – before uplift window (cannot confirm loading)","INVALID – before valid window"),IF(AG53&gt;Flights!$AA$6,"INVALID – completed after departure (cannot establish readiness)",IF(AND(H53="Physical uplift",AG53&gt;Q53),"INVALID – recorded after the loading flight departed",IF(AG53&gt;Q53,"COMPLETE – LATE","COMPLETE")))))))))))))))))),IF(TRIM(U53)="Fail","FAIL – DISCREPANCY",IF(AND(TRIM(U53)&lt;&gt;"",TRIM(U53)&lt;&gt;"Not started",TRIM(U53)&lt;&gt;"In progress"),"INVALID – unrecognised status (use the list)",IF(AsOfUTC&gt;Q53,"OVERDUE",IF(N53="Clarification required","OPEN – CLARIFICATION","OPEN")))))))</f>
        <v>OPEN</v>
      </c>
      <c r="AI53" s="61" t="n">
        <f aca="false">IF(OR(AH53="N/A – RULE",AH53="N/A – JUSTIFIED"),0,1)</f>
        <v>1</v>
      </c>
      <c r="AJ53" s="61" t="n">
        <f aca="false">IF(LEFT(AH53,8)="COMPLETE",1,0)</f>
        <v>0</v>
      </c>
      <c r="AK53" s="61" t="n">
        <f aca="false">IF(AND(AI53=1,AJ53=0,AsOfUTC&gt;Q53),1,0)</f>
        <v>0</v>
      </c>
      <c r="AL53" s="61" t="n">
        <f aca="false">IF(AND(AI53=1,OR(TRIM(U53)="Fail",AND(TRIM(AB53)&lt;&gt;"",TRIM(AB53)&lt;&gt;"Closed"),AND(ISNUMBER(AF53),AF53&lt;&gt;0,TRIM(U53)&lt;&gt;"Pass after CA"))),1,0)</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8" t="b">
        <f aca="false">TRUE()</f>
        <v>1</v>
      </c>
    </row>
    <row r="54" customFormat="false" ht="41.25" hidden="false" customHeight="true" outlineLevel="0" collapsed="false">
      <c r="A54" s="57" t="s">
        <v>487</v>
      </c>
      <c r="B54" s="57" t="s">
        <v>190</v>
      </c>
      <c r="C54" s="57" t="str">
        <f aca="false">Flights!$F$6</f>
        <v>MH0727</v>
      </c>
      <c r="D54" s="58" t="n">
        <f aca="false">Flights!$D$6</f>
        <v>46304</v>
      </c>
      <c r="E54" s="57" t="str">
        <f aca="false">Flights!$G$6&amp;"-"&amp;Flights!$H$6</f>
        <v>KUL-CGK</v>
      </c>
      <c r="F54" s="57" t="str">
        <f aca="false">Flights!$K$6</f>
        <v>BC</v>
      </c>
      <c r="G54" s="57" t="s">
        <v>385</v>
      </c>
      <c r="H54" s="57" t="s">
        <v>343</v>
      </c>
      <c r="I54" s="57" t="s">
        <v>464</v>
      </c>
      <c r="J54" s="57" t="s">
        <v>488</v>
      </c>
      <c r="K54" s="67" t="s">
        <v>466</v>
      </c>
      <c r="L54" s="67" t="s">
        <v>489</v>
      </c>
      <c r="M54" s="67" t="s">
        <v>416</v>
      </c>
      <c r="N54" s="67" t="s">
        <v>348</v>
      </c>
      <c r="O54" s="67" t="s">
        <v>468</v>
      </c>
      <c r="P54" s="57" t="s">
        <v>179</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59" t="n">
        <f aca="false">Q54-T12EarlyH/24</f>
        <v>46303.5763888889</v>
      </c>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IF(N54="N/A – rule","N/A – RULE",IF(TRIM(U54)="N/A",IF(AT54=0,"INVALID – N/A not permitted for this mandatory check",IF(AND(TRIM(AC54)&lt;&gt;"",TRIM(AE54)&lt;&gt;"",TRIM(T54)&lt;&gt;"",TRIM(AE54)&lt;&gt;TRIM(T54)),"N/A – JUSTIFIED","INVALID – N/A needs justification, PIC and a different verifier")),IF(OR(TRIM(U54)="Pass",TRIM(U54)="Pass after CA"),IF(NOT(ISNUMBER(AD54)),"INVALID – completion time missing",IF(TRIM(T54)="","INVALID – PIC missing",IF(TRIM(V54)="","INVALID – result / assessment missing",IF(TRIM(Z54)="","INVALID – evidence missing",IF(TRIM(AE54)="","INVALID – verifier missing",IF(TRIM(AE54)=TRIM(T54),"INVALID – verifier must be someone other than the PIC",IF(AND(AQ54=1,TRIM(W54)=""),"INVALID – batch ID missing",IF(AND(AR54=1,OR(NOT(ISNUMBER(X54)),NOT(ISNUMBER(Y54)))),"INVALID – expected/actual qty missing",IF(IF(AND(TRIM(U54)="Pass",ISNUMBER(AF54)),IF(AF54&lt;&gt;0,"INVALID – qty variance: use Fail or Pass after CA",""),"")&amp;IF(AND(TRIM(U54)="Pass",TRIM(AB54)&lt;&gt;"",TRIM(AB54)&lt;&gt;"Closed"),"INVALID – corrective action not closed: use Fail, then Pass after CA","")&amp;IF(AND(TRIM(AA54)&lt;&gt;"",TRIM(AB54)=""),"INVALID – CA status missing for the recorded corrective action","")&amp;IF(AND(TRIM(U54)="Pass after CA",OR(TRIM(AA54)="",TRIM(AB54)&lt;&gt;"Closed")),"INVALID – corrective action not recorded/closed","")&lt;&gt;"",IF(AND(TRIM(U54)="Pass",ISNUMBER(AF54)),IF(AF54&lt;&gt;0,"INVALID – qty variance: use Fail or Pass after CA",""),"")&amp;IF(AND(TRIM(U54)="Pass",TRIM(AB54)&lt;&gt;"",TRIM(AB54)&lt;&gt;"Closed"),"INVALID – corrective action not closed: use Fail, then Pass after CA","")&amp;IF(AND(TRIM(AA54)&lt;&gt;"",TRIM(AB54)=""),"INVALID – CA status missing for the recorded corrective action","")&amp;IF(AND(TRIM(U54)="Pass after CA",OR(TRIM(AA54)="",TRIM(AB54)&lt;&gt;"Closed")),"INVALID – corrective action not recorded/closed",""),IF(AND(AS54=1,Documents!$J$6&lt;&gt;"ON FILE"),"INVALID – GLD not on file (Documents sheet)",IF(AND(AS54=2,Documents!$O$6&lt;&gt;"ON FILE"),"INVALID – menu checklist not on file (Documents sheet)",IF(AND(AS54=3,NOT(ISNUMBER(Flights!$AX$6))),"INVALID – enter carrying flight KUL departure (Flights AX)",IF(AND(AS54=3,OR(Flights!$AX$6&gt;=Flights!$AA$6,Flights!$AX$6&lt;Flights!$AA$6-3)),"INVALID – Flights AX must be before this leg's STD (within 3 days)",IF(AG54&gt;AsOfUTC,"INVALID – completion time is in the future",IF(AND(ISNUMBER(S54),AG54&lt;S54),IF(H54="Physical uplift","INVALID – before uplift window (cannot confirm loading)","INVALID – before valid window"),IF(AG54&gt;Flights!$AA$6,"INVALID – completed after departure (cannot establish readiness)",IF(AND(H54="Physical uplift",AG54&gt;Q54),"INVALID – recorded after the loading flight departed",IF(AG54&gt;Q54,"COMPLETE – LATE","COMPLETE")))))))))))))))))),IF(TRIM(U54)="Fail","FAIL – DISCREPANCY",IF(AND(TRIM(U54)&lt;&gt;"",TRIM(U54)&lt;&gt;"Not started",TRIM(U54)&lt;&gt;"In progress"),"INVALID – unrecognised status (use the list)",IF(AsOfUTC&gt;Q54,"OVERDUE",IF(N54="Clarification required","OPEN – CLARIFICATION","OPEN")))))))</f>
        <v>OPEN</v>
      </c>
      <c r="AI54" s="61" t="n">
        <f aca="false">IF(OR(AH54="N/A – RULE",AH54="N/A – JUSTIFIED"),0,1)</f>
        <v>1</v>
      </c>
      <c r="AJ54" s="61" t="n">
        <f aca="false">IF(LEFT(AH54,8)="COMPLETE",1,0)</f>
        <v>0</v>
      </c>
      <c r="AK54" s="61" t="n">
        <f aca="false">IF(AND(AI54=1,AJ54=0,AsOfUTC&gt;Q54),1,0)</f>
        <v>0</v>
      </c>
      <c r="AL54" s="61" t="n">
        <f aca="false">IF(AND(AI54=1,OR(TRIM(U54)="Fail",AND(TRIM(AB54)&lt;&gt;"",TRIM(AB54)&lt;&gt;"Closed"),AND(ISNUMBER(AF54),AF54&lt;&gt;0,TRIM(U54)&lt;&gt;"Pass after CA"))),1,0)</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8" t="b">
        <f aca="false">TRUE()</f>
        <v>1</v>
      </c>
    </row>
    <row r="55" customFormat="false" ht="41.25" hidden="false" customHeight="true" outlineLevel="0" collapsed="false">
      <c r="A55" s="57" t="s">
        <v>490</v>
      </c>
      <c r="B55" s="57" t="s">
        <v>190</v>
      </c>
      <c r="C55" s="57" t="str">
        <f aca="false">Flights!$F$6</f>
        <v>MH0727</v>
      </c>
      <c r="D55" s="58" t="n">
        <f aca="false">Flights!$D$6</f>
        <v>46304</v>
      </c>
      <c r="E55" s="57" t="str">
        <f aca="false">Flights!$G$6&amp;"-"&amp;Flights!$H$6</f>
        <v>KUL-CGK</v>
      </c>
      <c r="F55" s="57" t="str">
        <f aca="false">Flights!$K$6</f>
        <v>BC</v>
      </c>
      <c r="G55" s="57" t="s">
        <v>385</v>
      </c>
      <c r="H55" s="57" t="s">
        <v>343</v>
      </c>
      <c r="I55" s="57" t="s">
        <v>412</v>
      </c>
      <c r="J55" s="57" t="s">
        <v>491</v>
      </c>
      <c r="K55" s="67" t="s">
        <v>414</v>
      </c>
      <c r="L55" s="67" t="s">
        <v>492</v>
      </c>
      <c r="M55" s="67" t="s">
        <v>416</v>
      </c>
      <c r="N55" s="67" t="s">
        <v>348</v>
      </c>
      <c r="O55" s="67" t="s">
        <v>468</v>
      </c>
      <c r="P55" s="57" t="s">
        <v>179</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59" t="n">
        <f aca="false">Q55-T12EarlyH/24</f>
        <v>46303.5763888889</v>
      </c>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IF(N55="N/A – rule","N/A – RULE",IF(TRIM(U55)="N/A",IF(AT55=0,"INVALID – N/A not permitted for this mandatory check",IF(AND(TRIM(AC55)&lt;&gt;"",TRIM(AE55)&lt;&gt;"",TRIM(T55)&lt;&gt;"",TRIM(AE55)&lt;&gt;TRIM(T55)),"N/A – JUSTIFIED","INVALID – N/A needs justification, PIC and a different verifier")),IF(OR(TRIM(U55)="Pass",TRIM(U55)="Pass after CA"),IF(NOT(ISNUMBER(AD55)),"INVALID – completion time missing",IF(TRIM(T55)="","INVALID – PIC missing",IF(TRIM(V55)="","INVALID – result / assessment missing",IF(TRIM(Z55)="","INVALID – evidence missing",IF(TRIM(AE55)="","INVALID – verifier missing",IF(TRIM(AE55)=TRIM(T55),"INVALID – verifier must be someone other than the PIC",IF(AND(AQ55=1,TRIM(W55)=""),"INVALID – batch ID missing",IF(AND(AR55=1,OR(NOT(ISNUMBER(X55)),NOT(ISNUMBER(Y55)))),"INVALID – expected/actual qty missing",IF(IF(AND(TRIM(U55)="Pass",ISNUMBER(AF55)),IF(AF55&lt;&gt;0,"INVALID – qty variance: use Fail or Pass after CA",""),"")&amp;IF(AND(TRIM(U55)="Pass",TRIM(AB55)&lt;&gt;"",TRIM(AB55)&lt;&gt;"Closed"),"INVALID – corrective action not closed: use Fail, then Pass after CA","")&amp;IF(AND(TRIM(AA55)&lt;&gt;"",TRIM(AB55)=""),"INVALID – CA status missing for the recorded corrective action","")&amp;IF(AND(TRIM(U55)="Pass after CA",OR(TRIM(AA55)="",TRIM(AB55)&lt;&gt;"Closed")),"INVALID – corrective action not recorded/closed","")&lt;&gt;"",IF(AND(TRIM(U55)="Pass",ISNUMBER(AF55)),IF(AF55&lt;&gt;0,"INVALID – qty variance: use Fail or Pass after CA",""),"")&amp;IF(AND(TRIM(U55)="Pass",TRIM(AB55)&lt;&gt;"",TRIM(AB55)&lt;&gt;"Closed"),"INVALID – corrective action not closed: use Fail, then Pass after CA","")&amp;IF(AND(TRIM(AA55)&lt;&gt;"",TRIM(AB55)=""),"INVALID – CA status missing for the recorded corrective action","")&amp;IF(AND(TRIM(U55)="Pass after CA",OR(TRIM(AA55)="",TRIM(AB55)&lt;&gt;"Closed")),"INVALID – corrective action not recorded/closed",""),IF(AND(AS55=1,Documents!$J$6&lt;&gt;"ON FILE"),"INVALID – GLD not on file (Documents sheet)",IF(AND(AS55=2,Documents!$O$6&lt;&gt;"ON FILE"),"INVALID – menu checklist not on file (Documents sheet)",IF(AND(AS55=3,NOT(ISNUMBER(Flights!$AX$6))),"INVALID – enter carrying flight KUL departure (Flights AX)",IF(AND(AS55=3,OR(Flights!$AX$6&gt;=Flights!$AA$6,Flights!$AX$6&lt;Flights!$AA$6-3)),"INVALID – Flights AX must be before this leg's STD (within 3 days)",IF(AG55&gt;AsOfUTC,"INVALID – completion time is in the future",IF(AND(ISNUMBER(S55),AG55&lt;S55),IF(H55="Physical uplift","INVALID – before uplift window (cannot confirm loading)","INVALID – before valid window"),IF(AG55&gt;Flights!$AA$6,"INVALID – completed after departure (cannot establish readiness)",IF(AND(H55="Physical uplift",AG55&gt;Q55),"INVALID – recorded after the loading flight departed",IF(AG55&gt;Q55,"COMPLETE – LATE","COMPLETE")))))))))))))))))),IF(TRIM(U55)="Fail","FAIL – DISCREPANCY",IF(AND(TRIM(U55)&lt;&gt;"",TRIM(U55)&lt;&gt;"Not started",TRIM(U55)&lt;&gt;"In progress"),"INVALID – unrecognised status (use the list)",IF(AsOfUTC&gt;Q55,"OVERDUE",IF(N55="Clarification required","OPEN – CLARIFICATION","OPEN")))))))</f>
        <v>OPEN</v>
      </c>
      <c r="AI55" s="61" t="n">
        <f aca="false">IF(OR(AH55="N/A – RULE",AH55="N/A – JUSTIFIED"),0,1)</f>
        <v>1</v>
      </c>
      <c r="AJ55" s="61" t="n">
        <f aca="false">IF(LEFT(AH55,8)="COMPLETE",1,0)</f>
        <v>0</v>
      </c>
      <c r="AK55" s="61" t="n">
        <f aca="false">IF(AND(AI55=1,AJ55=0,AsOfUTC&gt;Q55),1,0)</f>
        <v>0</v>
      </c>
      <c r="AL55" s="61" t="n">
        <f aca="false">IF(AND(AI55=1,OR(TRIM(U55)="Fail",AND(TRIM(AB55)&lt;&gt;"",TRIM(AB55)&lt;&gt;"Closed"),AND(ISNUMBER(AF55),AF55&lt;&gt;0,TRIM(U55)&lt;&gt;"Pass after CA"))),1,0)</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8" t="b">
        <f aca="false">TRUE()</f>
        <v>1</v>
      </c>
    </row>
    <row r="56" customFormat="false" ht="41.25" hidden="false" customHeight="true" outlineLevel="0" collapsed="false">
      <c r="A56" s="57" t="s">
        <v>493</v>
      </c>
      <c r="B56" s="57" t="s">
        <v>190</v>
      </c>
      <c r="C56" s="57" t="str">
        <f aca="false">Flights!$F$6</f>
        <v>MH0727</v>
      </c>
      <c r="D56" s="58" t="n">
        <f aca="false">Flights!$D$6</f>
        <v>46304</v>
      </c>
      <c r="E56" s="57" t="str">
        <f aca="false">Flights!$G$6&amp;"-"&amp;Flights!$H$6</f>
        <v>KUL-CGK</v>
      </c>
      <c r="F56" s="57" t="str">
        <f aca="false">Flights!$K$6</f>
        <v>BC</v>
      </c>
      <c r="G56" s="57" t="s">
        <v>385</v>
      </c>
      <c r="H56" s="57" t="s">
        <v>343</v>
      </c>
      <c r="I56" s="57" t="s">
        <v>412</v>
      </c>
      <c r="J56" s="57" t="s">
        <v>494</v>
      </c>
      <c r="K56" s="67" t="s">
        <v>414</v>
      </c>
      <c r="L56" s="67" t="s">
        <v>495</v>
      </c>
      <c r="M56" s="67" t="s">
        <v>416</v>
      </c>
      <c r="N56" s="67" t="s">
        <v>348</v>
      </c>
      <c r="O56" s="67" t="s">
        <v>468</v>
      </c>
      <c r="P56" s="57" t="s">
        <v>179</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59" t="n">
        <f aca="false">Q56-T12EarlyH/24</f>
        <v>46303.5763888889</v>
      </c>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IF(N56="N/A – rule","N/A – RULE",IF(TRIM(U56)="N/A",IF(AT56=0,"INVALID – N/A not permitted for this mandatory check",IF(AND(TRIM(AC56)&lt;&gt;"",TRIM(AE56)&lt;&gt;"",TRIM(T56)&lt;&gt;"",TRIM(AE56)&lt;&gt;TRIM(T56)),"N/A – JUSTIFIED","INVALID – N/A needs justification, PIC and a different verifier")),IF(OR(TRIM(U56)="Pass",TRIM(U56)="Pass after CA"),IF(NOT(ISNUMBER(AD56)),"INVALID – completion time missing",IF(TRIM(T56)="","INVALID – PIC missing",IF(TRIM(V56)="","INVALID – result / assessment missing",IF(TRIM(Z56)="","INVALID – evidence missing",IF(TRIM(AE56)="","INVALID – verifier missing",IF(TRIM(AE56)=TRIM(T56),"INVALID – verifier must be someone other than the PIC",IF(AND(AQ56=1,TRIM(W56)=""),"INVALID – batch ID missing",IF(AND(AR56=1,OR(NOT(ISNUMBER(X56)),NOT(ISNUMBER(Y56)))),"INVALID – expected/actual qty missing",IF(IF(AND(TRIM(U56)="Pass",ISNUMBER(AF56)),IF(AF56&lt;&gt;0,"INVALID – qty variance: use Fail or Pass after CA",""),"")&amp;IF(AND(TRIM(U56)="Pass",TRIM(AB56)&lt;&gt;"",TRIM(AB56)&lt;&gt;"Closed"),"INVALID – corrective action not closed: use Fail, then Pass after CA","")&amp;IF(AND(TRIM(AA56)&lt;&gt;"",TRIM(AB56)=""),"INVALID – CA status missing for the recorded corrective action","")&amp;IF(AND(TRIM(U56)="Pass after CA",OR(TRIM(AA56)="",TRIM(AB56)&lt;&gt;"Closed")),"INVALID – corrective action not recorded/closed","")&lt;&gt;"",IF(AND(TRIM(U56)="Pass",ISNUMBER(AF56)),IF(AF56&lt;&gt;0,"INVALID – qty variance: use Fail or Pass after CA",""),"")&amp;IF(AND(TRIM(U56)="Pass",TRIM(AB56)&lt;&gt;"",TRIM(AB56)&lt;&gt;"Closed"),"INVALID – corrective action not closed: use Fail, then Pass after CA","")&amp;IF(AND(TRIM(AA56)&lt;&gt;"",TRIM(AB56)=""),"INVALID – CA status missing for the recorded corrective action","")&amp;IF(AND(TRIM(U56)="Pass after CA",OR(TRIM(AA56)="",TRIM(AB56)&lt;&gt;"Closed")),"INVALID – corrective action not recorded/closed",""),IF(AND(AS56=1,Documents!$J$6&lt;&gt;"ON FILE"),"INVALID – GLD not on file (Documents sheet)",IF(AND(AS56=2,Documents!$O$6&lt;&gt;"ON FILE"),"INVALID – menu checklist not on file (Documents sheet)",IF(AND(AS56=3,NOT(ISNUMBER(Flights!$AX$6))),"INVALID – enter carrying flight KUL departure (Flights AX)",IF(AND(AS56=3,OR(Flights!$AX$6&gt;=Flights!$AA$6,Flights!$AX$6&lt;Flights!$AA$6-3)),"INVALID – Flights AX must be before this leg's STD (within 3 days)",IF(AG56&gt;AsOfUTC,"INVALID – completion time is in the future",IF(AND(ISNUMBER(S56),AG56&lt;S56),IF(H56="Physical uplift","INVALID – before uplift window (cannot confirm loading)","INVALID – before valid window"),IF(AG56&gt;Flights!$AA$6,"INVALID – completed after departure (cannot establish readiness)",IF(AND(H56="Physical uplift",AG56&gt;Q56),"INVALID – recorded after the loading flight departed",IF(AG56&gt;Q56,"COMPLETE – LATE","COMPLETE")))))))))))))))))),IF(TRIM(U56)="Fail","FAIL – DISCREPANCY",IF(AND(TRIM(U56)&lt;&gt;"",TRIM(U56)&lt;&gt;"Not started",TRIM(U56)&lt;&gt;"In progress"),"INVALID – unrecognised status (use the list)",IF(AsOfUTC&gt;Q56,"OVERDUE",IF(N56="Clarification required","OPEN – CLARIFICATION","OPEN")))))))</f>
        <v>OPEN</v>
      </c>
      <c r="AI56" s="61" t="n">
        <f aca="false">IF(OR(AH56="N/A – RULE",AH56="N/A – JUSTIFIED"),0,1)</f>
        <v>1</v>
      </c>
      <c r="AJ56" s="61" t="n">
        <f aca="false">IF(LEFT(AH56,8)="COMPLETE",1,0)</f>
        <v>0</v>
      </c>
      <c r="AK56" s="61" t="n">
        <f aca="false">IF(AND(AI56=1,AJ56=0,AsOfUTC&gt;Q56),1,0)</f>
        <v>0</v>
      </c>
      <c r="AL56" s="61" t="n">
        <f aca="false">IF(AND(AI56=1,OR(TRIM(U56)="Fail",AND(TRIM(AB56)&lt;&gt;"",TRIM(AB56)&lt;&gt;"Closed"),AND(ISNUMBER(AF56),AF56&lt;&gt;0,TRIM(U56)&lt;&gt;"Pass after CA"))),1,0)</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8" t="b">
        <f aca="false">TRUE()</f>
        <v>1</v>
      </c>
    </row>
    <row r="57" customFormat="false" ht="39.75" hidden="false" customHeight="true" outlineLevel="0" collapsed="false">
      <c r="A57" s="57" t="s">
        <v>496</v>
      </c>
      <c r="B57" s="57" t="s">
        <v>190</v>
      </c>
      <c r="C57" s="57" t="str">
        <f aca="false">Flights!$F$6</f>
        <v>MH0727</v>
      </c>
      <c r="D57" s="58" t="n">
        <f aca="false">Flights!$D$6</f>
        <v>46304</v>
      </c>
      <c r="E57" s="57" t="str">
        <f aca="false">Flights!$G$6&amp;"-"&amp;Flights!$H$6</f>
        <v>KUL-CGK</v>
      </c>
      <c r="F57" s="57" t="str">
        <f aca="false">Flights!$K$6</f>
        <v>BC</v>
      </c>
      <c r="G57" s="57" t="s">
        <v>424</v>
      </c>
      <c r="H57" s="57" t="s">
        <v>425</v>
      </c>
      <c r="I57" s="57" t="s">
        <v>344</v>
      </c>
      <c r="J57" s="57" t="s">
        <v>426</v>
      </c>
      <c r="K57" s="67" t="s">
        <v>391</v>
      </c>
      <c r="L57" s="67" t="s">
        <v>427</v>
      </c>
      <c r="M57" s="67"/>
      <c r="N57" s="67" t="s">
        <v>348</v>
      </c>
      <c r="O57" s="67" t="s">
        <v>428</v>
      </c>
      <c r="P57" s="57" t="s">
        <v>179</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59" t="n">
        <f aca="false">IF(ISNUMBER(Flights!$AY$6),MAX(Q57-UpliftWindowH/24,Flights!$AY$6+UpliftWindowH/24),Q57-UpliftWindowH/24)</f>
        <v>46304.3263888889</v>
      </c>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IF(N57="N/A – rule","N/A – RULE",IF(TRIM(U57)="N/A",IF(AT57=0,"INVALID – N/A not permitted for this mandatory check",IF(AND(TRIM(AC57)&lt;&gt;"",TRIM(AE57)&lt;&gt;"",TRIM(T57)&lt;&gt;"",TRIM(AE57)&lt;&gt;TRIM(T57)),"N/A – JUSTIFIED","INVALID – N/A needs justification, PIC and a different verifier")),IF(OR(TRIM(U57)="Pass",TRIM(U57)="Pass after CA"),IF(NOT(ISNUMBER(AD57)),"INVALID – completion time missing",IF(TRIM(T57)="","INVALID – PIC missing",IF(TRIM(V57)="","INVALID – result / assessment missing",IF(TRIM(Z57)="","INVALID – evidence missing",IF(TRIM(AE57)="","INVALID – verifier missing",IF(TRIM(AE57)=TRIM(T57),"INVALID – verifier must be someone other than the PIC",IF(AND(AQ57=1,TRIM(W57)=""),"INVALID – batch ID missing",IF(AND(AR57=1,OR(NOT(ISNUMBER(X57)),NOT(ISNUMBER(Y57)))),"INVALID – expected/actual qty missing",IF(IF(AND(TRIM(U57)="Pass",ISNUMBER(AF57)),IF(AF57&lt;&gt;0,"INVALID – qty variance: use Fail or Pass after CA",""),"")&amp;IF(AND(TRIM(U57)="Pass",TRIM(AB57)&lt;&gt;"",TRIM(AB57)&lt;&gt;"Closed"),"INVALID – corrective action not closed: use Fail, then Pass after CA","")&amp;IF(AND(TRIM(AA57)&lt;&gt;"",TRIM(AB57)=""),"INVALID – CA status missing for the recorded corrective action","")&amp;IF(AND(TRIM(U57)="Pass after CA",OR(TRIM(AA57)="",TRIM(AB57)&lt;&gt;"Closed")),"INVALID – corrective action not recorded/closed","")&lt;&gt;"",IF(AND(TRIM(U57)="Pass",ISNUMBER(AF57)),IF(AF57&lt;&gt;0,"INVALID – qty variance: use Fail or Pass after CA",""),"")&amp;IF(AND(TRIM(U57)="Pass",TRIM(AB57)&lt;&gt;"",TRIM(AB57)&lt;&gt;"Closed"),"INVALID – corrective action not closed: use Fail, then Pass after CA","")&amp;IF(AND(TRIM(AA57)&lt;&gt;"",TRIM(AB57)=""),"INVALID – CA status missing for the recorded corrective action","")&amp;IF(AND(TRIM(U57)="Pass after CA",OR(TRIM(AA57)="",TRIM(AB57)&lt;&gt;"Closed")),"INVALID – corrective action not recorded/closed",""),IF(AND(AS57=1,Documents!$J$6&lt;&gt;"ON FILE"),"INVALID – GLD not on file (Documents sheet)",IF(AND(AS57=2,Documents!$O$6&lt;&gt;"ON FILE"),"INVALID – menu checklist not on file (Documents sheet)",IF(AND(AS57=3,NOT(ISNUMBER(Flights!$AX$6))),"INVALID – enter carrying flight KUL departure (Flights AX)",IF(AND(AS57=3,OR(Flights!$AX$6&gt;=Flights!$AA$6,Flights!$AX$6&lt;Flights!$AA$6-3)),"INVALID – Flights AX must be before this leg's STD (within 3 days)",IF(AG57&gt;AsOfUTC,"INVALID – completion time is in the future",IF(AND(ISNUMBER(S57),AG57&lt;S57),IF(H57="Physical uplift","INVALID – before uplift window (cannot confirm loading)","INVALID – before valid window"),IF(AG57&gt;Flights!$AA$6,"INVALID – completed after departure (cannot establish readiness)",IF(AND(H57="Physical uplift",AG57&gt;Q57),"INVALID – recorded after the loading flight departed",IF(AG57&gt;Q57,"COMPLETE – LATE","COMPLETE")))))))))))))))))),IF(TRIM(U57)="Fail","FAIL – DISCREPANCY",IF(AND(TRIM(U57)&lt;&gt;"",TRIM(U57)&lt;&gt;"Not started",TRIM(U57)&lt;&gt;"In progress"),"INVALID – unrecognised status (use the list)",IF(AsOfUTC&gt;Q57,"OVERDUE",IF(N57="Clarification required","OPEN – CLARIFICATION","OPEN")))))))</f>
        <v>OPEN</v>
      </c>
      <c r="AI57" s="61" t="n">
        <f aca="false">IF(OR(AH57="N/A – RULE",AH57="N/A – JUSTIFIED"),0,1)</f>
        <v>1</v>
      </c>
      <c r="AJ57" s="61" t="n">
        <f aca="false">IF(LEFT(AH57,8)="COMPLETE",1,0)</f>
        <v>0</v>
      </c>
      <c r="AK57" s="61" t="n">
        <f aca="false">IF(AND(AI57=1,AJ57=0,AsOfUTC&gt;Q57),1,0)</f>
        <v>0</v>
      </c>
      <c r="AL57" s="61" t="n">
        <f aca="false">IF(AND(AI57=1,OR(TRIM(U57)="Fail",AND(TRIM(AB57)&lt;&gt;"",TRIM(AB57)&lt;&gt;"Closed"),AND(ISNUMBER(AF57),AF57&lt;&gt;0,TRIM(U57)&lt;&gt;"Pass after CA"))),1,0)</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row>
    <row r="58" customFormat="false" ht="39.75" hidden="false" customHeight="true" outlineLevel="0" collapsed="false">
      <c r="A58" s="57" t="s">
        <v>497</v>
      </c>
      <c r="B58" s="57" t="s">
        <v>190</v>
      </c>
      <c r="C58" s="57" t="str">
        <f aca="false">Flights!$F$6</f>
        <v>MH0727</v>
      </c>
      <c r="D58" s="58" t="n">
        <f aca="false">Flights!$D$6</f>
        <v>46304</v>
      </c>
      <c r="E58" s="57" t="str">
        <f aca="false">Flights!$G$6&amp;"-"&amp;Flights!$H$6</f>
        <v>KUL-CGK</v>
      </c>
      <c r="F58" s="57" t="str">
        <f aca="false">Flights!$K$6</f>
        <v>BC</v>
      </c>
      <c r="G58" s="57" t="s">
        <v>424</v>
      </c>
      <c r="H58" s="57" t="s">
        <v>425</v>
      </c>
      <c r="I58" s="57" t="s">
        <v>393</v>
      </c>
      <c r="J58" s="57" t="s">
        <v>430</v>
      </c>
      <c r="K58" s="67" t="s">
        <v>391</v>
      </c>
      <c r="L58" s="67" t="s">
        <v>427</v>
      </c>
      <c r="M58" s="67"/>
      <c r="N58" s="67" t="s">
        <v>348</v>
      </c>
      <c r="O58" s="67" t="s">
        <v>428</v>
      </c>
      <c r="P58" s="57" t="s">
        <v>179</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59" t="n">
        <f aca="false">IF(ISNUMBER(Flights!$AY$6),MAX(Q58-UpliftWindowH/24,Flights!$AY$6+UpliftWindowH/24),Q58-UpliftWindowH/24)</f>
        <v>46304.3263888889</v>
      </c>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IF(N58="N/A – rule","N/A – RULE",IF(TRIM(U58)="N/A",IF(AT58=0,"INVALID – N/A not permitted for this mandatory check",IF(AND(TRIM(AC58)&lt;&gt;"",TRIM(AE58)&lt;&gt;"",TRIM(T58)&lt;&gt;"",TRIM(AE58)&lt;&gt;TRIM(T58)),"N/A – JUSTIFIED","INVALID – N/A needs justification, PIC and a different verifier")),IF(OR(TRIM(U58)="Pass",TRIM(U58)="Pass after CA"),IF(NOT(ISNUMBER(AD58)),"INVALID – completion time missing",IF(TRIM(T58)="","INVALID – PIC missing",IF(TRIM(V58)="","INVALID – result / assessment missing",IF(TRIM(Z58)="","INVALID – evidence missing",IF(TRIM(AE58)="","INVALID – verifier missing",IF(TRIM(AE58)=TRIM(T58),"INVALID – verifier must be someone other than the PIC",IF(AND(AQ58=1,TRIM(W58)=""),"INVALID – batch ID missing",IF(AND(AR58=1,OR(NOT(ISNUMBER(X58)),NOT(ISNUMBER(Y58)))),"INVALID – expected/actual qty missing",IF(IF(AND(TRIM(U58)="Pass",ISNUMBER(AF58)),IF(AF58&lt;&gt;0,"INVALID – qty variance: use Fail or Pass after CA",""),"")&amp;IF(AND(TRIM(U58)="Pass",TRIM(AB58)&lt;&gt;"",TRIM(AB58)&lt;&gt;"Closed"),"INVALID – corrective action not closed: use Fail, then Pass after CA","")&amp;IF(AND(TRIM(AA58)&lt;&gt;"",TRIM(AB58)=""),"INVALID – CA status missing for the recorded corrective action","")&amp;IF(AND(TRIM(U58)="Pass after CA",OR(TRIM(AA58)="",TRIM(AB58)&lt;&gt;"Closed")),"INVALID – corrective action not recorded/closed","")&lt;&gt;"",IF(AND(TRIM(U58)="Pass",ISNUMBER(AF58)),IF(AF58&lt;&gt;0,"INVALID – qty variance: use Fail or Pass after CA",""),"")&amp;IF(AND(TRIM(U58)="Pass",TRIM(AB58)&lt;&gt;"",TRIM(AB58)&lt;&gt;"Closed"),"INVALID – corrective action not closed: use Fail, then Pass after CA","")&amp;IF(AND(TRIM(AA58)&lt;&gt;"",TRIM(AB58)=""),"INVALID – CA status missing for the recorded corrective action","")&amp;IF(AND(TRIM(U58)="Pass after CA",OR(TRIM(AA58)="",TRIM(AB58)&lt;&gt;"Closed")),"INVALID – corrective action not recorded/closed",""),IF(AND(AS58=1,Documents!$J$6&lt;&gt;"ON FILE"),"INVALID – GLD not on file (Documents sheet)",IF(AND(AS58=2,Documents!$O$6&lt;&gt;"ON FILE"),"INVALID – menu checklist not on file (Documents sheet)",IF(AND(AS58=3,NOT(ISNUMBER(Flights!$AX$6))),"INVALID – enter carrying flight KUL departure (Flights AX)",IF(AND(AS58=3,OR(Flights!$AX$6&gt;=Flights!$AA$6,Flights!$AX$6&lt;Flights!$AA$6-3)),"INVALID – Flights AX must be before this leg's STD (within 3 days)",IF(AG58&gt;AsOfUTC,"INVALID – completion time is in the future",IF(AND(ISNUMBER(S58),AG58&lt;S58),IF(H58="Physical uplift","INVALID – before uplift window (cannot confirm loading)","INVALID – before valid window"),IF(AG58&gt;Flights!$AA$6,"INVALID – completed after departure (cannot establish readiness)",IF(AND(H58="Physical uplift",AG58&gt;Q58),"INVALID – recorded after the loading flight departed",IF(AG58&gt;Q58,"COMPLETE – LATE","COMPLETE")))))))))))))))))),IF(TRIM(U58)="Fail","FAIL – DISCREPANCY",IF(AND(TRIM(U58)&lt;&gt;"",TRIM(U58)&lt;&gt;"Not started",TRIM(U58)&lt;&gt;"In progress"),"INVALID – unrecognised status (use the list)",IF(AsOfUTC&gt;Q58,"OVERDUE",IF(N58="Clarification required","OPEN – CLARIFICATION","OPEN")))))))</f>
        <v>OPEN</v>
      </c>
      <c r="AI58" s="61" t="n">
        <f aca="false">IF(OR(AH58="N/A – RULE",AH58="N/A – JUSTIFIED"),0,1)</f>
        <v>1</v>
      </c>
      <c r="AJ58" s="61" t="n">
        <f aca="false">IF(LEFT(AH58,8)="COMPLETE",1,0)</f>
        <v>0</v>
      </c>
      <c r="AK58" s="61" t="n">
        <f aca="false">IF(AND(AI58=1,AJ58=0,AsOfUTC&gt;Q58),1,0)</f>
        <v>0</v>
      </c>
      <c r="AL58" s="61" t="n">
        <f aca="false">IF(AND(AI58=1,OR(TRIM(U58)="Fail",AND(TRIM(AB58)&lt;&gt;"",TRIM(AB58)&lt;&gt;"Closed"),AND(ISNUMBER(AF58),AF58&lt;&gt;0,TRIM(U58)&lt;&gt;"Pass after CA"))),1,0)</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row>
    <row r="59" customFormat="false" ht="41.25" hidden="false" customHeight="true" outlineLevel="0" collapsed="false">
      <c r="A59" s="57" t="s">
        <v>498</v>
      </c>
      <c r="B59" s="57" t="s">
        <v>190</v>
      </c>
      <c r="C59" s="57" t="str">
        <f aca="false">Flights!$F$6</f>
        <v>MH0727</v>
      </c>
      <c r="D59" s="58" t="n">
        <f aca="false">Flights!$D$6</f>
        <v>46304</v>
      </c>
      <c r="E59" s="57" t="str">
        <f aca="false">Flights!$G$6&amp;"-"&amp;Flights!$H$6</f>
        <v>KUL-CGK</v>
      </c>
      <c r="F59" s="57" t="str">
        <f aca="false">Flights!$K$6</f>
        <v>BC</v>
      </c>
      <c r="G59" s="57" t="s">
        <v>424</v>
      </c>
      <c r="H59" s="57" t="s">
        <v>425</v>
      </c>
      <c r="I59" s="57" t="s">
        <v>405</v>
      </c>
      <c r="J59" s="57" t="s">
        <v>499</v>
      </c>
      <c r="K59" s="67" t="s">
        <v>460</v>
      </c>
      <c r="L59" s="67" t="s">
        <v>461</v>
      </c>
      <c r="M59" s="67" t="s">
        <v>416</v>
      </c>
      <c r="N59" s="67" t="s">
        <v>348</v>
      </c>
      <c r="O59" s="67" t="s">
        <v>500</v>
      </c>
      <c r="P59" s="57" t="s">
        <v>179</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59" t="n">
        <f aca="false">IF(ISNUMBER(Flights!$AY$6),MAX(Q59-UpliftWindowH/24,Flights!$AY$6+UpliftWindowH/24),Q59-UpliftWindowH/24)</f>
        <v>46304.3263888889</v>
      </c>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IF(N59="N/A – rule","N/A – RULE",IF(TRIM(U59)="N/A",IF(AT59=0,"INVALID – N/A not permitted for this mandatory check",IF(AND(TRIM(AC59)&lt;&gt;"",TRIM(AE59)&lt;&gt;"",TRIM(T59)&lt;&gt;"",TRIM(AE59)&lt;&gt;TRIM(T59)),"N/A – JUSTIFIED","INVALID – N/A needs justification, PIC and a different verifier")),IF(OR(TRIM(U59)="Pass",TRIM(U59)="Pass after CA"),IF(NOT(ISNUMBER(AD59)),"INVALID – completion time missing",IF(TRIM(T59)="","INVALID – PIC missing",IF(TRIM(V59)="","INVALID – result / assessment missing",IF(TRIM(Z59)="","INVALID – evidence missing",IF(TRIM(AE59)="","INVALID – verifier missing",IF(TRIM(AE59)=TRIM(T59),"INVALID – verifier must be someone other than the PIC",IF(AND(AQ59=1,TRIM(W59)=""),"INVALID – batch ID missing",IF(AND(AR59=1,OR(NOT(ISNUMBER(X59)),NOT(ISNUMBER(Y59)))),"INVALID – expected/actual qty missing",IF(IF(AND(TRIM(U59)="Pass",ISNUMBER(AF59)),IF(AF59&lt;&gt;0,"INVALID – qty variance: use Fail or Pass after CA",""),"")&amp;IF(AND(TRIM(U59)="Pass",TRIM(AB59)&lt;&gt;"",TRIM(AB59)&lt;&gt;"Closed"),"INVALID – corrective action not closed: use Fail, then Pass after CA","")&amp;IF(AND(TRIM(AA59)&lt;&gt;"",TRIM(AB59)=""),"INVALID – CA status missing for the recorded corrective action","")&amp;IF(AND(TRIM(U59)="Pass after CA",OR(TRIM(AA59)="",TRIM(AB59)&lt;&gt;"Closed")),"INVALID – corrective action not recorded/closed","")&lt;&gt;"",IF(AND(TRIM(U59)="Pass",ISNUMBER(AF59)),IF(AF59&lt;&gt;0,"INVALID – qty variance: use Fail or Pass after CA",""),"")&amp;IF(AND(TRIM(U59)="Pass",TRIM(AB59)&lt;&gt;"",TRIM(AB59)&lt;&gt;"Closed"),"INVALID – corrective action not closed: use Fail, then Pass after CA","")&amp;IF(AND(TRIM(AA59)&lt;&gt;"",TRIM(AB59)=""),"INVALID – CA status missing for the recorded corrective action","")&amp;IF(AND(TRIM(U59)="Pass after CA",OR(TRIM(AA59)="",TRIM(AB59)&lt;&gt;"Closed")),"INVALID – corrective action not recorded/closed",""),IF(AND(AS59=1,Documents!$J$6&lt;&gt;"ON FILE"),"INVALID – GLD not on file (Documents sheet)",IF(AND(AS59=2,Documents!$O$6&lt;&gt;"ON FILE"),"INVALID – menu checklist not on file (Documents sheet)",IF(AND(AS59=3,NOT(ISNUMBER(Flights!$AX$6))),"INVALID – enter carrying flight KUL departure (Flights AX)",IF(AND(AS59=3,OR(Flights!$AX$6&gt;=Flights!$AA$6,Flights!$AX$6&lt;Flights!$AA$6-3)),"INVALID – Flights AX must be before this leg's STD (within 3 days)",IF(AG59&gt;AsOfUTC,"INVALID – completion time is in the future",IF(AND(ISNUMBER(S59),AG59&lt;S59),IF(H59="Physical uplift","INVALID – before uplift window (cannot confirm loading)","INVALID – before valid window"),IF(AG59&gt;Flights!$AA$6,"INVALID – completed after departure (cannot establish readiness)",IF(AND(H59="Physical uplift",AG59&gt;Q59),"INVALID – recorded after the loading flight departed",IF(AG59&gt;Q59,"COMPLETE – LATE","COMPLETE")))))))))))))))))),IF(TRIM(U59)="Fail","FAIL – DISCREPANCY",IF(AND(TRIM(U59)&lt;&gt;"",TRIM(U59)&lt;&gt;"Not started",TRIM(U59)&lt;&gt;"In progress"),"INVALID – unrecognised status (use the list)",IF(AsOfUTC&gt;Q59,"OVERDUE",IF(N59="Clarification required","OPEN – CLARIFICATION","OPEN")))))))</f>
        <v>OPEN</v>
      </c>
      <c r="AI59" s="61" t="n">
        <f aca="false">IF(OR(AH59="N/A – RULE",AH59="N/A – JUSTIFIED"),0,1)</f>
        <v>1</v>
      </c>
      <c r="AJ59" s="61" t="n">
        <f aca="false">IF(LEFT(AH59,8)="COMPLETE",1,0)</f>
        <v>0</v>
      </c>
      <c r="AK59" s="61" t="n">
        <f aca="false">IF(AND(AI59=1,AJ59=0,AsOfUTC&gt;Q59),1,0)</f>
        <v>0</v>
      </c>
      <c r="AL59" s="61" t="n">
        <f aca="false">IF(AND(AI59=1,OR(TRIM(U59)="Fail",AND(TRIM(AB59)&lt;&gt;"",TRIM(AB59)&lt;&gt;"Closed"),AND(ISNUMBER(AF59),AF59&lt;&gt;0,TRIM(U59)&lt;&gt;"Pass after CA"))),1,0)</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8" t="b">
        <f aca="false">TRUE()</f>
        <v>1</v>
      </c>
    </row>
    <row r="60" customFormat="false" ht="39.75" hidden="false" customHeight="true" outlineLevel="0" collapsed="false">
      <c r="A60" s="57" t="s">
        <v>501</v>
      </c>
      <c r="B60" s="57" t="s">
        <v>190</v>
      </c>
      <c r="C60" s="57" t="str">
        <f aca="false">Flights!$F$6</f>
        <v>MH0727</v>
      </c>
      <c r="D60" s="58" t="n">
        <f aca="false">Flights!$D$6</f>
        <v>46304</v>
      </c>
      <c r="E60" s="57" t="str">
        <f aca="false">Flights!$G$6&amp;"-"&amp;Flights!$H$6</f>
        <v>KUL-CGK</v>
      </c>
      <c r="F60" s="57" t="str">
        <f aca="false">Flights!$K$6</f>
        <v>BC</v>
      </c>
      <c r="G60" s="57" t="s">
        <v>424</v>
      </c>
      <c r="H60" s="57" t="s">
        <v>425</v>
      </c>
      <c r="I60" s="57" t="s">
        <v>464</v>
      </c>
      <c r="J60" s="57" t="s">
        <v>502</v>
      </c>
      <c r="K60" s="67" t="s">
        <v>466</v>
      </c>
      <c r="L60" s="67" t="s">
        <v>467</v>
      </c>
      <c r="M60" s="67" t="s">
        <v>416</v>
      </c>
      <c r="N60" s="67" t="s">
        <v>348</v>
      </c>
      <c r="O60" s="67"/>
      <c r="P60" s="57" t="s">
        <v>179</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59" t="n">
        <f aca="false">IF(ISNUMBER(Flights!$AY$6),MAX(Q60-UpliftWindowH/24,Flights!$AY$6+UpliftWindowH/24),Q60-UpliftWindowH/24)</f>
        <v>46304.3263888889</v>
      </c>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IF(N60="N/A – rule","N/A – RULE",IF(TRIM(U60)="N/A",IF(AT60=0,"INVALID – N/A not permitted for this mandatory check",IF(AND(TRIM(AC60)&lt;&gt;"",TRIM(AE60)&lt;&gt;"",TRIM(T60)&lt;&gt;"",TRIM(AE60)&lt;&gt;TRIM(T60)),"N/A – JUSTIFIED","INVALID – N/A needs justification, PIC and a different verifier")),IF(OR(TRIM(U60)="Pass",TRIM(U60)="Pass after CA"),IF(NOT(ISNUMBER(AD60)),"INVALID – completion time missing",IF(TRIM(T60)="","INVALID – PIC missing",IF(TRIM(V60)="","INVALID – result / assessment missing",IF(TRIM(Z60)="","INVALID – evidence missing",IF(TRIM(AE60)="","INVALID – verifier missing",IF(TRIM(AE60)=TRIM(T60),"INVALID – verifier must be someone other than the PIC",IF(AND(AQ60=1,TRIM(W60)=""),"INVALID – batch ID missing",IF(AND(AR60=1,OR(NOT(ISNUMBER(X60)),NOT(ISNUMBER(Y60)))),"INVALID – expected/actual qty missing",IF(IF(AND(TRIM(U60)="Pass",ISNUMBER(AF60)),IF(AF60&lt;&gt;0,"INVALID – qty variance: use Fail or Pass after CA",""),"")&amp;IF(AND(TRIM(U60)="Pass",TRIM(AB60)&lt;&gt;"",TRIM(AB60)&lt;&gt;"Closed"),"INVALID – corrective action not closed: use Fail, then Pass after CA","")&amp;IF(AND(TRIM(AA60)&lt;&gt;"",TRIM(AB60)=""),"INVALID – CA status missing for the recorded corrective action","")&amp;IF(AND(TRIM(U60)="Pass after CA",OR(TRIM(AA60)="",TRIM(AB60)&lt;&gt;"Closed")),"INVALID – corrective action not recorded/closed","")&lt;&gt;"",IF(AND(TRIM(U60)="Pass",ISNUMBER(AF60)),IF(AF60&lt;&gt;0,"INVALID – qty variance: use Fail or Pass after CA",""),"")&amp;IF(AND(TRIM(U60)="Pass",TRIM(AB60)&lt;&gt;"",TRIM(AB60)&lt;&gt;"Closed"),"INVALID – corrective action not closed: use Fail, then Pass after CA","")&amp;IF(AND(TRIM(AA60)&lt;&gt;"",TRIM(AB60)=""),"INVALID – CA status missing for the recorded corrective action","")&amp;IF(AND(TRIM(U60)="Pass after CA",OR(TRIM(AA60)="",TRIM(AB60)&lt;&gt;"Closed")),"INVALID – corrective action not recorded/closed",""),IF(AND(AS60=1,Documents!$J$6&lt;&gt;"ON FILE"),"INVALID – GLD not on file (Documents sheet)",IF(AND(AS60=2,Documents!$O$6&lt;&gt;"ON FILE"),"INVALID – menu checklist not on file (Documents sheet)",IF(AND(AS60=3,NOT(ISNUMBER(Flights!$AX$6))),"INVALID – enter carrying flight KUL departure (Flights AX)",IF(AND(AS60=3,OR(Flights!$AX$6&gt;=Flights!$AA$6,Flights!$AX$6&lt;Flights!$AA$6-3)),"INVALID – Flights AX must be before this leg's STD (within 3 days)",IF(AG60&gt;AsOfUTC,"INVALID – completion time is in the future",IF(AND(ISNUMBER(S60),AG60&lt;S60),IF(H60="Physical uplift","INVALID – before uplift window (cannot confirm loading)","INVALID – before valid window"),IF(AG60&gt;Flights!$AA$6,"INVALID – completed after departure (cannot establish readiness)",IF(AND(H60="Physical uplift",AG60&gt;Q60),"INVALID – recorded after the loading flight departed",IF(AG60&gt;Q60,"COMPLETE – LATE","COMPLETE")))))))))))))))))),IF(TRIM(U60)="Fail","FAIL – DISCREPANCY",IF(AND(TRIM(U60)&lt;&gt;"",TRIM(U60)&lt;&gt;"Not started",TRIM(U60)&lt;&gt;"In progress"),"INVALID – unrecognised status (use the list)",IF(AsOfUTC&gt;Q60,"OVERDUE",IF(N60="Clarification required","OPEN – CLARIFICATION","OPEN")))))))</f>
        <v>OPEN</v>
      </c>
      <c r="AI60" s="61" t="n">
        <f aca="false">IF(OR(AH60="N/A – RULE",AH60="N/A – JUSTIFIED"),0,1)</f>
        <v>1</v>
      </c>
      <c r="AJ60" s="61" t="n">
        <f aca="false">IF(LEFT(AH60,8)="COMPLETE",1,0)</f>
        <v>0</v>
      </c>
      <c r="AK60" s="61" t="n">
        <f aca="false">IF(AND(AI60=1,AJ60=0,AsOfUTC&gt;Q60),1,0)</f>
        <v>0</v>
      </c>
      <c r="AL60" s="61" t="n">
        <f aca="false">IF(AND(AI60=1,OR(TRIM(U60)="Fail",AND(TRIM(AB60)&lt;&gt;"",TRIM(AB60)&lt;&gt;"Closed"),AND(ISNUMBER(AF60),AF60&lt;&gt;0,TRIM(U60)&lt;&gt;"Pass after CA"))),1,0)</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8" t="b">
        <f aca="false">TRUE()</f>
        <v>1</v>
      </c>
    </row>
    <row r="61" customFormat="false" ht="39.75" hidden="false" customHeight="true" outlineLevel="0" collapsed="false">
      <c r="A61" s="57" t="s">
        <v>503</v>
      </c>
      <c r="B61" s="57" t="s">
        <v>190</v>
      </c>
      <c r="C61" s="57" t="str">
        <f aca="false">Flights!$F$6</f>
        <v>MH0727</v>
      </c>
      <c r="D61" s="58" t="n">
        <f aca="false">Flights!$D$6</f>
        <v>46304</v>
      </c>
      <c r="E61" s="57" t="str">
        <f aca="false">Flights!$G$6&amp;"-"&amp;Flights!$H$6</f>
        <v>KUL-CGK</v>
      </c>
      <c r="F61" s="57" t="str">
        <f aca="false">Flights!$K$6</f>
        <v>BC</v>
      </c>
      <c r="G61" s="57" t="s">
        <v>424</v>
      </c>
      <c r="H61" s="57" t="s">
        <v>425</v>
      </c>
      <c r="I61" s="57" t="s">
        <v>464</v>
      </c>
      <c r="J61" s="57" t="s">
        <v>504</v>
      </c>
      <c r="K61" s="67" t="s">
        <v>466</v>
      </c>
      <c r="L61" s="67" t="s">
        <v>471</v>
      </c>
      <c r="M61" s="67" t="s">
        <v>416</v>
      </c>
      <c r="N61" s="67" t="s">
        <v>348</v>
      </c>
      <c r="O61" s="67"/>
      <c r="P61" s="57" t="s">
        <v>179</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59" t="n">
        <f aca="false">IF(ISNUMBER(Flights!$AY$6),MAX(Q61-UpliftWindowH/24,Flights!$AY$6+UpliftWindowH/24),Q61-UpliftWindowH/24)</f>
        <v>46304.3263888889</v>
      </c>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IF(N61="N/A – rule","N/A – RULE",IF(TRIM(U61)="N/A",IF(AT61=0,"INVALID – N/A not permitted for this mandatory check",IF(AND(TRIM(AC61)&lt;&gt;"",TRIM(AE61)&lt;&gt;"",TRIM(T61)&lt;&gt;"",TRIM(AE61)&lt;&gt;TRIM(T61)),"N/A – JUSTIFIED","INVALID – N/A needs justification, PIC and a different verifier")),IF(OR(TRIM(U61)="Pass",TRIM(U61)="Pass after CA"),IF(NOT(ISNUMBER(AD61)),"INVALID – completion time missing",IF(TRIM(T61)="","INVALID – PIC missing",IF(TRIM(V61)="","INVALID – result / assessment missing",IF(TRIM(Z61)="","INVALID – evidence missing",IF(TRIM(AE61)="","INVALID – verifier missing",IF(TRIM(AE61)=TRIM(T61),"INVALID – verifier must be someone other than the PIC",IF(AND(AQ61=1,TRIM(W61)=""),"INVALID – batch ID missing",IF(AND(AR61=1,OR(NOT(ISNUMBER(X61)),NOT(ISNUMBER(Y61)))),"INVALID – expected/actual qty missing",IF(IF(AND(TRIM(U61)="Pass",ISNUMBER(AF61)),IF(AF61&lt;&gt;0,"INVALID – qty variance: use Fail or Pass after CA",""),"")&amp;IF(AND(TRIM(U61)="Pass",TRIM(AB61)&lt;&gt;"",TRIM(AB61)&lt;&gt;"Closed"),"INVALID – corrective action not closed: use Fail, then Pass after CA","")&amp;IF(AND(TRIM(AA61)&lt;&gt;"",TRIM(AB61)=""),"INVALID – CA status missing for the recorded corrective action","")&amp;IF(AND(TRIM(U61)="Pass after CA",OR(TRIM(AA61)="",TRIM(AB61)&lt;&gt;"Closed")),"INVALID – corrective action not recorded/closed","")&lt;&gt;"",IF(AND(TRIM(U61)="Pass",ISNUMBER(AF61)),IF(AF61&lt;&gt;0,"INVALID – qty variance: use Fail or Pass after CA",""),"")&amp;IF(AND(TRIM(U61)="Pass",TRIM(AB61)&lt;&gt;"",TRIM(AB61)&lt;&gt;"Closed"),"INVALID – corrective action not closed: use Fail, then Pass after CA","")&amp;IF(AND(TRIM(AA61)&lt;&gt;"",TRIM(AB61)=""),"INVALID – CA status missing for the recorded corrective action","")&amp;IF(AND(TRIM(U61)="Pass after CA",OR(TRIM(AA61)="",TRIM(AB61)&lt;&gt;"Closed")),"INVALID – corrective action not recorded/closed",""),IF(AND(AS61=1,Documents!$J$6&lt;&gt;"ON FILE"),"INVALID – GLD not on file (Documents sheet)",IF(AND(AS61=2,Documents!$O$6&lt;&gt;"ON FILE"),"INVALID – menu checklist not on file (Documents sheet)",IF(AND(AS61=3,NOT(ISNUMBER(Flights!$AX$6))),"INVALID – enter carrying flight KUL departure (Flights AX)",IF(AND(AS61=3,OR(Flights!$AX$6&gt;=Flights!$AA$6,Flights!$AX$6&lt;Flights!$AA$6-3)),"INVALID – Flights AX must be before this leg's STD (within 3 days)",IF(AG61&gt;AsOfUTC,"INVALID – completion time is in the future",IF(AND(ISNUMBER(S61),AG61&lt;S61),IF(H61="Physical uplift","INVALID – before uplift window (cannot confirm loading)","INVALID – before valid window"),IF(AG61&gt;Flights!$AA$6,"INVALID – completed after departure (cannot establish readiness)",IF(AND(H61="Physical uplift",AG61&gt;Q61),"INVALID – recorded after the loading flight departed",IF(AG61&gt;Q61,"COMPLETE – LATE","COMPLETE")))))))))))))))))),IF(TRIM(U61)="Fail","FAIL – DISCREPANCY",IF(AND(TRIM(U61)&lt;&gt;"",TRIM(U61)&lt;&gt;"Not started",TRIM(U61)&lt;&gt;"In progress"),"INVALID – unrecognised status (use the list)",IF(AsOfUTC&gt;Q61,"OVERDUE",IF(N61="Clarification required","OPEN – CLARIFICATION","OPEN")))))))</f>
        <v>OPEN</v>
      </c>
      <c r="AI61" s="61" t="n">
        <f aca="false">IF(OR(AH61="N/A – RULE",AH61="N/A – JUSTIFIED"),0,1)</f>
        <v>1</v>
      </c>
      <c r="AJ61" s="61" t="n">
        <f aca="false">IF(LEFT(AH61,8)="COMPLETE",1,0)</f>
        <v>0</v>
      </c>
      <c r="AK61" s="61" t="n">
        <f aca="false">IF(AND(AI61=1,AJ61=0,AsOfUTC&gt;Q61),1,0)</f>
        <v>0</v>
      </c>
      <c r="AL61" s="61" t="n">
        <f aca="false">IF(AND(AI61=1,OR(TRIM(U61)="Fail",AND(TRIM(AB61)&lt;&gt;"",TRIM(AB61)&lt;&gt;"Closed"),AND(ISNUMBER(AF61),AF61&lt;&gt;0,TRIM(U61)&lt;&gt;"Pass after CA"))),1,0)</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8" t="b">
        <f aca="false">TRUE()</f>
        <v>1</v>
      </c>
    </row>
    <row r="62" customFormat="false" ht="39.75" hidden="false" customHeight="true" outlineLevel="0" collapsed="false">
      <c r="A62" s="57" t="s">
        <v>505</v>
      </c>
      <c r="B62" s="57" t="s">
        <v>190</v>
      </c>
      <c r="C62" s="57" t="str">
        <f aca="false">Flights!$F$6</f>
        <v>MH0727</v>
      </c>
      <c r="D62" s="58" t="n">
        <f aca="false">Flights!$D$6</f>
        <v>46304</v>
      </c>
      <c r="E62" s="57" t="str">
        <f aca="false">Flights!$G$6&amp;"-"&amp;Flights!$H$6</f>
        <v>KUL-CGK</v>
      </c>
      <c r="F62" s="57" t="str">
        <f aca="false">Flights!$K$6</f>
        <v>BC</v>
      </c>
      <c r="G62" s="57" t="s">
        <v>424</v>
      </c>
      <c r="H62" s="57" t="s">
        <v>425</v>
      </c>
      <c r="I62" s="57" t="s">
        <v>464</v>
      </c>
      <c r="J62" s="57" t="s">
        <v>506</v>
      </c>
      <c r="K62" s="67" t="s">
        <v>466</v>
      </c>
      <c r="L62" s="67" t="s">
        <v>474</v>
      </c>
      <c r="M62" s="67" t="s">
        <v>416</v>
      </c>
      <c r="N62" s="67" t="s">
        <v>348</v>
      </c>
      <c r="O62" s="67"/>
      <c r="P62" s="57" t="s">
        <v>179</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59" t="n">
        <f aca="false">IF(ISNUMBER(Flights!$AY$6),MAX(Q62-UpliftWindowH/24,Flights!$AY$6+UpliftWindowH/24),Q62-UpliftWindowH/24)</f>
        <v>46304.3263888889</v>
      </c>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IF(N62="N/A – rule","N/A – RULE",IF(TRIM(U62)="N/A",IF(AT62=0,"INVALID – N/A not permitted for this mandatory check",IF(AND(TRIM(AC62)&lt;&gt;"",TRIM(AE62)&lt;&gt;"",TRIM(T62)&lt;&gt;"",TRIM(AE62)&lt;&gt;TRIM(T62)),"N/A – JUSTIFIED","INVALID – N/A needs justification, PIC and a different verifier")),IF(OR(TRIM(U62)="Pass",TRIM(U62)="Pass after CA"),IF(NOT(ISNUMBER(AD62)),"INVALID – completion time missing",IF(TRIM(T62)="","INVALID – PIC missing",IF(TRIM(V62)="","INVALID – result / assessment missing",IF(TRIM(Z62)="","INVALID – evidence missing",IF(TRIM(AE62)="","INVALID – verifier missing",IF(TRIM(AE62)=TRIM(T62),"INVALID – verifier must be someone other than the PIC",IF(AND(AQ62=1,TRIM(W62)=""),"INVALID – batch ID missing",IF(AND(AR62=1,OR(NOT(ISNUMBER(X62)),NOT(ISNUMBER(Y62)))),"INVALID – expected/actual qty missing",IF(IF(AND(TRIM(U62)="Pass",ISNUMBER(AF62)),IF(AF62&lt;&gt;0,"INVALID – qty variance: use Fail or Pass after CA",""),"")&amp;IF(AND(TRIM(U62)="Pass",TRIM(AB62)&lt;&gt;"",TRIM(AB62)&lt;&gt;"Closed"),"INVALID – corrective action not closed: use Fail, then Pass after CA","")&amp;IF(AND(TRIM(AA62)&lt;&gt;"",TRIM(AB62)=""),"INVALID – CA status missing for the recorded corrective action","")&amp;IF(AND(TRIM(U62)="Pass after CA",OR(TRIM(AA62)="",TRIM(AB62)&lt;&gt;"Closed")),"INVALID – corrective action not recorded/closed","")&lt;&gt;"",IF(AND(TRIM(U62)="Pass",ISNUMBER(AF62)),IF(AF62&lt;&gt;0,"INVALID – qty variance: use Fail or Pass after CA",""),"")&amp;IF(AND(TRIM(U62)="Pass",TRIM(AB62)&lt;&gt;"",TRIM(AB62)&lt;&gt;"Closed"),"INVALID – corrective action not closed: use Fail, then Pass after CA","")&amp;IF(AND(TRIM(AA62)&lt;&gt;"",TRIM(AB62)=""),"INVALID – CA status missing for the recorded corrective action","")&amp;IF(AND(TRIM(U62)="Pass after CA",OR(TRIM(AA62)="",TRIM(AB62)&lt;&gt;"Closed")),"INVALID – corrective action not recorded/closed",""),IF(AND(AS62=1,Documents!$J$6&lt;&gt;"ON FILE"),"INVALID – GLD not on file (Documents sheet)",IF(AND(AS62=2,Documents!$O$6&lt;&gt;"ON FILE"),"INVALID – menu checklist not on file (Documents sheet)",IF(AND(AS62=3,NOT(ISNUMBER(Flights!$AX$6))),"INVALID – enter carrying flight KUL departure (Flights AX)",IF(AND(AS62=3,OR(Flights!$AX$6&gt;=Flights!$AA$6,Flights!$AX$6&lt;Flights!$AA$6-3)),"INVALID – Flights AX must be before this leg's STD (within 3 days)",IF(AG62&gt;AsOfUTC,"INVALID – completion time is in the future",IF(AND(ISNUMBER(S62),AG62&lt;S62),IF(H62="Physical uplift","INVALID – before uplift window (cannot confirm loading)","INVALID – before valid window"),IF(AG62&gt;Flights!$AA$6,"INVALID – completed after departure (cannot establish readiness)",IF(AND(H62="Physical uplift",AG62&gt;Q62),"INVALID – recorded after the loading flight departed",IF(AG62&gt;Q62,"COMPLETE – LATE","COMPLETE")))))))))))))))))),IF(TRIM(U62)="Fail","FAIL – DISCREPANCY",IF(AND(TRIM(U62)&lt;&gt;"",TRIM(U62)&lt;&gt;"Not started",TRIM(U62)&lt;&gt;"In progress"),"INVALID – unrecognised status (use the list)",IF(AsOfUTC&gt;Q62,"OVERDUE",IF(N62="Clarification required","OPEN – CLARIFICATION","OPEN")))))))</f>
        <v>OPEN</v>
      </c>
      <c r="AI62" s="61" t="n">
        <f aca="false">IF(OR(AH62="N/A – RULE",AH62="N/A – JUSTIFIED"),0,1)</f>
        <v>1</v>
      </c>
      <c r="AJ62" s="61" t="n">
        <f aca="false">IF(LEFT(AH62,8)="COMPLETE",1,0)</f>
        <v>0</v>
      </c>
      <c r="AK62" s="61" t="n">
        <f aca="false">IF(AND(AI62=1,AJ62=0,AsOfUTC&gt;Q62),1,0)</f>
        <v>0</v>
      </c>
      <c r="AL62" s="61" t="n">
        <f aca="false">IF(AND(AI62=1,OR(TRIM(U62)="Fail",AND(TRIM(AB62)&lt;&gt;"",TRIM(AB62)&lt;&gt;"Closed"),AND(ISNUMBER(AF62),AF62&lt;&gt;0,TRIM(U62)&lt;&gt;"Pass after CA"))),1,0)</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8" t="b">
        <f aca="false">TRUE()</f>
        <v>1</v>
      </c>
    </row>
    <row r="63" customFormat="false" ht="78.75" hidden="false" customHeight="true" outlineLevel="0" collapsed="false">
      <c r="A63" s="57" t="s">
        <v>507</v>
      </c>
      <c r="B63" s="57" t="s">
        <v>190</v>
      </c>
      <c r="C63" s="57" t="str">
        <f aca="false">Flights!$F$6</f>
        <v>MH0727</v>
      </c>
      <c r="D63" s="58" t="n">
        <f aca="false">Flights!$D$6</f>
        <v>46304</v>
      </c>
      <c r="E63" s="57" t="str">
        <f aca="false">Flights!$G$6&amp;"-"&amp;Flights!$H$6</f>
        <v>KUL-CGK</v>
      </c>
      <c r="F63" s="57" t="str">
        <f aca="false">Flights!$K$6</f>
        <v>BC</v>
      </c>
      <c r="G63" s="57" t="s">
        <v>424</v>
      </c>
      <c r="H63" s="57" t="s">
        <v>425</v>
      </c>
      <c r="I63" s="57" t="s">
        <v>464</v>
      </c>
      <c r="J63" s="57" t="s">
        <v>508</v>
      </c>
      <c r="K63" s="67" t="s">
        <v>466</v>
      </c>
      <c r="L63" s="67" t="s">
        <v>477</v>
      </c>
      <c r="M63" s="67" t="s">
        <v>416</v>
      </c>
      <c r="N63" s="67" t="s">
        <v>409</v>
      </c>
      <c r="O63" s="67" t="s">
        <v>509</v>
      </c>
      <c r="P63" s="57" t="s">
        <v>179</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59" t="n">
        <f aca="false">IF(ISNUMBER(Flights!$AY$6),MAX(Q63-UpliftWindowH/24,Flights!$AY$6+UpliftWindowH/24),Q63-UpliftWindowH/24)</f>
        <v>46304.3263888889</v>
      </c>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IF(N63="N/A – rule","N/A – RULE",IF(TRIM(U63)="N/A",IF(AT63=0,"INVALID – N/A not permitted for this mandatory check",IF(AND(TRIM(AC63)&lt;&gt;"",TRIM(AE63)&lt;&gt;"",TRIM(T63)&lt;&gt;"",TRIM(AE63)&lt;&gt;TRIM(T63)),"N/A – JUSTIFIED","INVALID – N/A needs justification, PIC and a different verifier")),IF(OR(TRIM(U63)="Pass",TRIM(U63)="Pass after CA"),IF(NOT(ISNUMBER(AD63)),"INVALID – completion time missing",IF(TRIM(T63)="","INVALID – PIC missing",IF(TRIM(V63)="","INVALID – result / assessment missing",IF(TRIM(Z63)="","INVALID – evidence missing",IF(TRIM(AE63)="","INVALID – verifier missing",IF(TRIM(AE63)=TRIM(T63),"INVALID – verifier must be someone other than the PIC",IF(AND(AQ63=1,TRIM(W63)=""),"INVALID – batch ID missing",IF(AND(AR63=1,OR(NOT(ISNUMBER(X63)),NOT(ISNUMBER(Y63)))),"INVALID – expected/actual qty missing",IF(IF(AND(TRIM(U63)="Pass",ISNUMBER(AF63)),IF(AF63&lt;&gt;0,"INVALID – qty variance: use Fail or Pass after CA",""),"")&amp;IF(AND(TRIM(U63)="Pass",TRIM(AB63)&lt;&gt;"",TRIM(AB63)&lt;&gt;"Closed"),"INVALID – corrective action not closed: use Fail, then Pass after CA","")&amp;IF(AND(TRIM(AA63)&lt;&gt;"",TRIM(AB63)=""),"INVALID – CA status missing for the recorded corrective action","")&amp;IF(AND(TRIM(U63)="Pass after CA",OR(TRIM(AA63)="",TRIM(AB63)&lt;&gt;"Closed")),"INVALID – corrective action not recorded/closed","")&lt;&gt;"",IF(AND(TRIM(U63)="Pass",ISNUMBER(AF63)),IF(AF63&lt;&gt;0,"INVALID – qty variance: use Fail or Pass after CA",""),"")&amp;IF(AND(TRIM(U63)="Pass",TRIM(AB63)&lt;&gt;"",TRIM(AB63)&lt;&gt;"Closed"),"INVALID – corrective action not closed: use Fail, then Pass after CA","")&amp;IF(AND(TRIM(AA63)&lt;&gt;"",TRIM(AB63)=""),"INVALID – CA status missing for the recorded corrective action","")&amp;IF(AND(TRIM(U63)="Pass after CA",OR(TRIM(AA63)="",TRIM(AB63)&lt;&gt;"Closed")),"INVALID – corrective action not recorded/closed",""),IF(AND(AS63=1,Documents!$J$6&lt;&gt;"ON FILE"),"INVALID – GLD not on file (Documents sheet)",IF(AND(AS63=2,Documents!$O$6&lt;&gt;"ON FILE"),"INVALID – menu checklist not on file (Documents sheet)",IF(AND(AS63=3,NOT(ISNUMBER(Flights!$AX$6))),"INVALID – enter carrying flight KUL departure (Flights AX)",IF(AND(AS63=3,OR(Flights!$AX$6&gt;=Flights!$AA$6,Flights!$AX$6&lt;Flights!$AA$6-3)),"INVALID – Flights AX must be before this leg's STD (within 3 days)",IF(AG63&gt;AsOfUTC,"INVALID – completion time is in the future",IF(AND(ISNUMBER(S63),AG63&lt;S63),IF(H63="Physical uplift","INVALID – before uplift window (cannot confirm loading)","INVALID – before valid window"),IF(AG63&gt;Flights!$AA$6,"INVALID – completed after departure (cannot establish readiness)",IF(AND(H63="Physical uplift",AG63&gt;Q63),"INVALID – recorded after the loading flight departed",IF(AG63&gt;Q63,"COMPLETE – LATE","COMPLETE")))))))))))))))))),IF(TRIM(U63)="Fail","FAIL – DISCREPANCY",IF(AND(TRIM(U63)&lt;&gt;"",TRIM(U63)&lt;&gt;"Not started",TRIM(U63)&lt;&gt;"In progress"),"INVALID – unrecognised status (use the list)",IF(AsOfUTC&gt;Q63,"OVERDUE",IF(N63="Clarification required","OPEN – CLARIFICATION","OPEN")))))))</f>
        <v>OPEN – CLARIFICATION</v>
      </c>
      <c r="AI63" s="61" t="n">
        <f aca="false">IF(OR(AH63="N/A – RULE",AH63="N/A – JUSTIFIED"),0,1)</f>
        <v>1</v>
      </c>
      <c r="AJ63" s="61" t="n">
        <f aca="false">IF(LEFT(AH63,8)="COMPLETE",1,0)</f>
        <v>0</v>
      </c>
      <c r="AK63" s="61" t="n">
        <f aca="false">IF(AND(AI63=1,AJ63=0,AsOfUTC&gt;Q63),1,0)</f>
        <v>0</v>
      </c>
      <c r="AL63" s="61" t="n">
        <f aca="false">IF(AND(AI63=1,OR(TRIM(U63)="Fail",AND(TRIM(AB63)&lt;&gt;"",TRIM(AB63)&lt;&gt;"Closed"),AND(ISNUMBER(AF63),AF63&lt;&gt;0,TRIM(U63)&lt;&gt;"Pass after CA"))),1,0)</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8" t="b">
        <f aca="false">TRUE()</f>
        <v>1</v>
      </c>
    </row>
    <row r="64" customFormat="false" ht="78.75" hidden="false" customHeight="true" outlineLevel="0" collapsed="false">
      <c r="A64" s="57" t="s">
        <v>510</v>
      </c>
      <c r="B64" s="57" t="s">
        <v>190</v>
      </c>
      <c r="C64" s="57" t="str">
        <f aca="false">Flights!$F$6</f>
        <v>MH0727</v>
      </c>
      <c r="D64" s="58" t="n">
        <f aca="false">Flights!$D$6</f>
        <v>46304</v>
      </c>
      <c r="E64" s="57" t="str">
        <f aca="false">Flights!$G$6&amp;"-"&amp;Flights!$H$6</f>
        <v>KUL-CGK</v>
      </c>
      <c r="F64" s="57" t="str">
        <f aca="false">Flights!$K$6</f>
        <v>BC</v>
      </c>
      <c r="G64" s="57" t="s">
        <v>424</v>
      </c>
      <c r="H64" s="57" t="s">
        <v>425</v>
      </c>
      <c r="I64" s="57" t="s">
        <v>464</v>
      </c>
      <c r="J64" s="57" t="s">
        <v>511</v>
      </c>
      <c r="K64" s="67" t="s">
        <v>466</v>
      </c>
      <c r="L64" s="67" t="s">
        <v>481</v>
      </c>
      <c r="M64" s="67" t="s">
        <v>416</v>
      </c>
      <c r="N64" s="67" t="s">
        <v>409</v>
      </c>
      <c r="O64" s="67" t="s">
        <v>509</v>
      </c>
      <c r="P64" s="57" t="s">
        <v>179</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59" t="n">
        <f aca="false">IF(ISNUMBER(Flights!$AY$6),MAX(Q64-UpliftWindowH/24,Flights!$AY$6+UpliftWindowH/24),Q64-UpliftWindowH/24)</f>
        <v>46304.3263888889</v>
      </c>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IF(N64="N/A – rule","N/A – RULE",IF(TRIM(U64)="N/A",IF(AT64=0,"INVALID – N/A not permitted for this mandatory check",IF(AND(TRIM(AC64)&lt;&gt;"",TRIM(AE64)&lt;&gt;"",TRIM(T64)&lt;&gt;"",TRIM(AE64)&lt;&gt;TRIM(T64)),"N/A – JUSTIFIED","INVALID – N/A needs justification, PIC and a different verifier")),IF(OR(TRIM(U64)="Pass",TRIM(U64)="Pass after CA"),IF(NOT(ISNUMBER(AD64)),"INVALID – completion time missing",IF(TRIM(T64)="","INVALID – PIC missing",IF(TRIM(V64)="","INVALID – result / assessment missing",IF(TRIM(Z64)="","INVALID – evidence missing",IF(TRIM(AE64)="","INVALID – verifier missing",IF(TRIM(AE64)=TRIM(T64),"INVALID – verifier must be someone other than the PIC",IF(AND(AQ64=1,TRIM(W64)=""),"INVALID – batch ID missing",IF(AND(AR64=1,OR(NOT(ISNUMBER(X64)),NOT(ISNUMBER(Y64)))),"INVALID – expected/actual qty missing",IF(IF(AND(TRIM(U64)="Pass",ISNUMBER(AF64)),IF(AF64&lt;&gt;0,"INVALID – qty variance: use Fail or Pass after CA",""),"")&amp;IF(AND(TRIM(U64)="Pass",TRIM(AB64)&lt;&gt;"",TRIM(AB64)&lt;&gt;"Closed"),"INVALID – corrective action not closed: use Fail, then Pass after CA","")&amp;IF(AND(TRIM(AA64)&lt;&gt;"",TRIM(AB64)=""),"INVALID – CA status missing for the recorded corrective action","")&amp;IF(AND(TRIM(U64)="Pass after CA",OR(TRIM(AA64)="",TRIM(AB64)&lt;&gt;"Closed")),"INVALID – corrective action not recorded/closed","")&lt;&gt;"",IF(AND(TRIM(U64)="Pass",ISNUMBER(AF64)),IF(AF64&lt;&gt;0,"INVALID – qty variance: use Fail or Pass after CA",""),"")&amp;IF(AND(TRIM(U64)="Pass",TRIM(AB64)&lt;&gt;"",TRIM(AB64)&lt;&gt;"Closed"),"INVALID – corrective action not closed: use Fail, then Pass after CA","")&amp;IF(AND(TRIM(AA64)&lt;&gt;"",TRIM(AB64)=""),"INVALID – CA status missing for the recorded corrective action","")&amp;IF(AND(TRIM(U64)="Pass after CA",OR(TRIM(AA64)="",TRIM(AB64)&lt;&gt;"Closed")),"INVALID – corrective action not recorded/closed",""),IF(AND(AS64=1,Documents!$J$6&lt;&gt;"ON FILE"),"INVALID – GLD not on file (Documents sheet)",IF(AND(AS64=2,Documents!$O$6&lt;&gt;"ON FILE"),"INVALID – menu checklist not on file (Documents sheet)",IF(AND(AS64=3,NOT(ISNUMBER(Flights!$AX$6))),"INVALID – enter carrying flight KUL departure (Flights AX)",IF(AND(AS64=3,OR(Flights!$AX$6&gt;=Flights!$AA$6,Flights!$AX$6&lt;Flights!$AA$6-3)),"INVALID – Flights AX must be before this leg's STD (within 3 days)",IF(AG64&gt;AsOfUTC,"INVALID – completion time is in the future",IF(AND(ISNUMBER(S64),AG64&lt;S64),IF(H64="Physical uplift","INVALID – before uplift window (cannot confirm loading)","INVALID – before valid window"),IF(AG64&gt;Flights!$AA$6,"INVALID – completed after departure (cannot establish readiness)",IF(AND(H64="Physical uplift",AG64&gt;Q64),"INVALID – recorded after the loading flight departed",IF(AG64&gt;Q64,"COMPLETE – LATE","COMPLETE")))))))))))))))))),IF(TRIM(U64)="Fail","FAIL – DISCREPANCY",IF(AND(TRIM(U64)&lt;&gt;"",TRIM(U64)&lt;&gt;"Not started",TRIM(U64)&lt;&gt;"In progress"),"INVALID – unrecognised status (use the list)",IF(AsOfUTC&gt;Q64,"OVERDUE",IF(N64="Clarification required","OPEN – CLARIFICATION","OPEN")))))))</f>
        <v>OPEN – CLARIFICATION</v>
      </c>
      <c r="AI64" s="61" t="n">
        <f aca="false">IF(OR(AH64="N/A – RULE",AH64="N/A – JUSTIFIED"),0,1)</f>
        <v>1</v>
      </c>
      <c r="AJ64" s="61" t="n">
        <f aca="false">IF(LEFT(AH64,8)="COMPLETE",1,0)</f>
        <v>0</v>
      </c>
      <c r="AK64" s="61" t="n">
        <f aca="false">IF(AND(AI64=1,AJ64=0,AsOfUTC&gt;Q64),1,0)</f>
        <v>0</v>
      </c>
      <c r="AL64" s="61" t="n">
        <f aca="false">IF(AND(AI64=1,OR(TRIM(U64)="Fail",AND(TRIM(AB64)&lt;&gt;"",TRIM(AB64)&lt;&gt;"Closed"),AND(ISNUMBER(AF64),AF64&lt;&gt;0,TRIM(U64)&lt;&gt;"Pass after CA"))),1,0)</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8" t="b">
        <f aca="false">TRUE()</f>
        <v>1</v>
      </c>
    </row>
    <row r="65" customFormat="false" ht="39.75" hidden="false" customHeight="true" outlineLevel="0" collapsed="false">
      <c r="A65" s="57" t="s">
        <v>512</v>
      </c>
      <c r="B65" s="57" t="s">
        <v>190</v>
      </c>
      <c r="C65" s="57" t="str">
        <f aca="false">Flights!$F$6</f>
        <v>MH0727</v>
      </c>
      <c r="D65" s="58" t="n">
        <f aca="false">Flights!$D$6</f>
        <v>46304</v>
      </c>
      <c r="E65" s="57" t="str">
        <f aca="false">Flights!$G$6&amp;"-"&amp;Flights!$H$6</f>
        <v>KUL-CGK</v>
      </c>
      <c r="F65" s="57" t="str">
        <f aca="false">Flights!$K$6</f>
        <v>BC</v>
      </c>
      <c r="G65" s="57" t="s">
        <v>424</v>
      </c>
      <c r="H65" s="57" t="s">
        <v>425</v>
      </c>
      <c r="I65" s="57" t="s">
        <v>464</v>
      </c>
      <c r="J65" s="57" t="s">
        <v>513</v>
      </c>
      <c r="K65" s="67" t="s">
        <v>484</v>
      </c>
      <c r="L65" s="67" t="s">
        <v>485</v>
      </c>
      <c r="M65" s="67" t="s">
        <v>416</v>
      </c>
      <c r="N65" s="67" t="s">
        <v>348</v>
      </c>
      <c r="O65" s="67" t="s">
        <v>514</v>
      </c>
      <c r="P65" s="57" t="s">
        <v>179</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59" t="n">
        <f aca="false">IF(ISNUMBER(Flights!$AY$6),MAX(Q65-UpliftWindowH/24,Flights!$AY$6+UpliftWindowH/24),Q65-UpliftWindowH/24)</f>
        <v>46304.3263888889</v>
      </c>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IF(N65="N/A – rule","N/A – RULE",IF(TRIM(U65)="N/A",IF(AT65=0,"INVALID – N/A not permitted for this mandatory check",IF(AND(TRIM(AC65)&lt;&gt;"",TRIM(AE65)&lt;&gt;"",TRIM(T65)&lt;&gt;"",TRIM(AE65)&lt;&gt;TRIM(T65)),"N/A – JUSTIFIED","INVALID – N/A needs justification, PIC and a different verifier")),IF(OR(TRIM(U65)="Pass",TRIM(U65)="Pass after CA"),IF(NOT(ISNUMBER(AD65)),"INVALID – completion time missing",IF(TRIM(T65)="","INVALID – PIC missing",IF(TRIM(V65)="","INVALID – result / assessment missing",IF(TRIM(Z65)="","INVALID – evidence missing",IF(TRIM(AE65)="","INVALID – verifier missing",IF(TRIM(AE65)=TRIM(T65),"INVALID – verifier must be someone other than the PIC",IF(AND(AQ65=1,TRIM(W65)=""),"INVALID – batch ID missing",IF(AND(AR65=1,OR(NOT(ISNUMBER(X65)),NOT(ISNUMBER(Y65)))),"INVALID – expected/actual qty missing",IF(IF(AND(TRIM(U65)="Pass",ISNUMBER(AF65)),IF(AF65&lt;&gt;0,"INVALID – qty variance: use Fail or Pass after CA",""),"")&amp;IF(AND(TRIM(U65)="Pass",TRIM(AB65)&lt;&gt;"",TRIM(AB65)&lt;&gt;"Closed"),"INVALID – corrective action not closed: use Fail, then Pass after CA","")&amp;IF(AND(TRIM(AA65)&lt;&gt;"",TRIM(AB65)=""),"INVALID – CA status missing for the recorded corrective action","")&amp;IF(AND(TRIM(U65)="Pass after CA",OR(TRIM(AA65)="",TRIM(AB65)&lt;&gt;"Closed")),"INVALID – corrective action not recorded/closed","")&lt;&gt;"",IF(AND(TRIM(U65)="Pass",ISNUMBER(AF65)),IF(AF65&lt;&gt;0,"INVALID – qty variance: use Fail or Pass after CA",""),"")&amp;IF(AND(TRIM(U65)="Pass",TRIM(AB65)&lt;&gt;"",TRIM(AB65)&lt;&gt;"Closed"),"INVALID – corrective action not closed: use Fail, then Pass after CA","")&amp;IF(AND(TRIM(AA65)&lt;&gt;"",TRIM(AB65)=""),"INVALID – CA status missing for the recorded corrective action","")&amp;IF(AND(TRIM(U65)="Pass after CA",OR(TRIM(AA65)="",TRIM(AB65)&lt;&gt;"Closed")),"INVALID – corrective action not recorded/closed",""),IF(AND(AS65=1,Documents!$J$6&lt;&gt;"ON FILE"),"INVALID – GLD not on file (Documents sheet)",IF(AND(AS65=2,Documents!$O$6&lt;&gt;"ON FILE"),"INVALID – menu checklist not on file (Documents sheet)",IF(AND(AS65=3,NOT(ISNUMBER(Flights!$AX$6))),"INVALID – enter carrying flight KUL departure (Flights AX)",IF(AND(AS65=3,OR(Flights!$AX$6&gt;=Flights!$AA$6,Flights!$AX$6&lt;Flights!$AA$6-3)),"INVALID – Flights AX must be before this leg's STD (within 3 days)",IF(AG65&gt;AsOfUTC,"INVALID – completion time is in the future",IF(AND(ISNUMBER(S65),AG65&lt;S65),IF(H65="Physical uplift","INVALID – before uplift window (cannot confirm loading)","INVALID – before valid window"),IF(AG65&gt;Flights!$AA$6,"INVALID – completed after departure (cannot establish readiness)",IF(AND(H65="Physical uplift",AG65&gt;Q65),"INVALID – recorded after the loading flight departed",IF(AG65&gt;Q65,"COMPLETE – LATE","COMPLETE")))))))))))))))))),IF(TRIM(U65)="Fail","FAIL – DISCREPANCY",IF(AND(TRIM(U65)&lt;&gt;"",TRIM(U65)&lt;&gt;"Not started",TRIM(U65)&lt;&gt;"In progress"),"INVALID – unrecognised status (use the list)",IF(AsOfUTC&gt;Q65,"OVERDUE",IF(N65="Clarification required","OPEN – CLARIFICATION","OPEN")))))))</f>
        <v>OPEN</v>
      </c>
      <c r="AI65" s="61" t="n">
        <f aca="false">IF(OR(AH65="N/A – RULE",AH65="N/A – JUSTIFIED"),0,1)</f>
        <v>1</v>
      </c>
      <c r="AJ65" s="61" t="n">
        <f aca="false">IF(LEFT(AH65,8)="COMPLETE",1,0)</f>
        <v>0</v>
      </c>
      <c r="AK65" s="61" t="n">
        <f aca="false">IF(AND(AI65=1,AJ65=0,AsOfUTC&gt;Q65),1,0)</f>
        <v>0</v>
      </c>
      <c r="AL65" s="61" t="n">
        <f aca="false">IF(AND(AI65=1,OR(TRIM(U65)="Fail",AND(TRIM(AB65)&lt;&gt;"",TRIM(AB65)&lt;&gt;"Closed"),AND(ISNUMBER(AF65),AF65&lt;&gt;0,TRIM(U65)&lt;&gt;"Pass after CA"))),1,0)</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8" t="b">
        <f aca="false">TRUE()</f>
        <v>1</v>
      </c>
    </row>
    <row r="66" customFormat="false" ht="39.75" hidden="false" customHeight="true" outlineLevel="0" collapsed="false">
      <c r="A66" s="57" t="s">
        <v>515</v>
      </c>
      <c r="B66" s="57" t="s">
        <v>190</v>
      </c>
      <c r="C66" s="57" t="str">
        <f aca="false">Flights!$F$6</f>
        <v>MH0727</v>
      </c>
      <c r="D66" s="58" t="n">
        <f aca="false">Flights!$D$6</f>
        <v>46304</v>
      </c>
      <c r="E66" s="57" t="str">
        <f aca="false">Flights!$G$6&amp;"-"&amp;Flights!$H$6</f>
        <v>KUL-CGK</v>
      </c>
      <c r="F66" s="57" t="str">
        <f aca="false">Flights!$K$6</f>
        <v>BC</v>
      </c>
      <c r="G66" s="57" t="s">
        <v>424</v>
      </c>
      <c r="H66" s="57" t="s">
        <v>425</v>
      </c>
      <c r="I66" s="57" t="s">
        <v>464</v>
      </c>
      <c r="J66" s="57" t="s">
        <v>516</v>
      </c>
      <c r="K66" s="67" t="s">
        <v>466</v>
      </c>
      <c r="L66" s="67" t="s">
        <v>489</v>
      </c>
      <c r="M66" s="67" t="s">
        <v>416</v>
      </c>
      <c r="N66" s="67" t="s">
        <v>348</v>
      </c>
      <c r="O66" s="67"/>
      <c r="P66" s="57" t="s">
        <v>179</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59" t="n">
        <f aca="false">IF(ISNUMBER(Flights!$AY$6),MAX(Q66-UpliftWindowH/24,Flights!$AY$6+UpliftWindowH/24),Q66-UpliftWindowH/24)</f>
        <v>46304.3263888889</v>
      </c>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IF(N66="N/A – rule","N/A – RULE",IF(TRIM(U66)="N/A",IF(AT66=0,"INVALID – N/A not permitted for this mandatory check",IF(AND(TRIM(AC66)&lt;&gt;"",TRIM(AE66)&lt;&gt;"",TRIM(T66)&lt;&gt;"",TRIM(AE66)&lt;&gt;TRIM(T66)),"N/A – JUSTIFIED","INVALID – N/A needs justification, PIC and a different verifier")),IF(OR(TRIM(U66)="Pass",TRIM(U66)="Pass after CA"),IF(NOT(ISNUMBER(AD66)),"INVALID – completion time missing",IF(TRIM(T66)="","INVALID – PIC missing",IF(TRIM(V66)="","INVALID – result / assessment missing",IF(TRIM(Z66)="","INVALID – evidence missing",IF(TRIM(AE66)="","INVALID – verifier missing",IF(TRIM(AE66)=TRIM(T66),"INVALID – verifier must be someone other than the PIC",IF(AND(AQ66=1,TRIM(W66)=""),"INVALID – batch ID missing",IF(AND(AR66=1,OR(NOT(ISNUMBER(X66)),NOT(ISNUMBER(Y66)))),"INVALID – expected/actual qty missing",IF(IF(AND(TRIM(U66)="Pass",ISNUMBER(AF66)),IF(AF66&lt;&gt;0,"INVALID – qty variance: use Fail or Pass after CA",""),"")&amp;IF(AND(TRIM(U66)="Pass",TRIM(AB66)&lt;&gt;"",TRIM(AB66)&lt;&gt;"Closed"),"INVALID – corrective action not closed: use Fail, then Pass after CA","")&amp;IF(AND(TRIM(AA66)&lt;&gt;"",TRIM(AB66)=""),"INVALID – CA status missing for the recorded corrective action","")&amp;IF(AND(TRIM(U66)="Pass after CA",OR(TRIM(AA66)="",TRIM(AB66)&lt;&gt;"Closed")),"INVALID – corrective action not recorded/closed","")&lt;&gt;"",IF(AND(TRIM(U66)="Pass",ISNUMBER(AF66)),IF(AF66&lt;&gt;0,"INVALID – qty variance: use Fail or Pass after CA",""),"")&amp;IF(AND(TRIM(U66)="Pass",TRIM(AB66)&lt;&gt;"",TRIM(AB66)&lt;&gt;"Closed"),"INVALID – corrective action not closed: use Fail, then Pass after CA","")&amp;IF(AND(TRIM(AA66)&lt;&gt;"",TRIM(AB66)=""),"INVALID – CA status missing for the recorded corrective action","")&amp;IF(AND(TRIM(U66)="Pass after CA",OR(TRIM(AA66)="",TRIM(AB66)&lt;&gt;"Closed")),"INVALID – corrective action not recorded/closed",""),IF(AND(AS66=1,Documents!$J$6&lt;&gt;"ON FILE"),"INVALID – GLD not on file (Documents sheet)",IF(AND(AS66=2,Documents!$O$6&lt;&gt;"ON FILE"),"INVALID – menu checklist not on file (Documents sheet)",IF(AND(AS66=3,NOT(ISNUMBER(Flights!$AX$6))),"INVALID – enter carrying flight KUL departure (Flights AX)",IF(AND(AS66=3,OR(Flights!$AX$6&gt;=Flights!$AA$6,Flights!$AX$6&lt;Flights!$AA$6-3)),"INVALID – Flights AX must be before this leg's STD (within 3 days)",IF(AG66&gt;AsOfUTC,"INVALID – completion time is in the future",IF(AND(ISNUMBER(S66),AG66&lt;S66),IF(H66="Physical uplift","INVALID – before uplift window (cannot confirm loading)","INVALID – before valid window"),IF(AG66&gt;Flights!$AA$6,"INVALID – completed after departure (cannot establish readiness)",IF(AND(H66="Physical uplift",AG66&gt;Q66),"INVALID – recorded after the loading flight departed",IF(AG66&gt;Q66,"COMPLETE – LATE","COMPLETE")))))))))))))))))),IF(TRIM(U66)="Fail","FAIL – DISCREPANCY",IF(AND(TRIM(U66)&lt;&gt;"",TRIM(U66)&lt;&gt;"Not started",TRIM(U66)&lt;&gt;"In progress"),"INVALID – unrecognised status (use the list)",IF(AsOfUTC&gt;Q66,"OVERDUE",IF(N66="Clarification required","OPEN – CLARIFICATION","OPEN")))))))</f>
        <v>OPEN</v>
      </c>
      <c r="AI66" s="61" t="n">
        <f aca="false">IF(OR(AH66="N/A – RULE",AH66="N/A – JUSTIFIED"),0,1)</f>
        <v>1</v>
      </c>
      <c r="AJ66" s="61" t="n">
        <f aca="false">IF(LEFT(AH66,8)="COMPLETE",1,0)</f>
        <v>0</v>
      </c>
      <c r="AK66" s="61" t="n">
        <f aca="false">IF(AND(AI66=1,AJ66=0,AsOfUTC&gt;Q66),1,0)</f>
        <v>0</v>
      </c>
      <c r="AL66" s="61" t="n">
        <f aca="false">IF(AND(AI66=1,OR(TRIM(U66)="Fail",AND(TRIM(AB66)&lt;&gt;"",TRIM(AB66)&lt;&gt;"Closed"),AND(ISNUMBER(AF66),AF66&lt;&gt;0,TRIM(U66)&lt;&gt;"Pass after CA"))),1,0)</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8" t="b">
        <f aca="false">TRUE()</f>
        <v>1</v>
      </c>
    </row>
    <row r="67" customFormat="false" ht="39.75" hidden="false" customHeight="true" outlineLevel="0" collapsed="false">
      <c r="A67" s="57" t="s">
        <v>517</v>
      </c>
      <c r="B67" s="57" t="s">
        <v>190</v>
      </c>
      <c r="C67" s="57" t="str">
        <f aca="false">Flights!$F$6</f>
        <v>MH0727</v>
      </c>
      <c r="D67" s="58" t="n">
        <f aca="false">Flights!$D$6</f>
        <v>46304</v>
      </c>
      <c r="E67" s="57" t="str">
        <f aca="false">Flights!$G$6&amp;"-"&amp;Flights!$H$6</f>
        <v>KUL-CGK</v>
      </c>
      <c r="F67" s="57" t="str">
        <f aca="false">Flights!$K$6</f>
        <v>BC</v>
      </c>
      <c r="G67" s="57" t="s">
        <v>424</v>
      </c>
      <c r="H67" s="57" t="s">
        <v>425</v>
      </c>
      <c r="I67" s="57" t="s">
        <v>412</v>
      </c>
      <c r="J67" s="57" t="s">
        <v>518</v>
      </c>
      <c r="K67" s="67" t="s">
        <v>414</v>
      </c>
      <c r="L67" s="67" t="s">
        <v>492</v>
      </c>
      <c r="M67" s="67" t="s">
        <v>416</v>
      </c>
      <c r="N67" s="67" t="s">
        <v>348</v>
      </c>
      <c r="O67" s="67"/>
      <c r="P67" s="57" t="s">
        <v>179</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59" t="n">
        <f aca="false">IF(ISNUMBER(Flights!$AY$6),MAX(Q67-UpliftWindowH/24,Flights!$AY$6+UpliftWindowH/24),Q67-UpliftWindowH/24)</f>
        <v>46304.3263888889</v>
      </c>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IF(N67="N/A – rule","N/A – RULE",IF(TRIM(U67)="N/A",IF(AT67=0,"INVALID – N/A not permitted for this mandatory check",IF(AND(TRIM(AC67)&lt;&gt;"",TRIM(AE67)&lt;&gt;"",TRIM(T67)&lt;&gt;"",TRIM(AE67)&lt;&gt;TRIM(T67)),"N/A – JUSTIFIED","INVALID – N/A needs justification, PIC and a different verifier")),IF(OR(TRIM(U67)="Pass",TRIM(U67)="Pass after CA"),IF(NOT(ISNUMBER(AD67)),"INVALID – completion time missing",IF(TRIM(T67)="","INVALID – PIC missing",IF(TRIM(V67)="","INVALID – result / assessment missing",IF(TRIM(Z67)="","INVALID – evidence missing",IF(TRIM(AE67)="","INVALID – verifier missing",IF(TRIM(AE67)=TRIM(T67),"INVALID – verifier must be someone other than the PIC",IF(AND(AQ67=1,TRIM(W67)=""),"INVALID – batch ID missing",IF(AND(AR67=1,OR(NOT(ISNUMBER(X67)),NOT(ISNUMBER(Y67)))),"INVALID – expected/actual qty missing",IF(IF(AND(TRIM(U67)="Pass",ISNUMBER(AF67)),IF(AF67&lt;&gt;0,"INVALID – qty variance: use Fail or Pass after CA",""),"")&amp;IF(AND(TRIM(U67)="Pass",TRIM(AB67)&lt;&gt;"",TRIM(AB67)&lt;&gt;"Closed"),"INVALID – corrective action not closed: use Fail, then Pass after CA","")&amp;IF(AND(TRIM(AA67)&lt;&gt;"",TRIM(AB67)=""),"INVALID – CA status missing for the recorded corrective action","")&amp;IF(AND(TRIM(U67)="Pass after CA",OR(TRIM(AA67)="",TRIM(AB67)&lt;&gt;"Closed")),"INVALID – corrective action not recorded/closed","")&lt;&gt;"",IF(AND(TRIM(U67)="Pass",ISNUMBER(AF67)),IF(AF67&lt;&gt;0,"INVALID – qty variance: use Fail or Pass after CA",""),"")&amp;IF(AND(TRIM(U67)="Pass",TRIM(AB67)&lt;&gt;"",TRIM(AB67)&lt;&gt;"Closed"),"INVALID – corrective action not closed: use Fail, then Pass after CA","")&amp;IF(AND(TRIM(AA67)&lt;&gt;"",TRIM(AB67)=""),"INVALID – CA status missing for the recorded corrective action","")&amp;IF(AND(TRIM(U67)="Pass after CA",OR(TRIM(AA67)="",TRIM(AB67)&lt;&gt;"Closed")),"INVALID – corrective action not recorded/closed",""),IF(AND(AS67=1,Documents!$J$6&lt;&gt;"ON FILE"),"INVALID – GLD not on file (Documents sheet)",IF(AND(AS67=2,Documents!$O$6&lt;&gt;"ON FILE"),"INVALID – menu checklist not on file (Documents sheet)",IF(AND(AS67=3,NOT(ISNUMBER(Flights!$AX$6))),"INVALID – enter carrying flight KUL departure (Flights AX)",IF(AND(AS67=3,OR(Flights!$AX$6&gt;=Flights!$AA$6,Flights!$AX$6&lt;Flights!$AA$6-3)),"INVALID – Flights AX must be before this leg's STD (within 3 days)",IF(AG67&gt;AsOfUTC,"INVALID – completion time is in the future",IF(AND(ISNUMBER(S67),AG67&lt;S67),IF(H67="Physical uplift","INVALID – before uplift window (cannot confirm loading)","INVALID – before valid window"),IF(AG67&gt;Flights!$AA$6,"INVALID – completed after departure (cannot establish readiness)",IF(AND(H67="Physical uplift",AG67&gt;Q67),"INVALID – recorded after the loading flight departed",IF(AG67&gt;Q67,"COMPLETE – LATE","COMPLETE")))))))))))))))))),IF(TRIM(U67)="Fail","FAIL – DISCREPANCY",IF(AND(TRIM(U67)&lt;&gt;"",TRIM(U67)&lt;&gt;"Not started",TRIM(U67)&lt;&gt;"In progress"),"INVALID – unrecognised status (use the list)",IF(AsOfUTC&gt;Q67,"OVERDUE",IF(N67="Clarification required","OPEN – CLARIFICATION","OPEN")))))))</f>
        <v>OPEN</v>
      </c>
      <c r="AI67" s="61" t="n">
        <f aca="false">IF(OR(AH67="N/A – RULE",AH67="N/A – JUSTIFIED"),0,1)</f>
        <v>1</v>
      </c>
      <c r="AJ67" s="61" t="n">
        <f aca="false">IF(LEFT(AH67,8)="COMPLETE",1,0)</f>
        <v>0</v>
      </c>
      <c r="AK67" s="61" t="n">
        <f aca="false">IF(AND(AI67=1,AJ67=0,AsOfUTC&gt;Q67),1,0)</f>
        <v>0</v>
      </c>
      <c r="AL67" s="61" t="n">
        <f aca="false">IF(AND(AI67=1,OR(TRIM(U67)="Fail",AND(TRIM(AB67)&lt;&gt;"",TRIM(AB67)&lt;&gt;"Closed"),AND(ISNUMBER(AF67),AF67&lt;&gt;0,TRIM(U67)&lt;&gt;"Pass after CA"))),1,0)</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8" t="b">
        <f aca="false">TRUE()</f>
        <v>1</v>
      </c>
    </row>
    <row r="68" customFormat="false" ht="39.75" hidden="false" customHeight="true" outlineLevel="0" collapsed="false">
      <c r="A68" s="57" t="s">
        <v>519</v>
      </c>
      <c r="B68" s="57" t="s">
        <v>190</v>
      </c>
      <c r="C68" s="57" t="str">
        <f aca="false">Flights!$F$6</f>
        <v>MH0727</v>
      </c>
      <c r="D68" s="58" t="n">
        <f aca="false">Flights!$D$6</f>
        <v>46304</v>
      </c>
      <c r="E68" s="57" t="str">
        <f aca="false">Flights!$G$6&amp;"-"&amp;Flights!$H$6</f>
        <v>KUL-CGK</v>
      </c>
      <c r="F68" s="57" t="str">
        <f aca="false">Flights!$K$6</f>
        <v>BC</v>
      </c>
      <c r="G68" s="57" t="s">
        <v>424</v>
      </c>
      <c r="H68" s="57" t="s">
        <v>425</v>
      </c>
      <c r="I68" s="57" t="s">
        <v>412</v>
      </c>
      <c r="J68" s="57" t="s">
        <v>520</v>
      </c>
      <c r="K68" s="67" t="s">
        <v>414</v>
      </c>
      <c r="L68" s="67" t="s">
        <v>495</v>
      </c>
      <c r="M68" s="67" t="s">
        <v>416</v>
      </c>
      <c r="N68" s="67" t="s">
        <v>348</v>
      </c>
      <c r="O68" s="67"/>
      <c r="P68" s="57" t="s">
        <v>179</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59" t="n">
        <f aca="false">IF(ISNUMBER(Flights!$AY$6),MAX(Q68-UpliftWindowH/24,Flights!$AY$6+UpliftWindowH/24),Q68-UpliftWindowH/24)</f>
        <v>46304.3263888889</v>
      </c>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IF(N68="N/A – rule","N/A – RULE",IF(TRIM(U68)="N/A",IF(AT68=0,"INVALID – N/A not permitted for this mandatory check",IF(AND(TRIM(AC68)&lt;&gt;"",TRIM(AE68)&lt;&gt;"",TRIM(T68)&lt;&gt;"",TRIM(AE68)&lt;&gt;TRIM(T68)),"N/A – JUSTIFIED","INVALID – N/A needs justification, PIC and a different verifier")),IF(OR(TRIM(U68)="Pass",TRIM(U68)="Pass after CA"),IF(NOT(ISNUMBER(AD68)),"INVALID – completion time missing",IF(TRIM(T68)="","INVALID – PIC missing",IF(TRIM(V68)="","INVALID – result / assessment missing",IF(TRIM(Z68)="","INVALID – evidence missing",IF(TRIM(AE68)="","INVALID – verifier missing",IF(TRIM(AE68)=TRIM(T68),"INVALID – verifier must be someone other than the PIC",IF(AND(AQ68=1,TRIM(W68)=""),"INVALID – batch ID missing",IF(AND(AR68=1,OR(NOT(ISNUMBER(X68)),NOT(ISNUMBER(Y68)))),"INVALID – expected/actual qty missing",IF(IF(AND(TRIM(U68)="Pass",ISNUMBER(AF68)),IF(AF68&lt;&gt;0,"INVALID – qty variance: use Fail or Pass after CA",""),"")&amp;IF(AND(TRIM(U68)="Pass",TRIM(AB68)&lt;&gt;"",TRIM(AB68)&lt;&gt;"Closed"),"INVALID – corrective action not closed: use Fail, then Pass after CA","")&amp;IF(AND(TRIM(AA68)&lt;&gt;"",TRIM(AB68)=""),"INVALID – CA status missing for the recorded corrective action","")&amp;IF(AND(TRIM(U68)="Pass after CA",OR(TRIM(AA68)="",TRIM(AB68)&lt;&gt;"Closed")),"INVALID – corrective action not recorded/closed","")&lt;&gt;"",IF(AND(TRIM(U68)="Pass",ISNUMBER(AF68)),IF(AF68&lt;&gt;0,"INVALID – qty variance: use Fail or Pass after CA",""),"")&amp;IF(AND(TRIM(U68)="Pass",TRIM(AB68)&lt;&gt;"",TRIM(AB68)&lt;&gt;"Closed"),"INVALID – corrective action not closed: use Fail, then Pass after CA","")&amp;IF(AND(TRIM(AA68)&lt;&gt;"",TRIM(AB68)=""),"INVALID – CA status missing for the recorded corrective action","")&amp;IF(AND(TRIM(U68)="Pass after CA",OR(TRIM(AA68)="",TRIM(AB68)&lt;&gt;"Closed")),"INVALID – corrective action not recorded/closed",""),IF(AND(AS68=1,Documents!$J$6&lt;&gt;"ON FILE"),"INVALID – GLD not on file (Documents sheet)",IF(AND(AS68=2,Documents!$O$6&lt;&gt;"ON FILE"),"INVALID – menu checklist not on file (Documents sheet)",IF(AND(AS68=3,NOT(ISNUMBER(Flights!$AX$6))),"INVALID – enter carrying flight KUL departure (Flights AX)",IF(AND(AS68=3,OR(Flights!$AX$6&gt;=Flights!$AA$6,Flights!$AX$6&lt;Flights!$AA$6-3)),"INVALID – Flights AX must be before this leg's STD (within 3 days)",IF(AG68&gt;AsOfUTC,"INVALID – completion time is in the future",IF(AND(ISNUMBER(S68),AG68&lt;S68),IF(H68="Physical uplift","INVALID – before uplift window (cannot confirm loading)","INVALID – before valid window"),IF(AG68&gt;Flights!$AA$6,"INVALID – completed after departure (cannot establish readiness)",IF(AND(H68="Physical uplift",AG68&gt;Q68),"INVALID – recorded after the loading flight departed",IF(AG68&gt;Q68,"COMPLETE – LATE","COMPLETE")))))))))))))))))),IF(TRIM(U68)="Fail","FAIL – DISCREPANCY",IF(AND(TRIM(U68)&lt;&gt;"",TRIM(U68)&lt;&gt;"Not started",TRIM(U68)&lt;&gt;"In progress"),"INVALID – unrecognised status (use the list)",IF(AsOfUTC&gt;Q68,"OVERDUE",IF(N68="Clarification required","OPEN – CLARIFICATION","OPEN")))))))</f>
        <v>OPEN</v>
      </c>
      <c r="AI68" s="61" t="n">
        <f aca="false">IF(OR(AH68="N/A – RULE",AH68="N/A – JUSTIFIED"),0,1)</f>
        <v>1</v>
      </c>
      <c r="AJ68" s="61" t="n">
        <f aca="false">IF(LEFT(AH68,8)="COMPLETE",1,0)</f>
        <v>0</v>
      </c>
      <c r="AK68" s="61" t="n">
        <f aca="false">IF(AND(AI68=1,AJ68=0,AsOfUTC&gt;Q68),1,0)</f>
        <v>0</v>
      </c>
      <c r="AL68" s="61" t="n">
        <f aca="false">IF(AND(AI68=1,OR(TRIM(U68)="Fail",AND(TRIM(AB68)&lt;&gt;"",TRIM(AB68)&lt;&gt;"Closed"),AND(ISNUMBER(AF68),AF68&lt;&gt;0,TRIM(U68)&lt;&gt;"Pass after CA"))),1,0)</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8" t="b">
        <f aca="false">TRUE()</f>
        <v>1</v>
      </c>
    </row>
    <row r="69" customFormat="false" ht="39.75" hidden="false" customHeight="true" outlineLevel="0" collapsed="false">
      <c r="A69" s="57" t="s">
        <v>521</v>
      </c>
      <c r="B69" s="57" t="s">
        <v>204</v>
      </c>
      <c r="C69" s="57" t="str">
        <f aca="false">Flights!$F$7</f>
        <v>MH0720</v>
      </c>
      <c r="D69" s="58" t="n">
        <f aca="false">Flights!$D$7</f>
        <v>46305</v>
      </c>
      <c r="E69" s="57" t="str">
        <f aca="false">Flights!$G$7&amp;"-"&amp;Flights!$H$7</f>
        <v>CGK-KUL</v>
      </c>
      <c r="F69" s="57" t="str">
        <f aca="false">Flights!$K$7</f>
        <v>EY</v>
      </c>
      <c r="G69" s="57" t="s">
        <v>76</v>
      </c>
      <c r="H69" s="57" t="s">
        <v>343</v>
      </c>
      <c r="I69" s="57" t="s">
        <v>344</v>
      </c>
      <c r="J69" s="57" t="s">
        <v>345</v>
      </c>
      <c r="K69" s="67" t="s">
        <v>346</v>
      </c>
      <c r="L69" s="67" t="s">
        <v>347</v>
      </c>
      <c r="M69" s="67"/>
      <c r="N69" s="67" t="s">
        <v>348</v>
      </c>
      <c r="O69" s="67"/>
      <c r="P69" s="57" t="s">
        <v>193</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59" t="n">
        <f aca="false">Q69-T7EarlyD*24/24</f>
        <v>46284.3784722222</v>
      </c>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IF(N69="N/A – rule","N/A – RULE",IF(TRIM(U69)="N/A",IF(AT69=0,"INVALID – N/A not permitted for this mandatory check",IF(AND(TRIM(AC69)&lt;&gt;"",TRIM(AE69)&lt;&gt;"",TRIM(T69)&lt;&gt;"",TRIM(AE69)&lt;&gt;TRIM(T69)),"N/A – JUSTIFIED","INVALID – N/A needs justification, PIC and a different verifier")),IF(OR(TRIM(U69)="Pass",TRIM(U69)="Pass after CA"),IF(NOT(ISNUMBER(AD69)),"INVALID – completion time missing",IF(TRIM(T69)="","INVALID – PIC missing",IF(TRIM(V69)="","INVALID – result / assessment missing",IF(TRIM(Z69)="","INVALID – evidence missing",IF(TRIM(AE69)="","INVALID – verifier missing",IF(TRIM(AE69)=TRIM(T69),"INVALID – verifier must be someone other than the PIC",IF(AND(AQ69=1,TRIM(W69)=""),"INVALID – batch ID missing",IF(AND(AR69=1,OR(NOT(ISNUMBER(X69)),NOT(ISNUMBER(Y69)))),"INVALID – expected/actual qty missing",IF(IF(AND(TRIM(U69)="Pass",ISNUMBER(AF69)),IF(AF69&lt;&gt;0,"INVALID – qty variance: use Fail or Pass after CA",""),"")&amp;IF(AND(TRIM(U69)="Pass",TRIM(AB69)&lt;&gt;"",TRIM(AB69)&lt;&gt;"Closed"),"INVALID – corrective action not closed: use Fail, then Pass after CA","")&amp;IF(AND(TRIM(AA69)&lt;&gt;"",TRIM(AB69)=""),"INVALID – CA status missing for the recorded corrective action","")&amp;IF(AND(TRIM(U69)="Pass after CA",OR(TRIM(AA69)="",TRIM(AB69)&lt;&gt;"Closed")),"INVALID – corrective action not recorded/closed","")&lt;&gt;"",IF(AND(TRIM(U69)="Pass",ISNUMBER(AF69)),IF(AF69&lt;&gt;0,"INVALID – qty variance: use Fail or Pass after CA",""),"")&amp;IF(AND(TRIM(U69)="Pass",TRIM(AB69)&lt;&gt;"",TRIM(AB69)&lt;&gt;"Closed"),"INVALID – corrective action not closed: use Fail, then Pass after CA","")&amp;IF(AND(TRIM(AA69)&lt;&gt;"",TRIM(AB69)=""),"INVALID – CA status missing for the recorded corrective action","")&amp;IF(AND(TRIM(U69)="Pass after CA",OR(TRIM(AA69)="",TRIM(AB69)&lt;&gt;"Closed")),"INVALID – corrective action not recorded/closed",""),IF(AND(AS69=1,Documents!$J$7&lt;&gt;"ON FILE"),"INVALID – GLD not on file (Documents sheet)",IF(AND(AS69=2,Documents!$O$7&lt;&gt;"ON FILE"),"INVALID – menu checklist not on file (Documents sheet)",IF(AND(AS69=3,NOT(ISNUMBER(Flights!$AX$7))),"INVALID – enter carrying flight KUL departure (Flights AX)",IF(AND(AS69=3,OR(Flights!$AX$7&gt;=Flights!$AA$7,Flights!$AX$7&lt;Flights!$AA$7-3)),"INVALID – Flights AX must be before this leg's STD (within 3 days)",IF(AG69&gt;AsOfUTC,"INVALID – completion time is in the future",IF(AND(ISNUMBER(S69),AG69&lt;S69),IF(H69="Physical uplift","INVALID – before uplift window (cannot confirm loading)","INVALID – before valid window"),IF(AG69&gt;Flights!$AA$7,"INVALID – completed after departure (cannot establish readiness)",IF(AND(H69="Physical uplift",AG69&gt;Q69),"INVALID – recorded after the loading flight departed",IF(AG69&gt;Q69,"COMPLETE – LATE","COMPLETE")))))))))))))))))),IF(TRIM(U69)="Fail","FAIL – DISCREPANCY",IF(AND(TRIM(U69)&lt;&gt;"",TRIM(U69)&lt;&gt;"Not started",TRIM(U69)&lt;&gt;"In progress"),"INVALID – unrecognised status (use the list)",IF(AsOfUTC&gt;Q69,"OVERDUE",IF(N69="Clarification required","OPEN – CLARIFICATION","OPEN")))))))</f>
        <v>OPEN</v>
      </c>
      <c r="AI69" s="61" t="n">
        <f aca="false">IF(OR(AH69="N/A – RULE",AH69="N/A – JUSTIFIED"),0,1)</f>
        <v>1</v>
      </c>
      <c r="AJ69" s="61" t="n">
        <f aca="false">IF(LEFT(AH69,8)="COMPLETE",1,0)</f>
        <v>0</v>
      </c>
      <c r="AK69" s="61" t="n">
        <f aca="false">IF(AND(AI69=1,AJ69=0,AsOfUTC&gt;Q69),1,0)</f>
        <v>0</v>
      </c>
      <c r="AL69" s="61" t="n">
        <f aca="false">IF(AND(AI69=1,OR(TRIM(U69)="Fail",AND(TRIM(AB69)&lt;&gt;"",TRIM(AB69)&lt;&gt;"Closed"),AND(ISNUMBER(AF69),AF69&lt;&gt;0,TRIM(U69)&lt;&gt;"Pass after CA"))),1,0)</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row>
    <row r="70" customFormat="false" ht="39.75" hidden="false" customHeight="true" outlineLevel="0" collapsed="false">
      <c r="A70" s="57" t="s">
        <v>522</v>
      </c>
      <c r="B70" s="57" t="s">
        <v>204</v>
      </c>
      <c r="C70" s="57" t="str">
        <f aca="false">Flights!$F$7</f>
        <v>MH0720</v>
      </c>
      <c r="D70" s="58" t="n">
        <f aca="false">Flights!$D$7</f>
        <v>46305</v>
      </c>
      <c r="E70" s="57" t="str">
        <f aca="false">Flights!$G$7&amp;"-"&amp;Flights!$H$7</f>
        <v>CGK-KUL</v>
      </c>
      <c r="F70" s="57" t="str">
        <f aca="false">Flights!$K$7</f>
        <v>EY</v>
      </c>
      <c r="G70" s="57" t="s">
        <v>76</v>
      </c>
      <c r="H70" s="57" t="s">
        <v>343</v>
      </c>
      <c r="I70" s="57" t="s">
        <v>350</v>
      </c>
      <c r="J70" s="57" t="s">
        <v>351</v>
      </c>
      <c r="K70" s="67" t="s">
        <v>352</v>
      </c>
      <c r="L70" s="67" t="s">
        <v>347</v>
      </c>
      <c r="M70" s="67"/>
      <c r="N70" s="67" t="s">
        <v>348</v>
      </c>
      <c r="O70" s="67"/>
      <c r="P70" s="57" t="s">
        <v>193</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59" t="n">
        <f aca="false">Q70-T7EarlyD*24/24</f>
        <v>46284.3784722222</v>
      </c>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IF(N70="N/A – rule","N/A – RULE",IF(TRIM(U70)="N/A",IF(AT70=0,"INVALID – N/A not permitted for this mandatory check",IF(AND(TRIM(AC70)&lt;&gt;"",TRIM(AE70)&lt;&gt;"",TRIM(T70)&lt;&gt;"",TRIM(AE70)&lt;&gt;TRIM(T70)),"N/A – JUSTIFIED","INVALID – N/A needs justification, PIC and a different verifier")),IF(OR(TRIM(U70)="Pass",TRIM(U70)="Pass after CA"),IF(NOT(ISNUMBER(AD70)),"INVALID – completion time missing",IF(TRIM(T70)="","INVALID – PIC missing",IF(TRIM(V70)="","INVALID – result / assessment missing",IF(TRIM(Z70)="","INVALID – evidence missing",IF(TRIM(AE70)="","INVALID – verifier missing",IF(TRIM(AE70)=TRIM(T70),"INVALID – verifier must be someone other than the PIC",IF(AND(AQ70=1,TRIM(W70)=""),"INVALID – batch ID missing",IF(AND(AR70=1,OR(NOT(ISNUMBER(X70)),NOT(ISNUMBER(Y70)))),"INVALID – expected/actual qty missing",IF(IF(AND(TRIM(U70)="Pass",ISNUMBER(AF70)),IF(AF70&lt;&gt;0,"INVALID – qty variance: use Fail or Pass after CA",""),"")&amp;IF(AND(TRIM(U70)="Pass",TRIM(AB70)&lt;&gt;"",TRIM(AB70)&lt;&gt;"Closed"),"INVALID – corrective action not closed: use Fail, then Pass after CA","")&amp;IF(AND(TRIM(AA70)&lt;&gt;"",TRIM(AB70)=""),"INVALID – CA status missing for the recorded corrective action","")&amp;IF(AND(TRIM(U70)="Pass after CA",OR(TRIM(AA70)="",TRIM(AB70)&lt;&gt;"Closed")),"INVALID – corrective action not recorded/closed","")&lt;&gt;"",IF(AND(TRIM(U70)="Pass",ISNUMBER(AF70)),IF(AF70&lt;&gt;0,"INVALID – qty variance: use Fail or Pass after CA",""),"")&amp;IF(AND(TRIM(U70)="Pass",TRIM(AB70)&lt;&gt;"",TRIM(AB70)&lt;&gt;"Closed"),"INVALID – corrective action not closed: use Fail, then Pass after CA","")&amp;IF(AND(TRIM(AA70)&lt;&gt;"",TRIM(AB70)=""),"INVALID – CA status missing for the recorded corrective action","")&amp;IF(AND(TRIM(U70)="Pass after CA",OR(TRIM(AA70)="",TRIM(AB70)&lt;&gt;"Closed")),"INVALID – corrective action not recorded/closed",""),IF(AND(AS70=1,Documents!$J$7&lt;&gt;"ON FILE"),"INVALID – GLD not on file (Documents sheet)",IF(AND(AS70=2,Documents!$O$7&lt;&gt;"ON FILE"),"INVALID – menu checklist not on file (Documents sheet)",IF(AND(AS70=3,NOT(ISNUMBER(Flights!$AX$7))),"INVALID – enter carrying flight KUL departure (Flights AX)",IF(AND(AS70=3,OR(Flights!$AX$7&gt;=Flights!$AA$7,Flights!$AX$7&lt;Flights!$AA$7-3)),"INVALID – Flights AX must be before this leg's STD (within 3 days)",IF(AG70&gt;AsOfUTC,"INVALID – completion time is in the future",IF(AND(ISNUMBER(S70),AG70&lt;S70),IF(H70="Physical uplift","INVALID – before uplift window (cannot confirm loading)","INVALID – before valid window"),IF(AG70&gt;Flights!$AA$7,"INVALID – completed after departure (cannot establish readiness)",IF(AND(H70="Physical uplift",AG70&gt;Q70),"INVALID – recorded after the loading flight departed",IF(AG70&gt;Q70,"COMPLETE – LATE","COMPLETE")))))))))))))))))),IF(TRIM(U70)="Fail","FAIL – DISCREPANCY",IF(AND(TRIM(U70)&lt;&gt;"",TRIM(U70)&lt;&gt;"Not started",TRIM(U70)&lt;&gt;"In progress"),"INVALID – unrecognised status (use the list)",IF(AsOfUTC&gt;Q70,"OVERDUE",IF(N70="Clarification required","OPEN – CLARIFICATION","OPEN")))))))</f>
        <v>OPEN</v>
      </c>
      <c r="AI70" s="61" t="n">
        <f aca="false">IF(OR(AH70="N/A – RULE",AH70="N/A – JUSTIFIED"),0,1)</f>
        <v>1</v>
      </c>
      <c r="AJ70" s="61" t="n">
        <f aca="false">IF(LEFT(AH70,8)="COMPLETE",1,0)</f>
        <v>0</v>
      </c>
      <c r="AK70" s="61" t="n">
        <f aca="false">IF(AND(AI70=1,AJ70=0,AsOfUTC&gt;Q70),1,0)</f>
        <v>0</v>
      </c>
      <c r="AL70" s="61" t="n">
        <f aca="false">IF(AND(AI70=1,OR(TRIM(U70)="Fail",AND(TRIM(AB70)&lt;&gt;"",TRIM(AB70)&lt;&gt;"Closed"),AND(ISNUMBER(AF70),AF70&lt;&gt;0,TRIM(U70)&lt;&gt;"Pass after CA"))),1,0)</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8" t="b">
        <f aca="false">TRUE()</f>
        <v>1</v>
      </c>
    </row>
    <row r="71" customFormat="false" ht="41.25" hidden="false" customHeight="true" outlineLevel="0" collapsed="false">
      <c r="A71" s="57" t="s">
        <v>523</v>
      </c>
      <c r="B71" s="57" t="s">
        <v>204</v>
      </c>
      <c r="C71" s="57" t="str">
        <f aca="false">Flights!$F$7</f>
        <v>MH0720</v>
      </c>
      <c r="D71" s="58" t="n">
        <f aca="false">Flights!$D$7</f>
        <v>46305</v>
      </c>
      <c r="E71" s="57" t="str">
        <f aca="false">Flights!$G$7&amp;"-"&amp;Flights!$H$7</f>
        <v>CGK-KUL</v>
      </c>
      <c r="F71" s="57" t="str">
        <f aca="false">Flights!$K$7</f>
        <v>EY</v>
      </c>
      <c r="G71" s="57" t="s">
        <v>76</v>
      </c>
      <c r="H71" s="57" t="s">
        <v>343</v>
      </c>
      <c r="I71" s="57" t="s">
        <v>354</v>
      </c>
      <c r="J71" s="57" t="s">
        <v>355</v>
      </c>
      <c r="K71" s="67" t="s">
        <v>356</v>
      </c>
      <c r="L71" s="67" t="s">
        <v>347</v>
      </c>
      <c r="M71" s="67"/>
      <c r="N71" s="67" t="str">
        <f aca="false">IF(TRIM(Flights!$L$7)="A339","Required","N/A – rule")</f>
        <v>N/A – rule</v>
      </c>
      <c r="O71" s="67" t="s">
        <v>357</v>
      </c>
      <c r="P71" s="57" t="s">
        <v>193</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59" t="n">
        <f aca="false">Q71-T7EarlyD*24/24</f>
        <v>46284.3784722222</v>
      </c>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IF(N71="N/A – rule","N/A – RULE",IF(TRIM(U71)="N/A",IF(AT71=0,"INVALID – N/A not permitted for this mandatory check",IF(AND(TRIM(AC71)&lt;&gt;"",TRIM(AE71)&lt;&gt;"",TRIM(T71)&lt;&gt;"",TRIM(AE71)&lt;&gt;TRIM(T71)),"N/A – JUSTIFIED","INVALID – N/A needs justification, PIC and a different verifier")),IF(OR(TRIM(U71)="Pass",TRIM(U71)="Pass after CA"),IF(NOT(ISNUMBER(AD71)),"INVALID – completion time missing",IF(TRIM(T71)="","INVALID – PIC missing",IF(TRIM(V71)="","INVALID – result / assessment missing",IF(TRIM(Z71)="","INVALID – evidence missing",IF(TRIM(AE71)="","INVALID – verifier missing",IF(TRIM(AE71)=TRIM(T71),"INVALID – verifier must be someone other than the PIC",IF(AND(AQ71=1,TRIM(W71)=""),"INVALID – batch ID missing",IF(AND(AR71=1,OR(NOT(ISNUMBER(X71)),NOT(ISNUMBER(Y71)))),"INVALID – expected/actual qty missing",IF(IF(AND(TRIM(U71)="Pass",ISNUMBER(AF71)),IF(AF71&lt;&gt;0,"INVALID – qty variance: use Fail or Pass after CA",""),"")&amp;IF(AND(TRIM(U71)="Pass",TRIM(AB71)&lt;&gt;"",TRIM(AB71)&lt;&gt;"Closed"),"INVALID – corrective action not closed: use Fail, then Pass after CA","")&amp;IF(AND(TRIM(AA71)&lt;&gt;"",TRIM(AB71)=""),"INVALID – CA status missing for the recorded corrective action","")&amp;IF(AND(TRIM(U71)="Pass after CA",OR(TRIM(AA71)="",TRIM(AB71)&lt;&gt;"Closed")),"INVALID – corrective action not recorded/closed","")&lt;&gt;"",IF(AND(TRIM(U71)="Pass",ISNUMBER(AF71)),IF(AF71&lt;&gt;0,"INVALID – qty variance: use Fail or Pass after CA",""),"")&amp;IF(AND(TRIM(U71)="Pass",TRIM(AB71)&lt;&gt;"",TRIM(AB71)&lt;&gt;"Closed"),"INVALID – corrective action not closed: use Fail, then Pass after CA","")&amp;IF(AND(TRIM(AA71)&lt;&gt;"",TRIM(AB71)=""),"INVALID – CA status missing for the recorded corrective action","")&amp;IF(AND(TRIM(U71)="Pass after CA",OR(TRIM(AA71)="",TRIM(AB71)&lt;&gt;"Closed")),"INVALID – corrective action not recorded/closed",""),IF(AND(AS71=1,Documents!$J$7&lt;&gt;"ON FILE"),"INVALID – GLD not on file (Documents sheet)",IF(AND(AS71=2,Documents!$O$7&lt;&gt;"ON FILE"),"INVALID – menu checklist not on file (Documents sheet)",IF(AND(AS71=3,NOT(ISNUMBER(Flights!$AX$7))),"INVALID – enter carrying flight KUL departure (Flights AX)",IF(AND(AS71=3,OR(Flights!$AX$7&gt;=Flights!$AA$7,Flights!$AX$7&lt;Flights!$AA$7-3)),"INVALID – Flights AX must be before this leg's STD (within 3 days)",IF(AG71&gt;AsOfUTC,"INVALID – completion time is in the future",IF(AND(ISNUMBER(S71),AG71&lt;S71),IF(H71="Physical uplift","INVALID – before uplift window (cannot confirm loading)","INVALID – before valid window"),IF(AG71&gt;Flights!$AA$7,"INVALID – completed after departure (cannot establish readiness)",IF(AND(H71="Physical uplift",AG71&gt;Q71),"INVALID – recorded after the loading flight departed",IF(AG71&gt;Q71,"COMPLETE – LATE","COMPLETE")))))))))))))))))),IF(TRIM(U71)="Fail","FAIL – DISCREPANCY",IF(AND(TRIM(U71)&lt;&gt;"",TRIM(U71)&lt;&gt;"Not started",TRIM(U71)&lt;&gt;"In progress"),"INVALID – unrecognised status (use the list)",IF(AsOfUTC&gt;Q71,"OVERDUE",IF(N71="Clarification required","OPEN – CLARIFICATION","OPEN")))))))</f>
        <v>N/A – RULE</v>
      </c>
      <c r="AI71" s="61" t="n">
        <f aca="false">IF(OR(AH71="N/A – RULE",AH71="N/A – JUSTIFIED"),0,1)</f>
        <v>0</v>
      </c>
      <c r="AJ71" s="61" t="n">
        <f aca="false">IF(LEFT(AH71,8)="COMPLETE",1,0)</f>
        <v>0</v>
      </c>
      <c r="AK71" s="61" t="n">
        <f aca="false">IF(AND(AI71=1,AJ71=0,AsOfUTC&gt;Q71),1,0)</f>
        <v>0</v>
      </c>
      <c r="AL71" s="61" t="n">
        <f aca="false">IF(AND(AI71=1,OR(TRIM(U71)="Fail",AND(TRIM(AB71)&lt;&gt;"",TRIM(AB71)&lt;&gt;"Closed"),AND(ISNUMBER(AF71),AF71&lt;&gt;0,TRIM(U71)&lt;&gt;"Pass after CA"))),1,0)</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row>
    <row r="72" customFormat="false" ht="39.75" hidden="false" customHeight="true" outlineLevel="0" collapsed="false">
      <c r="A72" s="57" t="s">
        <v>524</v>
      </c>
      <c r="B72" s="57" t="s">
        <v>204</v>
      </c>
      <c r="C72" s="57" t="str">
        <f aca="false">Flights!$F$7</f>
        <v>MH0720</v>
      </c>
      <c r="D72" s="58" t="n">
        <f aca="false">Flights!$D$7</f>
        <v>46305</v>
      </c>
      <c r="E72" s="57" t="str">
        <f aca="false">Flights!$G$7&amp;"-"&amp;Flights!$H$7</f>
        <v>CGK-KUL</v>
      </c>
      <c r="F72" s="57" t="str">
        <f aca="false">Flights!$K$7</f>
        <v>EY</v>
      </c>
      <c r="G72" s="57" t="s">
        <v>76</v>
      </c>
      <c r="H72" s="57" t="s">
        <v>343</v>
      </c>
      <c r="I72" s="57" t="s">
        <v>359</v>
      </c>
      <c r="J72" s="57" t="s">
        <v>360</v>
      </c>
      <c r="K72" s="67" t="s">
        <v>361</v>
      </c>
      <c r="L72" s="67" t="s">
        <v>347</v>
      </c>
      <c r="M72" s="67"/>
      <c r="N72" s="67" t="s">
        <v>348</v>
      </c>
      <c r="O72" s="67"/>
      <c r="P72" s="57" t="s">
        <v>193</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59" t="n">
        <f aca="false">Q72-T7EarlyD*24/24</f>
        <v>46284.3784722222</v>
      </c>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IF(N72="N/A – rule","N/A – RULE",IF(TRIM(U72)="N/A",IF(AT72=0,"INVALID – N/A not permitted for this mandatory check",IF(AND(TRIM(AC72)&lt;&gt;"",TRIM(AE72)&lt;&gt;"",TRIM(T72)&lt;&gt;"",TRIM(AE72)&lt;&gt;TRIM(T72)),"N/A – JUSTIFIED","INVALID – N/A needs justification, PIC and a different verifier")),IF(OR(TRIM(U72)="Pass",TRIM(U72)="Pass after CA"),IF(NOT(ISNUMBER(AD72)),"INVALID – completion time missing",IF(TRIM(T72)="","INVALID – PIC missing",IF(TRIM(V72)="","INVALID – result / assessment missing",IF(TRIM(Z72)="","INVALID – evidence missing",IF(TRIM(AE72)="","INVALID – verifier missing",IF(TRIM(AE72)=TRIM(T72),"INVALID – verifier must be someone other than the PIC",IF(AND(AQ72=1,TRIM(W72)=""),"INVALID – batch ID missing",IF(AND(AR72=1,OR(NOT(ISNUMBER(X72)),NOT(ISNUMBER(Y72)))),"INVALID – expected/actual qty missing",IF(IF(AND(TRIM(U72)="Pass",ISNUMBER(AF72)),IF(AF72&lt;&gt;0,"INVALID – qty variance: use Fail or Pass after CA",""),"")&amp;IF(AND(TRIM(U72)="Pass",TRIM(AB72)&lt;&gt;"",TRIM(AB72)&lt;&gt;"Closed"),"INVALID – corrective action not closed: use Fail, then Pass after CA","")&amp;IF(AND(TRIM(AA72)&lt;&gt;"",TRIM(AB72)=""),"INVALID – CA status missing for the recorded corrective action","")&amp;IF(AND(TRIM(U72)="Pass after CA",OR(TRIM(AA72)="",TRIM(AB72)&lt;&gt;"Closed")),"INVALID – corrective action not recorded/closed","")&lt;&gt;"",IF(AND(TRIM(U72)="Pass",ISNUMBER(AF72)),IF(AF72&lt;&gt;0,"INVALID – qty variance: use Fail or Pass after CA",""),"")&amp;IF(AND(TRIM(U72)="Pass",TRIM(AB72)&lt;&gt;"",TRIM(AB72)&lt;&gt;"Closed"),"INVALID – corrective action not closed: use Fail, then Pass after CA","")&amp;IF(AND(TRIM(AA72)&lt;&gt;"",TRIM(AB72)=""),"INVALID – CA status missing for the recorded corrective action","")&amp;IF(AND(TRIM(U72)="Pass after CA",OR(TRIM(AA72)="",TRIM(AB72)&lt;&gt;"Closed")),"INVALID – corrective action not recorded/closed",""),IF(AND(AS72=1,Documents!$J$7&lt;&gt;"ON FILE"),"INVALID – GLD not on file (Documents sheet)",IF(AND(AS72=2,Documents!$O$7&lt;&gt;"ON FILE"),"INVALID – menu checklist not on file (Documents sheet)",IF(AND(AS72=3,NOT(ISNUMBER(Flights!$AX$7))),"INVALID – enter carrying flight KUL departure (Flights AX)",IF(AND(AS72=3,OR(Flights!$AX$7&gt;=Flights!$AA$7,Flights!$AX$7&lt;Flights!$AA$7-3)),"INVALID – Flights AX must be before this leg's STD (within 3 days)",IF(AG72&gt;AsOfUTC,"INVALID – completion time is in the future",IF(AND(ISNUMBER(S72),AG72&lt;S72),IF(H72="Physical uplift","INVALID – before uplift window (cannot confirm loading)","INVALID – before valid window"),IF(AG72&gt;Flights!$AA$7,"INVALID – completed after departure (cannot establish readiness)",IF(AND(H72="Physical uplift",AG72&gt;Q72),"INVALID – recorded after the loading flight departed",IF(AG72&gt;Q72,"COMPLETE – LATE","COMPLETE")))))))))))))))))),IF(TRIM(U72)="Fail","FAIL – DISCREPANCY",IF(AND(TRIM(U72)&lt;&gt;"",TRIM(U72)&lt;&gt;"Not started",TRIM(U72)&lt;&gt;"In progress"),"INVALID – unrecognised status (use the list)",IF(AsOfUTC&gt;Q72,"OVERDUE",IF(N72="Clarification required","OPEN – CLARIFICATION","OPEN")))))))</f>
        <v>OPEN</v>
      </c>
      <c r="AI72" s="61" t="n">
        <f aca="false">IF(OR(AH72="N/A – RULE",AH72="N/A – JUSTIFIED"),0,1)</f>
        <v>1</v>
      </c>
      <c r="AJ72" s="61" t="n">
        <f aca="false">IF(LEFT(AH72,8)="COMPLETE",1,0)</f>
        <v>0</v>
      </c>
      <c r="AK72" s="61" t="n">
        <f aca="false">IF(AND(AI72=1,AJ72=0,AsOfUTC&gt;Q72),1,0)</f>
        <v>0</v>
      </c>
      <c r="AL72" s="61" t="n">
        <f aca="false">IF(AND(AI72=1,OR(TRIM(U72)="Fail",AND(TRIM(AB72)&lt;&gt;"",TRIM(AB72)&lt;&gt;"Closed"),AND(ISNUMBER(AF72),AF72&lt;&gt;0,TRIM(U72)&lt;&gt;"Pass after CA"))),1,0)</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row>
    <row r="73" customFormat="false" ht="39.75" hidden="false" customHeight="true" outlineLevel="0" collapsed="false">
      <c r="A73" s="57" t="s">
        <v>525</v>
      </c>
      <c r="B73" s="57" t="s">
        <v>204</v>
      </c>
      <c r="C73" s="57" t="str">
        <f aca="false">Flights!$F$7</f>
        <v>MH0720</v>
      </c>
      <c r="D73" s="58" t="n">
        <f aca="false">Flights!$D$7</f>
        <v>46305</v>
      </c>
      <c r="E73" s="57" t="str">
        <f aca="false">Flights!$G$7&amp;"-"&amp;Flights!$H$7</f>
        <v>CGK-KUL</v>
      </c>
      <c r="F73" s="57" t="str">
        <f aca="false">Flights!$K$7</f>
        <v>EY</v>
      </c>
      <c r="G73" s="57" t="s">
        <v>76</v>
      </c>
      <c r="H73" s="57" t="s">
        <v>343</v>
      </c>
      <c r="I73" s="57" t="s">
        <v>363</v>
      </c>
      <c r="J73" s="57" t="s">
        <v>364</v>
      </c>
      <c r="K73" s="67" t="s">
        <v>365</v>
      </c>
      <c r="L73" s="67" t="s">
        <v>347</v>
      </c>
      <c r="M73" s="67"/>
      <c r="N73" s="67" t="s">
        <v>348</v>
      </c>
      <c r="O73" s="67"/>
      <c r="P73" s="57" t="s">
        <v>193</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59" t="n">
        <f aca="false">Q73-T7EarlyD*24/24</f>
        <v>46284.3784722222</v>
      </c>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IF(N73="N/A – rule","N/A – RULE",IF(TRIM(U73)="N/A",IF(AT73=0,"INVALID – N/A not permitted for this mandatory check",IF(AND(TRIM(AC73)&lt;&gt;"",TRIM(AE73)&lt;&gt;"",TRIM(T73)&lt;&gt;"",TRIM(AE73)&lt;&gt;TRIM(T73)),"N/A – JUSTIFIED","INVALID – N/A needs justification, PIC and a different verifier")),IF(OR(TRIM(U73)="Pass",TRIM(U73)="Pass after CA"),IF(NOT(ISNUMBER(AD73)),"INVALID – completion time missing",IF(TRIM(T73)="","INVALID – PIC missing",IF(TRIM(V73)="","INVALID – result / assessment missing",IF(TRIM(Z73)="","INVALID – evidence missing",IF(TRIM(AE73)="","INVALID – verifier missing",IF(TRIM(AE73)=TRIM(T73),"INVALID – verifier must be someone other than the PIC",IF(AND(AQ73=1,TRIM(W73)=""),"INVALID – batch ID missing",IF(AND(AR73=1,OR(NOT(ISNUMBER(X73)),NOT(ISNUMBER(Y73)))),"INVALID – expected/actual qty missing",IF(IF(AND(TRIM(U73)="Pass",ISNUMBER(AF73)),IF(AF73&lt;&gt;0,"INVALID – qty variance: use Fail or Pass after CA",""),"")&amp;IF(AND(TRIM(U73)="Pass",TRIM(AB73)&lt;&gt;"",TRIM(AB73)&lt;&gt;"Closed"),"INVALID – corrective action not closed: use Fail, then Pass after CA","")&amp;IF(AND(TRIM(AA73)&lt;&gt;"",TRIM(AB73)=""),"INVALID – CA status missing for the recorded corrective action","")&amp;IF(AND(TRIM(U73)="Pass after CA",OR(TRIM(AA73)="",TRIM(AB73)&lt;&gt;"Closed")),"INVALID – corrective action not recorded/closed","")&lt;&gt;"",IF(AND(TRIM(U73)="Pass",ISNUMBER(AF73)),IF(AF73&lt;&gt;0,"INVALID – qty variance: use Fail or Pass after CA",""),"")&amp;IF(AND(TRIM(U73)="Pass",TRIM(AB73)&lt;&gt;"",TRIM(AB73)&lt;&gt;"Closed"),"INVALID – corrective action not closed: use Fail, then Pass after CA","")&amp;IF(AND(TRIM(AA73)&lt;&gt;"",TRIM(AB73)=""),"INVALID – CA status missing for the recorded corrective action","")&amp;IF(AND(TRIM(U73)="Pass after CA",OR(TRIM(AA73)="",TRIM(AB73)&lt;&gt;"Closed")),"INVALID – corrective action not recorded/closed",""),IF(AND(AS73=1,Documents!$J$7&lt;&gt;"ON FILE"),"INVALID – GLD not on file (Documents sheet)",IF(AND(AS73=2,Documents!$O$7&lt;&gt;"ON FILE"),"INVALID – menu checklist not on file (Documents sheet)",IF(AND(AS73=3,NOT(ISNUMBER(Flights!$AX$7))),"INVALID – enter carrying flight KUL departure (Flights AX)",IF(AND(AS73=3,OR(Flights!$AX$7&gt;=Flights!$AA$7,Flights!$AX$7&lt;Flights!$AA$7-3)),"INVALID – Flights AX must be before this leg's STD (within 3 days)",IF(AG73&gt;AsOfUTC,"INVALID – completion time is in the future",IF(AND(ISNUMBER(S73),AG73&lt;S73),IF(H73="Physical uplift","INVALID – before uplift window (cannot confirm loading)","INVALID – before valid window"),IF(AG73&gt;Flights!$AA$7,"INVALID – completed after departure (cannot establish readiness)",IF(AND(H73="Physical uplift",AG73&gt;Q73),"INVALID – recorded after the loading flight departed",IF(AG73&gt;Q73,"COMPLETE – LATE","COMPLETE")))))))))))))))))),IF(TRIM(U73)="Fail","FAIL – DISCREPANCY",IF(AND(TRIM(U73)&lt;&gt;"",TRIM(U73)&lt;&gt;"Not started",TRIM(U73)&lt;&gt;"In progress"),"INVALID – unrecognised status (use the list)",IF(AsOfUTC&gt;Q73,"OVERDUE",IF(N73="Clarification required","OPEN – CLARIFICATION","OPEN")))))))</f>
        <v>OPEN</v>
      </c>
      <c r="AI73" s="61" t="n">
        <f aca="false">IF(OR(AH73="N/A – RULE",AH73="N/A – JUSTIFIED"),0,1)</f>
        <v>1</v>
      </c>
      <c r="AJ73" s="61" t="n">
        <f aca="false">IF(LEFT(AH73,8)="COMPLETE",1,0)</f>
        <v>0</v>
      </c>
      <c r="AK73" s="61" t="n">
        <f aca="false">IF(AND(AI73=1,AJ73=0,AsOfUTC&gt;Q73),1,0)</f>
        <v>0</v>
      </c>
      <c r="AL73" s="61" t="n">
        <f aca="false">IF(AND(AI73=1,OR(TRIM(U73)="Fail",AND(TRIM(AB73)&lt;&gt;"",TRIM(AB73)&lt;&gt;"Closed"),AND(ISNUMBER(AF73),AF73&lt;&gt;0,TRIM(U73)&lt;&gt;"Pass after CA"))),1,0)</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row>
    <row r="74" customFormat="false" ht="39.75" hidden="false" customHeight="true" outlineLevel="0" collapsed="false">
      <c r="A74" s="57" t="s">
        <v>526</v>
      </c>
      <c r="B74" s="57" t="s">
        <v>204</v>
      </c>
      <c r="C74" s="57" t="str">
        <f aca="false">Flights!$F$7</f>
        <v>MH0720</v>
      </c>
      <c r="D74" s="58" t="n">
        <f aca="false">Flights!$D$7</f>
        <v>46305</v>
      </c>
      <c r="E74" s="57" t="str">
        <f aca="false">Flights!$G$7&amp;"-"&amp;Flights!$H$7</f>
        <v>CGK-KUL</v>
      </c>
      <c r="F74" s="57" t="str">
        <f aca="false">Flights!$K$7</f>
        <v>EY</v>
      </c>
      <c r="G74" s="57" t="s">
        <v>76</v>
      </c>
      <c r="H74" s="57" t="s">
        <v>343</v>
      </c>
      <c r="I74" s="57" t="s">
        <v>363</v>
      </c>
      <c r="J74" s="57" t="s">
        <v>367</v>
      </c>
      <c r="K74" s="67" t="s">
        <v>368</v>
      </c>
      <c r="L74" s="67" t="s">
        <v>347</v>
      </c>
      <c r="M74" s="67"/>
      <c r="N74" s="67" t="s">
        <v>348</v>
      </c>
      <c r="O74" s="67"/>
      <c r="P74" s="57" t="s">
        <v>193</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59" t="n">
        <f aca="false">Q74-T7EarlyD*24/24</f>
        <v>46284.3784722222</v>
      </c>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IF(N74="N/A – rule","N/A – RULE",IF(TRIM(U74)="N/A",IF(AT74=0,"INVALID – N/A not permitted for this mandatory check",IF(AND(TRIM(AC74)&lt;&gt;"",TRIM(AE74)&lt;&gt;"",TRIM(T74)&lt;&gt;"",TRIM(AE74)&lt;&gt;TRIM(T74)),"N/A – JUSTIFIED","INVALID – N/A needs justification, PIC and a different verifier")),IF(OR(TRIM(U74)="Pass",TRIM(U74)="Pass after CA"),IF(NOT(ISNUMBER(AD74)),"INVALID – completion time missing",IF(TRIM(T74)="","INVALID – PIC missing",IF(TRIM(V74)="","INVALID – result / assessment missing",IF(TRIM(Z74)="","INVALID – evidence missing",IF(TRIM(AE74)="","INVALID – verifier missing",IF(TRIM(AE74)=TRIM(T74),"INVALID – verifier must be someone other than the PIC",IF(AND(AQ74=1,TRIM(W74)=""),"INVALID – batch ID missing",IF(AND(AR74=1,OR(NOT(ISNUMBER(X74)),NOT(ISNUMBER(Y74)))),"INVALID – expected/actual qty missing",IF(IF(AND(TRIM(U74)="Pass",ISNUMBER(AF74)),IF(AF74&lt;&gt;0,"INVALID – qty variance: use Fail or Pass after CA",""),"")&amp;IF(AND(TRIM(U74)="Pass",TRIM(AB74)&lt;&gt;"",TRIM(AB74)&lt;&gt;"Closed"),"INVALID – corrective action not closed: use Fail, then Pass after CA","")&amp;IF(AND(TRIM(AA74)&lt;&gt;"",TRIM(AB74)=""),"INVALID – CA status missing for the recorded corrective action","")&amp;IF(AND(TRIM(U74)="Pass after CA",OR(TRIM(AA74)="",TRIM(AB74)&lt;&gt;"Closed")),"INVALID – corrective action not recorded/closed","")&lt;&gt;"",IF(AND(TRIM(U74)="Pass",ISNUMBER(AF74)),IF(AF74&lt;&gt;0,"INVALID – qty variance: use Fail or Pass after CA",""),"")&amp;IF(AND(TRIM(U74)="Pass",TRIM(AB74)&lt;&gt;"",TRIM(AB74)&lt;&gt;"Closed"),"INVALID – corrective action not closed: use Fail, then Pass after CA","")&amp;IF(AND(TRIM(AA74)&lt;&gt;"",TRIM(AB74)=""),"INVALID – CA status missing for the recorded corrective action","")&amp;IF(AND(TRIM(U74)="Pass after CA",OR(TRIM(AA74)="",TRIM(AB74)&lt;&gt;"Closed")),"INVALID – corrective action not recorded/closed",""),IF(AND(AS74=1,Documents!$J$7&lt;&gt;"ON FILE"),"INVALID – GLD not on file (Documents sheet)",IF(AND(AS74=2,Documents!$O$7&lt;&gt;"ON FILE"),"INVALID – menu checklist not on file (Documents sheet)",IF(AND(AS74=3,NOT(ISNUMBER(Flights!$AX$7))),"INVALID – enter carrying flight KUL departure (Flights AX)",IF(AND(AS74=3,OR(Flights!$AX$7&gt;=Flights!$AA$7,Flights!$AX$7&lt;Flights!$AA$7-3)),"INVALID – Flights AX must be before this leg's STD (within 3 days)",IF(AG74&gt;AsOfUTC,"INVALID – completion time is in the future",IF(AND(ISNUMBER(S74),AG74&lt;S74),IF(H74="Physical uplift","INVALID – before uplift window (cannot confirm loading)","INVALID – before valid window"),IF(AG74&gt;Flights!$AA$7,"INVALID – completed after departure (cannot establish readiness)",IF(AND(H74="Physical uplift",AG74&gt;Q74),"INVALID – recorded after the loading flight departed",IF(AG74&gt;Q74,"COMPLETE – LATE","COMPLETE")))))))))))))))))),IF(TRIM(U74)="Fail","FAIL – DISCREPANCY",IF(AND(TRIM(U74)&lt;&gt;"",TRIM(U74)&lt;&gt;"Not started",TRIM(U74)&lt;&gt;"In progress"),"INVALID – unrecognised status (use the list)",IF(AsOfUTC&gt;Q74,"OVERDUE",IF(N74="Clarification required","OPEN – CLARIFICATION","OPEN")))))))</f>
        <v>OPEN</v>
      </c>
      <c r="AI74" s="61" t="n">
        <f aca="false">IF(OR(AH74="N/A – RULE",AH74="N/A – JUSTIFIED"),0,1)</f>
        <v>1</v>
      </c>
      <c r="AJ74" s="61" t="n">
        <f aca="false">IF(LEFT(AH74,8)="COMPLETE",1,0)</f>
        <v>0</v>
      </c>
      <c r="AK74" s="61" t="n">
        <f aca="false">IF(AND(AI74=1,AJ74=0,AsOfUTC&gt;Q74),1,0)</f>
        <v>0</v>
      </c>
      <c r="AL74" s="61" t="n">
        <f aca="false">IF(AND(AI74=1,OR(TRIM(U74)="Fail",AND(TRIM(AB74)&lt;&gt;"",TRIM(AB74)&lt;&gt;"Closed"),AND(ISNUMBER(AF74),AF74&lt;&gt;0,TRIM(U74)&lt;&gt;"Pass after CA"))),1,0)</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row>
    <row r="75" customFormat="false" ht="39.75" hidden="false" customHeight="true" outlineLevel="0" collapsed="false">
      <c r="A75" s="57" t="s">
        <v>527</v>
      </c>
      <c r="B75" s="57" t="s">
        <v>204</v>
      </c>
      <c r="C75" s="57" t="str">
        <f aca="false">Flights!$F$7</f>
        <v>MH0720</v>
      </c>
      <c r="D75" s="58" t="n">
        <f aca="false">Flights!$D$7</f>
        <v>46305</v>
      </c>
      <c r="E75" s="57" t="str">
        <f aca="false">Flights!$G$7&amp;"-"&amp;Flights!$H$7</f>
        <v>CGK-KUL</v>
      </c>
      <c r="F75" s="57" t="str">
        <f aca="false">Flights!$K$7</f>
        <v>EY</v>
      </c>
      <c r="G75" s="57" t="s">
        <v>76</v>
      </c>
      <c r="H75" s="57" t="s">
        <v>343</v>
      </c>
      <c r="I75" s="57" t="s">
        <v>370</v>
      </c>
      <c r="J75" s="57" t="s">
        <v>371</v>
      </c>
      <c r="K75" s="67" t="s">
        <v>372</v>
      </c>
      <c r="L75" s="67" t="s">
        <v>347</v>
      </c>
      <c r="M75" s="67"/>
      <c r="N75" s="67" t="s">
        <v>348</v>
      </c>
      <c r="O75" s="67"/>
      <c r="P75" s="57" t="s">
        <v>193</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59" t="n">
        <f aca="false">Q75-T7EarlyD*24/24</f>
        <v>46284.3784722222</v>
      </c>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IF(N75="N/A – rule","N/A – RULE",IF(TRIM(U75)="N/A",IF(AT75=0,"INVALID – N/A not permitted for this mandatory check",IF(AND(TRIM(AC75)&lt;&gt;"",TRIM(AE75)&lt;&gt;"",TRIM(T75)&lt;&gt;"",TRIM(AE75)&lt;&gt;TRIM(T75)),"N/A – JUSTIFIED","INVALID – N/A needs justification, PIC and a different verifier")),IF(OR(TRIM(U75)="Pass",TRIM(U75)="Pass after CA"),IF(NOT(ISNUMBER(AD75)),"INVALID – completion time missing",IF(TRIM(T75)="","INVALID – PIC missing",IF(TRIM(V75)="","INVALID – result / assessment missing",IF(TRIM(Z75)="","INVALID – evidence missing",IF(TRIM(AE75)="","INVALID – verifier missing",IF(TRIM(AE75)=TRIM(T75),"INVALID – verifier must be someone other than the PIC",IF(AND(AQ75=1,TRIM(W75)=""),"INVALID – batch ID missing",IF(AND(AR75=1,OR(NOT(ISNUMBER(X75)),NOT(ISNUMBER(Y75)))),"INVALID – expected/actual qty missing",IF(IF(AND(TRIM(U75)="Pass",ISNUMBER(AF75)),IF(AF75&lt;&gt;0,"INVALID – qty variance: use Fail or Pass after CA",""),"")&amp;IF(AND(TRIM(U75)="Pass",TRIM(AB75)&lt;&gt;"",TRIM(AB75)&lt;&gt;"Closed"),"INVALID – corrective action not closed: use Fail, then Pass after CA","")&amp;IF(AND(TRIM(AA75)&lt;&gt;"",TRIM(AB75)=""),"INVALID – CA status missing for the recorded corrective action","")&amp;IF(AND(TRIM(U75)="Pass after CA",OR(TRIM(AA75)="",TRIM(AB75)&lt;&gt;"Closed")),"INVALID – corrective action not recorded/closed","")&lt;&gt;"",IF(AND(TRIM(U75)="Pass",ISNUMBER(AF75)),IF(AF75&lt;&gt;0,"INVALID – qty variance: use Fail or Pass after CA",""),"")&amp;IF(AND(TRIM(U75)="Pass",TRIM(AB75)&lt;&gt;"",TRIM(AB75)&lt;&gt;"Closed"),"INVALID – corrective action not closed: use Fail, then Pass after CA","")&amp;IF(AND(TRIM(AA75)&lt;&gt;"",TRIM(AB75)=""),"INVALID – CA status missing for the recorded corrective action","")&amp;IF(AND(TRIM(U75)="Pass after CA",OR(TRIM(AA75)="",TRIM(AB75)&lt;&gt;"Closed")),"INVALID – corrective action not recorded/closed",""),IF(AND(AS75=1,Documents!$J$7&lt;&gt;"ON FILE"),"INVALID – GLD not on file (Documents sheet)",IF(AND(AS75=2,Documents!$O$7&lt;&gt;"ON FILE"),"INVALID – menu checklist not on file (Documents sheet)",IF(AND(AS75=3,NOT(ISNUMBER(Flights!$AX$7))),"INVALID – enter carrying flight KUL departure (Flights AX)",IF(AND(AS75=3,OR(Flights!$AX$7&gt;=Flights!$AA$7,Flights!$AX$7&lt;Flights!$AA$7-3)),"INVALID – Flights AX must be before this leg's STD (within 3 days)",IF(AG75&gt;AsOfUTC,"INVALID – completion time is in the future",IF(AND(ISNUMBER(S75),AG75&lt;S75),IF(H75="Physical uplift","INVALID – before uplift window (cannot confirm loading)","INVALID – before valid window"),IF(AG75&gt;Flights!$AA$7,"INVALID – completed after departure (cannot establish readiness)",IF(AND(H75="Physical uplift",AG75&gt;Q75),"INVALID – recorded after the loading flight departed",IF(AG75&gt;Q75,"COMPLETE – LATE","COMPLETE")))))))))))))))))),IF(TRIM(U75)="Fail","FAIL – DISCREPANCY",IF(AND(TRIM(U75)&lt;&gt;"",TRIM(U75)&lt;&gt;"Not started",TRIM(U75)&lt;&gt;"In progress"),"INVALID – unrecognised status (use the list)",IF(AsOfUTC&gt;Q75,"OVERDUE",IF(N75="Clarification required","OPEN – CLARIFICATION","OPEN")))))))</f>
        <v>OPEN</v>
      </c>
      <c r="AI75" s="61" t="n">
        <f aca="false">IF(OR(AH75="N/A – RULE",AH75="N/A – JUSTIFIED"),0,1)</f>
        <v>1</v>
      </c>
      <c r="AJ75" s="61" t="n">
        <f aca="false">IF(LEFT(AH75,8)="COMPLETE",1,0)</f>
        <v>0</v>
      </c>
      <c r="AK75" s="61" t="n">
        <f aca="false">IF(AND(AI75=1,AJ75=0,AsOfUTC&gt;Q75),1,0)</f>
        <v>0</v>
      </c>
      <c r="AL75" s="61" t="n">
        <f aca="false">IF(AND(AI75=1,OR(TRIM(U75)="Fail",AND(TRIM(AB75)&lt;&gt;"",TRIM(AB75)&lt;&gt;"Closed"),AND(ISNUMBER(AF75),AF75&lt;&gt;0,TRIM(U75)&lt;&gt;"Pass after CA"))),1,0)</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row>
    <row r="76" customFormat="false" ht="39.75" hidden="false" customHeight="true" outlineLevel="0" collapsed="false">
      <c r="A76" s="57" t="s">
        <v>528</v>
      </c>
      <c r="B76" s="57" t="s">
        <v>204</v>
      </c>
      <c r="C76" s="57" t="str">
        <f aca="false">Flights!$F$7</f>
        <v>MH0720</v>
      </c>
      <c r="D76" s="58" t="n">
        <f aca="false">Flights!$D$7</f>
        <v>46305</v>
      </c>
      <c r="E76" s="57" t="str">
        <f aca="false">Flights!$G$7&amp;"-"&amp;Flights!$H$7</f>
        <v>CGK-KUL</v>
      </c>
      <c r="F76" s="57" t="str">
        <f aca="false">Flights!$K$7</f>
        <v>EY</v>
      </c>
      <c r="G76" s="57" t="s">
        <v>76</v>
      </c>
      <c r="H76" s="57" t="s">
        <v>343</v>
      </c>
      <c r="I76" s="57" t="s">
        <v>370</v>
      </c>
      <c r="J76" s="57" t="s">
        <v>374</v>
      </c>
      <c r="K76" s="67" t="s">
        <v>372</v>
      </c>
      <c r="L76" s="67" t="s">
        <v>347</v>
      </c>
      <c r="M76" s="67"/>
      <c r="N76" s="67" t="s">
        <v>348</v>
      </c>
      <c r="O76" s="67"/>
      <c r="P76" s="57" t="s">
        <v>193</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59" t="n">
        <f aca="false">Q76-T7EarlyD*24/24</f>
        <v>46284.3784722222</v>
      </c>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IF(N76="N/A – rule","N/A – RULE",IF(TRIM(U76)="N/A",IF(AT76=0,"INVALID – N/A not permitted for this mandatory check",IF(AND(TRIM(AC76)&lt;&gt;"",TRIM(AE76)&lt;&gt;"",TRIM(T76)&lt;&gt;"",TRIM(AE76)&lt;&gt;TRIM(T76)),"N/A – JUSTIFIED","INVALID – N/A needs justification, PIC and a different verifier")),IF(OR(TRIM(U76)="Pass",TRIM(U76)="Pass after CA"),IF(NOT(ISNUMBER(AD76)),"INVALID – completion time missing",IF(TRIM(T76)="","INVALID – PIC missing",IF(TRIM(V76)="","INVALID – result / assessment missing",IF(TRIM(Z76)="","INVALID – evidence missing",IF(TRIM(AE76)="","INVALID – verifier missing",IF(TRIM(AE76)=TRIM(T76),"INVALID – verifier must be someone other than the PIC",IF(AND(AQ76=1,TRIM(W76)=""),"INVALID – batch ID missing",IF(AND(AR76=1,OR(NOT(ISNUMBER(X76)),NOT(ISNUMBER(Y76)))),"INVALID – expected/actual qty missing",IF(IF(AND(TRIM(U76)="Pass",ISNUMBER(AF76)),IF(AF76&lt;&gt;0,"INVALID – qty variance: use Fail or Pass after CA",""),"")&amp;IF(AND(TRIM(U76)="Pass",TRIM(AB76)&lt;&gt;"",TRIM(AB76)&lt;&gt;"Closed"),"INVALID – corrective action not closed: use Fail, then Pass after CA","")&amp;IF(AND(TRIM(AA76)&lt;&gt;"",TRIM(AB76)=""),"INVALID – CA status missing for the recorded corrective action","")&amp;IF(AND(TRIM(U76)="Pass after CA",OR(TRIM(AA76)="",TRIM(AB76)&lt;&gt;"Closed")),"INVALID – corrective action not recorded/closed","")&lt;&gt;"",IF(AND(TRIM(U76)="Pass",ISNUMBER(AF76)),IF(AF76&lt;&gt;0,"INVALID – qty variance: use Fail or Pass after CA",""),"")&amp;IF(AND(TRIM(U76)="Pass",TRIM(AB76)&lt;&gt;"",TRIM(AB76)&lt;&gt;"Closed"),"INVALID – corrective action not closed: use Fail, then Pass after CA","")&amp;IF(AND(TRIM(AA76)&lt;&gt;"",TRIM(AB76)=""),"INVALID – CA status missing for the recorded corrective action","")&amp;IF(AND(TRIM(U76)="Pass after CA",OR(TRIM(AA76)="",TRIM(AB76)&lt;&gt;"Closed")),"INVALID – corrective action not recorded/closed",""),IF(AND(AS76=1,Documents!$J$7&lt;&gt;"ON FILE"),"INVALID – GLD not on file (Documents sheet)",IF(AND(AS76=2,Documents!$O$7&lt;&gt;"ON FILE"),"INVALID – menu checklist not on file (Documents sheet)",IF(AND(AS76=3,NOT(ISNUMBER(Flights!$AX$7))),"INVALID – enter carrying flight KUL departure (Flights AX)",IF(AND(AS76=3,OR(Flights!$AX$7&gt;=Flights!$AA$7,Flights!$AX$7&lt;Flights!$AA$7-3)),"INVALID – Flights AX must be before this leg's STD (within 3 days)",IF(AG76&gt;AsOfUTC,"INVALID – completion time is in the future",IF(AND(ISNUMBER(S76),AG76&lt;S76),IF(H76="Physical uplift","INVALID – before uplift window (cannot confirm loading)","INVALID – before valid window"),IF(AG76&gt;Flights!$AA$7,"INVALID – completed after departure (cannot establish readiness)",IF(AND(H76="Physical uplift",AG76&gt;Q76),"INVALID – recorded after the loading flight departed",IF(AG76&gt;Q76,"COMPLETE – LATE","COMPLETE")))))))))))))))))),IF(TRIM(U76)="Fail","FAIL – DISCREPANCY",IF(AND(TRIM(U76)&lt;&gt;"",TRIM(U76)&lt;&gt;"Not started",TRIM(U76)&lt;&gt;"In progress"),"INVALID – unrecognised status (use the list)",IF(AsOfUTC&gt;Q76,"OVERDUE",IF(N76="Clarification required","OPEN – CLARIFICATION","OPEN")))))))</f>
        <v>OPEN</v>
      </c>
      <c r="AI76" s="61" t="n">
        <f aca="false">IF(OR(AH76="N/A – RULE",AH76="N/A – JUSTIFIED"),0,1)</f>
        <v>1</v>
      </c>
      <c r="AJ76" s="61" t="n">
        <f aca="false">IF(LEFT(AH76,8)="COMPLETE",1,0)</f>
        <v>0</v>
      </c>
      <c r="AK76" s="61" t="n">
        <f aca="false">IF(AND(AI76=1,AJ76=0,AsOfUTC&gt;Q76),1,0)</f>
        <v>0</v>
      </c>
      <c r="AL76" s="61" t="n">
        <f aca="false">IF(AND(AI76=1,OR(TRIM(U76)="Fail",AND(TRIM(AB76)&lt;&gt;"",TRIM(AB76)&lt;&gt;"Closed"),AND(ISNUMBER(AF76),AF76&lt;&gt;0,TRIM(U76)&lt;&gt;"Pass after CA"))),1,0)</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row>
    <row r="77" customFormat="false" ht="39.75" hidden="false" customHeight="true" outlineLevel="0" collapsed="false">
      <c r="A77" s="57" t="s">
        <v>529</v>
      </c>
      <c r="B77" s="57" t="s">
        <v>204</v>
      </c>
      <c r="C77" s="57" t="str">
        <f aca="false">Flights!$F$7</f>
        <v>MH0720</v>
      </c>
      <c r="D77" s="58" t="n">
        <f aca="false">Flights!$D$7</f>
        <v>46305</v>
      </c>
      <c r="E77" s="57" t="str">
        <f aca="false">Flights!$G$7&amp;"-"&amp;Flights!$H$7</f>
        <v>CGK-KUL</v>
      </c>
      <c r="F77" s="57" t="str">
        <f aca="false">Flights!$K$7</f>
        <v>EY</v>
      </c>
      <c r="G77" s="57" t="s">
        <v>76</v>
      </c>
      <c r="H77" s="57" t="s">
        <v>343</v>
      </c>
      <c r="I77" s="57" t="s">
        <v>376</v>
      </c>
      <c r="J77" s="57" t="s">
        <v>377</v>
      </c>
      <c r="K77" s="67" t="s">
        <v>530</v>
      </c>
      <c r="L77" s="67" t="s">
        <v>448</v>
      </c>
      <c r="M77" s="67"/>
      <c r="N77" s="67" t="s">
        <v>348</v>
      </c>
      <c r="O77" s="67"/>
      <c r="P77" s="57" t="s">
        <v>193</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59" t="n">
        <f aca="false">Q77-T7EarlyD*24/24</f>
        <v>46284.3784722222</v>
      </c>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IF(N77="N/A – rule","N/A – RULE",IF(TRIM(U77)="N/A",IF(AT77=0,"INVALID – N/A not permitted for this mandatory check",IF(AND(TRIM(AC77)&lt;&gt;"",TRIM(AE77)&lt;&gt;"",TRIM(T77)&lt;&gt;"",TRIM(AE77)&lt;&gt;TRIM(T77)),"N/A – JUSTIFIED","INVALID – N/A needs justification, PIC and a different verifier")),IF(OR(TRIM(U77)="Pass",TRIM(U77)="Pass after CA"),IF(NOT(ISNUMBER(AD77)),"INVALID – completion time missing",IF(TRIM(T77)="","INVALID – PIC missing",IF(TRIM(V77)="","INVALID – result / assessment missing",IF(TRIM(Z77)="","INVALID – evidence missing",IF(TRIM(AE77)="","INVALID – verifier missing",IF(TRIM(AE77)=TRIM(T77),"INVALID – verifier must be someone other than the PIC",IF(AND(AQ77=1,TRIM(W77)=""),"INVALID – batch ID missing",IF(AND(AR77=1,OR(NOT(ISNUMBER(X77)),NOT(ISNUMBER(Y77)))),"INVALID – expected/actual qty missing",IF(IF(AND(TRIM(U77)="Pass",ISNUMBER(AF77)),IF(AF77&lt;&gt;0,"INVALID – qty variance: use Fail or Pass after CA",""),"")&amp;IF(AND(TRIM(U77)="Pass",TRIM(AB77)&lt;&gt;"",TRIM(AB77)&lt;&gt;"Closed"),"INVALID – corrective action not closed: use Fail, then Pass after CA","")&amp;IF(AND(TRIM(AA77)&lt;&gt;"",TRIM(AB77)=""),"INVALID – CA status missing for the recorded corrective action","")&amp;IF(AND(TRIM(U77)="Pass after CA",OR(TRIM(AA77)="",TRIM(AB77)&lt;&gt;"Closed")),"INVALID – corrective action not recorded/closed","")&lt;&gt;"",IF(AND(TRIM(U77)="Pass",ISNUMBER(AF77)),IF(AF77&lt;&gt;0,"INVALID – qty variance: use Fail or Pass after CA",""),"")&amp;IF(AND(TRIM(U77)="Pass",TRIM(AB77)&lt;&gt;"",TRIM(AB77)&lt;&gt;"Closed"),"INVALID – corrective action not closed: use Fail, then Pass after CA","")&amp;IF(AND(TRIM(AA77)&lt;&gt;"",TRIM(AB77)=""),"INVALID – CA status missing for the recorded corrective action","")&amp;IF(AND(TRIM(U77)="Pass after CA",OR(TRIM(AA77)="",TRIM(AB77)&lt;&gt;"Closed")),"INVALID – corrective action not recorded/closed",""),IF(AND(AS77=1,Documents!$J$7&lt;&gt;"ON FILE"),"INVALID – GLD not on file (Documents sheet)",IF(AND(AS77=2,Documents!$O$7&lt;&gt;"ON FILE"),"INVALID – menu checklist not on file (Documents sheet)",IF(AND(AS77=3,NOT(ISNUMBER(Flights!$AX$7))),"INVALID – enter carrying flight KUL departure (Flights AX)",IF(AND(AS77=3,OR(Flights!$AX$7&gt;=Flights!$AA$7,Flights!$AX$7&lt;Flights!$AA$7-3)),"INVALID – Flights AX must be before this leg's STD (within 3 days)",IF(AG77&gt;AsOfUTC,"INVALID – completion time is in the future",IF(AND(ISNUMBER(S77),AG77&lt;S77),IF(H77="Physical uplift","INVALID – before uplift window (cannot confirm loading)","INVALID – before valid window"),IF(AG77&gt;Flights!$AA$7,"INVALID – completed after departure (cannot establish readiness)",IF(AND(H77="Physical uplift",AG77&gt;Q77),"INVALID – recorded after the loading flight departed",IF(AG77&gt;Q77,"COMPLETE – LATE","COMPLETE")))))))))))))))))),IF(TRIM(U77)="Fail","FAIL – DISCREPANCY",IF(AND(TRIM(U77)&lt;&gt;"",TRIM(U77)&lt;&gt;"Not started",TRIM(U77)&lt;&gt;"In progress"),"INVALID – unrecognised status (use the list)",IF(AsOfUTC&gt;Q77,"OVERDUE",IF(N77="Clarification required","OPEN – CLARIFICATION","OPEN")))))))</f>
        <v>OPEN</v>
      </c>
      <c r="AI77" s="61" t="n">
        <f aca="false">IF(OR(AH77="N/A – RULE",AH77="N/A – JUSTIFIED"),0,1)</f>
        <v>1</v>
      </c>
      <c r="AJ77" s="61" t="n">
        <f aca="false">IF(LEFT(AH77,8)="COMPLETE",1,0)</f>
        <v>0</v>
      </c>
      <c r="AK77" s="61" t="n">
        <f aca="false">IF(AND(AI77=1,AJ77=0,AsOfUTC&gt;Q77),1,0)</f>
        <v>0</v>
      </c>
      <c r="AL77" s="61" t="n">
        <f aca="false">IF(AND(AI77=1,OR(TRIM(U77)="Fail",AND(TRIM(AB77)&lt;&gt;"",TRIM(AB77)&lt;&gt;"Closed"),AND(ISNUMBER(AF77),AF77&lt;&gt;0,TRIM(U77)&lt;&gt;"Pass after CA"))),1,0)</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row>
    <row r="78" customFormat="false" ht="39.75" hidden="false" customHeight="true" outlineLevel="0" collapsed="false">
      <c r="A78" s="57" t="s">
        <v>531</v>
      </c>
      <c r="B78" s="57" t="s">
        <v>204</v>
      </c>
      <c r="C78" s="57" t="str">
        <f aca="false">Flights!$F$7</f>
        <v>MH0720</v>
      </c>
      <c r="D78" s="58" t="n">
        <f aca="false">Flights!$D$7</f>
        <v>46305</v>
      </c>
      <c r="E78" s="57" t="str">
        <f aca="false">Flights!$G$7&amp;"-"&amp;Flights!$H$7</f>
        <v>CGK-KUL</v>
      </c>
      <c r="F78" s="57" t="str">
        <f aca="false">Flights!$K$7</f>
        <v>EY</v>
      </c>
      <c r="G78" s="57" t="s">
        <v>78</v>
      </c>
      <c r="H78" s="57" t="s">
        <v>343</v>
      </c>
      <c r="I78" s="57" t="s">
        <v>344</v>
      </c>
      <c r="J78" s="57" t="s">
        <v>381</v>
      </c>
      <c r="K78" s="67" t="s">
        <v>382</v>
      </c>
      <c r="L78" s="67" t="s">
        <v>383</v>
      </c>
      <c r="M78" s="67"/>
      <c r="N78" s="67" t="s">
        <v>348</v>
      </c>
      <c r="O78" s="67"/>
      <c r="P78" s="57" t="s">
        <v>193</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59" t="n">
        <f aca="false">Q78-T24EarlyH/24</f>
        <v>46303.3784722222</v>
      </c>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IF(N78="N/A – rule","N/A – RULE",IF(TRIM(U78)="N/A",IF(AT78=0,"INVALID – N/A not permitted for this mandatory check",IF(AND(TRIM(AC78)&lt;&gt;"",TRIM(AE78)&lt;&gt;"",TRIM(T78)&lt;&gt;"",TRIM(AE78)&lt;&gt;TRIM(T78)),"N/A – JUSTIFIED","INVALID – N/A needs justification, PIC and a different verifier")),IF(OR(TRIM(U78)="Pass",TRIM(U78)="Pass after CA"),IF(NOT(ISNUMBER(AD78)),"INVALID – completion time missing",IF(TRIM(T78)="","INVALID – PIC missing",IF(TRIM(V78)="","INVALID – result / assessment missing",IF(TRIM(Z78)="","INVALID – evidence missing",IF(TRIM(AE78)="","INVALID – verifier missing",IF(TRIM(AE78)=TRIM(T78),"INVALID – verifier must be someone other than the PIC",IF(AND(AQ78=1,TRIM(W78)=""),"INVALID – batch ID missing",IF(AND(AR78=1,OR(NOT(ISNUMBER(X78)),NOT(ISNUMBER(Y78)))),"INVALID – expected/actual qty missing",IF(IF(AND(TRIM(U78)="Pass",ISNUMBER(AF78)),IF(AF78&lt;&gt;0,"INVALID – qty variance: use Fail or Pass after CA",""),"")&amp;IF(AND(TRIM(U78)="Pass",TRIM(AB78)&lt;&gt;"",TRIM(AB78)&lt;&gt;"Closed"),"INVALID – corrective action not closed: use Fail, then Pass after CA","")&amp;IF(AND(TRIM(AA78)&lt;&gt;"",TRIM(AB78)=""),"INVALID – CA status missing for the recorded corrective action","")&amp;IF(AND(TRIM(U78)="Pass after CA",OR(TRIM(AA78)="",TRIM(AB78)&lt;&gt;"Closed")),"INVALID – corrective action not recorded/closed","")&lt;&gt;"",IF(AND(TRIM(U78)="Pass",ISNUMBER(AF78)),IF(AF78&lt;&gt;0,"INVALID – qty variance: use Fail or Pass after CA",""),"")&amp;IF(AND(TRIM(U78)="Pass",TRIM(AB78)&lt;&gt;"",TRIM(AB78)&lt;&gt;"Closed"),"INVALID – corrective action not closed: use Fail, then Pass after CA","")&amp;IF(AND(TRIM(AA78)&lt;&gt;"",TRIM(AB78)=""),"INVALID – CA status missing for the recorded corrective action","")&amp;IF(AND(TRIM(U78)="Pass after CA",OR(TRIM(AA78)="",TRIM(AB78)&lt;&gt;"Closed")),"INVALID – corrective action not recorded/closed",""),IF(AND(AS78=1,Documents!$J$7&lt;&gt;"ON FILE"),"INVALID – GLD not on file (Documents sheet)",IF(AND(AS78=2,Documents!$O$7&lt;&gt;"ON FILE"),"INVALID – menu checklist not on file (Documents sheet)",IF(AND(AS78=3,NOT(ISNUMBER(Flights!$AX$7))),"INVALID – enter carrying flight KUL departure (Flights AX)",IF(AND(AS78=3,OR(Flights!$AX$7&gt;=Flights!$AA$7,Flights!$AX$7&lt;Flights!$AA$7-3)),"INVALID – Flights AX must be before this leg's STD (within 3 days)",IF(AG78&gt;AsOfUTC,"INVALID – completion time is in the future",IF(AND(ISNUMBER(S78),AG78&lt;S78),IF(H78="Physical uplift","INVALID – before uplift window (cannot confirm loading)","INVALID – before valid window"),IF(AG78&gt;Flights!$AA$7,"INVALID – completed after departure (cannot establish readiness)",IF(AND(H78="Physical uplift",AG78&gt;Q78),"INVALID – recorded after the loading flight departed",IF(AG78&gt;Q78,"COMPLETE – LATE","COMPLETE")))))))))))))))))),IF(TRIM(U78)="Fail","FAIL – DISCREPANCY",IF(AND(TRIM(U78)&lt;&gt;"",TRIM(U78)&lt;&gt;"Not started",TRIM(U78)&lt;&gt;"In progress"),"INVALID – unrecognised status (use the list)",IF(AsOfUTC&gt;Q78,"OVERDUE",IF(N78="Clarification required","OPEN – CLARIFICATION","OPEN")))))))</f>
        <v>OPEN</v>
      </c>
      <c r="AI78" s="61" t="n">
        <f aca="false">IF(OR(AH78="N/A – RULE",AH78="N/A – JUSTIFIED"),0,1)</f>
        <v>1</v>
      </c>
      <c r="AJ78" s="61" t="n">
        <f aca="false">IF(LEFT(AH78,8)="COMPLETE",1,0)</f>
        <v>0</v>
      </c>
      <c r="AK78" s="61" t="n">
        <f aca="false">IF(AND(AI78=1,AJ78=0,AsOfUTC&gt;Q78),1,0)</f>
        <v>0</v>
      </c>
      <c r="AL78" s="61" t="n">
        <f aca="false">IF(AND(AI78=1,OR(TRIM(U78)="Fail",AND(TRIM(AB78)&lt;&gt;"",TRIM(AB78)&lt;&gt;"Closed"),AND(ISNUMBER(AF78),AF78&lt;&gt;0,TRIM(U78)&lt;&gt;"Pass after CA"))),1,0)</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row>
    <row r="79" customFormat="false" ht="39.75" hidden="false" customHeight="true" outlineLevel="0" collapsed="false">
      <c r="A79" s="57" t="s">
        <v>532</v>
      </c>
      <c r="B79" s="57" t="s">
        <v>204</v>
      </c>
      <c r="C79" s="57" t="str">
        <f aca="false">Flights!$F$7</f>
        <v>MH0720</v>
      </c>
      <c r="D79" s="58" t="n">
        <f aca="false">Flights!$D$7</f>
        <v>46305</v>
      </c>
      <c r="E79" s="57" t="str">
        <f aca="false">Flights!$G$7&amp;"-"&amp;Flights!$H$7</f>
        <v>CGK-KUL</v>
      </c>
      <c r="F79" s="57" t="str">
        <f aca="false">Flights!$K$7</f>
        <v>EY</v>
      </c>
      <c r="G79" s="57" t="s">
        <v>385</v>
      </c>
      <c r="H79" s="57" t="s">
        <v>343</v>
      </c>
      <c r="I79" s="57" t="s">
        <v>344</v>
      </c>
      <c r="J79" s="57" t="s">
        <v>386</v>
      </c>
      <c r="K79" s="67"/>
      <c r="L79" s="67" t="s">
        <v>387</v>
      </c>
      <c r="M79" s="67"/>
      <c r="N79" s="67" t="s">
        <v>348</v>
      </c>
      <c r="O79" s="67" t="s">
        <v>388</v>
      </c>
      <c r="P79" s="57" t="s">
        <v>193</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59" t="n">
        <f aca="false">Q79-T12EarlyH/24</f>
        <v>46304.3784722222</v>
      </c>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IF(N79="N/A – rule","N/A – RULE",IF(TRIM(U79)="N/A",IF(AT79=0,"INVALID – N/A not permitted for this mandatory check",IF(AND(TRIM(AC79)&lt;&gt;"",TRIM(AE79)&lt;&gt;"",TRIM(T79)&lt;&gt;"",TRIM(AE79)&lt;&gt;TRIM(T79)),"N/A – JUSTIFIED","INVALID – N/A needs justification, PIC and a different verifier")),IF(OR(TRIM(U79)="Pass",TRIM(U79)="Pass after CA"),IF(NOT(ISNUMBER(AD79)),"INVALID – completion time missing",IF(TRIM(T79)="","INVALID – PIC missing",IF(TRIM(V79)="","INVALID – result / assessment missing",IF(TRIM(Z79)="","INVALID – evidence missing",IF(TRIM(AE79)="","INVALID – verifier missing",IF(TRIM(AE79)=TRIM(T79),"INVALID – verifier must be someone other than the PIC",IF(AND(AQ79=1,TRIM(W79)=""),"INVALID – batch ID missing",IF(AND(AR79=1,OR(NOT(ISNUMBER(X79)),NOT(ISNUMBER(Y79)))),"INVALID – expected/actual qty missing",IF(IF(AND(TRIM(U79)="Pass",ISNUMBER(AF79)),IF(AF79&lt;&gt;0,"INVALID – qty variance: use Fail or Pass after CA",""),"")&amp;IF(AND(TRIM(U79)="Pass",TRIM(AB79)&lt;&gt;"",TRIM(AB79)&lt;&gt;"Closed"),"INVALID – corrective action not closed: use Fail, then Pass after CA","")&amp;IF(AND(TRIM(AA79)&lt;&gt;"",TRIM(AB79)=""),"INVALID – CA status missing for the recorded corrective action","")&amp;IF(AND(TRIM(U79)="Pass after CA",OR(TRIM(AA79)="",TRIM(AB79)&lt;&gt;"Closed")),"INVALID – corrective action not recorded/closed","")&lt;&gt;"",IF(AND(TRIM(U79)="Pass",ISNUMBER(AF79)),IF(AF79&lt;&gt;0,"INVALID – qty variance: use Fail or Pass after CA",""),"")&amp;IF(AND(TRIM(U79)="Pass",TRIM(AB79)&lt;&gt;"",TRIM(AB79)&lt;&gt;"Closed"),"INVALID – corrective action not closed: use Fail, then Pass after CA","")&amp;IF(AND(TRIM(AA79)&lt;&gt;"",TRIM(AB79)=""),"INVALID – CA status missing for the recorded corrective action","")&amp;IF(AND(TRIM(U79)="Pass after CA",OR(TRIM(AA79)="",TRIM(AB79)&lt;&gt;"Closed")),"INVALID – corrective action not recorded/closed",""),IF(AND(AS79=1,Documents!$J$7&lt;&gt;"ON FILE"),"INVALID – GLD not on file (Documents sheet)",IF(AND(AS79=2,Documents!$O$7&lt;&gt;"ON FILE"),"INVALID – menu checklist not on file (Documents sheet)",IF(AND(AS79=3,NOT(ISNUMBER(Flights!$AX$7))),"INVALID – enter carrying flight KUL departure (Flights AX)",IF(AND(AS79=3,OR(Flights!$AX$7&gt;=Flights!$AA$7,Flights!$AX$7&lt;Flights!$AA$7-3)),"INVALID – Flights AX must be before this leg's STD (within 3 days)",IF(AG79&gt;AsOfUTC,"INVALID – completion time is in the future",IF(AND(ISNUMBER(S79),AG79&lt;S79),IF(H79="Physical uplift","INVALID – before uplift window (cannot confirm loading)","INVALID – before valid window"),IF(AG79&gt;Flights!$AA$7,"INVALID – completed after departure (cannot establish readiness)",IF(AND(H79="Physical uplift",AG79&gt;Q79),"INVALID – recorded after the loading flight departed",IF(AG79&gt;Q79,"COMPLETE – LATE","COMPLETE")))))))))))))))))),IF(TRIM(U79)="Fail","FAIL – DISCREPANCY",IF(AND(TRIM(U79)&lt;&gt;"",TRIM(U79)&lt;&gt;"Not started",TRIM(U79)&lt;&gt;"In progress"),"INVALID – unrecognised status (use the list)",IF(AsOfUTC&gt;Q79,"OVERDUE",IF(N79="Clarification required","OPEN – CLARIFICATION","OPEN")))))))</f>
        <v>OPEN</v>
      </c>
      <c r="AI79" s="61" t="n">
        <f aca="false">IF(OR(AH79="N/A – RULE",AH79="N/A – JUSTIFIED"),0,1)</f>
        <v>1</v>
      </c>
      <c r="AJ79" s="61" t="n">
        <f aca="false">IF(LEFT(AH79,8)="COMPLETE",1,0)</f>
        <v>0</v>
      </c>
      <c r="AK79" s="61" t="n">
        <f aca="false">IF(AND(AI79=1,AJ79=0,AsOfUTC&gt;Q79),1,0)</f>
        <v>0</v>
      </c>
      <c r="AL79" s="61" t="n">
        <f aca="false">IF(AND(AI79=1,OR(TRIM(U79)="Fail",AND(TRIM(AB79)&lt;&gt;"",TRIM(AB79)&lt;&gt;"Closed"),AND(ISNUMBER(AF79),AF79&lt;&gt;0,TRIM(U79)&lt;&gt;"Pass after CA"))),1,0)</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row>
    <row r="80" customFormat="false" ht="39.75" hidden="false" customHeight="true" outlineLevel="0" collapsed="false">
      <c r="A80" s="57" t="s">
        <v>533</v>
      </c>
      <c r="B80" s="57" t="s">
        <v>204</v>
      </c>
      <c r="C80" s="57" t="str">
        <f aca="false">Flights!$F$7</f>
        <v>MH0720</v>
      </c>
      <c r="D80" s="58" t="n">
        <f aca="false">Flights!$D$7</f>
        <v>46305</v>
      </c>
      <c r="E80" s="57" t="str">
        <f aca="false">Flights!$G$7&amp;"-"&amp;Flights!$H$7</f>
        <v>CGK-KUL</v>
      </c>
      <c r="F80" s="57" t="str">
        <f aca="false">Flights!$K$7</f>
        <v>EY</v>
      </c>
      <c r="G80" s="57" t="s">
        <v>385</v>
      </c>
      <c r="H80" s="57" t="s">
        <v>343</v>
      </c>
      <c r="I80" s="57" t="s">
        <v>344</v>
      </c>
      <c r="J80" s="57" t="s">
        <v>390</v>
      </c>
      <c r="K80" s="67" t="s">
        <v>391</v>
      </c>
      <c r="L80" s="67" t="s">
        <v>387</v>
      </c>
      <c r="M80" s="67"/>
      <c r="N80" s="67" t="s">
        <v>348</v>
      </c>
      <c r="O80" s="67" t="s">
        <v>388</v>
      </c>
      <c r="P80" s="57" t="s">
        <v>193</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59" t="n">
        <f aca="false">Q80-T12EarlyH/24</f>
        <v>46304.3784722222</v>
      </c>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IF(N80="N/A – rule","N/A – RULE",IF(TRIM(U80)="N/A",IF(AT80=0,"INVALID – N/A not permitted for this mandatory check",IF(AND(TRIM(AC80)&lt;&gt;"",TRIM(AE80)&lt;&gt;"",TRIM(T80)&lt;&gt;"",TRIM(AE80)&lt;&gt;TRIM(T80)),"N/A – JUSTIFIED","INVALID – N/A needs justification, PIC and a different verifier")),IF(OR(TRIM(U80)="Pass",TRIM(U80)="Pass after CA"),IF(NOT(ISNUMBER(AD80)),"INVALID – completion time missing",IF(TRIM(T80)="","INVALID – PIC missing",IF(TRIM(V80)="","INVALID – result / assessment missing",IF(TRIM(Z80)="","INVALID – evidence missing",IF(TRIM(AE80)="","INVALID – verifier missing",IF(TRIM(AE80)=TRIM(T80),"INVALID – verifier must be someone other than the PIC",IF(AND(AQ80=1,TRIM(W80)=""),"INVALID – batch ID missing",IF(AND(AR80=1,OR(NOT(ISNUMBER(X80)),NOT(ISNUMBER(Y80)))),"INVALID – expected/actual qty missing",IF(IF(AND(TRIM(U80)="Pass",ISNUMBER(AF80)),IF(AF80&lt;&gt;0,"INVALID – qty variance: use Fail or Pass after CA",""),"")&amp;IF(AND(TRIM(U80)="Pass",TRIM(AB80)&lt;&gt;"",TRIM(AB80)&lt;&gt;"Closed"),"INVALID – corrective action not closed: use Fail, then Pass after CA","")&amp;IF(AND(TRIM(AA80)&lt;&gt;"",TRIM(AB80)=""),"INVALID – CA status missing for the recorded corrective action","")&amp;IF(AND(TRIM(U80)="Pass after CA",OR(TRIM(AA80)="",TRIM(AB80)&lt;&gt;"Closed")),"INVALID – corrective action not recorded/closed","")&lt;&gt;"",IF(AND(TRIM(U80)="Pass",ISNUMBER(AF80)),IF(AF80&lt;&gt;0,"INVALID – qty variance: use Fail or Pass after CA",""),"")&amp;IF(AND(TRIM(U80)="Pass",TRIM(AB80)&lt;&gt;"",TRIM(AB80)&lt;&gt;"Closed"),"INVALID – corrective action not closed: use Fail, then Pass after CA","")&amp;IF(AND(TRIM(AA80)&lt;&gt;"",TRIM(AB80)=""),"INVALID – CA status missing for the recorded corrective action","")&amp;IF(AND(TRIM(U80)="Pass after CA",OR(TRIM(AA80)="",TRIM(AB80)&lt;&gt;"Closed")),"INVALID – corrective action not recorded/closed",""),IF(AND(AS80=1,Documents!$J$7&lt;&gt;"ON FILE"),"INVALID – GLD not on file (Documents sheet)",IF(AND(AS80=2,Documents!$O$7&lt;&gt;"ON FILE"),"INVALID – menu checklist not on file (Documents sheet)",IF(AND(AS80=3,NOT(ISNUMBER(Flights!$AX$7))),"INVALID – enter carrying flight KUL departure (Flights AX)",IF(AND(AS80=3,OR(Flights!$AX$7&gt;=Flights!$AA$7,Flights!$AX$7&lt;Flights!$AA$7-3)),"INVALID – Flights AX must be before this leg's STD (within 3 days)",IF(AG80&gt;AsOfUTC,"INVALID – completion time is in the future",IF(AND(ISNUMBER(S80),AG80&lt;S80),IF(H80="Physical uplift","INVALID – before uplift window (cannot confirm loading)","INVALID – before valid window"),IF(AG80&gt;Flights!$AA$7,"INVALID – completed after departure (cannot establish readiness)",IF(AND(H80="Physical uplift",AG80&gt;Q80),"INVALID – recorded after the loading flight departed",IF(AG80&gt;Q80,"COMPLETE – LATE","COMPLETE")))))))))))))))))),IF(TRIM(U80)="Fail","FAIL – DISCREPANCY",IF(AND(TRIM(U80)&lt;&gt;"",TRIM(U80)&lt;&gt;"Not started",TRIM(U80)&lt;&gt;"In progress"),"INVALID – unrecognised status (use the list)",IF(AsOfUTC&gt;Q80,"OVERDUE",IF(N80="Clarification required","OPEN – CLARIFICATION","OPEN")))))))</f>
        <v>OPEN</v>
      </c>
      <c r="AI80" s="61" t="n">
        <f aca="false">IF(OR(AH80="N/A – RULE",AH80="N/A – JUSTIFIED"),0,1)</f>
        <v>1</v>
      </c>
      <c r="AJ80" s="61" t="n">
        <f aca="false">IF(LEFT(AH80,8)="COMPLETE",1,0)</f>
        <v>0</v>
      </c>
      <c r="AK80" s="61" t="n">
        <f aca="false">IF(AND(AI80=1,AJ80=0,AsOfUTC&gt;Q80),1,0)</f>
        <v>0</v>
      </c>
      <c r="AL80" s="61" t="n">
        <f aca="false">IF(AND(AI80=1,OR(TRIM(U80)="Fail",AND(TRIM(AB80)&lt;&gt;"",TRIM(AB80)&lt;&gt;"Closed"),AND(ISNUMBER(AF80),AF80&lt;&gt;0,TRIM(U80)&lt;&gt;"Pass after CA"))),1,0)</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row>
    <row r="81" customFormat="false" ht="39.75" hidden="false" customHeight="true" outlineLevel="0" collapsed="false">
      <c r="A81" s="57" t="s">
        <v>534</v>
      </c>
      <c r="B81" s="57" t="s">
        <v>204</v>
      </c>
      <c r="C81" s="57" t="str">
        <f aca="false">Flights!$F$7</f>
        <v>MH0720</v>
      </c>
      <c r="D81" s="58" t="n">
        <f aca="false">Flights!$D$7</f>
        <v>46305</v>
      </c>
      <c r="E81" s="57" t="str">
        <f aca="false">Flights!$G$7&amp;"-"&amp;Flights!$H$7</f>
        <v>CGK-KUL</v>
      </c>
      <c r="F81" s="57" t="str">
        <f aca="false">Flights!$K$7</f>
        <v>EY</v>
      </c>
      <c r="G81" s="57" t="s">
        <v>385</v>
      </c>
      <c r="H81" s="57" t="s">
        <v>343</v>
      </c>
      <c r="I81" s="57" t="s">
        <v>393</v>
      </c>
      <c r="J81" s="57" t="s">
        <v>394</v>
      </c>
      <c r="K81" s="67"/>
      <c r="L81" s="67" t="s">
        <v>387</v>
      </c>
      <c r="M81" s="67"/>
      <c r="N81" s="67" t="s">
        <v>348</v>
      </c>
      <c r="O81" s="67" t="s">
        <v>388</v>
      </c>
      <c r="P81" s="57" t="s">
        <v>193</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59" t="n">
        <f aca="false">Q81-T12EarlyH/24</f>
        <v>46304.3784722222</v>
      </c>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IF(N81="N/A – rule","N/A – RULE",IF(TRIM(U81)="N/A",IF(AT81=0,"INVALID – N/A not permitted for this mandatory check",IF(AND(TRIM(AC81)&lt;&gt;"",TRIM(AE81)&lt;&gt;"",TRIM(T81)&lt;&gt;"",TRIM(AE81)&lt;&gt;TRIM(T81)),"N/A – JUSTIFIED","INVALID – N/A needs justification, PIC and a different verifier")),IF(OR(TRIM(U81)="Pass",TRIM(U81)="Pass after CA"),IF(NOT(ISNUMBER(AD81)),"INVALID – completion time missing",IF(TRIM(T81)="","INVALID – PIC missing",IF(TRIM(V81)="","INVALID – result / assessment missing",IF(TRIM(Z81)="","INVALID – evidence missing",IF(TRIM(AE81)="","INVALID – verifier missing",IF(TRIM(AE81)=TRIM(T81),"INVALID – verifier must be someone other than the PIC",IF(AND(AQ81=1,TRIM(W81)=""),"INVALID – batch ID missing",IF(AND(AR81=1,OR(NOT(ISNUMBER(X81)),NOT(ISNUMBER(Y81)))),"INVALID – expected/actual qty missing",IF(IF(AND(TRIM(U81)="Pass",ISNUMBER(AF81)),IF(AF81&lt;&gt;0,"INVALID – qty variance: use Fail or Pass after CA",""),"")&amp;IF(AND(TRIM(U81)="Pass",TRIM(AB81)&lt;&gt;"",TRIM(AB81)&lt;&gt;"Closed"),"INVALID – corrective action not closed: use Fail, then Pass after CA","")&amp;IF(AND(TRIM(AA81)&lt;&gt;"",TRIM(AB81)=""),"INVALID – CA status missing for the recorded corrective action","")&amp;IF(AND(TRIM(U81)="Pass after CA",OR(TRIM(AA81)="",TRIM(AB81)&lt;&gt;"Closed")),"INVALID – corrective action not recorded/closed","")&lt;&gt;"",IF(AND(TRIM(U81)="Pass",ISNUMBER(AF81)),IF(AF81&lt;&gt;0,"INVALID – qty variance: use Fail or Pass after CA",""),"")&amp;IF(AND(TRIM(U81)="Pass",TRIM(AB81)&lt;&gt;"",TRIM(AB81)&lt;&gt;"Closed"),"INVALID – corrective action not closed: use Fail, then Pass after CA","")&amp;IF(AND(TRIM(AA81)&lt;&gt;"",TRIM(AB81)=""),"INVALID – CA status missing for the recorded corrective action","")&amp;IF(AND(TRIM(U81)="Pass after CA",OR(TRIM(AA81)="",TRIM(AB81)&lt;&gt;"Closed")),"INVALID – corrective action not recorded/closed",""),IF(AND(AS81=1,Documents!$J$7&lt;&gt;"ON FILE"),"INVALID – GLD not on file (Documents sheet)",IF(AND(AS81=2,Documents!$O$7&lt;&gt;"ON FILE"),"INVALID – menu checklist not on file (Documents sheet)",IF(AND(AS81=3,NOT(ISNUMBER(Flights!$AX$7))),"INVALID – enter carrying flight KUL departure (Flights AX)",IF(AND(AS81=3,OR(Flights!$AX$7&gt;=Flights!$AA$7,Flights!$AX$7&lt;Flights!$AA$7-3)),"INVALID – Flights AX must be before this leg's STD (within 3 days)",IF(AG81&gt;AsOfUTC,"INVALID – completion time is in the future",IF(AND(ISNUMBER(S81),AG81&lt;S81),IF(H81="Physical uplift","INVALID – before uplift window (cannot confirm loading)","INVALID – before valid window"),IF(AG81&gt;Flights!$AA$7,"INVALID – completed after departure (cannot establish readiness)",IF(AND(H81="Physical uplift",AG81&gt;Q81),"INVALID – recorded after the loading flight departed",IF(AG81&gt;Q81,"COMPLETE – LATE","COMPLETE")))))))))))))))))),IF(TRIM(U81)="Fail","FAIL – DISCREPANCY",IF(AND(TRIM(U81)&lt;&gt;"",TRIM(U81)&lt;&gt;"Not started",TRIM(U81)&lt;&gt;"In progress"),"INVALID – unrecognised status (use the list)",IF(AsOfUTC&gt;Q81,"OVERDUE",IF(N81="Clarification required","OPEN – CLARIFICATION","OPEN")))))))</f>
        <v>OPEN</v>
      </c>
      <c r="AI81" s="61" t="n">
        <f aca="false">IF(OR(AH81="N/A – RULE",AH81="N/A – JUSTIFIED"),0,1)</f>
        <v>1</v>
      </c>
      <c r="AJ81" s="61" t="n">
        <f aca="false">IF(LEFT(AH81,8)="COMPLETE",1,0)</f>
        <v>0</v>
      </c>
      <c r="AK81" s="61" t="n">
        <f aca="false">IF(AND(AI81=1,AJ81=0,AsOfUTC&gt;Q81),1,0)</f>
        <v>0</v>
      </c>
      <c r="AL81" s="61" t="n">
        <f aca="false">IF(AND(AI81=1,OR(TRIM(U81)="Fail",AND(TRIM(AB81)&lt;&gt;"",TRIM(AB81)&lt;&gt;"Closed"),AND(ISNUMBER(AF81),AF81&lt;&gt;0,TRIM(U81)&lt;&gt;"Pass after CA"))),1,0)</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row>
    <row r="82" customFormat="false" ht="39.75" hidden="false" customHeight="true" outlineLevel="0" collapsed="false">
      <c r="A82" s="57" t="s">
        <v>535</v>
      </c>
      <c r="B82" s="57" t="s">
        <v>204</v>
      </c>
      <c r="C82" s="57" t="str">
        <f aca="false">Flights!$F$7</f>
        <v>MH0720</v>
      </c>
      <c r="D82" s="58" t="n">
        <f aca="false">Flights!$D$7</f>
        <v>46305</v>
      </c>
      <c r="E82" s="57" t="str">
        <f aca="false">Flights!$G$7&amp;"-"&amp;Flights!$H$7</f>
        <v>CGK-KUL</v>
      </c>
      <c r="F82" s="57" t="str">
        <f aca="false">Flights!$K$7</f>
        <v>EY</v>
      </c>
      <c r="G82" s="57" t="s">
        <v>385</v>
      </c>
      <c r="H82" s="57" t="s">
        <v>343</v>
      </c>
      <c r="I82" s="57" t="s">
        <v>393</v>
      </c>
      <c r="J82" s="57" t="s">
        <v>396</v>
      </c>
      <c r="K82" s="67"/>
      <c r="L82" s="67" t="s">
        <v>387</v>
      </c>
      <c r="M82" s="67"/>
      <c r="N82" s="67" t="s">
        <v>348</v>
      </c>
      <c r="O82" s="67" t="s">
        <v>388</v>
      </c>
      <c r="P82" s="57" t="s">
        <v>193</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59" t="n">
        <f aca="false">Q82-T12EarlyH/24</f>
        <v>46304.3784722222</v>
      </c>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IF(N82="N/A – rule","N/A – RULE",IF(TRIM(U82)="N/A",IF(AT82=0,"INVALID – N/A not permitted for this mandatory check",IF(AND(TRIM(AC82)&lt;&gt;"",TRIM(AE82)&lt;&gt;"",TRIM(T82)&lt;&gt;"",TRIM(AE82)&lt;&gt;TRIM(T82)),"N/A – JUSTIFIED","INVALID – N/A needs justification, PIC and a different verifier")),IF(OR(TRIM(U82)="Pass",TRIM(U82)="Pass after CA"),IF(NOT(ISNUMBER(AD82)),"INVALID – completion time missing",IF(TRIM(T82)="","INVALID – PIC missing",IF(TRIM(V82)="","INVALID – result / assessment missing",IF(TRIM(Z82)="","INVALID – evidence missing",IF(TRIM(AE82)="","INVALID – verifier missing",IF(TRIM(AE82)=TRIM(T82),"INVALID – verifier must be someone other than the PIC",IF(AND(AQ82=1,TRIM(W82)=""),"INVALID – batch ID missing",IF(AND(AR82=1,OR(NOT(ISNUMBER(X82)),NOT(ISNUMBER(Y82)))),"INVALID – expected/actual qty missing",IF(IF(AND(TRIM(U82)="Pass",ISNUMBER(AF82)),IF(AF82&lt;&gt;0,"INVALID – qty variance: use Fail or Pass after CA",""),"")&amp;IF(AND(TRIM(U82)="Pass",TRIM(AB82)&lt;&gt;"",TRIM(AB82)&lt;&gt;"Closed"),"INVALID – corrective action not closed: use Fail, then Pass after CA","")&amp;IF(AND(TRIM(AA82)&lt;&gt;"",TRIM(AB82)=""),"INVALID – CA status missing for the recorded corrective action","")&amp;IF(AND(TRIM(U82)="Pass after CA",OR(TRIM(AA82)="",TRIM(AB82)&lt;&gt;"Closed")),"INVALID – corrective action not recorded/closed","")&lt;&gt;"",IF(AND(TRIM(U82)="Pass",ISNUMBER(AF82)),IF(AF82&lt;&gt;0,"INVALID – qty variance: use Fail or Pass after CA",""),"")&amp;IF(AND(TRIM(U82)="Pass",TRIM(AB82)&lt;&gt;"",TRIM(AB82)&lt;&gt;"Closed"),"INVALID – corrective action not closed: use Fail, then Pass after CA","")&amp;IF(AND(TRIM(AA82)&lt;&gt;"",TRIM(AB82)=""),"INVALID – CA status missing for the recorded corrective action","")&amp;IF(AND(TRIM(U82)="Pass after CA",OR(TRIM(AA82)="",TRIM(AB82)&lt;&gt;"Closed")),"INVALID – corrective action not recorded/closed",""),IF(AND(AS82=1,Documents!$J$7&lt;&gt;"ON FILE"),"INVALID – GLD not on file (Documents sheet)",IF(AND(AS82=2,Documents!$O$7&lt;&gt;"ON FILE"),"INVALID – menu checklist not on file (Documents sheet)",IF(AND(AS82=3,NOT(ISNUMBER(Flights!$AX$7))),"INVALID – enter carrying flight KUL departure (Flights AX)",IF(AND(AS82=3,OR(Flights!$AX$7&gt;=Flights!$AA$7,Flights!$AX$7&lt;Flights!$AA$7-3)),"INVALID – Flights AX must be before this leg's STD (within 3 days)",IF(AG82&gt;AsOfUTC,"INVALID – completion time is in the future",IF(AND(ISNUMBER(S82),AG82&lt;S82),IF(H82="Physical uplift","INVALID – before uplift window (cannot confirm loading)","INVALID – before valid window"),IF(AG82&gt;Flights!$AA$7,"INVALID – completed after departure (cannot establish readiness)",IF(AND(H82="Physical uplift",AG82&gt;Q82),"INVALID – recorded after the loading flight departed",IF(AG82&gt;Q82,"COMPLETE – LATE","COMPLETE")))))))))))))))))),IF(TRIM(U82)="Fail","FAIL – DISCREPANCY",IF(AND(TRIM(U82)&lt;&gt;"",TRIM(U82)&lt;&gt;"Not started",TRIM(U82)&lt;&gt;"In progress"),"INVALID – unrecognised status (use the list)",IF(AsOfUTC&gt;Q82,"OVERDUE",IF(N82="Clarification required","OPEN – CLARIFICATION","OPEN")))))))</f>
        <v>OPEN</v>
      </c>
      <c r="AI82" s="61" t="n">
        <f aca="false">IF(OR(AH82="N/A – RULE",AH82="N/A – JUSTIFIED"),0,1)</f>
        <v>1</v>
      </c>
      <c r="AJ82" s="61" t="n">
        <f aca="false">IF(LEFT(AH82,8)="COMPLETE",1,0)</f>
        <v>0</v>
      </c>
      <c r="AK82" s="61" t="n">
        <f aca="false">IF(AND(AI82=1,AJ82=0,AsOfUTC&gt;Q82),1,0)</f>
        <v>0</v>
      </c>
      <c r="AL82" s="61" t="n">
        <f aca="false">IF(AND(AI82=1,OR(TRIM(U82)="Fail",AND(TRIM(AB82)&lt;&gt;"",TRIM(AB82)&lt;&gt;"Closed"),AND(ISNUMBER(AF82),AF82&lt;&gt;0,TRIM(U82)&lt;&gt;"Pass after CA"))),1,0)</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row>
    <row r="83" customFormat="false" ht="39.75" hidden="false" customHeight="true" outlineLevel="0" collapsed="false">
      <c r="A83" s="57" t="s">
        <v>536</v>
      </c>
      <c r="B83" s="57" t="s">
        <v>204</v>
      </c>
      <c r="C83" s="57" t="str">
        <f aca="false">Flights!$F$7</f>
        <v>MH0720</v>
      </c>
      <c r="D83" s="58" t="n">
        <f aca="false">Flights!$D$7</f>
        <v>46305</v>
      </c>
      <c r="E83" s="57" t="str">
        <f aca="false">Flights!$G$7&amp;"-"&amp;Flights!$H$7</f>
        <v>CGK-KUL</v>
      </c>
      <c r="F83" s="57" t="str">
        <f aca="false">Flights!$K$7</f>
        <v>EY</v>
      </c>
      <c r="G83" s="57" t="s">
        <v>385</v>
      </c>
      <c r="H83" s="57" t="s">
        <v>343</v>
      </c>
      <c r="I83" s="57" t="s">
        <v>393</v>
      </c>
      <c r="J83" s="57" t="s">
        <v>398</v>
      </c>
      <c r="K83" s="67"/>
      <c r="L83" s="67" t="s">
        <v>387</v>
      </c>
      <c r="M83" s="67"/>
      <c r="N83" s="67" t="s">
        <v>348</v>
      </c>
      <c r="O83" s="67" t="s">
        <v>388</v>
      </c>
      <c r="P83" s="57" t="s">
        <v>193</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59" t="n">
        <f aca="false">Q83-T12EarlyH/24</f>
        <v>46304.3784722222</v>
      </c>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IF(N83="N/A – rule","N/A – RULE",IF(TRIM(U83)="N/A",IF(AT83=0,"INVALID – N/A not permitted for this mandatory check",IF(AND(TRIM(AC83)&lt;&gt;"",TRIM(AE83)&lt;&gt;"",TRIM(T83)&lt;&gt;"",TRIM(AE83)&lt;&gt;TRIM(T83)),"N/A – JUSTIFIED","INVALID – N/A needs justification, PIC and a different verifier")),IF(OR(TRIM(U83)="Pass",TRIM(U83)="Pass after CA"),IF(NOT(ISNUMBER(AD83)),"INVALID – completion time missing",IF(TRIM(T83)="","INVALID – PIC missing",IF(TRIM(V83)="","INVALID – result / assessment missing",IF(TRIM(Z83)="","INVALID – evidence missing",IF(TRIM(AE83)="","INVALID – verifier missing",IF(TRIM(AE83)=TRIM(T83),"INVALID – verifier must be someone other than the PIC",IF(AND(AQ83=1,TRIM(W83)=""),"INVALID – batch ID missing",IF(AND(AR83=1,OR(NOT(ISNUMBER(X83)),NOT(ISNUMBER(Y83)))),"INVALID – expected/actual qty missing",IF(IF(AND(TRIM(U83)="Pass",ISNUMBER(AF83)),IF(AF83&lt;&gt;0,"INVALID – qty variance: use Fail or Pass after CA",""),"")&amp;IF(AND(TRIM(U83)="Pass",TRIM(AB83)&lt;&gt;"",TRIM(AB83)&lt;&gt;"Closed"),"INVALID – corrective action not closed: use Fail, then Pass after CA","")&amp;IF(AND(TRIM(AA83)&lt;&gt;"",TRIM(AB83)=""),"INVALID – CA status missing for the recorded corrective action","")&amp;IF(AND(TRIM(U83)="Pass after CA",OR(TRIM(AA83)="",TRIM(AB83)&lt;&gt;"Closed")),"INVALID – corrective action not recorded/closed","")&lt;&gt;"",IF(AND(TRIM(U83)="Pass",ISNUMBER(AF83)),IF(AF83&lt;&gt;0,"INVALID – qty variance: use Fail or Pass after CA",""),"")&amp;IF(AND(TRIM(U83)="Pass",TRIM(AB83)&lt;&gt;"",TRIM(AB83)&lt;&gt;"Closed"),"INVALID – corrective action not closed: use Fail, then Pass after CA","")&amp;IF(AND(TRIM(AA83)&lt;&gt;"",TRIM(AB83)=""),"INVALID – CA status missing for the recorded corrective action","")&amp;IF(AND(TRIM(U83)="Pass after CA",OR(TRIM(AA83)="",TRIM(AB83)&lt;&gt;"Closed")),"INVALID – corrective action not recorded/closed",""),IF(AND(AS83=1,Documents!$J$7&lt;&gt;"ON FILE"),"INVALID – GLD not on file (Documents sheet)",IF(AND(AS83=2,Documents!$O$7&lt;&gt;"ON FILE"),"INVALID – menu checklist not on file (Documents sheet)",IF(AND(AS83=3,NOT(ISNUMBER(Flights!$AX$7))),"INVALID – enter carrying flight KUL departure (Flights AX)",IF(AND(AS83=3,OR(Flights!$AX$7&gt;=Flights!$AA$7,Flights!$AX$7&lt;Flights!$AA$7-3)),"INVALID – Flights AX must be before this leg's STD (within 3 days)",IF(AG83&gt;AsOfUTC,"INVALID – completion time is in the future",IF(AND(ISNUMBER(S83),AG83&lt;S83),IF(H83="Physical uplift","INVALID – before uplift window (cannot confirm loading)","INVALID – before valid window"),IF(AG83&gt;Flights!$AA$7,"INVALID – completed after departure (cannot establish readiness)",IF(AND(H83="Physical uplift",AG83&gt;Q83),"INVALID – recorded after the loading flight departed",IF(AG83&gt;Q83,"COMPLETE – LATE","COMPLETE")))))))))))))))))),IF(TRIM(U83)="Fail","FAIL – DISCREPANCY",IF(AND(TRIM(U83)&lt;&gt;"",TRIM(U83)&lt;&gt;"Not started",TRIM(U83)&lt;&gt;"In progress"),"INVALID – unrecognised status (use the list)",IF(AsOfUTC&gt;Q83,"OVERDUE",IF(N83="Clarification required","OPEN – CLARIFICATION","OPEN")))))))</f>
        <v>OPEN</v>
      </c>
      <c r="AI83" s="61" t="n">
        <f aca="false">IF(OR(AH83="N/A – RULE",AH83="N/A – JUSTIFIED"),0,1)</f>
        <v>1</v>
      </c>
      <c r="AJ83" s="61" t="n">
        <f aca="false">IF(LEFT(AH83,8)="COMPLETE",1,0)</f>
        <v>0</v>
      </c>
      <c r="AK83" s="61" t="n">
        <f aca="false">IF(AND(AI83=1,AJ83=0,AsOfUTC&gt;Q83),1,0)</f>
        <v>0</v>
      </c>
      <c r="AL83" s="61" t="n">
        <f aca="false">IF(AND(AI83=1,OR(TRIM(U83)="Fail",AND(TRIM(AB83)&lt;&gt;"",TRIM(AB83)&lt;&gt;"Closed"),AND(ISNUMBER(AF83),AF83&lt;&gt;0,TRIM(U83)&lt;&gt;"Pass after CA"))),1,0)</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row>
    <row r="84" customFormat="false" ht="78.75" hidden="false" customHeight="true" outlineLevel="0" collapsed="false">
      <c r="A84" s="57" t="s">
        <v>537</v>
      </c>
      <c r="B84" s="57" t="s">
        <v>204</v>
      </c>
      <c r="C84" s="57" t="str">
        <f aca="false">Flights!$F$7</f>
        <v>MH0720</v>
      </c>
      <c r="D84" s="58" t="n">
        <f aca="false">Flights!$D$7</f>
        <v>46305</v>
      </c>
      <c r="E84" s="57" t="str">
        <f aca="false">Flights!$G$7&amp;"-"&amp;Flights!$H$7</f>
        <v>CGK-KUL</v>
      </c>
      <c r="F84" s="57" t="str">
        <f aca="false">Flights!$K$7</f>
        <v>EY</v>
      </c>
      <c r="G84" s="57" t="s">
        <v>385</v>
      </c>
      <c r="H84" s="57" t="s">
        <v>343</v>
      </c>
      <c r="I84" s="57" t="s">
        <v>393</v>
      </c>
      <c r="J84" s="57" t="s">
        <v>400</v>
      </c>
      <c r="K84" s="67" t="s">
        <v>538</v>
      </c>
      <c r="L84" s="67" t="s">
        <v>387</v>
      </c>
      <c r="M84" s="67"/>
      <c r="N84" s="67" t="s">
        <v>348</v>
      </c>
      <c r="O84" s="67" t="s">
        <v>388</v>
      </c>
      <c r="P84" s="57" t="s">
        <v>193</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59" t="n">
        <f aca="false">Q84-T12EarlyH/24</f>
        <v>46304.3784722222</v>
      </c>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IF(N84="N/A – rule","N/A – RULE",IF(TRIM(U84)="N/A",IF(AT84=0,"INVALID – N/A not permitted for this mandatory check",IF(AND(TRIM(AC84)&lt;&gt;"",TRIM(AE84)&lt;&gt;"",TRIM(T84)&lt;&gt;"",TRIM(AE84)&lt;&gt;TRIM(T84)),"N/A – JUSTIFIED","INVALID – N/A needs justification, PIC and a different verifier")),IF(OR(TRIM(U84)="Pass",TRIM(U84)="Pass after CA"),IF(NOT(ISNUMBER(AD84)),"INVALID – completion time missing",IF(TRIM(T84)="","INVALID – PIC missing",IF(TRIM(V84)="","INVALID – result / assessment missing",IF(TRIM(Z84)="","INVALID – evidence missing",IF(TRIM(AE84)="","INVALID – verifier missing",IF(TRIM(AE84)=TRIM(T84),"INVALID – verifier must be someone other than the PIC",IF(AND(AQ84=1,TRIM(W84)=""),"INVALID – batch ID missing",IF(AND(AR84=1,OR(NOT(ISNUMBER(X84)),NOT(ISNUMBER(Y84)))),"INVALID – expected/actual qty missing",IF(IF(AND(TRIM(U84)="Pass",ISNUMBER(AF84)),IF(AF84&lt;&gt;0,"INVALID – qty variance: use Fail or Pass after CA",""),"")&amp;IF(AND(TRIM(U84)="Pass",TRIM(AB84)&lt;&gt;"",TRIM(AB84)&lt;&gt;"Closed"),"INVALID – corrective action not closed: use Fail, then Pass after CA","")&amp;IF(AND(TRIM(AA84)&lt;&gt;"",TRIM(AB84)=""),"INVALID – CA status missing for the recorded corrective action","")&amp;IF(AND(TRIM(U84)="Pass after CA",OR(TRIM(AA84)="",TRIM(AB84)&lt;&gt;"Closed")),"INVALID – corrective action not recorded/closed","")&lt;&gt;"",IF(AND(TRIM(U84)="Pass",ISNUMBER(AF84)),IF(AF84&lt;&gt;0,"INVALID – qty variance: use Fail or Pass after CA",""),"")&amp;IF(AND(TRIM(U84)="Pass",TRIM(AB84)&lt;&gt;"",TRIM(AB84)&lt;&gt;"Closed"),"INVALID – corrective action not closed: use Fail, then Pass after CA","")&amp;IF(AND(TRIM(AA84)&lt;&gt;"",TRIM(AB84)=""),"INVALID – CA status missing for the recorded corrective action","")&amp;IF(AND(TRIM(U84)="Pass after CA",OR(TRIM(AA84)="",TRIM(AB84)&lt;&gt;"Closed")),"INVALID – corrective action not recorded/closed",""),IF(AND(AS84=1,Documents!$J$7&lt;&gt;"ON FILE"),"INVALID – GLD not on file (Documents sheet)",IF(AND(AS84=2,Documents!$O$7&lt;&gt;"ON FILE"),"INVALID – menu checklist not on file (Documents sheet)",IF(AND(AS84=3,NOT(ISNUMBER(Flights!$AX$7))),"INVALID – enter carrying flight KUL departure (Flights AX)",IF(AND(AS84=3,OR(Flights!$AX$7&gt;=Flights!$AA$7,Flights!$AX$7&lt;Flights!$AA$7-3)),"INVALID – Flights AX must be before this leg's STD (within 3 days)",IF(AG84&gt;AsOfUTC,"INVALID – completion time is in the future",IF(AND(ISNUMBER(S84),AG84&lt;S84),IF(H84="Physical uplift","INVALID – before uplift window (cannot confirm loading)","INVALID – before valid window"),IF(AG84&gt;Flights!$AA$7,"INVALID – completed after departure (cannot establish readiness)",IF(AND(H84="Physical uplift",AG84&gt;Q84),"INVALID – recorded after the loading flight departed",IF(AG84&gt;Q84,"COMPLETE – LATE","COMPLETE")))))))))))))))))),IF(TRIM(U84)="Fail","FAIL – DISCREPANCY",IF(AND(TRIM(U84)&lt;&gt;"",TRIM(U84)&lt;&gt;"Not started",TRIM(U84)&lt;&gt;"In progress"),"INVALID – unrecognised status (use the list)",IF(AsOfUTC&gt;Q84,"OVERDUE",IF(N84="Clarification required","OPEN – CLARIFICATION","OPEN")))))))</f>
        <v>OPEN</v>
      </c>
      <c r="AI84" s="61" t="n">
        <f aca="false">IF(OR(AH84="N/A – RULE",AH84="N/A – JUSTIFIED"),0,1)</f>
        <v>1</v>
      </c>
      <c r="AJ84" s="61" t="n">
        <f aca="false">IF(LEFT(AH84,8)="COMPLETE",1,0)</f>
        <v>0</v>
      </c>
      <c r="AK84" s="61" t="n">
        <f aca="false">IF(AND(AI84=1,AJ84=0,AsOfUTC&gt;Q84),1,0)</f>
        <v>0</v>
      </c>
      <c r="AL84" s="61" t="n">
        <f aca="false">IF(AND(AI84=1,OR(TRIM(U84)="Fail",AND(TRIM(AB84)&lt;&gt;"",TRIM(AB84)&lt;&gt;"Closed"),AND(ISNUMBER(AF84),AF84&lt;&gt;0,TRIM(U84)&lt;&gt;"Pass after CA"))),1,0)</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row>
    <row r="85" customFormat="false" ht="39.75" hidden="false" customHeight="true" outlineLevel="0" collapsed="false">
      <c r="A85" s="57" t="s">
        <v>539</v>
      </c>
      <c r="B85" s="57" t="s">
        <v>204</v>
      </c>
      <c r="C85" s="57" t="str">
        <f aca="false">Flights!$F$7</f>
        <v>MH0720</v>
      </c>
      <c r="D85" s="58" t="n">
        <f aca="false">Flights!$D$7</f>
        <v>46305</v>
      </c>
      <c r="E85" s="57" t="str">
        <f aca="false">Flights!$G$7&amp;"-"&amp;Flights!$H$7</f>
        <v>CGK-KUL</v>
      </c>
      <c r="F85" s="57" t="str">
        <f aca="false">Flights!$K$7</f>
        <v>EY</v>
      </c>
      <c r="G85" s="57" t="s">
        <v>385</v>
      </c>
      <c r="H85" s="57" t="s">
        <v>343</v>
      </c>
      <c r="I85" s="57" t="s">
        <v>393</v>
      </c>
      <c r="J85" s="57" t="s">
        <v>403</v>
      </c>
      <c r="K85" s="67"/>
      <c r="L85" s="67" t="s">
        <v>387</v>
      </c>
      <c r="M85" s="67"/>
      <c r="N85" s="67" t="s">
        <v>348</v>
      </c>
      <c r="O85" s="67" t="s">
        <v>388</v>
      </c>
      <c r="P85" s="57" t="s">
        <v>193</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59" t="n">
        <f aca="false">Q85-T12EarlyH/24</f>
        <v>46304.3784722222</v>
      </c>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IF(N85="N/A – rule","N/A – RULE",IF(TRIM(U85)="N/A",IF(AT85=0,"INVALID – N/A not permitted for this mandatory check",IF(AND(TRIM(AC85)&lt;&gt;"",TRIM(AE85)&lt;&gt;"",TRIM(T85)&lt;&gt;"",TRIM(AE85)&lt;&gt;TRIM(T85)),"N/A – JUSTIFIED","INVALID – N/A needs justification, PIC and a different verifier")),IF(OR(TRIM(U85)="Pass",TRIM(U85)="Pass after CA"),IF(NOT(ISNUMBER(AD85)),"INVALID – completion time missing",IF(TRIM(T85)="","INVALID – PIC missing",IF(TRIM(V85)="","INVALID – result / assessment missing",IF(TRIM(Z85)="","INVALID – evidence missing",IF(TRIM(AE85)="","INVALID – verifier missing",IF(TRIM(AE85)=TRIM(T85),"INVALID – verifier must be someone other than the PIC",IF(AND(AQ85=1,TRIM(W85)=""),"INVALID – batch ID missing",IF(AND(AR85=1,OR(NOT(ISNUMBER(X85)),NOT(ISNUMBER(Y85)))),"INVALID – expected/actual qty missing",IF(IF(AND(TRIM(U85)="Pass",ISNUMBER(AF85)),IF(AF85&lt;&gt;0,"INVALID – qty variance: use Fail or Pass after CA",""),"")&amp;IF(AND(TRIM(U85)="Pass",TRIM(AB85)&lt;&gt;"",TRIM(AB85)&lt;&gt;"Closed"),"INVALID – corrective action not closed: use Fail, then Pass after CA","")&amp;IF(AND(TRIM(AA85)&lt;&gt;"",TRIM(AB85)=""),"INVALID – CA status missing for the recorded corrective action","")&amp;IF(AND(TRIM(U85)="Pass after CA",OR(TRIM(AA85)="",TRIM(AB85)&lt;&gt;"Closed")),"INVALID – corrective action not recorded/closed","")&lt;&gt;"",IF(AND(TRIM(U85)="Pass",ISNUMBER(AF85)),IF(AF85&lt;&gt;0,"INVALID – qty variance: use Fail or Pass after CA",""),"")&amp;IF(AND(TRIM(U85)="Pass",TRIM(AB85)&lt;&gt;"",TRIM(AB85)&lt;&gt;"Closed"),"INVALID – corrective action not closed: use Fail, then Pass after CA","")&amp;IF(AND(TRIM(AA85)&lt;&gt;"",TRIM(AB85)=""),"INVALID – CA status missing for the recorded corrective action","")&amp;IF(AND(TRIM(U85)="Pass after CA",OR(TRIM(AA85)="",TRIM(AB85)&lt;&gt;"Closed")),"INVALID – corrective action not recorded/closed",""),IF(AND(AS85=1,Documents!$J$7&lt;&gt;"ON FILE"),"INVALID – GLD not on file (Documents sheet)",IF(AND(AS85=2,Documents!$O$7&lt;&gt;"ON FILE"),"INVALID – menu checklist not on file (Documents sheet)",IF(AND(AS85=3,NOT(ISNUMBER(Flights!$AX$7))),"INVALID – enter carrying flight KUL departure (Flights AX)",IF(AND(AS85=3,OR(Flights!$AX$7&gt;=Flights!$AA$7,Flights!$AX$7&lt;Flights!$AA$7-3)),"INVALID – Flights AX must be before this leg's STD (within 3 days)",IF(AG85&gt;AsOfUTC,"INVALID – completion time is in the future",IF(AND(ISNUMBER(S85),AG85&lt;S85),IF(H85="Physical uplift","INVALID – before uplift window (cannot confirm loading)","INVALID – before valid window"),IF(AG85&gt;Flights!$AA$7,"INVALID – completed after departure (cannot establish readiness)",IF(AND(H85="Physical uplift",AG85&gt;Q85),"INVALID – recorded after the loading flight departed",IF(AG85&gt;Q85,"COMPLETE – LATE","COMPLETE")))))))))))))))))),IF(TRIM(U85)="Fail","FAIL – DISCREPANCY",IF(AND(TRIM(U85)&lt;&gt;"",TRIM(U85)&lt;&gt;"Not started",TRIM(U85)&lt;&gt;"In progress"),"INVALID – unrecognised status (use the list)",IF(AsOfUTC&gt;Q85,"OVERDUE",IF(N85="Clarification required","OPEN – CLARIFICATION","OPEN")))))))</f>
        <v>OPEN</v>
      </c>
      <c r="AI85" s="61" t="n">
        <f aca="false">IF(OR(AH85="N/A – RULE",AH85="N/A – JUSTIFIED"),0,1)</f>
        <v>1</v>
      </c>
      <c r="AJ85" s="61" t="n">
        <f aca="false">IF(LEFT(AH85,8)="COMPLETE",1,0)</f>
        <v>0</v>
      </c>
      <c r="AK85" s="61" t="n">
        <f aca="false">IF(AND(AI85=1,AJ85=0,AsOfUTC&gt;Q85),1,0)</f>
        <v>0</v>
      </c>
      <c r="AL85" s="61" t="n">
        <f aca="false">IF(AND(AI85=1,OR(TRIM(U85)="Fail",AND(TRIM(AB85)&lt;&gt;"",TRIM(AB85)&lt;&gt;"Closed"),AND(ISNUMBER(AF85),AF85&lt;&gt;0,TRIM(U85)&lt;&gt;"Pass after CA"))),1,0)</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row>
    <row r="86" customFormat="false" ht="41.25" hidden="false" customHeight="true" outlineLevel="0" collapsed="false">
      <c r="A86" s="57" t="s">
        <v>540</v>
      </c>
      <c r="B86" s="57" t="s">
        <v>204</v>
      </c>
      <c r="C86" s="57" t="str">
        <f aca="false">Flights!$F$7</f>
        <v>MH0720</v>
      </c>
      <c r="D86" s="58" t="n">
        <f aca="false">Flights!$D$7</f>
        <v>46305</v>
      </c>
      <c r="E86" s="57" t="str">
        <f aca="false">Flights!$G$7&amp;"-"&amp;Flights!$H$7</f>
        <v>CGK-KUL</v>
      </c>
      <c r="F86" s="57" t="str">
        <f aca="false">Flights!$K$7</f>
        <v>EY</v>
      </c>
      <c r="G86" s="57" t="s">
        <v>385</v>
      </c>
      <c r="H86" s="57" t="s">
        <v>343</v>
      </c>
      <c r="I86" s="57" t="s">
        <v>412</v>
      </c>
      <c r="J86" s="57" t="s">
        <v>413</v>
      </c>
      <c r="K86" s="67" t="s">
        <v>414</v>
      </c>
      <c r="L86" s="67" t="s">
        <v>541</v>
      </c>
      <c r="M86" s="67" t="s">
        <v>416</v>
      </c>
      <c r="N86" s="67" t="s">
        <v>348</v>
      </c>
      <c r="O86" s="67" t="s">
        <v>542</v>
      </c>
      <c r="P86" s="57" t="s">
        <v>193</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59" t="n">
        <f aca="false">Q86-T12EarlyH/24</f>
        <v>46304.3784722222</v>
      </c>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IF(N86="N/A – rule","N/A – RULE",IF(TRIM(U86)="N/A",IF(AT86=0,"INVALID – N/A not permitted for this mandatory check",IF(AND(TRIM(AC86)&lt;&gt;"",TRIM(AE86)&lt;&gt;"",TRIM(T86)&lt;&gt;"",TRIM(AE86)&lt;&gt;TRIM(T86)),"N/A – JUSTIFIED","INVALID – N/A needs justification, PIC and a different verifier")),IF(OR(TRIM(U86)="Pass",TRIM(U86)="Pass after CA"),IF(NOT(ISNUMBER(AD86)),"INVALID – completion time missing",IF(TRIM(T86)="","INVALID – PIC missing",IF(TRIM(V86)="","INVALID – result / assessment missing",IF(TRIM(Z86)="","INVALID – evidence missing",IF(TRIM(AE86)="","INVALID – verifier missing",IF(TRIM(AE86)=TRIM(T86),"INVALID – verifier must be someone other than the PIC",IF(AND(AQ86=1,TRIM(W86)=""),"INVALID – batch ID missing",IF(AND(AR86=1,OR(NOT(ISNUMBER(X86)),NOT(ISNUMBER(Y86)))),"INVALID – expected/actual qty missing",IF(IF(AND(TRIM(U86)="Pass",ISNUMBER(AF86)),IF(AF86&lt;&gt;0,"INVALID – qty variance: use Fail or Pass after CA",""),"")&amp;IF(AND(TRIM(U86)="Pass",TRIM(AB86)&lt;&gt;"",TRIM(AB86)&lt;&gt;"Closed"),"INVALID – corrective action not closed: use Fail, then Pass after CA","")&amp;IF(AND(TRIM(AA86)&lt;&gt;"",TRIM(AB86)=""),"INVALID – CA status missing for the recorded corrective action","")&amp;IF(AND(TRIM(U86)="Pass after CA",OR(TRIM(AA86)="",TRIM(AB86)&lt;&gt;"Closed")),"INVALID – corrective action not recorded/closed","")&lt;&gt;"",IF(AND(TRIM(U86)="Pass",ISNUMBER(AF86)),IF(AF86&lt;&gt;0,"INVALID – qty variance: use Fail or Pass after CA",""),"")&amp;IF(AND(TRIM(U86)="Pass",TRIM(AB86)&lt;&gt;"",TRIM(AB86)&lt;&gt;"Closed"),"INVALID – corrective action not closed: use Fail, then Pass after CA","")&amp;IF(AND(TRIM(AA86)&lt;&gt;"",TRIM(AB86)=""),"INVALID – CA status missing for the recorded corrective action","")&amp;IF(AND(TRIM(U86)="Pass after CA",OR(TRIM(AA86)="",TRIM(AB86)&lt;&gt;"Closed")),"INVALID – corrective action not recorded/closed",""),IF(AND(AS86=1,Documents!$J$7&lt;&gt;"ON FILE"),"INVALID – GLD not on file (Documents sheet)",IF(AND(AS86=2,Documents!$O$7&lt;&gt;"ON FILE"),"INVALID – menu checklist not on file (Documents sheet)",IF(AND(AS86=3,NOT(ISNUMBER(Flights!$AX$7))),"INVALID – enter carrying flight KUL departure (Flights AX)",IF(AND(AS86=3,OR(Flights!$AX$7&gt;=Flights!$AA$7,Flights!$AX$7&lt;Flights!$AA$7-3)),"INVALID – Flights AX must be before this leg's STD (within 3 days)",IF(AG86&gt;AsOfUTC,"INVALID – completion time is in the future",IF(AND(ISNUMBER(S86),AG86&lt;S86),IF(H86="Physical uplift","INVALID – before uplift window (cannot confirm loading)","INVALID – before valid window"),IF(AG86&gt;Flights!$AA$7,"INVALID – completed after departure (cannot establish readiness)",IF(AND(H86="Physical uplift",AG86&gt;Q86),"INVALID – recorded after the loading flight departed",IF(AG86&gt;Q86,"COMPLETE – LATE","COMPLETE")))))))))))))))))),IF(TRIM(U86)="Fail","FAIL – DISCREPANCY",IF(AND(TRIM(U86)&lt;&gt;"",TRIM(U86)&lt;&gt;"Not started",TRIM(U86)&lt;&gt;"In progress"),"INVALID – unrecognised status (use the list)",IF(AsOfUTC&gt;Q86,"OVERDUE",IF(N86="Clarification required","OPEN – CLARIFICATION","OPEN")))))))</f>
        <v>OPEN</v>
      </c>
      <c r="AI86" s="61" t="n">
        <f aca="false">IF(OR(AH86="N/A – RULE",AH86="N/A – JUSTIFIED"),0,1)</f>
        <v>1</v>
      </c>
      <c r="AJ86" s="61" t="n">
        <f aca="false">IF(LEFT(AH86,8)="COMPLETE",1,0)</f>
        <v>0</v>
      </c>
      <c r="AK86" s="61" t="n">
        <f aca="false">IF(AND(AI86=1,AJ86=0,AsOfUTC&gt;Q86),1,0)</f>
        <v>0</v>
      </c>
      <c r="AL86" s="61" t="n">
        <f aca="false">IF(AND(AI86=1,OR(TRIM(U86)="Fail",AND(TRIM(AB86)&lt;&gt;"",TRIM(AB86)&lt;&gt;"Closed"),AND(ISNUMBER(AF86),AF86&lt;&gt;0,TRIM(U86)&lt;&gt;"Pass after CA"))),1,0)</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8" t="b">
        <f aca="false">TRUE()</f>
        <v>1</v>
      </c>
    </row>
    <row r="87" customFormat="false" ht="39.75" hidden="false" customHeight="true" outlineLevel="0" collapsed="false">
      <c r="A87" s="57" t="s">
        <v>543</v>
      </c>
      <c r="B87" s="57" t="s">
        <v>204</v>
      </c>
      <c r="C87" s="57" t="str">
        <f aca="false">Flights!$F$7</f>
        <v>MH0720</v>
      </c>
      <c r="D87" s="58" t="n">
        <f aca="false">Flights!$D$7</f>
        <v>46305</v>
      </c>
      <c r="E87" s="57" t="str">
        <f aca="false">Flights!$G$7&amp;"-"&amp;Flights!$H$7</f>
        <v>CGK-KUL</v>
      </c>
      <c r="F87" s="57" t="str">
        <f aca="false">Flights!$K$7</f>
        <v>EY</v>
      </c>
      <c r="G87" s="57" t="s">
        <v>424</v>
      </c>
      <c r="H87" s="57" t="s">
        <v>425</v>
      </c>
      <c r="I87" s="57" t="s">
        <v>344</v>
      </c>
      <c r="J87" s="57" t="s">
        <v>426</v>
      </c>
      <c r="K87" s="67" t="s">
        <v>391</v>
      </c>
      <c r="L87" s="67" t="s">
        <v>427</v>
      </c>
      <c r="M87" s="67"/>
      <c r="N87" s="67" t="s">
        <v>348</v>
      </c>
      <c r="O87" s="67" t="s">
        <v>428</v>
      </c>
      <c r="P87" s="57" t="s">
        <v>193</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59" t="n">
        <f aca="false">IF(ISNUMBER(Flights!$AY$7),MAX(Q87-UpliftWindowH/24,Flights!$AY$7+UpliftWindowH/24),Q87-UpliftWindowH/24)</f>
        <v>46305.1284722222</v>
      </c>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IF(N87="N/A – rule","N/A – RULE",IF(TRIM(U87)="N/A",IF(AT87=0,"INVALID – N/A not permitted for this mandatory check",IF(AND(TRIM(AC87)&lt;&gt;"",TRIM(AE87)&lt;&gt;"",TRIM(T87)&lt;&gt;"",TRIM(AE87)&lt;&gt;TRIM(T87)),"N/A – JUSTIFIED","INVALID – N/A needs justification, PIC and a different verifier")),IF(OR(TRIM(U87)="Pass",TRIM(U87)="Pass after CA"),IF(NOT(ISNUMBER(AD87)),"INVALID – completion time missing",IF(TRIM(T87)="","INVALID – PIC missing",IF(TRIM(V87)="","INVALID – result / assessment missing",IF(TRIM(Z87)="","INVALID – evidence missing",IF(TRIM(AE87)="","INVALID – verifier missing",IF(TRIM(AE87)=TRIM(T87),"INVALID – verifier must be someone other than the PIC",IF(AND(AQ87=1,TRIM(W87)=""),"INVALID – batch ID missing",IF(AND(AR87=1,OR(NOT(ISNUMBER(X87)),NOT(ISNUMBER(Y87)))),"INVALID – expected/actual qty missing",IF(IF(AND(TRIM(U87)="Pass",ISNUMBER(AF87)),IF(AF87&lt;&gt;0,"INVALID – qty variance: use Fail or Pass after CA",""),"")&amp;IF(AND(TRIM(U87)="Pass",TRIM(AB87)&lt;&gt;"",TRIM(AB87)&lt;&gt;"Closed"),"INVALID – corrective action not closed: use Fail, then Pass after CA","")&amp;IF(AND(TRIM(AA87)&lt;&gt;"",TRIM(AB87)=""),"INVALID – CA status missing for the recorded corrective action","")&amp;IF(AND(TRIM(U87)="Pass after CA",OR(TRIM(AA87)="",TRIM(AB87)&lt;&gt;"Closed")),"INVALID – corrective action not recorded/closed","")&lt;&gt;"",IF(AND(TRIM(U87)="Pass",ISNUMBER(AF87)),IF(AF87&lt;&gt;0,"INVALID – qty variance: use Fail or Pass after CA",""),"")&amp;IF(AND(TRIM(U87)="Pass",TRIM(AB87)&lt;&gt;"",TRIM(AB87)&lt;&gt;"Closed"),"INVALID – corrective action not closed: use Fail, then Pass after CA","")&amp;IF(AND(TRIM(AA87)&lt;&gt;"",TRIM(AB87)=""),"INVALID – CA status missing for the recorded corrective action","")&amp;IF(AND(TRIM(U87)="Pass after CA",OR(TRIM(AA87)="",TRIM(AB87)&lt;&gt;"Closed")),"INVALID – corrective action not recorded/closed",""),IF(AND(AS87=1,Documents!$J$7&lt;&gt;"ON FILE"),"INVALID – GLD not on file (Documents sheet)",IF(AND(AS87=2,Documents!$O$7&lt;&gt;"ON FILE"),"INVALID – menu checklist not on file (Documents sheet)",IF(AND(AS87=3,NOT(ISNUMBER(Flights!$AX$7))),"INVALID – enter carrying flight KUL departure (Flights AX)",IF(AND(AS87=3,OR(Flights!$AX$7&gt;=Flights!$AA$7,Flights!$AX$7&lt;Flights!$AA$7-3)),"INVALID – Flights AX must be before this leg's STD (within 3 days)",IF(AG87&gt;AsOfUTC,"INVALID – completion time is in the future",IF(AND(ISNUMBER(S87),AG87&lt;S87),IF(H87="Physical uplift","INVALID – before uplift window (cannot confirm loading)","INVALID – before valid window"),IF(AG87&gt;Flights!$AA$7,"INVALID – completed after departure (cannot establish readiness)",IF(AND(H87="Physical uplift",AG87&gt;Q87),"INVALID – recorded after the loading flight departed",IF(AG87&gt;Q87,"COMPLETE – LATE","COMPLETE")))))))))))))))))),IF(TRIM(U87)="Fail","FAIL – DISCREPANCY",IF(AND(TRIM(U87)&lt;&gt;"",TRIM(U87)&lt;&gt;"Not started",TRIM(U87)&lt;&gt;"In progress"),"INVALID – unrecognised status (use the list)",IF(AsOfUTC&gt;Q87,"OVERDUE",IF(N87="Clarification required","OPEN – CLARIFICATION","OPEN")))))))</f>
        <v>OPEN</v>
      </c>
      <c r="AI87" s="61" t="n">
        <f aca="false">IF(OR(AH87="N/A – RULE",AH87="N/A – JUSTIFIED"),0,1)</f>
        <v>1</v>
      </c>
      <c r="AJ87" s="61" t="n">
        <f aca="false">IF(LEFT(AH87,8)="COMPLETE",1,0)</f>
        <v>0</v>
      </c>
      <c r="AK87" s="61" t="n">
        <f aca="false">IF(AND(AI87=1,AJ87=0,AsOfUTC&gt;Q87),1,0)</f>
        <v>0</v>
      </c>
      <c r="AL87" s="61" t="n">
        <f aca="false">IF(AND(AI87=1,OR(TRIM(U87)="Fail",AND(TRIM(AB87)&lt;&gt;"",TRIM(AB87)&lt;&gt;"Closed"),AND(ISNUMBER(AF87),AF87&lt;&gt;0,TRIM(U87)&lt;&gt;"Pass after CA"))),1,0)</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row>
    <row r="88" customFormat="false" ht="39.75" hidden="false" customHeight="true" outlineLevel="0" collapsed="false">
      <c r="A88" s="57" t="s">
        <v>544</v>
      </c>
      <c r="B88" s="57" t="s">
        <v>204</v>
      </c>
      <c r="C88" s="57" t="str">
        <f aca="false">Flights!$F$7</f>
        <v>MH0720</v>
      </c>
      <c r="D88" s="58" t="n">
        <f aca="false">Flights!$D$7</f>
        <v>46305</v>
      </c>
      <c r="E88" s="57" t="str">
        <f aca="false">Flights!$G$7&amp;"-"&amp;Flights!$H$7</f>
        <v>CGK-KUL</v>
      </c>
      <c r="F88" s="57" t="str">
        <f aca="false">Flights!$K$7</f>
        <v>EY</v>
      </c>
      <c r="G88" s="57" t="s">
        <v>424</v>
      </c>
      <c r="H88" s="57" t="s">
        <v>425</v>
      </c>
      <c r="I88" s="57" t="s">
        <v>393</v>
      </c>
      <c r="J88" s="57" t="s">
        <v>430</v>
      </c>
      <c r="K88" s="67" t="s">
        <v>391</v>
      </c>
      <c r="L88" s="67" t="s">
        <v>427</v>
      </c>
      <c r="M88" s="67"/>
      <c r="N88" s="67" t="s">
        <v>348</v>
      </c>
      <c r="O88" s="67" t="s">
        <v>428</v>
      </c>
      <c r="P88" s="57" t="s">
        <v>193</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59" t="n">
        <f aca="false">IF(ISNUMBER(Flights!$AY$7),MAX(Q88-UpliftWindowH/24,Flights!$AY$7+UpliftWindowH/24),Q88-UpliftWindowH/24)</f>
        <v>46305.1284722222</v>
      </c>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IF(N88="N/A – rule","N/A – RULE",IF(TRIM(U88)="N/A",IF(AT88=0,"INVALID – N/A not permitted for this mandatory check",IF(AND(TRIM(AC88)&lt;&gt;"",TRIM(AE88)&lt;&gt;"",TRIM(T88)&lt;&gt;"",TRIM(AE88)&lt;&gt;TRIM(T88)),"N/A – JUSTIFIED","INVALID – N/A needs justification, PIC and a different verifier")),IF(OR(TRIM(U88)="Pass",TRIM(U88)="Pass after CA"),IF(NOT(ISNUMBER(AD88)),"INVALID – completion time missing",IF(TRIM(T88)="","INVALID – PIC missing",IF(TRIM(V88)="","INVALID – result / assessment missing",IF(TRIM(Z88)="","INVALID – evidence missing",IF(TRIM(AE88)="","INVALID – verifier missing",IF(TRIM(AE88)=TRIM(T88),"INVALID – verifier must be someone other than the PIC",IF(AND(AQ88=1,TRIM(W88)=""),"INVALID – batch ID missing",IF(AND(AR88=1,OR(NOT(ISNUMBER(X88)),NOT(ISNUMBER(Y88)))),"INVALID – expected/actual qty missing",IF(IF(AND(TRIM(U88)="Pass",ISNUMBER(AF88)),IF(AF88&lt;&gt;0,"INVALID – qty variance: use Fail or Pass after CA",""),"")&amp;IF(AND(TRIM(U88)="Pass",TRIM(AB88)&lt;&gt;"",TRIM(AB88)&lt;&gt;"Closed"),"INVALID – corrective action not closed: use Fail, then Pass after CA","")&amp;IF(AND(TRIM(AA88)&lt;&gt;"",TRIM(AB88)=""),"INVALID – CA status missing for the recorded corrective action","")&amp;IF(AND(TRIM(U88)="Pass after CA",OR(TRIM(AA88)="",TRIM(AB88)&lt;&gt;"Closed")),"INVALID – corrective action not recorded/closed","")&lt;&gt;"",IF(AND(TRIM(U88)="Pass",ISNUMBER(AF88)),IF(AF88&lt;&gt;0,"INVALID – qty variance: use Fail or Pass after CA",""),"")&amp;IF(AND(TRIM(U88)="Pass",TRIM(AB88)&lt;&gt;"",TRIM(AB88)&lt;&gt;"Closed"),"INVALID – corrective action not closed: use Fail, then Pass after CA","")&amp;IF(AND(TRIM(AA88)&lt;&gt;"",TRIM(AB88)=""),"INVALID – CA status missing for the recorded corrective action","")&amp;IF(AND(TRIM(U88)="Pass after CA",OR(TRIM(AA88)="",TRIM(AB88)&lt;&gt;"Closed")),"INVALID – corrective action not recorded/closed",""),IF(AND(AS88=1,Documents!$J$7&lt;&gt;"ON FILE"),"INVALID – GLD not on file (Documents sheet)",IF(AND(AS88=2,Documents!$O$7&lt;&gt;"ON FILE"),"INVALID – menu checklist not on file (Documents sheet)",IF(AND(AS88=3,NOT(ISNUMBER(Flights!$AX$7))),"INVALID – enter carrying flight KUL departure (Flights AX)",IF(AND(AS88=3,OR(Flights!$AX$7&gt;=Flights!$AA$7,Flights!$AX$7&lt;Flights!$AA$7-3)),"INVALID – Flights AX must be before this leg's STD (within 3 days)",IF(AG88&gt;AsOfUTC,"INVALID – completion time is in the future",IF(AND(ISNUMBER(S88),AG88&lt;S88),IF(H88="Physical uplift","INVALID – before uplift window (cannot confirm loading)","INVALID – before valid window"),IF(AG88&gt;Flights!$AA$7,"INVALID – completed after departure (cannot establish readiness)",IF(AND(H88="Physical uplift",AG88&gt;Q88),"INVALID – recorded after the loading flight departed",IF(AG88&gt;Q88,"COMPLETE – LATE","COMPLETE")))))))))))))))))),IF(TRIM(U88)="Fail","FAIL – DISCREPANCY",IF(AND(TRIM(U88)&lt;&gt;"",TRIM(U88)&lt;&gt;"Not started",TRIM(U88)&lt;&gt;"In progress"),"INVALID – unrecognised status (use the list)",IF(AsOfUTC&gt;Q88,"OVERDUE",IF(N88="Clarification required","OPEN – CLARIFICATION","OPEN")))))))</f>
        <v>OPEN</v>
      </c>
      <c r="AI88" s="61" t="n">
        <f aca="false">IF(OR(AH88="N/A – RULE",AH88="N/A – JUSTIFIED"),0,1)</f>
        <v>1</v>
      </c>
      <c r="AJ88" s="61" t="n">
        <f aca="false">IF(LEFT(AH88,8)="COMPLETE",1,0)</f>
        <v>0</v>
      </c>
      <c r="AK88" s="61" t="n">
        <f aca="false">IF(AND(AI88=1,AJ88=0,AsOfUTC&gt;Q88),1,0)</f>
        <v>0</v>
      </c>
      <c r="AL88" s="61" t="n">
        <f aca="false">IF(AND(AI88=1,OR(TRIM(U88)="Fail",AND(TRIM(AB88)&lt;&gt;"",TRIM(AB88)&lt;&gt;"Closed"),AND(ISNUMBER(AF88),AF88&lt;&gt;0,TRIM(U88)&lt;&gt;"Pass after CA"))),1,0)</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row>
    <row r="89" customFormat="false" ht="39.75" hidden="false" customHeight="true" outlineLevel="0" collapsed="false">
      <c r="A89" s="57" t="s">
        <v>545</v>
      </c>
      <c r="B89" s="57" t="s">
        <v>204</v>
      </c>
      <c r="C89" s="57" t="str">
        <f aca="false">Flights!$F$7</f>
        <v>MH0720</v>
      </c>
      <c r="D89" s="58" t="n">
        <f aca="false">Flights!$D$7</f>
        <v>46305</v>
      </c>
      <c r="E89" s="57" t="str">
        <f aca="false">Flights!$G$7&amp;"-"&amp;Flights!$H$7</f>
        <v>CGK-KUL</v>
      </c>
      <c r="F89" s="57" t="str">
        <f aca="false">Flights!$K$7</f>
        <v>EY</v>
      </c>
      <c r="G89" s="57" t="s">
        <v>424</v>
      </c>
      <c r="H89" s="57" t="s">
        <v>425</v>
      </c>
      <c r="I89" s="57" t="s">
        <v>412</v>
      </c>
      <c r="J89" s="57" t="s">
        <v>434</v>
      </c>
      <c r="K89" s="67" t="s">
        <v>414</v>
      </c>
      <c r="L89" s="67" t="s">
        <v>541</v>
      </c>
      <c r="M89" s="67" t="s">
        <v>416</v>
      </c>
      <c r="N89" s="67" t="s">
        <v>348</v>
      </c>
      <c r="O89" s="67"/>
      <c r="P89" s="57" t="s">
        <v>193</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59" t="n">
        <f aca="false">IF(ISNUMBER(Flights!$AY$7),MAX(Q89-UpliftWindowH/24,Flights!$AY$7+UpliftWindowH/24),Q89-UpliftWindowH/24)</f>
        <v>46305.1284722222</v>
      </c>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IF(N89="N/A – rule","N/A – RULE",IF(TRIM(U89)="N/A",IF(AT89=0,"INVALID – N/A not permitted for this mandatory check",IF(AND(TRIM(AC89)&lt;&gt;"",TRIM(AE89)&lt;&gt;"",TRIM(T89)&lt;&gt;"",TRIM(AE89)&lt;&gt;TRIM(T89)),"N/A – JUSTIFIED","INVALID – N/A needs justification, PIC and a different verifier")),IF(OR(TRIM(U89)="Pass",TRIM(U89)="Pass after CA"),IF(NOT(ISNUMBER(AD89)),"INVALID – completion time missing",IF(TRIM(T89)="","INVALID – PIC missing",IF(TRIM(V89)="","INVALID – result / assessment missing",IF(TRIM(Z89)="","INVALID – evidence missing",IF(TRIM(AE89)="","INVALID – verifier missing",IF(TRIM(AE89)=TRIM(T89),"INVALID – verifier must be someone other than the PIC",IF(AND(AQ89=1,TRIM(W89)=""),"INVALID – batch ID missing",IF(AND(AR89=1,OR(NOT(ISNUMBER(X89)),NOT(ISNUMBER(Y89)))),"INVALID – expected/actual qty missing",IF(IF(AND(TRIM(U89)="Pass",ISNUMBER(AF89)),IF(AF89&lt;&gt;0,"INVALID – qty variance: use Fail or Pass after CA",""),"")&amp;IF(AND(TRIM(U89)="Pass",TRIM(AB89)&lt;&gt;"",TRIM(AB89)&lt;&gt;"Closed"),"INVALID – corrective action not closed: use Fail, then Pass after CA","")&amp;IF(AND(TRIM(AA89)&lt;&gt;"",TRIM(AB89)=""),"INVALID – CA status missing for the recorded corrective action","")&amp;IF(AND(TRIM(U89)="Pass after CA",OR(TRIM(AA89)="",TRIM(AB89)&lt;&gt;"Closed")),"INVALID – corrective action not recorded/closed","")&lt;&gt;"",IF(AND(TRIM(U89)="Pass",ISNUMBER(AF89)),IF(AF89&lt;&gt;0,"INVALID – qty variance: use Fail or Pass after CA",""),"")&amp;IF(AND(TRIM(U89)="Pass",TRIM(AB89)&lt;&gt;"",TRIM(AB89)&lt;&gt;"Closed"),"INVALID – corrective action not closed: use Fail, then Pass after CA","")&amp;IF(AND(TRIM(AA89)&lt;&gt;"",TRIM(AB89)=""),"INVALID – CA status missing for the recorded corrective action","")&amp;IF(AND(TRIM(U89)="Pass after CA",OR(TRIM(AA89)="",TRIM(AB89)&lt;&gt;"Closed")),"INVALID – corrective action not recorded/closed",""),IF(AND(AS89=1,Documents!$J$7&lt;&gt;"ON FILE"),"INVALID – GLD not on file (Documents sheet)",IF(AND(AS89=2,Documents!$O$7&lt;&gt;"ON FILE"),"INVALID – menu checklist not on file (Documents sheet)",IF(AND(AS89=3,NOT(ISNUMBER(Flights!$AX$7))),"INVALID – enter carrying flight KUL departure (Flights AX)",IF(AND(AS89=3,OR(Flights!$AX$7&gt;=Flights!$AA$7,Flights!$AX$7&lt;Flights!$AA$7-3)),"INVALID – Flights AX must be before this leg's STD (within 3 days)",IF(AG89&gt;AsOfUTC,"INVALID – completion time is in the future",IF(AND(ISNUMBER(S89),AG89&lt;S89),IF(H89="Physical uplift","INVALID – before uplift window (cannot confirm loading)","INVALID – before valid window"),IF(AG89&gt;Flights!$AA$7,"INVALID – completed after departure (cannot establish readiness)",IF(AND(H89="Physical uplift",AG89&gt;Q89),"INVALID – recorded after the loading flight departed",IF(AG89&gt;Q89,"COMPLETE – LATE","COMPLETE")))))))))))))))))),IF(TRIM(U89)="Fail","FAIL – DISCREPANCY",IF(AND(TRIM(U89)&lt;&gt;"",TRIM(U89)&lt;&gt;"Not started",TRIM(U89)&lt;&gt;"In progress"),"INVALID – unrecognised status (use the list)",IF(AsOfUTC&gt;Q89,"OVERDUE",IF(N89="Clarification required","OPEN – CLARIFICATION","OPEN")))))))</f>
        <v>OPEN</v>
      </c>
      <c r="AI89" s="61" t="n">
        <f aca="false">IF(OR(AH89="N/A – RULE",AH89="N/A – JUSTIFIED"),0,1)</f>
        <v>1</v>
      </c>
      <c r="AJ89" s="61" t="n">
        <f aca="false">IF(LEFT(AH89,8)="COMPLETE",1,0)</f>
        <v>0</v>
      </c>
      <c r="AK89" s="61" t="n">
        <f aca="false">IF(AND(AI89=1,AJ89=0,AsOfUTC&gt;Q89),1,0)</f>
        <v>0</v>
      </c>
      <c r="AL89" s="61" t="n">
        <f aca="false">IF(AND(AI89=1,OR(TRIM(U89)="Fail",AND(TRIM(AB89)&lt;&gt;"",TRIM(AB89)&lt;&gt;"Closed"),AND(ISNUMBER(AF89),AF89&lt;&gt;0,TRIM(U89)&lt;&gt;"Pass after CA"))),1,0)</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8" t="b">
        <f aca="false">TRUE()</f>
        <v>1</v>
      </c>
    </row>
    <row r="90" customFormat="false" ht="39.75" hidden="false" customHeight="true" outlineLevel="0" collapsed="false">
      <c r="A90" s="57" t="s">
        <v>546</v>
      </c>
      <c r="B90" s="57" t="s">
        <v>210</v>
      </c>
      <c r="C90" s="57" t="str">
        <f aca="false">Flights!$F$8</f>
        <v>MH0088</v>
      </c>
      <c r="D90" s="58" t="n">
        <f aca="false">Flights!$D$8</f>
        <v>46305</v>
      </c>
      <c r="E90" s="57" t="str">
        <f aca="false">Flights!$G$8&amp;"-"&amp;Flights!$H$8</f>
        <v>KUL-NRT</v>
      </c>
      <c r="F90" s="57" t="str">
        <f aca="false">Flights!$K$8</f>
        <v>BC</v>
      </c>
      <c r="G90" s="57" t="s">
        <v>76</v>
      </c>
      <c r="H90" s="57" t="s">
        <v>343</v>
      </c>
      <c r="I90" s="57" t="s">
        <v>344</v>
      </c>
      <c r="J90" s="57" t="s">
        <v>345</v>
      </c>
      <c r="K90" s="67" t="s">
        <v>346</v>
      </c>
      <c r="L90" s="67" t="s">
        <v>347</v>
      </c>
      <c r="M90" s="67"/>
      <c r="N90" s="67" t="s">
        <v>348</v>
      </c>
      <c r="O90" s="67"/>
      <c r="P90" s="57" t="s">
        <v>179</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59" t="n">
        <f aca="false">Q90-T7EarlyD*24/24</f>
        <v>46284.6458333333</v>
      </c>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IF(N90="N/A – rule","N/A – RULE",IF(TRIM(U90)="N/A",IF(AT90=0,"INVALID – N/A not permitted for this mandatory check",IF(AND(TRIM(AC90)&lt;&gt;"",TRIM(AE90)&lt;&gt;"",TRIM(T90)&lt;&gt;"",TRIM(AE90)&lt;&gt;TRIM(T90)),"N/A – JUSTIFIED","INVALID – N/A needs justification, PIC and a different verifier")),IF(OR(TRIM(U90)="Pass",TRIM(U90)="Pass after CA"),IF(NOT(ISNUMBER(AD90)),"INVALID – completion time missing",IF(TRIM(T90)="","INVALID – PIC missing",IF(TRIM(V90)="","INVALID – result / assessment missing",IF(TRIM(Z90)="","INVALID – evidence missing",IF(TRIM(AE90)="","INVALID – verifier missing",IF(TRIM(AE90)=TRIM(T90),"INVALID – verifier must be someone other than the PIC",IF(AND(AQ90=1,TRIM(W90)=""),"INVALID – batch ID missing",IF(AND(AR90=1,OR(NOT(ISNUMBER(X90)),NOT(ISNUMBER(Y90)))),"INVALID – expected/actual qty missing",IF(IF(AND(TRIM(U90)="Pass",ISNUMBER(AF90)),IF(AF90&lt;&gt;0,"INVALID – qty variance: use Fail or Pass after CA",""),"")&amp;IF(AND(TRIM(U90)="Pass",TRIM(AB90)&lt;&gt;"",TRIM(AB90)&lt;&gt;"Closed"),"INVALID – corrective action not closed: use Fail, then Pass after CA","")&amp;IF(AND(TRIM(AA90)&lt;&gt;"",TRIM(AB90)=""),"INVALID – CA status missing for the recorded corrective action","")&amp;IF(AND(TRIM(U90)="Pass after CA",OR(TRIM(AA90)="",TRIM(AB90)&lt;&gt;"Closed")),"INVALID – corrective action not recorded/closed","")&lt;&gt;"",IF(AND(TRIM(U90)="Pass",ISNUMBER(AF90)),IF(AF90&lt;&gt;0,"INVALID – qty variance: use Fail or Pass after CA",""),"")&amp;IF(AND(TRIM(U90)="Pass",TRIM(AB90)&lt;&gt;"",TRIM(AB90)&lt;&gt;"Closed"),"INVALID – corrective action not closed: use Fail, then Pass after CA","")&amp;IF(AND(TRIM(AA90)&lt;&gt;"",TRIM(AB90)=""),"INVALID – CA status missing for the recorded corrective action","")&amp;IF(AND(TRIM(U90)="Pass after CA",OR(TRIM(AA90)="",TRIM(AB90)&lt;&gt;"Closed")),"INVALID – corrective action not recorded/closed",""),IF(AND(AS90=1,Documents!$J$8&lt;&gt;"ON FILE"),"INVALID – GLD not on file (Documents sheet)",IF(AND(AS90=2,Documents!$O$8&lt;&gt;"ON FILE"),"INVALID – menu checklist not on file (Documents sheet)",IF(AND(AS90=3,NOT(ISNUMBER(Flights!$AX$8))),"INVALID – enter carrying flight KUL departure (Flights AX)",IF(AND(AS90=3,OR(Flights!$AX$8&gt;=Flights!$AA$8,Flights!$AX$8&lt;Flights!$AA$8-3)),"INVALID – Flights AX must be before this leg's STD (within 3 days)",IF(AG90&gt;AsOfUTC,"INVALID – completion time is in the future",IF(AND(ISNUMBER(S90),AG90&lt;S90),IF(H90="Physical uplift","INVALID – before uplift window (cannot confirm loading)","INVALID – before valid window"),IF(AG90&gt;Flights!$AA$8,"INVALID – completed after departure (cannot establish readiness)",IF(AND(H90="Physical uplift",AG90&gt;Q90),"INVALID – recorded after the loading flight departed",IF(AG90&gt;Q90,"COMPLETE – LATE","COMPLETE")))))))))))))))))),IF(TRIM(U90)="Fail","FAIL – DISCREPANCY",IF(AND(TRIM(U90)&lt;&gt;"",TRIM(U90)&lt;&gt;"Not started",TRIM(U90)&lt;&gt;"In progress"),"INVALID – unrecognised status (use the list)",IF(AsOfUTC&gt;Q90,"OVERDUE",IF(N90="Clarification required","OPEN – CLARIFICATION","OPEN")))))))</f>
        <v>OPEN</v>
      </c>
      <c r="AI90" s="61" t="n">
        <f aca="false">IF(OR(AH90="N/A – RULE",AH90="N/A – JUSTIFIED"),0,1)</f>
        <v>1</v>
      </c>
      <c r="AJ90" s="61" t="n">
        <f aca="false">IF(LEFT(AH90,8)="COMPLETE",1,0)</f>
        <v>0</v>
      </c>
      <c r="AK90" s="61" t="n">
        <f aca="false">IF(AND(AI90=1,AJ90=0,AsOfUTC&gt;Q90),1,0)</f>
        <v>0</v>
      </c>
      <c r="AL90" s="61" t="n">
        <f aca="false">IF(AND(AI90=1,OR(TRIM(U90)="Fail",AND(TRIM(AB90)&lt;&gt;"",TRIM(AB90)&lt;&gt;"Closed"),AND(ISNUMBER(AF90),AF90&lt;&gt;0,TRIM(U90)&lt;&gt;"Pass after CA"))),1,0)</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row>
    <row r="91" customFormat="false" ht="39.75" hidden="false" customHeight="true" outlineLevel="0" collapsed="false">
      <c r="A91" s="57" t="s">
        <v>547</v>
      </c>
      <c r="B91" s="57" t="s">
        <v>210</v>
      </c>
      <c r="C91" s="57" t="str">
        <f aca="false">Flights!$F$8</f>
        <v>MH0088</v>
      </c>
      <c r="D91" s="58" t="n">
        <f aca="false">Flights!$D$8</f>
        <v>46305</v>
      </c>
      <c r="E91" s="57" t="str">
        <f aca="false">Flights!$G$8&amp;"-"&amp;Flights!$H$8</f>
        <v>KUL-NRT</v>
      </c>
      <c r="F91" s="57" t="str">
        <f aca="false">Flights!$K$8</f>
        <v>BC</v>
      </c>
      <c r="G91" s="57" t="s">
        <v>76</v>
      </c>
      <c r="H91" s="57" t="s">
        <v>343</v>
      </c>
      <c r="I91" s="57" t="s">
        <v>350</v>
      </c>
      <c r="J91" s="57" t="s">
        <v>351</v>
      </c>
      <c r="K91" s="67" t="s">
        <v>352</v>
      </c>
      <c r="L91" s="67" t="s">
        <v>347</v>
      </c>
      <c r="M91" s="67"/>
      <c r="N91" s="67" t="s">
        <v>348</v>
      </c>
      <c r="O91" s="67"/>
      <c r="P91" s="57" t="s">
        <v>179</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59" t="n">
        <f aca="false">Q91-T7EarlyD*24/24</f>
        <v>46284.6458333333</v>
      </c>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IF(N91="N/A – rule","N/A – RULE",IF(TRIM(U91)="N/A",IF(AT91=0,"INVALID – N/A not permitted for this mandatory check",IF(AND(TRIM(AC91)&lt;&gt;"",TRIM(AE91)&lt;&gt;"",TRIM(T91)&lt;&gt;"",TRIM(AE91)&lt;&gt;TRIM(T91)),"N/A – JUSTIFIED","INVALID – N/A needs justification, PIC and a different verifier")),IF(OR(TRIM(U91)="Pass",TRIM(U91)="Pass after CA"),IF(NOT(ISNUMBER(AD91)),"INVALID – completion time missing",IF(TRIM(T91)="","INVALID – PIC missing",IF(TRIM(V91)="","INVALID – result / assessment missing",IF(TRIM(Z91)="","INVALID – evidence missing",IF(TRIM(AE91)="","INVALID – verifier missing",IF(TRIM(AE91)=TRIM(T91),"INVALID – verifier must be someone other than the PIC",IF(AND(AQ91=1,TRIM(W91)=""),"INVALID – batch ID missing",IF(AND(AR91=1,OR(NOT(ISNUMBER(X91)),NOT(ISNUMBER(Y91)))),"INVALID – expected/actual qty missing",IF(IF(AND(TRIM(U91)="Pass",ISNUMBER(AF91)),IF(AF91&lt;&gt;0,"INVALID – qty variance: use Fail or Pass after CA",""),"")&amp;IF(AND(TRIM(U91)="Pass",TRIM(AB91)&lt;&gt;"",TRIM(AB91)&lt;&gt;"Closed"),"INVALID – corrective action not closed: use Fail, then Pass after CA","")&amp;IF(AND(TRIM(AA91)&lt;&gt;"",TRIM(AB91)=""),"INVALID – CA status missing for the recorded corrective action","")&amp;IF(AND(TRIM(U91)="Pass after CA",OR(TRIM(AA91)="",TRIM(AB91)&lt;&gt;"Closed")),"INVALID – corrective action not recorded/closed","")&lt;&gt;"",IF(AND(TRIM(U91)="Pass",ISNUMBER(AF91)),IF(AF91&lt;&gt;0,"INVALID – qty variance: use Fail or Pass after CA",""),"")&amp;IF(AND(TRIM(U91)="Pass",TRIM(AB91)&lt;&gt;"",TRIM(AB91)&lt;&gt;"Closed"),"INVALID – corrective action not closed: use Fail, then Pass after CA","")&amp;IF(AND(TRIM(AA91)&lt;&gt;"",TRIM(AB91)=""),"INVALID – CA status missing for the recorded corrective action","")&amp;IF(AND(TRIM(U91)="Pass after CA",OR(TRIM(AA91)="",TRIM(AB91)&lt;&gt;"Closed")),"INVALID – corrective action not recorded/closed",""),IF(AND(AS91=1,Documents!$J$8&lt;&gt;"ON FILE"),"INVALID – GLD not on file (Documents sheet)",IF(AND(AS91=2,Documents!$O$8&lt;&gt;"ON FILE"),"INVALID – menu checklist not on file (Documents sheet)",IF(AND(AS91=3,NOT(ISNUMBER(Flights!$AX$8))),"INVALID – enter carrying flight KUL departure (Flights AX)",IF(AND(AS91=3,OR(Flights!$AX$8&gt;=Flights!$AA$8,Flights!$AX$8&lt;Flights!$AA$8-3)),"INVALID – Flights AX must be before this leg's STD (within 3 days)",IF(AG91&gt;AsOfUTC,"INVALID – completion time is in the future",IF(AND(ISNUMBER(S91),AG91&lt;S91),IF(H91="Physical uplift","INVALID – before uplift window (cannot confirm loading)","INVALID – before valid window"),IF(AG91&gt;Flights!$AA$8,"INVALID – completed after departure (cannot establish readiness)",IF(AND(H91="Physical uplift",AG91&gt;Q91),"INVALID – recorded after the loading flight departed",IF(AG91&gt;Q91,"COMPLETE – LATE","COMPLETE")))))))))))))))))),IF(TRIM(U91)="Fail","FAIL – DISCREPANCY",IF(AND(TRIM(U91)&lt;&gt;"",TRIM(U91)&lt;&gt;"Not started",TRIM(U91)&lt;&gt;"In progress"),"INVALID – unrecognised status (use the list)",IF(AsOfUTC&gt;Q91,"OVERDUE",IF(N91="Clarification required","OPEN – CLARIFICATION","OPEN")))))))</f>
        <v>OPEN</v>
      </c>
      <c r="AI91" s="61" t="n">
        <f aca="false">IF(OR(AH91="N/A – RULE",AH91="N/A – JUSTIFIED"),0,1)</f>
        <v>1</v>
      </c>
      <c r="AJ91" s="61" t="n">
        <f aca="false">IF(LEFT(AH91,8)="COMPLETE",1,0)</f>
        <v>0</v>
      </c>
      <c r="AK91" s="61" t="n">
        <f aca="false">IF(AND(AI91=1,AJ91=0,AsOfUTC&gt;Q91),1,0)</f>
        <v>0</v>
      </c>
      <c r="AL91" s="61" t="n">
        <f aca="false">IF(AND(AI91=1,OR(TRIM(U91)="Fail",AND(TRIM(AB91)&lt;&gt;"",TRIM(AB91)&lt;&gt;"Closed"),AND(ISNUMBER(AF91),AF91&lt;&gt;0,TRIM(U91)&lt;&gt;"Pass after CA"))),1,0)</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8" t="b">
        <f aca="false">TRUE()</f>
        <v>1</v>
      </c>
    </row>
    <row r="92" customFormat="false" ht="41.25" hidden="false" customHeight="true" outlineLevel="0" collapsed="false">
      <c r="A92" s="57" t="s">
        <v>548</v>
      </c>
      <c r="B92" s="57" t="s">
        <v>210</v>
      </c>
      <c r="C92" s="57" t="str">
        <f aca="false">Flights!$F$8</f>
        <v>MH0088</v>
      </c>
      <c r="D92" s="58" t="n">
        <f aca="false">Flights!$D$8</f>
        <v>46305</v>
      </c>
      <c r="E92" s="57" t="str">
        <f aca="false">Flights!$G$8&amp;"-"&amp;Flights!$H$8</f>
        <v>KUL-NRT</v>
      </c>
      <c r="F92" s="57" t="str">
        <f aca="false">Flights!$K$8</f>
        <v>BC</v>
      </c>
      <c r="G92" s="57" t="s">
        <v>76</v>
      </c>
      <c r="H92" s="57" t="s">
        <v>343</v>
      </c>
      <c r="I92" s="57" t="s">
        <v>354</v>
      </c>
      <c r="J92" s="57" t="s">
        <v>355</v>
      </c>
      <c r="K92" s="67" t="s">
        <v>356</v>
      </c>
      <c r="L92" s="67" t="s">
        <v>347</v>
      </c>
      <c r="M92" s="67"/>
      <c r="N92" s="67" t="str">
        <f aca="false">IF(TRIM(Flights!$L$8)="A339","Required","N/A – rule")</f>
        <v>N/A – rule</v>
      </c>
      <c r="O92" s="67" t="s">
        <v>357</v>
      </c>
      <c r="P92" s="57" t="s">
        <v>179</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59" t="n">
        <f aca="false">Q92-T7EarlyD*24/24</f>
        <v>46284.6458333333</v>
      </c>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IF(N92="N/A – rule","N/A – RULE",IF(TRIM(U92)="N/A",IF(AT92=0,"INVALID – N/A not permitted for this mandatory check",IF(AND(TRIM(AC92)&lt;&gt;"",TRIM(AE92)&lt;&gt;"",TRIM(T92)&lt;&gt;"",TRIM(AE92)&lt;&gt;TRIM(T92)),"N/A – JUSTIFIED","INVALID – N/A needs justification, PIC and a different verifier")),IF(OR(TRIM(U92)="Pass",TRIM(U92)="Pass after CA"),IF(NOT(ISNUMBER(AD92)),"INVALID – completion time missing",IF(TRIM(T92)="","INVALID – PIC missing",IF(TRIM(V92)="","INVALID – result / assessment missing",IF(TRIM(Z92)="","INVALID – evidence missing",IF(TRIM(AE92)="","INVALID – verifier missing",IF(TRIM(AE92)=TRIM(T92),"INVALID – verifier must be someone other than the PIC",IF(AND(AQ92=1,TRIM(W92)=""),"INVALID – batch ID missing",IF(AND(AR92=1,OR(NOT(ISNUMBER(X92)),NOT(ISNUMBER(Y92)))),"INVALID – expected/actual qty missing",IF(IF(AND(TRIM(U92)="Pass",ISNUMBER(AF92)),IF(AF92&lt;&gt;0,"INVALID – qty variance: use Fail or Pass after CA",""),"")&amp;IF(AND(TRIM(U92)="Pass",TRIM(AB92)&lt;&gt;"",TRIM(AB92)&lt;&gt;"Closed"),"INVALID – corrective action not closed: use Fail, then Pass after CA","")&amp;IF(AND(TRIM(AA92)&lt;&gt;"",TRIM(AB92)=""),"INVALID – CA status missing for the recorded corrective action","")&amp;IF(AND(TRIM(U92)="Pass after CA",OR(TRIM(AA92)="",TRIM(AB92)&lt;&gt;"Closed")),"INVALID – corrective action not recorded/closed","")&lt;&gt;"",IF(AND(TRIM(U92)="Pass",ISNUMBER(AF92)),IF(AF92&lt;&gt;0,"INVALID – qty variance: use Fail or Pass after CA",""),"")&amp;IF(AND(TRIM(U92)="Pass",TRIM(AB92)&lt;&gt;"",TRIM(AB92)&lt;&gt;"Closed"),"INVALID – corrective action not closed: use Fail, then Pass after CA","")&amp;IF(AND(TRIM(AA92)&lt;&gt;"",TRIM(AB92)=""),"INVALID – CA status missing for the recorded corrective action","")&amp;IF(AND(TRIM(U92)="Pass after CA",OR(TRIM(AA92)="",TRIM(AB92)&lt;&gt;"Closed")),"INVALID – corrective action not recorded/closed",""),IF(AND(AS92=1,Documents!$J$8&lt;&gt;"ON FILE"),"INVALID – GLD not on file (Documents sheet)",IF(AND(AS92=2,Documents!$O$8&lt;&gt;"ON FILE"),"INVALID – menu checklist not on file (Documents sheet)",IF(AND(AS92=3,NOT(ISNUMBER(Flights!$AX$8))),"INVALID – enter carrying flight KUL departure (Flights AX)",IF(AND(AS92=3,OR(Flights!$AX$8&gt;=Flights!$AA$8,Flights!$AX$8&lt;Flights!$AA$8-3)),"INVALID – Flights AX must be before this leg's STD (within 3 days)",IF(AG92&gt;AsOfUTC,"INVALID – completion time is in the future",IF(AND(ISNUMBER(S92),AG92&lt;S92),IF(H92="Physical uplift","INVALID – before uplift window (cannot confirm loading)","INVALID – before valid window"),IF(AG92&gt;Flights!$AA$8,"INVALID – completed after departure (cannot establish readiness)",IF(AND(H92="Physical uplift",AG92&gt;Q92),"INVALID – recorded after the loading flight departed",IF(AG92&gt;Q92,"COMPLETE – LATE","COMPLETE")))))))))))))))))),IF(TRIM(U92)="Fail","FAIL – DISCREPANCY",IF(AND(TRIM(U92)&lt;&gt;"",TRIM(U92)&lt;&gt;"Not started",TRIM(U92)&lt;&gt;"In progress"),"INVALID – unrecognised status (use the list)",IF(AsOfUTC&gt;Q92,"OVERDUE",IF(N92="Clarification required","OPEN – CLARIFICATION","OPEN")))))))</f>
        <v>N/A – RULE</v>
      </c>
      <c r="AI92" s="61" t="n">
        <f aca="false">IF(OR(AH92="N/A – RULE",AH92="N/A – JUSTIFIED"),0,1)</f>
        <v>0</v>
      </c>
      <c r="AJ92" s="61" t="n">
        <f aca="false">IF(LEFT(AH92,8)="COMPLETE",1,0)</f>
        <v>0</v>
      </c>
      <c r="AK92" s="61" t="n">
        <f aca="false">IF(AND(AI92=1,AJ92=0,AsOfUTC&gt;Q92),1,0)</f>
        <v>0</v>
      </c>
      <c r="AL92" s="61" t="n">
        <f aca="false">IF(AND(AI92=1,OR(TRIM(U92)="Fail",AND(TRIM(AB92)&lt;&gt;"",TRIM(AB92)&lt;&gt;"Closed"),AND(ISNUMBER(AF92),AF92&lt;&gt;0,TRIM(U92)&lt;&gt;"Pass after CA"))),1,0)</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row>
    <row r="93" customFormat="false" ht="39.75" hidden="false" customHeight="true" outlineLevel="0" collapsed="false">
      <c r="A93" s="57" t="s">
        <v>549</v>
      </c>
      <c r="B93" s="57" t="s">
        <v>210</v>
      </c>
      <c r="C93" s="57" t="str">
        <f aca="false">Flights!$F$8</f>
        <v>MH0088</v>
      </c>
      <c r="D93" s="58" t="n">
        <f aca="false">Flights!$D$8</f>
        <v>46305</v>
      </c>
      <c r="E93" s="57" t="str">
        <f aca="false">Flights!$G$8&amp;"-"&amp;Flights!$H$8</f>
        <v>KUL-NRT</v>
      </c>
      <c r="F93" s="57" t="str">
        <f aca="false">Flights!$K$8</f>
        <v>BC</v>
      </c>
      <c r="G93" s="57" t="s">
        <v>76</v>
      </c>
      <c r="H93" s="57" t="s">
        <v>343</v>
      </c>
      <c r="I93" s="57" t="s">
        <v>359</v>
      </c>
      <c r="J93" s="57" t="s">
        <v>360</v>
      </c>
      <c r="K93" s="67" t="s">
        <v>361</v>
      </c>
      <c r="L93" s="67" t="s">
        <v>347</v>
      </c>
      <c r="M93" s="67"/>
      <c r="N93" s="67" t="s">
        <v>348</v>
      </c>
      <c r="O93" s="67"/>
      <c r="P93" s="57" t="s">
        <v>179</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59" t="n">
        <f aca="false">Q93-T7EarlyD*24/24</f>
        <v>46284.6458333333</v>
      </c>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IF(N93="N/A – rule","N/A – RULE",IF(TRIM(U93)="N/A",IF(AT93=0,"INVALID – N/A not permitted for this mandatory check",IF(AND(TRIM(AC93)&lt;&gt;"",TRIM(AE93)&lt;&gt;"",TRIM(T93)&lt;&gt;"",TRIM(AE93)&lt;&gt;TRIM(T93)),"N/A – JUSTIFIED","INVALID – N/A needs justification, PIC and a different verifier")),IF(OR(TRIM(U93)="Pass",TRIM(U93)="Pass after CA"),IF(NOT(ISNUMBER(AD93)),"INVALID – completion time missing",IF(TRIM(T93)="","INVALID – PIC missing",IF(TRIM(V93)="","INVALID – result / assessment missing",IF(TRIM(Z93)="","INVALID – evidence missing",IF(TRIM(AE93)="","INVALID – verifier missing",IF(TRIM(AE93)=TRIM(T93),"INVALID – verifier must be someone other than the PIC",IF(AND(AQ93=1,TRIM(W93)=""),"INVALID – batch ID missing",IF(AND(AR93=1,OR(NOT(ISNUMBER(X93)),NOT(ISNUMBER(Y93)))),"INVALID – expected/actual qty missing",IF(IF(AND(TRIM(U93)="Pass",ISNUMBER(AF93)),IF(AF93&lt;&gt;0,"INVALID – qty variance: use Fail or Pass after CA",""),"")&amp;IF(AND(TRIM(U93)="Pass",TRIM(AB93)&lt;&gt;"",TRIM(AB93)&lt;&gt;"Closed"),"INVALID – corrective action not closed: use Fail, then Pass after CA","")&amp;IF(AND(TRIM(AA93)&lt;&gt;"",TRIM(AB93)=""),"INVALID – CA status missing for the recorded corrective action","")&amp;IF(AND(TRIM(U93)="Pass after CA",OR(TRIM(AA93)="",TRIM(AB93)&lt;&gt;"Closed")),"INVALID – corrective action not recorded/closed","")&lt;&gt;"",IF(AND(TRIM(U93)="Pass",ISNUMBER(AF93)),IF(AF93&lt;&gt;0,"INVALID – qty variance: use Fail or Pass after CA",""),"")&amp;IF(AND(TRIM(U93)="Pass",TRIM(AB93)&lt;&gt;"",TRIM(AB93)&lt;&gt;"Closed"),"INVALID – corrective action not closed: use Fail, then Pass after CA","")&amp;IF(AND(TRIM(AA93)&lt;&gt;"",TRIM(AB93)=""),"INVALID – CA status missing for the recorded corrective action","")&amp;IF(AND(TRIM(U93)="Pass after CA",OR(TRIM(AA93)="",TRIM(AB93)&lt;&gt;"Closed")),"INVALID – corrective action not recorded/closed",""),IF(AND(AS93=1,Documents!$J$8&lt;&gt;"ON FILE"),"INVALID – GLD not on file (Documents sheet)",IF(AND(AS93=2,Documents!$O$8&lt;&gt;"ON FILE"),"INVALID – menu checklist not on file (Documents sheet)",IF(AND(AS93=3,NOT(ISNUMBER(Flights!$AX$8))),"INVALID – enter carrying flight KUL departure (Flights AX)",IF(AND(AS93=3,OR(Flights!$AX$8&gt;=Flights!$AA$8,Flights!$AX$8&lt;Flights!$AA$8-3)),"INVALID – Flights AX must be before this leg's STD (within 3 days)",IF(AG93&gt;AsOfUTC,"INVALID – completion time is in the future",IF(AND(ISNUMBER(S93),AG93&lt;S93),IF(H93="Physical uplift","INVALID – before uplift window (cannot confirm loading)","INVALID – before valid window"),IF(AG93&gt;Flights!$AA$8,"INVALID – completed after departure (cannot establish readiness)",IF(AND(H93="Physical uplift",AG93&gt;Q93),"INVALID – recorded after the loading flight departed",IF(AG93&gt;Q93,"COMPLETE – LATE","COMPLETE")))))))))))))))))),IF(TRIM(U93)="Fail","FAIL – DISCREPANCY",IF(AND(TRIM(U93)&lt;&gt;"",TRIM(U93)&lt;&gt;"Not started",TRIM(U93)&lt;&gt;"In progress"),"INVALID – unrecognised status (use the list)",IF(AsOfUTC&gt;Q93,"OVERDUE",IF(N93="Clarification required","OPEN – CLARIFICATION","OPEN")))))))</f>
        <v>OPEN</v>
      </c>
      <c r="AI93" s="61" t="n">
        <f aca="false">IF(OR(AH93="N/A – RULE",AH93="N/A – JUSTIFIED"),0,1)</f>
        <v>1</v>
      </c>
      <c r="AJ93" s="61" t="n">
        <f aca="false">IF(LEFT(AH93,8)="COMPLETE",1,0)</f>
        <v>0</v>
      </c>
      <c r="AK93" s="61" t="n">
        <f aca="false">IF(AND(AI93=1,AJ93=0,AsOfUTC&gt;Q93),1,0)</f>
        <v>0</v>
      </c>
      <c r="AL93" s="61" t="n">
        <f aca="false">IF(AND(AI93=1,OR(TRIM(U93)="Fail",AND(TRIM(AB93)&lt;&gt;"",TRIM(AB93)&lt;&gt;"Closed"),AND(ISNUMBER(AF93),AF93&lt;&gt;0,TRIM(U93)&lt;&gt;"Pass after CA"))),1,0)</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row>
    <row r="94" customFormat="false" ht="39.75" hidden="false" customHeight="true" outlineLevel="0" collapsed="false">
      <c r="A94" s="57" t="s">
        <v>550</v>
      </c>
      <c r="B94" s="57" t="s">
        <v>210</v>
      </c>
      <c r="C94" s="57" t="str">
        <f aca="false">Flights!$F$8</f>
        <v>MH0088</v>
      </c>
      <c r="D94" s="58" t="n">
        <f aca="false">Flights!$D$8</f>
        <v>46305</v>
      </c>
      <c r="E94" s="57" t="str">
        <f aca="false">Flights!$G$8&amp;"-"&amp;Flights!$H$8</f>
        <v>KUL-NRT</v>
      </c>
      <c r="F94" s="57" t="str">
        <f aca="false">Flights!$K$8</f>
        <v>BC</v>
      </c>
      <c r="G94" s="57" t="s">
        <v>76</v>
      </c>
      <c r="H94" s="57" t="s">
        <v>343</v>
      </c>
      <c r="I94" s="57" t="s">
        <v>363</v>
      </c>
      <c r="J94" s="57" t="s">
        <v>364</v>
      </c>
      <c r="K94" s="67" t="s">
        <v>365</v>
      </c>
      <c r="L94" s="67" t="s">
        <v>347</v>
      </c>
      <c r="M94" s="67"/>
      <c r="N94" s="67" t="s">
        <v>348</v>
      </c>
      <c r="O94" s="67"/>
      <c r="P94" s="57" t="s">
        <v>179</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59" t="n">
        <f aca="false">Q94-T7EarlyD*24/24</f>
        <v>46284.6458333333</v>
      </c>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IF(N94="N/A – rule","N/A – RULE",IF(TRIM(U94)="N/A",IF(AT94=0,"INVALID – N/A not permitted for this mandatory check",IF(AND(TRIM(AC94)&lt;&gt;"",TRIM(AE94)&lt;&gt;"",TRIM(T94)&lt;&gt;"",TRIM(AE94)&lt;&gt;TRIM(T94)),"N/A – JUSTIFIED","INVALID – N/A needs justification, PIC and a different verifier")),IF(OR(TRIM(U94)="Pass",TRIM(U94)="Pass after CA"),IF(NOT(ISNUMBER(AD94)),"INVALID – completion time missing",IF(TRIM(T94)="","INVALID – PIC missing",IF(TRIM(V94)="","INVALID – result / assessment missing",IF(TRIM(Z94)="","INVALID – evidence missing",IF(TRIM(AE94)="","INVALID – verifier missing",IF(TRIM(AE94)=TRIM(T94),"INVALID – verifier must be someone other than the PIC",IF(AND(AQ94=1,TRIM(W94)=""),"INVALID – batch ID missing",IF(AND(AR94=1,OR(NOT(ISNUMBER(X94)),NOT(ISNUMBER(Y94)))),"INVALID – expected/actual qty missing",IF(IF(AND(TRIM(U94)="Pass",ISNUMBER(AF94)),IF(AF94&lt;&gt;0,"INVALID – qty variance: use Fail or Pass after CA",""),"")&amp;IF(AND(TRIM(U94)="Pass",TRIM(AB94)&lt;&gt;"",TRIM(AB94)&lt;&gt;"Closed"),"INVALID – corrective action not closed: use Fail, then Pass after CA","")&amp;IF(AND(TRIM(AA94)&lt;&gt;"",TRIM(AB94)=""),"INVALID – CA status missing for the recorded corrective action","")&amp;IF(AND(TRIM(U94)="Pass after CA",OR(TRIM(AA94)="",TRIM(AB94)&lt;&gt;"Closed")),"INVALID – corrective action not recorded/closed","")&lt;&gt;"",IF(AND(TRIM(U94)="Pass",ISNUMBER(AF94)),IF(AF94&lt;&gt;0,"INVALID – qty variance: use Fail or Pass after CA",""),"")&amp;IF(AND(TRIM(U94)="Pass",TRIM(AB94)&lt;&gt;"",TRIM(AB94)&lt;&gt;"Closed"),"INVALID – corrective action not closed: use Fail, then Pass after CA","")&amp;IF(AND(TRIM(AA94)&lt;&gt;"",TRIM(AB94)=""),"INVALID – CA status missing for the recorded corrective action","")&amp;IF(AND(TRIM(U94)="Pass after CA",OR(TRIM(AA94)="",TRIM(AB94)&lt;&gt;"Closed")),"INVALID – corrective action not recorded/closed",""),IF(AND(AS94=1,Documents!$J$8&lt;&gt;"ON FILE"),"INVALID – GLD not on file (Documents sheet)",IF(AND(AS94=2,Documents!$O$8&lt;&gt;"ON FILE"),"INVALID – menu checklist not on file (Documents sheet)",IF(AND(AS94=3,NOT(ISNUMBER(Flights!$AX$8))),"INVALID – enter carrying flight KUL departure (Flights AX)",IF(AND(AS94=3,OR(Flights!$AX$8&gt;=Flights!$AA$8,Flights!$AX$8&lt;Flights!$AA$8-3)),"INVALID – Flights AX must be before this leg's STD (within 3 days)",IF(AG94&gt;AsOfUTC,"INVALID – completion time is in the future",IF(AND(ISNUMBER(S94),AG94&lt;S94),IF(H94="Physical uplift","INVALID – before uplift window (cannot confirm loading)","INVALID – before valid window"),IF(AG94&gt;Flights!$AA$8,"INVALID – completed after departure (cannot establish readiness)",IF(AND(H94="Physical uplift",AG94&gt;Q94),"INVALID – recorded after the loading flight departed",IF(AG94&gt;Q94,"COMPLETE – LATE","COMPLETE")))))))))))))))))),IF(TRIM(U94)="Fail","FAIL – DISCREPANCY",IF(AND(TRIM(U94)&lt;&gt;"",TRIM(U94)&lt;&gt;"Not started",TRIM(U94)&lt;&gt;"In progress"),"INVALID – unrecognised status (use the list)",IF(AsOfUTC&gt;Q94,"OVERDUE",IF(N94="Clarification required","OPEN – CLARIFICATION","OPEN")))))))</f>
        <v>OPEN</v>
      </c>
      <c r="AI94" s="61" t="n">
        <f aca="false">IF(OR(AH94="N/A – RULE",AH94="N/A – JUSTIFIED"),0,1)</f>
        <v>1</v>
      </c>
      <c r="AJ94" s="61" t="n">
        <f aca="false">IF(LEFT(AH94,8)="COMPLETE",1,0)</f>
        <v>0</v>
      </c>
      <c r="AK94" s="61" t="n">
        <f aca="false">IF(AND(AI94=1,AJ94=0,AsOfUTC&gt;Q94),1,0)</f>
        <v>0</v>
      </c>
      <c r="AL94" s="61" t="n">
        <f aca="false">IF(AND(AI94=1,OR(TRIM(U94)="Fail",AND(TRIM(AB94)&lt;&gt;"",TRIM(AB94)&lt;&gt;"Closed"),AND(ISNUMBER(AF94),AF94&lt;&gt;0,TRIM(U94)&lt;&gt;"Pass after CA"))),1,0)</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row>
    <row r="95" customFormat="false" ht="39.75" hidden="false" customHeight="true" outlineLevel="0" collapsed="false">
      <c r="A95" s="57" t="s">
        <v>551</v>
      </c>
      <c r="B95" s="57" t="s">
        <v>210</v>
      </c>
      <c r="C95" s="57" t="str">
        <f aca="false">Flights!$F$8</f>
        <v>MH0088</v>
      </c>
      <c r="D95" s="58" t="n">
        <f aca="false">Flights!$D$8</f>
        <v>46305</v>
      </c>
      <c r="E95" s="57" t="str">
        <f aca="false">Flights!$G$8&amp;"-"&amp;Flights!$H$8</f>
        <v>KUL-NRT</v>
      </c>
      <c r="F95" s="57" t="str">
        <f aca="false">Flights!$K$8</f>
        <v>BC</v>
      </c>
      <c r="G95" s="57" t="s">
        <v>76</v>
      </c>
      <c r="H95" s="57" t="s">
        <v>343</v>
      </c>
      <c r="I95" s="57" t="s">
        <v>363</v>
      </c>
      <c r="J95" s="57" t="s">
        <v>367</v>
      </c>
      <c r="K95" s="67" t="s">
        <v>368</v>
      </c>
      <c r="L95" s="67" t="s">
        <v>347</v>
      </c>
      <c r="M95" s="67"/>
      <c r="N95" s="67" t="s">
        <v>348</v>
      </c>
      <c r="O95" s="67"/>
      <c r="P95" s="57" t="s">
        <v>179</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59" t="n">
        <f aca="false">Q95-T7EarlyD*24/24</f>
        <v>46284.6458333333</v>
      </c>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IF(N95="N/A – rule","N/A – RULE",IF(TRIM(U95)="N/A",IF(AT95=0,"INVALID – N/A not permitted for this mandatory check",IF(AND(TRIM(AC95)&lt;&gt;"",TRIM(AE95)&lt;&gt;"",TRIM(T95)&lt;&gt;"",TRIM(AE95)&lt;&gt;TRIM(T95)),"N/A – JUSTIFIED","INVALID – N/A needs justification, PIC and a different verifier")),IF(OR(TRIM(U95)="Pass",TRIM(U95)="Pass after CA"),IF(NOT(ISNUMBER(AD95)),"INVALID – completion time missing",IF(TRIM(T95)="","INVALID – PIC missing",IF(TRIM(V95)="","INVALID – result / assessment missing",IF(TRIM(Z95)="","INVALID – evidence missing",IF(TRIM(AE95)="","INVALID – verifier missing",IF(TRIM(AE95)=TRIM(T95),"INVALID – verifier must be someone other than the PIC",IF(AND(AQ95=1,TRIM(W95)=""),"INVALID – batch ID missing",IF(AND(AR95=1,OR(NOT(ISNUMBER(X95)),NOT(ISNUMBER(Y95)))),"INVALID – expected/actual qty missing",IF(IF(AND(TRIM(U95)="Pass",ISNUMBER(AF95)),IF(AF95&lt;&gt;0,"INVALID – qty variance: use Fail or Pass after CA",""),"")&amp;IF(AND(TRIM(U95)="Pass",TRIM(AB95)&lt;&gt;"",TRIM(AB95)&lt;&gt;"Closed"),"INVALID – corrective action not closed: use Fail, then Pass after CA","")&amp;IF(AND(TRIM(AA95)&lt;&gt;"",TRIM(AB95)=""),"INVALID – CA status missing for the recorded corrective action","")&amp;IF(AND(TRIM(U95)="Pass after CA",OR(TRIM(AA95)="",TRIM(AB95)&lt;&gt;"Closed")),"INVALID – corrective action not recorded/closed","")&lt;&gt;"",IF(AND(TRIM(U95)="Pass",ISNUMBER(AF95)),IF(AF95&lt;&gt;0,"INVALID – qty variance: use Fail or Pass after CA",""),"")&amp;IF(AND(TRIM(U95)="Pass",TRIM(AB95)&lt;&gt;"",TRIM(AB95)&lt;&gt;"Closed"),"INVALID – corrective action not closed: use Fail, then Pass after CA","")&amp;IF(AND(TRIM(AA95)&lt;&gt;"",TRIM(AB95)=""),"INVALID – CA status missing for the recorded corrective action","")&amp;IF(AND(TRIM(U95)="Pass after CA",OR(TRIM(AA95)="",TRIM(AB95)&lt;&gt;"Closed")),"INVALID – corrective action not recorded/closed",""),IF(AND(AS95=1,Documents!$J$8&lt;&gt;"ON FILE"),"INVALID – GLD not on file (Documents sheet)",IF(AND(AS95=2,Documents!$O$8&lt;&gt;"ON FILE"),"INVALID – menu checklist not on file (Documents sheet)",IF(AND(AS95=3,NOT(ISNUMBER(Flights!$AX$8))),"INVALID – enter carrying flight KUL departure (Flights AX)",IF(AND(AS95=3,OR(Flights!$AX$8&gt;=Flights!$AA$8,Flights!$AX$8&lt;Flights!$AA$8-3)),"INVALID – Flights AX must be before this leg's STD (within 3 days)",IF(AG95&gt;AsOfUTC,"INVALID – completion time is in the future",IF(AND(ISNUMBER(S95),AG95&lt;S95),IF(H95="Physical uplift","INVALID – before uplift window (cannot confirm loading)","INVALID – before valid window"),IF(AG95&gt;Flights!$AA$8,"INVALID – completed after departure (cannot establish readiness)",IF(AND(H95="Physical uplift",AG95&gt;Q95),"INVALID – recorded after the loading flight departed",IF(AG95&gt;Q95,"COMPLETE – LATE","COMPLETE")))))))))))))))))),IF(TRIM(U95)="Fail","FAIL – DISCREPANCY",IF(AND(TRIM(U95)&lt;&gt;"",TRIM(U95)&lt;&gt;"Not started",TRIM(U95)&lt;&gt;"In progress"),"INVALID – unrecognised status (use the list)",IF(AsOfUTC&gt;Q95,"OVERDUE",IF(N95="Clarification required","OPEN – CLARIFICATION","OPEN")))))))</f>
        <v>OPEN</v>
      </c>
      <c r="AI95" s="61" t="n">
        <f aca="false">IF(OR(AH95="N/A – RULE",AH95="N/A – JUSTIFIED"),0,1)</f>
        <v>1</v>
      </c>
      <c r="AJ95" s="61" t="n">
        <f aca="false">IF(LEFT(AH95,8)="COMPLETE",1,0)</f>
        <v>0</v>
      </c>
      <c r="AK95" s="61" t="n">
        <f aca="false">IF(AND(AI95=1,AJ95=0,AsOfUTC&gt;Q95),1,0)</f>
        <v>0</v>
      </c>
      <c r="AL95" s="61" t="n">
        <f aca="false">IF(AND(AI95=1,OR(TRIM(U95)="Fail",AND(TRIM(AB95)&lt;&gt;"",TRIM(AB95)&lt;&gt;"Closed"),AND(ISNUMBER(AF95),AF95&lt;&gt;0,TRIM(U95)&lt;&gt;"Pass after CA"))),1,0)</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row>
    <row r="96" customFormat="false" ht="39.75" hidden="false" customHeight="true" outlineLevel="0" collapsed="false">
      <c r="A96" s="57" t="s">
        <v>552</v>
      </c>
      <c r="B96" s="57" t="s">
        <v>210</v>
      </c>
      <c r="C96" s="57" t="str">
        <f aca="false">Flights!$F$8</f>
        <v>MH0088</v>
      </c>
      <c r="D96" s="58" t="n">
        <f aca="false">Flights!$D$8</f>
        <v>46305</v>
      </c>
      <c r="E96" s="57" t="str">
        <f aca="false">Flights!$G$8&amp;"-"&amp;Flights!$H$8</f>
        <v>KUL-NRT</v>
      </c>
      <c r="F96" s="57" t="str">
        <f aca="false">Flights!$K$8</f>
        <v>BC</v>
      </c>
      <c r="G96" s="57" t="s">
        <v>76</v>
      </c>
      <c r="H96" s="57" t="s">
        <v>343</v>
      </c>
      <c r="I96" s="57" t="s">
        <v>370</v>
      </c>
      <c r="J96" s="57" t="s">
        <v>371</v>
      </c>
      <c r="K96" s="67" t="s">
        <v>372</v>
      </c>
      <c r="L96" s="67" t="s">
        <v>347</v>
      </c>
      <c r="M96" s="67"/>
      <c r="N96" s="67" t="s">
        <v>348</v>
      </c>
      <c r="O96" s="67"/>
      <c r="P96" s="57" t="s">
        <v>179</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59" t="n">
        <f aca="false">Q96-T7EarlyD*24/24</f>
        <v>46284.6458333333</v>
      </c>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IF(N96="N/A – rule","N/A – RULE",IF(TRIM(U96)="N/A",IF(AT96=0,"INVALID – N/A not permitted for this mandatory check",IF(AND(TRIM(AC96)&lt;&gt;"",TRIM(AE96)&lt;&gt;"",TRIM(T96)&lt;&gt;"",TRIM(AE96)&lt;&gt;TRIM(T96)),"N/A – JUSTIFIED","INVALID – N/A needs justification, PIC and a different verifier")),IF(OR(TRIM(U96)="Pass",TRIM(U96)="Pass after CA"),IF(NOT(ISNUMBER(AD96)),"INVALID – completion time missing",IF(TRIM(T96)="","INVALID – PIC missing",IF(TRIM(V96)="","INVALID – result / assessment missing",IF(TRIM(Z96)="","INVALID – evidence missing",IF(TRIM(AE96)="","INVALID – verifier missing",IF(TRIM(AE96)=TRIM(T96),"INVALID – verifier must be someone other than the PIC",IF(AND(AQ96=1,TRIM(W96)=""),"INVALID – batch ID missing",IF(AND(AR96=1,OR(NOT(ISNUMBER(X96)),NOT(ISNUMBER(Y96)))),"INVALID – expected/actual qty missing",IF(IF(AND(TRIM(U96)="Pass",ISNUMBER(AF96)),IF(AF96&lt;&gt;0,"INVALID – qty variance: use Fail or Pass after CA",""),"")&amp;IF(AND(TRIM(U96)="Pass",TRIM(AB96)&lt;&gt;"",TRIM(AB96)&lt;&gt;"Closed"),"INVALID – corrective action not closed: use Fail, then Pass after CA","")&amp;IF(AND(TRIM(AA96)&lt;&gt;"",TRIM(AB96)=""),"INVALID – CA status missing for the recorded corrective action","")&amp;IF(AND(TRIM(U96)="Pass after CA",OR(TRIM(AA96)="",TRIM(AB96)&lt;&gt;"Closed")),"INVALID – corrective action not recorded/closed","")&lt;&gt;"",IF(AND(TRIM(U96)="Pass",ISNUMBER(AF96)),IF(AF96&lt;&gt;0,"INVALID – qty variance: use Fail or Pass after CA",""),"")&amp;IF(AND(TRIM(U96)="Pass",TRIM(AB96)&lt;&gt;"",TRIM(AB96)&lt;&gt;"Closed"),"INVALID – corrective action not closed: use Fail, then Pass after CA","")&amp;IF(AND(TRIM(AA96)&lt;&gt;"",TRIM(AB96)=""),"INVALID – CA status missing for the recorded corrective action","")&amp;IF(AND(TRIM(U96)="Pass after CA",OR(TRIM(AA96)="",TRIM(AB96)&lt;&gt;"Closed")),"INVALID – corrective action not recorded/closed",""),IF(AND(AS96=1,Documents!$J$8&lt;&gt;"ON FILE"),"INVALID – GLD not on file (Documents sheet)",IF(AND(AS96=2,Documents!$O$8&lt;&gt;"ON FILE"),"INVALID – menu checklist not on file (Documents sheet)",IF(AND(AS96=3,NOT(ISNUMBER(Flights!$AX$8))),"INVALID – enter carrying flight KUL departure (Flights AX)",IF(AND(AS96=3,OR(Flights!$AX$8&gt;=Flights!$AA$8,Flights!$AX$8&lt;Flights!$AA$8-3)),"INVALID – Flights AX must be before this leg's STD (within 3 days)",IF(AG96&gt;AsOfUTC,"INVALID – completion time is in the future",IF(AND(ISNUMBER(S96),AG96&lt;S96),IF(H96="Physical uplift","INVALID – before uplift window (cannot confirm loading)","INVALID – before valid window"),IF(AG96&gt;Flights!$AA$8,"INVALID – completed after departure (cannot establish readiness)",IF(AND(H96="Physical uplift",AG96&gt;Q96),"INVALID – recorded after the loading flight departed",IF(AG96&gt;Q96,"COMPLETE – LATE","COMPLETE")))))))))))))))))),IF(TRIM(U96)="Fail","FAIL – DISCREPANCY",IF(AND(TRIM(U96)&lt;&gt;"",TRIM(U96)&lt;&gt;"Not started",TRIM(U96)&lt;&gt;"In progress"),"INVALID – unrecognised status (use the list)",IF(AsOfUTC&gt;Q96,"OVERDUE",IF(N96="Clarification required","OPEN – CLARIFICATION","OPEN")))))))</f>
        <v>OPEN</v>
      </c>
      <c r="AI96" s="61" t="n">
        <f aca="false">IF(OR(AH96="N/A – RULE",AH96="N/A – JUSTIFIED"),0,1)</f>
        <v>1</v>
      </c>
      <c r="AJ96" s="61" t="n">
        <f aca="false">IF(LEFT(AH96,8)="COMPLETE",1,0)</f>
        <v>0</v>
      </c>
      <c r="AK96" s="61" t="n">
        <f aca="false">IF(AND(AI96=1,AJ96=0,AsOfUTC&gt;Q96),1,0)</f>
        <v>0</v>
      </c>
      <c r="AL96" s="61" t="n">
        <f aca="false">IF(AND(AI96=1,OR(TRIM(U96)="Fail",AND(TRIM(AB96)&lt;&gt;"",TRIM(AB96)&lt;&gt;"Closed"),AND(ISNUMBER(AF96),AF96&lt;&gt;0,TRIM(U96)&lt;&gt;"Pass after CA"))),1,0)</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row>
    <row r="97" customFormat="false" ht="39.75" hidden="false" customHeight="true" outlineLevel="0" collapsed="false">
      <c r="A97" s="57" t="s">
        <v>553</v>
      </c>
      <c r="B97" s="57" t="s">
        <v>210</v>
      </c>
      <c r="C97" s="57" t="str">
        <f aca="false">Flights!$F$8</f>
        <v>MH0088</v>
      </c>
      <c r="D97" s="58" t="n">
        <f aca="false">Flights!$D$8</f>
        <v>46305</v>
      </c>
      <c r="E97" s="57" t="str">
        <f aca="false">Flights!$G$8&amp;"-"&amp;Flights!$H$8</f>
        <v>KUL-NRT</v>
      </c>
      <c r="F97" s="57" t="str">
        <f aca="false">Flights!$K$8</f>
        <v>BC</v>
      </c>
      <c r="G97" s="57" t="s">
        <v>76</v>
      </c>
      <c r="H97" s="57" t="s">
        <v>343</v>
      </c>
      <c r="I97" s="57" t="s">
        <v>370</v>
      </c>
      <c r="J97" s="57" t="s">
        <v>374</v>
      </c>
      <c r="K97" s="67" t="s">
        <v>372</v>
      </c>
      <c r="L97" s="67" t="s">
        <v>347</v>
      </c>
      <c r="M97" s="67"/>
      <c r="N97" s="67" t="s">
        <v>348</v>
      </c>
      <c r="O97" s="67"/>
      <c r="P97" s="57" t="s">
        <v>179</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59" t="n">
        <f aca="false">Q97-T7EarlyD*24/24</f>
        <v>46284.6458333333</v>
      </c>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IF(N97="N/A – rule","N/A – RULE",IF(TRIM(U97)="N/A",IF(AT97=0,"INVALID – N/A not permitted for this mandatory check",IF(AND(TRIM(AC97)&lt;&gt;"",TRIM(AE97)&lt;&gt;"",TRIM(T97)&lt;&gt;"",TRIM(AE97)&lt;&gt;TRIM(T97)),"N/A – JUSTIFIED","INVALID – N/A needs justification, PIC and a different verifier")),IF(OR(TRIM(U97)="Pass",TRIM(U97)="Pass after CA"),IF(NOT(ISNUMBER(AD97)),"INVALID – completion time missing",IF(TRIM(T97)="","INVALID – PIC missing",IF(TRIM(V97)="","INVALID – result / assessment missing",IF(TRIM(Z97)="","INVALID – evidence missing",IF(TRIM(AE97)="","INVALID – verifier missing",IF(TRIM(AE97)=TRIM(T97),"INVALID – verifier must be someone other than the PIC",IF(AND(AQ97=1,TRIM(W97)=""),"INVALID – batch ID missing",IF(AND(AR97=1,OR(NOT(ISNUMBER(X97)),NOT(ISNUMBER(Y97)))),"INVALID – expected/actual qty missing",IF(IF(AND(TRIM(U97)="Pass",ISNUMBER(AF97)),IF(AF97&lt;&gt;0,"INVALID – qty variance: use Fail or Pass after CA",""),"")&amp;IF(AND(TRIM(U97)="Pass",TRIM(AB97)&lt;&gt;"",TRIM(AB97)&lt;&gt;"Closed"),"INVALID – corrective action not closed: use Fail, then Pass after CA","")&amp;IF(AND(TRIM(AA97)&lt;&gt;"",TRIM(AB97)=""),"INVALID – CA status missing for the recorded corrective action","")&amp;IF(AND(TRIM(U97)="Pass after CA",OR(TRIM(AA97)="",TRIM(AB97)&lt;&gt;"Closed")),"INVALID – corrective action not recorded/closed","")&lt;&gt;"",IF(AND(TRIM(U97)="Pass",ISNUMBER(AF97)),IF(AF97&lt;&gt;0,"INVALID – qty variance: use Fail or Pass after CA",""),"")&amp;IF(AND(TRIM(U97)="Pass",TRIM(AB97)&lt;&gt;"",TRIM(AB97)&lt;&gt;"Closed"),"INVALID – corrective action not closed: use Fail, then Pass after CA","")&amp;IF(AND(TRIM(AA97)&lt;&gt;"",TRIM(AB97)=""),"INVALID – CA status missing for the recorded corrective action","")&amp;IF(AND(TRIM(U97)="Pass after CA",OR(TRIM(AA97)="",TRIM(AB97)&lt;&gt;"Closed")),"INVALID – corrective action not recorded/closed",""),IF(AND(AS97=1,Documents!$J$8&lt;&gt;"ON FILE"),"INVALID – GLD not on file (Documents sheet)",IF(AND(AS97=2,Documents!$O$8&lt;&gt;"ON FILE"),"INVALID – menu checklist not on file (Documents sheet)",IF(AND(AS97=3,NOT(ISNUMBER(Flights!$AX$8))),"INVALID – enter carrying flight KUL departure (Flights AX)",IF(AND(AS97=3,OR(Flights!$AX$8&gt;=Flights!$AA$8,Flights!$AX$8&lt;Flights!$AA$8-3)),"INVALID – Flights AX must be before this leg's STD (within 3 days)",IF(AG97&gt;AsOfUTC,"INVALID – completion time is in the future",IF(AND(ISNUMBER(S97),AG97&lt;S97),IF(H97="Physical uplift","INVALID – before uplift window (cannot confirm loading)","INVALID – before valid window"),IF(AG97&gt;Flights!$AA$8,"INVALID – completed after departure (cannot establish readiness)",IF(AND(H97="Physical uplift",AG97&gt;Q97),"INVALID – recorded after the loading flight departed",IF(AG97&gt;Q97,"COMPLETE – LATE","COMPLETE")))))))))))))))))),IF(TRIM(U97)="Fail","FAIL – DISCREPANCY",IF(AND(TRIM(U97)&lt;&gt;"",TRIM(U97)&lt;&gt;"Not started",TRIM(U97)&lt;&gt;"In progress"),"INVALID – unrecognised status (use the list)",IF(AsOfUTC&gt;Q97,"OVERDUE",IF(N97="Clarification required","OPEN – CLARIFICATION","OPEN")))))))</f>
        <v>OPEN</v>
      </c>
      <c r="AI97" s="61" t="n">
        <f aca="false">IF(OR(AH97="N/A – RULE",AH97="N/A – JUSTIFIED"),0,1)</f>
        <v>1</v>
      </c>
      <c r="AJ97" s="61" t="n">
        <f aca="false">IF(LEFT(AH97,8)="COMPLETE",1,0)</f>
        <v>0</v>
      </c>
      <c r="AK97" s="61" t="n">
        <f aca="false">IF(AND(AI97=1,AJ97=0,AsOfUTC&gt;Q97),1,0)</f>
        <v>0</v>
      </c>
      <c r="AL97" s="61" t="n">
        <f aca="false">IF(AND(AI97=1,OR(TRIM(U97)="Fail",AND(TRIM(AB97)&lt;&gt;"",TRIM(AB97)&lt;&gt;"Closed"),AND(ISNUMBER(AF97),AF97&lt;&gt;0,TRIM(U97)&lt;&gt;"Pass after CA"))),1,0)</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row>
    <row r="98" customFormat="false" ht="39.75" hidden="false" customHeight="true" outlineLevel="0" collapsed="false">
      <c r="A98" s="57" t="s">
        <v>554</v>
      </c>
      <c r="B98" s="57" t="s">
        <v>210</v>
      </c>
      <c r="C98" s="57" t="str">
        <f aca="false">Flights!$F$8</f>
        <v>MH0088</v>
      </c>
      <c r="D98" s="58" t="n">
        <f aca="false">Flights!$D$8</f>
        <v>46305</v>
      </c>
      <c r="E98" s="57" t="str">
        <f aca="false">Flights!$G$8&amp;"-"&amp;Flights!$H$8</f>
        <v>KUL-NRT</v>
      </c>
      <c r="F98" s="57" t="str">
        <f aca="false">Flights!$K$8</f>
        <v>BC</v>
      </c>
      <c r="G98" s="57" t="s">
        <v>76</v>
      </c>
      <c r="H98" s="57" t="s">
        <v>343</v>
      </c>
      <c r="I98" s="57" t="s">
        <v>376</v>
      </c>
      <c r="J98" s="57" t="s">
        <v>377</v>
      </c>
      <c r="K98" s="67" t="s">
        <v>555</v>
      </c>
      <c r="L98" s="67" t="s">
        <v>556</v>
      </c>
      <c r="M98" s="67"/>
      <c r="N98" s="67" t="s">
        <v>348</v>
      </c>
      <c r="O98" s="67"/>
      <c r="P98" s="57" t="s">
        <v>179</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59" t="n">
        <f aca="false">Q98-T7EarlyD*24/24</f>
        <v>46284.6458333333</v>
      </c>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IF(N98="N/A – rule","N/A – RULE",IF(TRIM(U98)="N/A",IF(AT98=0,"INVALID – N/A not permitted for this mandatory check",IF(AND(TRIM(AC98)&lt;&gt;"",TRIM(AE98)&lt;&gt;"",TRIM(T98)&lt;&gt;"",TRIM(AE98)&lt;&gt;TRIM(T98)),"N/A – JUSTIFIED","INVALID – N/A needs justification, PIC and a different verifier")),IF(OR(TRIM(U98)="Pass",TRIM(U98)="Pass after CA"),IF(NOT(ISNUMBER(AD98)),"INVALID – completion time missing",IF(TRIM(T98)="","INVALID – PIC missing",IF(TRIM(V98)="","INVALID – result / assessment missing",IF(TRIM(Z98)="","INVALID – evidence missing",IF(TRIM(AE98)="","INVALID – verifier missing",IF(TRIM(AE98)=TRIM(T98),"INVALID – verifier must be someone other than the PIC",IF(AND(AQ98=1,TRIM(W98)=""),"INVALID – batch ID missing",IF(AND(AR98=1,OR(NOT(ISNUMBER(X98)),NOT(ISNUMBER(Y98)))),"INVALID – expected/actual qty missing",IF(IF(AND(TRIM(U98)="Pass",ISNUMBER(AF98)),IF(AF98&lt;&gt;0,"INVALID – qty variance: use Fail or Pass after CA",""),"")&amp;IF(AND(TRIM(U98)="Pass",TRIM(AB98)&lt;&gt;"",TRIM(AB98)&lt;&gt;"Closed"),"INVALID – corrective action not closed: use Fail, then Pass after CA","")&amp;IF(AND(TRIM(AA98)&lt;&gt;"",TRIM(AB98)=""),"INVALID – CA status missing for the recorded corrective action","")&amp;IF(AND(TRIM(U98)="Pass after CA",OR(TRIM(AA98)="",TRIM(AB98)&lt;&gt;"Closed")),"INVALID – corrective action not recorded/closed","")&lt;&gt;"",IF(AND(TRIM(U98)="Pass",ISNUMBER(AF98)),IF(AF98&lt;&gt;0,"INVALID – qty variance: use Fail or Pass after CA",""),"")&amp;IF(AND(TRIM(U98)="Pass",TRIM(AB98)&lt;&gt;"",TRIM(AB98)&lt;&gt;"Closed"),"INVALID – corrective action not closed: use Fail, then Pass after CA","")&amp;IF(AND(TRIM(AA98)&lt;&gt;"",TRIM(AB98)=""),"INVALID – CA status missing for the recorded corrective action","")&amp;IF(AND(TRIM(U98)="Pass after CA",OR(TRIM(AA98)="",TRIM(AB98)&lt;&gt;"Closed")),"INVALID – corrective action not recorded/closed",""),IF(AND(AS98=1,Documents!$J$8&lt;&gt;"ON FILE"),"INVALID – GLD not on file (Documents sheet)",IF(AND(AS98=2,Documents!$O$8&lt;&gt;"ON FILE"),"INVALID – menu checklist not on file (Documents sheet)",IF(AND(AS98=3,NOT(ISNUMBER(Flights!$AX$8))),"INVALID – enter carrying flight KUL departure (Flights AX)",IF(AND(AS98=3,OR(Flights!$AX$8&gt;=Flights!$AA$8,Flights!$AX$8&lt;Flights!$AA$8-3)),"INVALID – Flights AX must be before this leg's STD (within 3 days)",IF(AG98&gt;AsOfUTC,"INVALID – completion time is in the future",IF(AND(ISNUMBER(S98),AG98&lt;S98),IF(H98="Physical uplift","INVALID – before uplift window (cannot confirm loading)","INVALID – before valid window"),IF(AG98&gt;Flights!$AA$8,"INVALID – completed after departure (cannot establish readiness)",IF(AND(H98="Physical uplift",AG98&gt;Q98),"INVALID – recorded after the loading flight departed",IF(AG98&gt;Q98,"COMPLETE – LATE","COMPLETE")))))))))))))))))),IF(TRIM(U98)="Fail","FAIL – DISCREPANCY",IF(AND(TRIM(U98)&lt;&gt;"",TRIM(U98)&lt;&gt;"Not started",TRIM(U98)&lt;&gt;"In progress"),"INVALID – unrecognised status (use the list)",IF(AsOfUTC&gt;Q98,"OVERDUE",IF(N98="Clarification required","OPEN – CLARIFICATION","OPEN")))))))</f>
        <v>OPEN</v>
      </c>
      <c r="AI98" s="61" t="n">
        <f aca="false">IF(OR(AH98="N/A – RULE",AH98="N/A – JUSTIFIED"),0,1)</f>
        <v>1</v>
      </c>
      <c r="AJ98" s="61" t="n">
        <f aca="false">IF(LEFT(AH98,8)="COMPLETE",1,0)</f>
        <v>0</v>
      </c>
      <c r="AK98" s="61" t="n">
        <f aca="false">IF(AND(AI98=1,AJ98=0,AsOfUTC&gt;Q98),1,0)</f>
        <v>0</v>
      </c>
      <c r="AL98" s="61" t="n">
        <f aca="false">IF(AND(AI98=1,OR(TRIM(U98)="Fail",AND(TRIM(AB98)&lt;&gt;"",TRIM(AB98)&lt;&gt;"Closed"),AND(ISNUMBER(AF98),AF98&lt;&gt;0,TRIM(U98)&lt;&gt;"Pass after CA"))),1,0)</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row>
    <row r="99" customFormat="false" ht="39.75" hidden="false" customHeight="true" outlineLevel="0" collapsed="false">
      <c r="A99" s="57" t="s">
        <v>557</v>
      </c>
      <c r="B99" s="57" t="s">
        <v>210</v>
      </c>
      <c r="C99" s="57" t="str">
        <f aca="false">Flights!$F$8</f>
        <v>MH0088</v>
      </c>
      <c r="D99" s="58" t="n">
        <f aca="false">Flights!$D$8</f>
        <v>46305</v>
      </c>
      <c r="E99" s="57" t="str">
        <f aca="false">Flights!$G$8&amp;"-"&amp;Flights!$H$8</f>
        <v>KUL-NRT</v>
      </c>
      <c r="F99" s="57" t="str">
        <f aca="false">Flights!$K$8</f>
        <v>BC</v>
      </c>
      <c r="G99" s="57" t="s">
        <v>78</v>
      </c>
      <c r="H99" s="57" t="s">
        <v>343</v>
      </c>
      <c r="I99" s="57" t="s">
        <v>344</v>
      </c>
      <c r="J99" s="57" t="s">
        <v>381</v>
      </c>
      <c r="K99" s="67" t="s">
        <v>382</v>
      </c>
      <c r="L99" s="67" t="s">
        <v>383</v>
      </c>
      <c r="M99" s="67"/>
      <c r="N99" s="67" t="s">
        <v>348</v>
      </c>
      <c r="O99" s="67"/>
      <c r="P99" s="57" t="s">
        <v>179</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59" t="n">
        <f aca="false">Q99-T24EarlyH/24</f>
        <v>46303.6458333333</v>
      </c>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IF(N99="N/A – rule","N/A – RULE",IF(TRIM(U99)="N/A",IF(AT99=0,"INVALID – N/A not permitted for this mandatory check",IF(AND(TRIM(AC99)&lt;&gt;"",TRIM(AE99)&lt;&gt;"",TRIM(T99)&lt;&gt;"",TRIM(AE99)&lt;&gt;TRIM(T99)),"N/A – JUSTIFIED","INVALID – N/A needs justification, PIC and a different verifier")),IF(OR(TRIM(U99)="Pass",TRIM(U99)="Pass after CA"),IF(NOT(ISNUMBER(AD99)),"INVALID – completion time missing",IF(TRIM(T99)="","INVALID – PIC missing",IF(TRIM(V99)="","INVALID – result / assessment missing",IF(TRIM(Z99)="","INVALID – evidence missing",IF(TRIM(AE99)="","INVALID – verifier missing",IF(TRIM(AE99)=TRIM(T99),"INVALID – verifier must be someone other than the PIC",IF(AND(AQ99=1,TRIM(W99)=""),"INVALID – batch ID missing",IF(AND(AR99=1,OR(NOT(ISNUMBER(X99)),NOT(ISNUMBER(Y99)))),"INVALID – expected/actual qty missing",IF(IF(AND(TRIM(U99)="Pass",ISNUMBER(AF99)),IF(AF99&lt;&gt;0,"INVALID – qty variance: use Fail or Pass after CA",""),"")&amp;IF(AND(TRIM(U99)="Pass",TRIM(AB99)&lt;&gt;"",TRIM(AB99)&lt;&gt;"Closed"),"INVALID – corrective action not closed: use Fail, then Pass after CA","")&amp;IF(AND(TRIM(AA99)&lt;&gt;"",TRIM(AB99)=""),"INVALID – CA status missing for the recorded corrective action","")&amp;IF(AND(TRIM(U99)="Pass after CA",OR(TRIM(AA99)="",TRIM(AB99)&lt;&gt;"Closed")),"INVALID – corrective action not recorded/closed","")&lt;&gt;"",IF(AND(TRIM(U99)="Pass",ISNUMBER(AF99)),IF(AF99&lt;&gt;0,"INVALID – qty variance: use Fail or Pass after CA",""),"")&amp;IF(AND(TRIM(U99)="Pass",TRIM(AB99)&lt;&gt;"",TRIM(AB99)&lt;&gt;"Closed"),"INVALID – corrective action not closed: use Fail, then Pass after CA","")&amp;IF(AND(TRIM(AA99)&lt;&gt;"",TRIM(AB99)=""),"INVALID – CA status missing for the recorded corrective action","")&amp;IF(AND(TRIM(U99)="Pass after CA",OR(TRIM(AA99)="",TRIM(AB99)&lt;&gt;"Closed")),"INVALID – corrective action not recorded/closed",""),IF(AND(AS99=1,Documents!$J$8&lt;&gt;"ON FILE"),"INVALID – GLD not on file (Documents sheet)",IF(AND(AS99=2,Documents!$O$8&lt;&gt;"ON FILE"),"INVALID – menu checklist not on file (Documents sheet)",IF(AND(AS99=3,NOT(ISNUMBER(Flights!$AX$8))),"INVALID – enter carrying flight KUL departure (Flights AX)",IF(AND(AS99=3,OR(Flights!$AX$8&gt;=Flights!$AA$8,Flights!$AX$8&lt;Flights!$AA$8-3)),"INVALID – Flights AX must be before this leg's STD (within 3 days)",IF(AG99&gt;AsOfUTC,"INVALID – completion time is in the future",IF(AND(ISNUMBER(S99),AG99&lt;S99),IF(H99="Physical uplift","INVALID – before uplift window (cannot confirm loading)","INVALID – before valid window"),IF(AG99&gt;Flights!$AA$8,"INVALID – completed after departure (cannot establish readiness)",IF(AND(H99="Physical uplift",AG99&gt;Q99),"INVALID – recorded after the loading flight departed",IF(AG99&gt;Q99,"COMPLETE – LATE","COMPLETE")))))))))))))))))),IF(TRIM(U99)="Fail","FAIL – DISCREPANCY",IF(AND(TRIM(U99)&lt;&gt;"",TRIM(U99)&lt;&gt;"Not started",TRIM(U99)&lt;&gt;"In progress"),"INVALID – unrecognised status (use the list)",IF(AsOfUTC&gt;Q99,"OVERDUE",IF(N99="Clarification required","OPEN – CLARIFICATION","OPEN")))))))</f>
        <v>OPEN</v>
      </c>
      <c r="AI99" s="61" t="n">
        <f aca="false">IF(OR(AH99="N/A – RULE",AH99="N/A – JUSTIFIED"),0,1)</f>
        <v>1</v>
      </c>
      <c r="AJ99" s="61" t="n">
        <f aca="false">IF(LEFT(AH99,8)="COMPLETE",1,0)</f>
        <v>0</v>
      </c>
      <c r="AK99" s="61" t="n">
        <f aca="false">IF(AND(AI99=1,AJ99=0,AsOfUTC&gt;Q99),1,0)</f>
        <v>0</v>
      </c>
      <c r="AL99" s="61" t="n">
        <f aca="false">IF(AND(AI99=1,OR(TRIM(U99)="Fail",AND(TRIM(AB99)&lt;&gt;"",TRIM(AB99)&lt;&gt;"Closed"),AND(ISNUMBER(AF99),AF99&lt;&gt;0,TRIM(U99)&lt;&gt;"Pass after CA"))),1,0)</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row>
    <row r="100" customFormat="false" ht="39.75" hidden="false" customHeight="true" outlineLevel="0" collapsed="false">
      <c r="A100" s="57" t="s">
        <v>558</v>
      </c>
      <c r="B100" s="57" t="s">
        <v>210</v>
      </c>
      <c r="C100" s="57" t="str">
        <f aca="false">Flights!$F$8</f>
        <v>MH0088</v>
      </c>
      <c r="D100" s="58" t="n">
        <f aca="false">Flights!$D$8</f>
        <v>46305</v>
      </c>
      <c r="E100" s="57" t="str">
        <f aca="false">Flights!$G$8&amp;"-"&amp;Flights!$H$8</f>
        <v>KUL-NRT</v>
      </c>
      <c r="F100" s="57" t="str">
        <f aca="false">Flights!$K$8</f>
        <v>BC</v>
      </c>
      <c r="G100" s="57" t="s">
        <v>385</v>
      </c>
      <c r="H100" s="57" t="s">
        <v>343</v>
      </c>
      <c r="I100" s="57" t="s">
        <v>344</v>
      </c>
      <c r="J100" s="57" t="s">
        <v>386</v>
      </c>
      <c r="K100" s="67"/>
      <c r="L100" s="67" t="s">
        <v>387</v>
      </c>
      <c r="M100" s="67"/>
      <c r="N100" s="67" t="s">
        <v>348</v>
      </c>
      <c r="O100" s="67" t="s">
        <v>388</v>
      </c>
      <c r="P100" s="57" t="s">
        <v>179</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59" t="n">
        <f aca="false">Q100-T12EarlyH/24</f>
        <v>46304.6458333333</v>
      </c>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IF(N100="N/A – rule","N/A – RULE",IF(TRIM(U100)="N/A",IF(AT100=0,"INVALID – N/A not permitted for this mandatory check",IF(AND(TRIM(AC100)&lt;&gt;"",TRIM(AE100)&lt;&gt;"",TRIM(T100)&lt;&gt;"",TRIM(AE100)&lt;&gt;TRIM(T100)),"N/A – JUSTIFIED","INVALID – N/A needs justification, PIC and a different verifier")),IF(OR(TRIM(U100)="Pass",TRIM(U100)="Pass after CA"),IF(NOT(ISNUMBER(AD100)),"INVALID – completion time missing",IF(TRIM(T100)="","INVALID – PIC missing",IF(TRIM(V100)="","INVALID – result / assessment missing",IF(TRIM(Z100)="","INVALID – evidence missing",IF(TRIM(AE100)="","INVALID – verifier missing",IF(TRIM(AE100)=TRIM(T100),"INVALID – verifier must be someone other than the PIC",IF(AND(AQ100=1,TRIM(W100)=""),"INVALID – batch ID missing",IF(AND(AR100=1,OR(NOT(ISNUMBER(X100)),NOT(ISNUMBER(Y100)))),"INVALID – expected/actual qty missing",IF(IF(AND(TRIM(U100)="Pass",ISNUMBER(AF100)),IF(AF100&lt;&gt;0,"INVALID – qty variance: use Fail or Pass after CA",""),"")&amp;IF(AND(TRIM(U100)="Pass",TRIM(AB100)&lt;&gt;"",TRIM(AB100)&lt;&gt;"Closed"),"INVALID – corrective action not closed: use Fail, then Pass after CA","")&amp;IF(AND(TRIM(AA100)&lt;&gt;"",TRIM(AB100)=""),"INVALID – CA status missing for the recorded corrective action","")&amp;IF(AND(TRIM(U100)="Pass after CA",OR(TRIM(AA100)="",TRIM(AB100)&lt;&gt;"Closed")),"INVALID – corrective action not recorded/closed","")&lt;&gt;"",IF(AND(TRIM(U100)="Pass",ISNUMBER(AF100)),IF(AF100&lt;&gt;0,"INVALID – qty variance: use Fail or Pass after CA",""),"")&amp;IF(AND(TRIM(U100)="Pass",TRIM(AB100)&lt;&gt;"",TRIM(AB100)&lt;&gt;"Closed"),"INVALID – corrective action not closed: use Fail, then Pass after CA","")&amp;IF(AND(TRIM(AA100)&lt;&gt;"",TRIM(AB100)=""),"INVALID – CA status missing for the recorded corrective action","")&amp;IF(AND(TRIM(U100)="Pass after CA",OR(TRIM(AA100)="",TRIM(AB100)&lt;&gt;"Closed")),"INVALID – corrective action not recorded/closed",""),IF(AND(AS100=1,Documents!$J$8&lt;&gt;"ON FILE"),"INVALID – GLD not on file (Documents sheet)",IF(AND(AS100=2,Documents!$O$8&lt;&gt;"ON FILE"),"INVALID – menu checklist not on file (Documents sheet)",IF(AND(AS100=3,NOT(ISNUMBER(Flights!$AX$8))),"INVALID – enter carrying flight KUL departure (Flights AX)",IF(AND(AS100=3,OR(Flights!$AX$8&gt;=Flights!$AA$8,Flights!$AX$8&lt;Flights!$AA$8-3)),"INVALID – Flights AX must be before this leg's STD (within 3 days)",IF(AG100&gt;AsOfUTC,"INVALID – completion time is in the future",IF(AND(ISNUMBER(S100),AG100&lt;S100),IF(H100="Physical uplift","INVALID – before uplift window (cannot confirm loading)","INVALID – before valid window"),IF(AG100&gt;Flights!$AA$8,"INVALID – completed after departure (cannot establish readiness)",IF(AND(H100="Physical uplift",AG100&gt;Q100),"INVALID – recorded after the loading flight departed",IF(AG100&gt;Q100,"COMPLETE – LATE","COMPLETE")))))))))))))))))),IF(TRIM(U100)="Fail","FAIL – DISCREPANCY",IF(AND(TRIM(U100)&lt;&gt;"",TRIM(U100)&lt;&gt;"Not started",TRIM(U100)&lt;&gt;"In progress"),"INVALID – unrecognised status (use the list)",IF(AsOfUTC&gt;Q100,"OVERDUE",IF(N100="Clarification required","OPEN – CLARIFICATION","OPEN")))))))</f>
        <v>OPEN</v>
      </c>
      <c r="AI100" s="61" t="n">
        <f aca="false">IF(OR(AH100="N/A – RULE",AH100="N/A – JUSTIFIED"),0,1)</f>
        <v>1</v>
      </c>
      <c r="AJ100" s="61" t="n">
        <f aca="false">IF(LEFT(AH100,8)="COMPLETE",1,0)</f>
        <v>0</v>
      </c>
      <c r="AK100" s="61" t="n">
        <f aca="false">IF(AND(AI100=1,AJ100=0,AsOfUTC&gt;Q100),1,0)</f>
        <v>0</v>
      </c>
      <c r="AL100" s="61" t="n">
        <f aca="false">IF(AND(AI100=1,OR(TRIM(U100)="Fail",AND(TRIM(AB100)&lt;&gt;"",TRIM(AB100)&lt;&gt;"Closed"),AND(ISNUMBER(AF100),AF100&lt;&gt;0,TRIM(U100)&lt;&gt;"Pass after CA"))),1,0)</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row>
    <row r="101" customFormat="false" ht="39.75" hidden="false" customHeight="true" outlineLevel="0" collapsed="false">
      <c r="A101" s="57" t="s">
        <v>559</v>
      </c>
      <c r="B101" s="57" t="s">
        <v>210</v>
      </c>
      <c r="C101" s="57" t="str">
        <f aca="false">Flights!$F$8</f>
        <v>MH0088</v>
      </c>
      <c r="D101" s="58" t="n">
        <f aca="false">Flights!$D$8</f>
        <v>46305</v>
      </c>
      <c r="E101" s="57" t="str">
        <f aca="false">Flights!$G$8&amp;"-"&amp;Flights!$H$8</f>
        <v>KUL-NRT</v>
      </c>
      <c r="F101" s="57" t="str">
        <f aca="false">Flights!$K$8</f>
        <v>BC</v>
      </c>
      <c r="G101" s="57" t="s">
        <v>385</v>
      </c>
      <c r="H101" s="57" t="s">
        <v>343</v>
      </c>
      <c r="I101" s="57" t="s">
        <v>344</v>
      </c>
      <c r="J101" s="57" t="s">
        <v>390</v>
      </c>
      <c r="K101" s="67" t="s">
        <v>391</v>
      </c>
      <c r="L101" s="67" t="s">
        <v>387</v>
      </c>
      <c r="M101" s="67"/>
      <c r="N101" s="67" t="s">
        <v>348</v>
      </c>
      <c r="O101" s="67" t="s">
        <v>388</v>
      </c>
      <c r="P101" s="57" t="s">
        <v>179</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59" t="n">
        <f aca="false">Q101-T12EarlyH/24</f>
        <v>46304.6458333333</v>
      </c>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IF(N101="N/A – rule","N/A – RULE",IF(TRIM(U101)="N/A",IF(AT101=0,"INVALID – N/A not permitted for this mandatory check",IF(AND(TRIM(AC101)&lt;&gt;"",TRIM(AE101)&lt;&gt;"",TRIM(T101)&lt;&gt;"",TRIM(AE101)&lt;&gt;TRIM(T101)),"N/A – JUSTIFIED","INVALID – N/A needs justification, PIC and a different verifier")),IF(OR(TRIM(U101)="Pass",TRIM(U101)="Pass after CA"),IF(NOT(ISNUMBER(AD101)),"INVALID – completion time missing",IF(TRIM(T101)="","INVALID – PIC missing",IF(TRIM(V101)="","INVALID – result / assessment missing",IF(TRIM(Z101)="","INVALID – evidence missing",IF(TRIM(AE101)="","INVALID – verifier missing",IF(TRIM(AE101)=TRIM(T101),"INVALID – verifier must be someone other than the PIC",IF(AND(AQ101=1,TRIM(W101)=""),"INVALID – batch ID missing",IF(AND(AR101=1,OR(NOT(ISNUMBER(X101)),NOT(ISNUMBER(Y101)))),"INVALID – expected/actual qty missing",IF(IF(AND(TRIM(U101)="Pass",ISNUMBER(AF101)),IF(AF101&lt;&gt;0,"INVALID – qty variance: use Fail or Pass after CA",""),"")&amp;IF(AND(TRIM(U101)="Pass",TRIM(AB101)&lt;&gt;"",TRIM(AB101)&lt;&gt;"Closed"),"INVALID – corrective action not closed: use Fail, then Pass after CA","")&amp;IF(AND(TRIM(AA101)&lt;&gt;"",TRIM(AB101)=""),"INVALID – CA status missing for the recorded corrective action","")&amp;IF(AND(TRIM(U101)="Pass after CA",OR(TRIM(AA101)="",TRIM(AB101)&lt;&gt;"Closed")),"INVALID – corrective action not recorded/closed","")&lt;&gt;"",IF(AND(TRIM(U101)="Pass",ISNUMBER(AF101)),IF(AF101&lt;&gt;0,"INVALID – qty variance: use Fail or Pass after CA",""),"")&amp;IF(AND(TRIM(U101)="Pass",TRIM(AB101)&lt;&gt;"",TRIM(AB101)&lt;&gt;"Closed"),"INVALID – corrective action not closed: use Fail, then Pass after CA","")&amp;IF(AND(TRIM(AA101)&lt;&gt;"",TRIM(AB101)=""),"INVALID – CA status missing for the recorded corrective action","")&amp;IF(AND(TRIM(U101)="Pass after CA",OR(TRIM(AA101)="",TRIM(AB101)&lt;&gt;"Closed")),"INVALID – corrective action not recorded/closed",""),IF(AND(AS101=1,Documents!$J$8&lt;&gt;"ON FILE"),"INVALID – GLD not on file (Documents sheet)",IF(AND(AS101=2,Documents!$O$8&lt;&gt;"ON FILE"),"INVALID – menu checklist not on file (Documents sheet)",IF(AND(AS101=3,NOT(ISNUMBER(Flights!$AX$8))),"INVALID – enter carrying flight KUL departure (Flights AX)",IF(AND(AS101=3,OR(Flights!$AX$8&gt;=Flights!$AA$8,Flights!$AX$8&lt;Flights!$AA$8-3)),"INVALID – Flights AX must be before this leg's STD (within 3 days)",IF(AG101&gt;AsOfUTC,"INVALID – completion time is in the future",IF(AND(ISNUMBER(S101),AG101&lt;S101),IF(H101="Physical uplift","INVALID – before uplift window (cannot confirm loading)","INVALID – before valid window"),IF(AG101&gt;Flights!$AA$8,"INVALID – completed after departure (cannot establish readiness)",IF(AND(H101="Physical uplift",AG101&gt;Q101),"INVALID – recorded after the loading flight departed",IF(AG101&gt;Q101,"COMPLETE – LATE","COMPLETE")))))))))))))))))),IF(TRIM(U101)="Fail","FAIL – DISCREPANCY",IF(AND(TRIM(U101)&lt;&gt;"",TRIM(U101)&lt;&gt;"Not started",TRIM(U101)&lt;&gt;"In progress"),"INVALID – unrecognised status (use the list)",IF(AsOfUTC&gt;Q101,"OVERDUE",IF(N101="Clarification required","OPEN – CLARIFICATION","OPEN")))))))</f>
        <v>OPEN</v>
      </c>
      <c r="AI101" s="61" t="n">
        <f aca="false">IF(OR(AH101="N/A – RULE",AH101="N/A – JUSTIFIED"),0,1)</f>
        <v>1</v>
      </c>
      <c r="AJ101" s="61" t="n">
        <f aca="false">IF(LEFT(AH101,8)="COMPLETE",1,0)</f>
        <v>0</v>
      </c>
      <c r="AK101" s="61" t="n">
        <f aca="false">IF(AND(AI101=1,AJ101=0,AsOfUTC&gt;Q101),1,0)</f>
        <v>0</v>
      </c>
      <c r="AL101" s="61" t="n">
        <f aca="false">IF(AND(AI101=1,OR(TRIM(U101)="Fail",AND(TRIM(AB101)&lt;&gt;"",TRIM(AB101)&lt;&gt;"Closed"),AND(ISNUMBER(AF101),AF101&lt;&gt;0,TRIM(U101)&lt;&gt;"Pass after CA"))),1,0)</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row>
    <row r="102" customFormat="false" ht="39.75" hidden="false" customHeight="true" outlineLevel="0" collapsed="false">
      <c r="A102" s="57" t="s">
        <v>560</v>
      </c>
      <c r="B102" s="57" t="s">
        <v>210</v>
      </c>
      <c r="C102" s="57" t="str">
        <f aca="false">Flights!$F$8</f>
        <v>MH0088</v>
      </c>
      <c r="D102" s="58" t="n">
        <f aca="false">Flights!$D$8</f>
        <v>46305</v>
      </c>
      <c r="E102" s="57" t="str">
        <f aca="false">Flights!$G$8&amp;"-"&amp;Flights!$H$8</f>
        <v>KUL-NRT</v>
      </c>
      <c r="F102" s="57" t="str">
        <f aca="false">Flights!$K$8</f>
        <v>BC</v>
      </c>
      <c r="G102" s="57" t="s">
        <v>385</v>
      </c>
      <c r="H102" s="57" t="s">
        <v>343</v>
      </c>
      <c r="I102" s="57" t="s">
        <v>393</v>
      </c>
      <c r="J102" s="57" t="s">
        <v>394</v>
      </c>
      <c r="K102" s="67"/>
      <c r="L102" s="67" t="s">
        <v>387</v>
      </c>
      <c r="M102" s="67"/>
      <c r="N102" s="67" t="s">
        <v>348</v>
      </c>
      <c r="O102" s="67" t="s">
        <v>388</v>
      </c>
      <c r="P102" s="57" t="s">
        <v>179</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59" t="n">
        <f aca="false">Q102-T12EarlyH/24</f>
        <v>46304.6458333333</v>
      </c>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IF(N102="N/A – rule","N/A – RULE",IF(TRIM(U102)="N/A",IF(AT102=0,"INVALID – N/A not permitted for this mandatory check",IF(AND(TRIM(AC102)&lt;&gt;"",TRIM(AE102)&lt;&gt;"",TRIM(T102)&lt;&gt;"",TRIM(AE102)&lt;&gt;TRIM(T102)),"N/A – JUSTIFIED","INVALID – N/A needs justification, PIC and a different verifier")),IF(OR(TRIM(U102)="Pass",TRIM(U102)="Pass after CA"),IF(NOT(ISNUMBER(AD102)),"INVALID – completion time missing",IF(TRIM(T102)="","INVALID – PIC missing",IF(TRIM(V102)="","INVALID – result / assessment missing",IF(TRIM(Z102)="","INVALID – evidence missing",IF(TRIM(AE102)="","INVALID – verifier missing",IF(TRIM(AE102)=TRIM(T102),"INVALID – verifier must be someone other than the PIC",IF(AND(AQ102=1,TRIM(W102)=""),"INVALID – batch ID missing",IF(AND(AR102=1,OR(NOT(ISNUMBER(X102)),NOT(ISNUMBER(Y102)))),"INVALID – expected/actual qty missing",IF(IF(AND(TRIM(U102)="Pass",ISNUMBER(AF102)),IF(AF102&lt;&gt;0,"INVALID – qty variance: use Fail or Pass after CA",""),"")&amp;IF(AND(TRIM(U102)="Pass",TRIM(AB102)&lt;&gt;"",TRIM(AB102)&lt;&gt;"Closed"),"INVALID – corrective action not closed: use Fail, then Pass after CA","")&amp;IF(AND(TRIM(AA102)&lt;&gt;"",TRIM(AB102)=""),"INVALID – CA status missing for the recorded corrective action","")&amp;IF(AND(TRIM(U102)="Pass after CA",OR(TRIM(AA102)="",TRIM(AB102)&lt;&gt;"Closed")),"INVALID – corrective action not recorded/closed","")&lt;&gt;"",IF(AND(TRIM(U102)="Pass",ISNUMBER(AF102)),IF(AF102&lt;&gt;0,"INVALID – qty variance: use Fail or Pass after CA",""),"")&amp;IF(AND(TRIM(U102)="Pass",TRIM(AB102)&lt;&gt;"",TRIM(AB102)&lt;&gt;"Closed"),"INVALID – corrective action not closed: use Fail, then Pass after CA","")&amp;IF(AND(TRIM(AA102)&lt;&gt;"",TRIM(AB102)=""),"INVALID – CA status missing for the recorded corrective action","")&amp;IF(AND(TRIM(U102)="Pass after CA",OR(TRIM(AA102)="",TRIM(AB102)&lt;&gt;"Closed")),"INVALID – corrective action not recorded/closed",""),IF(AND(AS102=1,Documents!$J$8&lt;&gt;"ON FILE"),"INVALID – GLD not on file (Documents sheet)",IF(AND(AS102=2,Documents!$O$8&lt;&gt;"ON FILE"),"INVALID – menu checklist not on file (Documents sheet)",IF(AND(AS102=3,NOT(ISNUMBER(Flights!$AX$8))),"INVALID – enter carrying flight KUL departure (Flights AX)",IF(AND(AS102=3,OR(Flights!$AX$8&gt;=Flights!$AA$8,Flights!$AX$8&lt;Flights!$AA$8-3)),"INVALID – Flights AX must be before this leg's STD (within 3 days)",IF(AG102&gt;AsOfUTC,"INVALID – completion time is in the future",IF(AND(ISNUMBER(S102),AG102&lt;S102),IF(H102="Physical uplift","INVALID – before uplift window (cannot confirm loading)","INVALID – before valid window"),IF(AG102&gt;Flights!$AA$8,"INVALID – completed after departure (cannot establish readiness)",IF(AND(H102="Physical uplift",AG102&gt;Q102),"INVALID – recorded after the loading flight departed",IF(AG102&gt;Q102,"COMPLETE – LATE","COMPLETE")))))))))))))))))),IF(TRIM(U102)="Fail","FAIL – DISCREPANCY",IF(AND(TRIM(U102)&lt;&gt;"",TRIM(U102)&lt;&gt;"Not started",TRIM(U102)&lt;&gt;"In progress"),"INVALID – unrecognised status (use the list)",IF(AsOfUTC&gt;Q102,"OVERDUE",IF(N102="Clarification required","OPEN – CLARIFICATION","OPEN")))))))</f>
        <v>OPEN</v>
      </c>
      <c r="AI102" s="61" t="n">
        <f aca="false">IF(OR(AH102="N/A – RULE",AH102="N/A – JUSTIFIED"),0,1)</f>
        <v>1</v>
      </c>
      <c r="AJ102" s="61" t="n">
        <f aca="false">IF(LEFT(AH102,8)="COMPLETE",1,0)</f>
        <v>0</v>
      </c>
      <c r="AK102" s="61" t="n">
        <f aca="false">IF(AND(AI102=1,AJ102=0,AsOfUTC&gt;Q102),1,0)</f>
        <v>0</v>
      </c>
      <c r="AL102" s="61" t="n">
        <f aca="false">IF(AND(AI102=1,OR(TRIM(U102)="Fail",AND(TRIM(AB102)&lt;&gt;"",TRIM(AB102)&lt;&gt;"Closed"),AND(ISNUMBER(AF102),AF102&lt;&gt;0,TRIM(U102)&lt;&gt;"Pass after CA"))),1,0)</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row>
    <row r="103" customFormat="false" ht="39.75" hidden="false" customHeight="true" outlineLevel="0" collapsed="false">
      <c r="A103" s="57" t="s">
        <v>561</v>
      </c>
      <c r="B103" s="57" t="s">
        <v>210</v>
      </c>
      <c r="C103" s="57" t="str">
        <f aca="false">Flights!$F$8</f>
        <v>MH0088</v>
      </c>
      <c r="D103" s="58" t="n">
        <f aca="false">Flights!$D$8</f>
        <v>46305</v>
      </c>
      <c r="E103" s="57" t="str">
        <f aca="false">Flights!$G$8&amp;"-"&amp;Flights!$H$8</f>
        <v>KUL-NRT</v>
      </c>
      <c r="F103" s="57" t="str">
        <f aca="false">Flights!$K$8</f>
        <v>BC</v>
      </c>
      <c r="G103" s="57" t="s">
        <v>385</v>
      </c>
      <c r="H103" s="57" t="s">
        <v>343</v>
      </c>
      <c r="I103" s="57" t="s">
        <v>393</v>
      </c>
      <c r="J103" s="57" t="s">
        <v>396</v>
      </c>
      <c r="K103" s="67"/>
      <c r="L103" s="67" t="s">
        <v>387</v>
      </c>
      <c r="M103" s="67"/>
      <c r="N103" s="67" t="s">
        <v>348</v>
      </c>
      <c r="O103" s="67" t="s">
        <v>388</v>
      </c>
      <c r="P103" s="57" t="s">
        <v>179</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59" t="n">
        <f aca="false">Q103-T12EarlyH/24</f>
        <v>46304.6458333333</v>
      </c>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IF(N103="N/A – rule","N/A – RULE",IF(TRIM(U103)="N/A",IF(AT103=0,"INVALID – N/A not permitted for this mandatory check",IF(AND(TRIM(AC103)&lt;&gt;"",TRIM(AE103)&lt;&gt;"",TRIM(T103)&lt;&gt;"",TRIM(AE103)&lt;&gt;TRIM(T103)),"N/A – JUSTIFIED","INVALID – N/A needs justification, PIC and a different verifier")),IF(OR(TRIM(U103)="Pass",TRIM(U103)="Pass after CA"),IF(NOT(ISNUMBER(AD103)),"INVALID – completion time missing",IF(TRIM(T103)="","INVALID – PIC missing",IF(TRIM(V103)="","INVALID – result / assessment missing",IF(TRIM(Z103)="","INVALID – evidence missing",IF(TRIM(AE103)="","INVALID – verifier missing",IF(TRIM(AE103)=TRIM(T103),"INVALID – verifier must be someone other than the PIC",IF(AND(AQ103=1,TRIM(W103)=""),"INVALID – batch ID missing",IF(AND(AR103=1,OR(NOT(ISNUMBER(X103)),NOT(ISNUMBER(Y103)))),"INVALID – expected/actual qty missing",IF(IF(AND(TRIM(U103)="Pass",ISNUMBER(AF103)),IF(AF103&lt;&gt;0,"INVALID – qty variance: use Fail or Pass after CA",""),"")&amp;IF(AND(TRIM(U103)="Pass",TRIM(AB103)&lt;&gt;"",TRIM(AB103)&lt;&gt;"Closed"),"INVALID – corrective action not closed: use Fail, then Pass after CA","")&amp;IF(AND(TRIM(AA103)&lt;&gt;"",TRIM(AB103)=""),"INVALID – CA status missing for the recorded corrective action","")&amp;IF(AND(TRIM(U103)="Pass after CA",OR(TRIM(AA103)="",TRIM(AB103)&lt;&gt;"Closed")),"INVALID – corrective action not recorded/closed","")&lt;&gt;"",IF(AND(TRIM(U103)="Pass",ISNUMBER(AF103)),IF(AF103&lt;&gt;0,"INVALID – qty variance: use Fail or Pass after CA",""),"")&amp;IF(AND(TRIM(U103)="Pass",TRIM(AB103)&lt;&gt;"",TRIM(AB103)&lt;&gt;"Closed"),"INVALID – corrective action not closed: use Fail, then Pass after CA","")&amp;IF(AND(TRIM(AA103)&lt;&gt;"",TRIM(AB103)=""),"INVALID – CA status missing for the recorded corrective action","")&amp;IF(AND(TRIM(U103)="Pass after CA",OR(TRIM(AA103)="",TRIM(AB103)&lt;&gt;"Closed")),"INVALID – corrective action not recorded/closed",""),IF(AND(AS103=1,Documents!$J$8&lt;&gt;"ON FILE"),"INVALID – GLD not on file (Documents sheet)",IF(AND(AS103=2,Documents!$O$8&lt;&gt;"ON FILE"),"INVALID – menu checklist not on file (Documents sheet)",IF(AND(AS103=3,NOT(ISNUMBER(Flights!$AX$8))),"INVALID – enter carrying flight KUL departure (Flights AX)",IF(AND(AS103=3,OR(Flights!$AX$8&gt;=Flights!$AA$8,Flights!$AX$8&lt;Flights!$AA$8-3)),"INVALID – Flights AX must be before this leg's STD (within 3 days)",IF(AG103&gt;AsOfUTC,"INVALID – completion time is in the future",IF(AND(ISNUMBER(S103),AG103&lt;S103),IF(H103="Physical uplift","INVALID – before uplift window (cannot confirm loading)","INVALID – before valid window"),IF(AG103&gt;Flights!$AA$8,"INVALID – completed after departure (cannot establish readiness)",IF(AND(H103="Physical uplift",AG103&gt;Q103),"INVALID – recorded after the loading flight departed",IF(AG103&gt;Q103,"COMPLETE – LATE","COMPLETE")))))))))))))))))),IF(TRIM(U103)="Fail","FAIL – DISCREPANCY",IF(AND(TRIM(U103)&lt;&gt;"",TRIM(U103)&lt;&gt;"Not started",TRIM(U103)&lt;&gt;"In progress"),"INVALID – unrecognised status (use the list)",IF(AsOfUTC&gt;Q103,"OVERDUE",IF(N103="Clarification required","OPEN – CLARIFICATION","OPEN")))))))</f>
        <v>OPEN</v>
      </c>
      <c r="AI103" s="61" t="n">
        <f aca="false">IF(OR(AH103="N/A – RULE",AH103="N/A – JUSTIFIED"),0,1)</f>
        <v>1</v>
      </c>
      <c r="AJ103" s="61" t="n">
        <f aca="false">IF(LEFT(AH103,8)="COMPLETE",1,0)</f>
        <v>0</v>
      </c>
      <c r="AK103" s="61" t="n">
        <f aca="false">IF(AND(AI103=1,AJ103=0,AsOfUTC&gt;Q103),1,0)</f>
        <v>0</v>
      </c>
      <c r="AL103" s="61" t="n">
        <f aca="false">IF(AND(AI103=1,OR(TRIM(U103)="Fail",AND(TRIM(AB103)&lt;&gt;"",TRIM(AB103)&lt;&gt;"Closed"),AND(ISNUMBER(AF103),AF103&lt;&gt;0,TRIM(U103)&lt;&gt;"Pass after CA"))),1,0)</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row>
    <row r="104" customFormat="false" ht="39.75" hidden="false" customHeight="true" outlineLevel="0" collapsed="false">
      <c r="A104" s="57" t="s">
        <v>562</v>
      </c>
      <c r="B104" s="57" t="s">
        <v>210</v>
      </c>
      <c r="C104" s="57" t="str">
        <f aca="false">Flights!$F$8</f>
        <v>MH0088</v>
      </c>
      <c r="D104" s="58" t="n">
        <f aca="false">Flights!$D$8</f>
        <v>46305</v>
      </c>
      <c r="E104" s="57" t="str">
        <f aca="false">Flights!$G$8&amp;"-"&amp;Flights!$H$8</f>
        <v>KUL-NRT</v>
      </c>
      <c r="F104" s="57" t="str">
        <f aca="false">Flights!$K$8</f>
        <v>BC</v>
      </c>
      <c r="G104" s="57" t="s">
        <v>385</v>
      </c>
      <c r="H104" s="57" t="s">
        <v>343</v>
      </c>
      <c r="I104" s="57" t="s">
        <v>393</v>
      </c>
      <c r="J104" s="57" t="s">
        <v>398</v>
      </c>
      <c r="K104" s="67"/>
      <c r="L104" s="67" t="s">
        <v>387</v>
      </c>
      <c r="M104" s="67"/>
      <c r="N104" s="67" t="s">
        <v>348</v>
      </c>
      <c r="O104" s="67" t="s">
        <v>388</v>
      </c>
      <c r="P104" s="57" t="s">
        <v>179</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59" t="n">
        <f aca="false">Q104-T12EarlyH/24</f>
        <v>46304.6458333333</v>
      </c>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IF(N104="N/A – rule","N/A – RULE",IF(TRIM(U104)="N/A",IF(AT104=0,"INVALID – N/A not permitted for this mandatory check",IF(AND(TRIM(AC104)&lt;&gt;"",TRIM(AE104)&lt;&gt;"",TRIM(T104)&lt;&gt;"",TRIM(AE104)&lt;&gt;TRIM(T104)),"N/A – JUSTIFIED","INVALID – N/A needs justification, PIC and a different verifier")),IF(OR(TRIM(U104)="Pass",TRIM(U104)="Pass after CA"),IF(NOT(ISNUMBER(AD104)),"INVALID – completion time missing",IF(TRIM(T104)="","INVALID – PIC missing",IF(TRIM(V104)="","INVALID – result / assessment missing",IF(TRIM(Z104)="","INVALID – evidence missing",IF(TRIM(AE104)="","INVALID – verifier missing",IF(TRIM(AE104)=TRIM(T104),"INVALID – verifier must be someone other than the PIC",IF(AND(AQ104=1,TRIM(W104)=""),"INVALID – batch ID missing",IF(AND(AR104=1,OR(NOT(ISNUMBER(X104)),NOT(ISNUMBER(Y104)))),"INVALID – expected/actual qty missing",IF(IF(AND(TRIM(U104)="Pass",ISNUMBER(AF104)),IF(AF104&lt;&gt;0,"INVALID – qty variance: use Fail or Pass after CA",""),"")&amp;IF(AND(TRIM(U104)="Pass",TRIM(AB104)&lt;&gt;"",TRIM(AB104)&lt;&gt;"Closed"),"INVALID – corrective action not closed: use Fail, then Pass after CA","")&amp;IF(AND(TRIM(AA104)&lt;&gt;"",TRIM(AB104)=""),"INVALID – CA status missing for the recorded corrective action","")&amp;IF(AND(TRIM(U104)="Pass after CA",OR(TRIM(AA104)="",TRIM(AB104)&lt;&gt;"Closed")),"INVALID – corrective action not recorded/closed","")&lt;&gt;"",IF(AND(TRIM(U104)="Pass",ISNUMBER(AF104)),IF(AF104&lt;&gt;0,"INVALID – qty variance: use Fail or Pass after CA",""),"")&amp;IF(AND(TRIM(U104)="Pass",TRIM(AB104)&lt;&gt;"",TRIM(AB104)&lt;&gt;"Closed"),"INVALID – corrective action not closed: use Fail, then Pass after CA","")&amp;IF(AND(TRIM(AA104)&lt;&gt;"",TRIM(AB104)=""),"INVALID – CA status missing for the recorded corrective action","")&amp;IF(AND(TRIM(U104)="Pass after CA",OR(TRIM(AA104)="",TRIM(AB104)&lt;&gt;"Closed")),"INVALID – corrective action not recorded/closed",""),IF(AND(AS104=1,Documents!$J$8&lt;&gt;"ON FILE"),"INVALID – GLD not on file (Documents sheet)",IF(AND(AS104=2,Documents!$O$8&lt;&gt;"ON FILE"),"INVALID – menu checklist not on file (Documents sheet)",IF(AND(AS104=3,NOT(ISNUMBER(Flights!$AX$8))),"INVALID – enter carrying flight KUL departure (Flights AX)",IF(AND(AS104=3,OR(Flights!$AX$8&gt;=Flights!$AA$8,Flights!$AX$8&lt;Flights!$AA$8-3)),"INVALID – Flights AX must be before this leg's STD (within 3 days)",IF(AG104&gt;AsOfUTC,"INVALID – completion time is in the future",IF(AND(ISNUMBER(S104),AG104&lt;S104),IF(H104="Physical uplift","INVALID – before uplift window (cannot confirm loading)","INVALID – before valid window"),IF(AG104&gt;Flights!$AA$8,"INVALID – completed after departure (cannot establish readiness)",IF(AND(H104="Physical uplift",AG104&gt;Q104),"INVALID – recorded after the loading flight departed",IF(AG104&gt;Q104,"COMPLETE – LATE","COMPLETE")))))))))))))))))),IF(TRIM(U104)="Fail","FAIL – DISCREPANCY",IF(AND(TRIM(U104)&lt;&gt;"",TRIM(U104)&lt;&gt;"Not started",TRIM(U104)&lt;&gt;"In progress"),"INVALID – unrecognised status (use the list)",IF(AsOfUTC&gt;Q104,"OVERDUE",IF(N104="Clarification required","OPEN – CLARIFICATION","OPEN")))))))</f>
        <v>OPEN</v>
      </c>
      <c r="AI104" s="61" t="n">
        <f aca="false">IF(OR(AH104="N/A – RULE",AH104="N/A – JUSTIFIED"),0,1)</f>
        <v>1</v>
      </c>
      <c r="AJ104" s="61" t="n">
        <f aca="false">IF(LEFT(AH104,8)="COMPLETE",1,0)</f>
        <v>0</v>
      </c>
      <c r="AK104" s="61" t="n">
        <f aca="false">IF(AND(AI104=1,AJ104=0,AsOfUTC&gt;Q104),1,0)</f>
        <v>0</v>
      </c>
      <c r="AL104" s="61" t="n">
        <f aca="false">IF(AND(AI104=1,OR(TRIM(U104)="Fail",AND(TRIM(AB104)&lt;&gt;"",TRIM(AB104)&lt;&gt;"Closed"),AND(ISNUMBER(AF104),AF104&lt;&gt;0,TRIM(U104)&lt;&gt;"Pass after CA"))),1,0)</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row>
    <row r="105" customFormat="false" ht="141" hidden="false" customHeight="true" outlineLevel="0" collapsed="false">
      <c r="A105" s="57" t="s">
        <v>563</v>
      </c>
      <c r="B105" s="57" t="s">
        <v>210</v>
      </c>
      <c r="C105" s="57" t="str">
        <f aca="false">Flights!$F$8</f>
        <v>MH0088</v>
      </c>
      <c r="D105" s="58" t="n">
        <f aca="false">Flights!$D$8</f>
        <v>46305</v>
      </c>
      <c r="E105" s="57" t="str">
        <f aca="false">Flights!$G$8&amp;"-"&amp;Flights!$H$8</f>
        <v>KUL-NRT</v>
      </c>
      <c r="F105" s="57" t="str">
        <f aca="false">Flights!$K$8</f>
        <v>BC</v>
      </c>
      <c r="G105" s="57" t="s">
        <v>385</v>
      </c>
      <c r="H105" s="57" t="s">
        <v>343</v>
      </c>
      <c r="I105" s="57" t="s">
        <v>393</v>
      </c>
      <c r="J105" s="57" t="s">
        <v>400</v>
      </c>
      <c r="K105" s="67" t="s">
        <v>401</v>
      </c>
      <c r="L105" s="67" t="s">
        <v>387</v>
      </c>
      <c r="M105" s="67"/>
      <c r="N105" s="67" t="s">
        <v>348</v>
      </c>
      <c r="O105" s="67" t="s">
        <v>388</v>
      </c>
      <c r="P105" s="57" t="s">
        <v>179</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59" t="n">
        <f aca="false">Q105-T12EarlyH/24</f>
        <v>46304.6458333333</v>
      </c>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IF(N105="N/A – rule","N/A – RULE",IF(TRIM(U105)="N/A",IF(AT105=0,"INVALID – N/A not permitted for this mandatory check",IF(AND(TRIM(AC105)&lt;&gt;"",TRIM(AE105)&lt;&gt;"",TRIM(T105)&lt;&gt;"",TRIM(AE105)&lt;&gt;TRIM(T105)),"N/A – JUSTIFIED","INVALID – N/A needs justification, PIC and a different verifier")),IF(OR(TRIM(U105)="Pass",TRIM(U105)="Pass after CA"),IF(NOT(ISNUMBER(AD105)),"INVALID – completion time missing",IF(TRIM(T105)="","INVALID – PIC missing",IF(TRIM(V105)="","INVALID – result / assessment missing",IF(TRIM(Z105)="","INVALID – evidence missing",IF(TRIM(AE105)="","INVALID – verifier missing",IF(TRIM(AE105)=TRIM(T105),"INVALID – verifier must be someone other than the PIC",IF(AND(AQ105=1,TRIM(W105)=""),"INVALID – batch ID missing",IF(AND(AR105=1,OR(NOT(ISNUMBER(X105)),NOT(ISNUMBER(Y105)))),"INVALID – expected/actual qty missing",IF(IF(AND(TRIM(U105)="Pass",ISNUMBER(AF105)),IF(AF105&lt;&gt;0,"INVALID – qty variance: use Fail or Pass after CA",""),"")&amp;IF(AND(TRIM(U105)="Pass",TRIM(AB105)&lt;&gt;"",TRIM(AB105)&lt;&gt;"Closed"),"INVALID – corrective action not closed: use Fail, then Pass after CA","")&amp;IF(AND(TRIM(AA105)&lt;&gt;"",TRIM(AB105)=""),"INVALID – CA status missing for the recorded corrective action","")&amp;IF(AND(TRIM(U105)="Pass after CA",OR(TRIM(AA105)="",TRIM(AB105)&lt;&gt;"Closed")),"INVALID – corrective action not recorded/closed","")&lt;&gt;"",IF(AND(TRIM(U105)="Pass",ISNUMBER(AF105)),IF(AF105&lt;&gt;0,"INVALID – qty variance: use Fail or Pass after CA",""),"")&amp;IF(AND(TRIM(U105)="Pass",TRIM(AB105)&lt;&gt;"",TRIM(AB105)&lt;&gt;"Closed"),"INVALID – corrective action not closed: use Fail, then Pass after CA","")&amp;IF(AND(TRIM(AA105)&lt;&gt;"",TRIM(AB105)=""),"INVALID – CA status missing for the recorded corrective action","")&amp;IF(AND(TRIM(U105)="Pass after CA",OR(TRIM(AA105)="",TRIM(AB105)&lt;&gt;"Closed")),"INVALID – corrective action not recorded/closed",""),IF(AND(AS105=1,Documents!$J$8&lt;&gt;"ON FILE"),"INVALID – GLD not on file (Documents sheet)",IF(AND(AS105=2,Documents!$O$8&lt;&gt;"ON FILE"),"INVALID – menu checklist not on file (Documents sheet)",IF(AND(AS105=3,NOT(ISNUMBER(Flights!$AX$8))),"INVALID – enter carrying flight KUL departure (Flights AX)",IF(AND(AS105=3,OR(Flights!$AX$8&gt;=Flights!$AA$8,Flights!$AX$8&lt;Flights!$AA$8-3)),"INVALID – Flights AX must be before this leg's STD (within 3 days)",IF(AG105&gt;AsOfUTC,"INVALID – completion time is in the future",IF(AND(ISNUMBER(S105),AG105&lt;S105),IF(H105="Physical uplift","INVALID – before uplift window (cannot confirm loading)","INVALID – before valid window"),IF(AG105&gt;Flights!$AA$8,"INVALID – completed after departure (cannot establish readiness)",IF(AND(H105="Physical uplift",AG105&gt;Q105),"INVALID – recorded after the loading flight departed",IF(AG105&gt;Q105,"COMPLETE – LATE","COMPLETE")))))))))))))))))),IF(TRIM(U105)="Fail","FAIL – DISCREPANCY",IF(AND(TRIM(U105)&lt;&gt;"",TRIM(U105)&lt;&gt;"Not started",TRIM(U105)&lt;&gt;"In progress"),"INVALID – unrecognised status (use the list)",IF(AsOfUTC&gt;Q105,"OVERDUE",IF(N105="Clarification required","OPEN – CLARIFICATION","OPEN")))))))</f>
        <v>OPEN</v>
      </c>
      <c r="AI105" s="61" t="n">
        <f aca="false">IF(OR(AH105="N/A – RULE",AH105="N/A – JUSTIFIED"),0,1)</f>
        <v>1</v>
      </c>
      <c r="AJ105" s="61" t="n">
        <f aca="false">IF(LEFT(AH105,8)="COMPLETE",1,0)</f>
        <v>0</v>
      </c>
      <c r="AK105" s="61" t="n">
        <f aca="false">IF(AND(AI105=1,AJ105=0,AsOfUTC&gt;Q105),1,0)</f>
        <v>0</v>
      </c>
      <c r="AL105" s="61" t="n">
        <f aca="false">IF(AND(AI105=1,OR(TRIM(U105)="Fail",AND(TRIM(AB105)&lt;&gt;"",TRIM(AB105)&lt;&gt;"Closed"),AND(ISNUMBER(AF105),AF105&lt;&gt;0,TRIM(U105)&lt;&gt;"Pass after CA"))),1,0)</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row>
    <row r="106" customFormat="false" ht="39.75" hidden="false" customHeight="true" outlineLevel="0" collapsed="false">
      <c r="A106" s="57" t="s">
        <v>564</v>
      </c>
      <c r="B106" s="57" t="s">
        <v>210</v>
      </c>
      <c r="C106" s="57" t="str">
        <f aca="false">Flights!$F$8</f>
        <v>MH0088</v>
      </c>
      <c r="D106" s="58" t="n">
        <f aca="false">Flights!$D$8</f>
        <v>46305</v>
      </c>
      <c r="E106" s="57" t="str">
        <f aca="false">Flights!$G$8&amp;"-"&amp;Flights!$H$8</f>
        <v>KUL-NRT</v>
      </c>
      <c r="F106" s="57" t="str">
        <f aca="false">Flights!$K$8</f>
        <v>BC</v>
      </c>
      <c r="G106" s="57" t="s">
        <v>385</v>
      </c>
      <c r="H106" s="57" t="s">
        <v>343</v>
      </c>
      <c r="I106" s="57" t="s">
        <v>393</v>
      </c>
      <c r="J106" s="57" t="s">
        <v>403</v>
      </c>
      <c r="K106" s="67"/>
      <c r="L106" s="67" t="s">
        <v>387</v>
      </c>
      <c r="M106" s="67"/>
      <c r="N106" s="67" t="s">
        <v>348</v>
      </c>
      <c r="O106" s="67" t="s">
        <v>388</v>
      </c>
      <c r="P106" s="57" t="s">
        <v>179</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59" t="n">
        <f aca="false">Q106-T12EarlyH/24</f>
        <v>46304.6458333333</v>
      </c>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IF(N106="N/A – rule","N/A – RULE",IF(TRIM(U106)="N/A",IF(AT106=0,"INVALID – N/A not permitted for this mandatory check",IF(AND(TRIM(AC106)&lt;&gt;"",TRIM(AE106)&lt;&gt;"",TRIM(T106)&lt;&gt;"",TRIM(AE106)&lt;&gt;TRIM(T106)),"N/A – JUSTIFIED","INVALID – N/A needs justification, PIC and a different verifier")),IF(OR(TRIM(U106)="Pass",TRIM(U106)="Pass after CA"),IF(NOT(ISNUMBER(AD106)),"INVALID – completion time missing",IF(TRIM(T106)="","INVALID – PIC missing",IF(TRIM(V106)="","INVALID – result / assessment missing",IF(TRIM(Z106)="","INVALID – evidence missing",IF(TRIM(AE106)="","INVALID – verifier missing",IF(TRIM(AE106)=TRIM(T106),"INVALID – verifier must be someone other than the PIC",IF(AND(AQ106=1,TRIM(W106)=""),"INVALID – batch ID missing",IF(AND(AR106=1,OR(NOT(ISNUMBER(X106)),NOT(ISNUMBER(Y106)))),"INVALID – expected/actual qty missing",IF(IF(AND(TRIM(U106)="Pass",ISNUMBER(AF106)),IF(AF106&lt;&gt;0,"INVALID – qty variance: use Fail or Pass after CA",""),"")&amp;IF(AND(TRIM(U106)="Pass",TRIM(AB106)&lt;&gt;"",TRIM(AB106)&lt;&gt;"Closed"),"INVALID – corrective action not closed: use Fail, then Pass after CA","")&amp;IF(AND(TRIM(AA106)&lt;&gt;"",TRIM(AB106)=""),"INVALID – CA status missing for the recorded corrective action","")&amp;IF(AND(TRIM(U106)="Pass after CA",OR(TRIM(AA106)="",TRIM(AB106)&lt;&gt;"Closed")),"INVALID – corrective action not recorded/closed","")&lt;&gt;"",IF(AND(TRIM(U106)="Pass",ISNUMBER(AF106)),IF(AF106&lt;&gt;0,"INVALID – qty variance: use Fail or Pass after CA",""),"")&amp;IF(AND(TRIM(U106)="Pass",TRIM(AB106)&lt;&gt;"",TRIM(AB106)&lt;&gt;"Closed"),"INVALID – corrective action not closed: use Fail, then Pass after CA","")&amp;IF(AND(TRIM(AA106)&lt;&gt;"",TRIM(AB106)=""),"INVALID – CA status missing for the recorded corrective action","")&amp;IF(AND(TRIM(U106)="Pass after CA",OR(TRIM(AA106)="",TRIM(AB106)&lt;&gt;"Closed")),"INVALID – corrective action not recorded/closed",""),IF(AND(AS106=1,Documents!$J$8&lt;&gt;"ON FILE"),"INVALID – GLD not on file (Documents sheet)",IF(AND(AS106=2,Documents!$O$8&lt;&gt;"ON FILE"),"INVALID – menu checklist not on file (Documents sheet)",IF(AND(AS106=3,NOT(ISNUMBER(Flights!$AX$8))),"INVALID – enter carrying flight KUL departure (Flights AX)",IF(AND(AS106=3,OR(Flights!$AX$8&gt;=Flights!$AA$8,Flights!$AX$8&lt;Flights!$AA$8-3)),"INVALID – Flights AX must be before this leg's STD (within 3 days)",IF(AG106&gt;AsOfUTC,"INVALID – completion time is in the future",IF(AND(ISNUMBER(S106),AG106&lt;S106),IF(H106="Physical uplift","INVALID – before uplift window (cannot confirm loading)","INVALID – before valid window"),IF(AG106&gt;Flights!$AA$8,"INVALID – completed after departure (cannot establish readiness)",IF(AND(H106="Physical uplift",AG106&gt;Q106),"INVALID – recorded after the loading flight departed",IF(AG106&gt;Q106,"COMPLETE – LATE","COMPLETE")))))))))))))))))),IF(TRIM(U106)="Fail","FAIL – DISCREPANCY",IF(AND(TRIM(U106)&lt;&gt;"",TRIM(U106)&lt;&gt;"Not started",TRIM(U106)&lt;&gt;"In progress"),"INVALID – unrecognised status (use the list)",IF(AsOfUTC&gt;Q106,"OVERDUE",IF(N106="Clarification required","OPEN – CLARIFICATION","OPEN")))))))</f>
        <v>OPEN</v>
      </c>
      <c r="AI106" s="61" t="n">
        <f aca="false">IF(OR(AH106="N/A – RULE",AH106="N/A – JUSTIFIED"),0,1)</f>
        <v>1</v>
      </c>
      <c r="AJ106" s="61" t="n">
        <f aca="false">IF(LEFT(AH106,8)="COMPLETE",1,0)</f>
        <v>0</v>
      </c>
      <c r="AK106" s="61" t="n">
        <f aca="false">IF(AND(AI106=1,AJ106=0,AsOfUTC&gt;Q106),1,0)</f>
        <v>0</v>
      </c>
      <c r="AL106" s="61" t="n">
        <f aca="false">IF(AND(AI106=1,OR(TRIM(U106)="Fail",AND(TRIM(AB106)&lt;&gt;"",TRIM(AB106)&lt;&gt;"Closed"),AND(ISNUMBER(AF106),AF106&lt;&gt;0,TRIM(U106)&lt;&gt;"Pass after CA"))),1,0)</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row>
    <row r="107" customFormat="false" ht="39.75" hidden="false" customHeight="true" outlineLevel="0" collapsed="false">
      <c r="A107" s="57" t="s">
        <v>565</v>
      </c>
      <c r="B107" s="57" t="s">
        <v>210</v>
      </c>
      <c r="C107" s="57" t="str">
        <f aca="false">Flights!$F$8</f>
        <v>MH0088</v>
      </c>
      <c r="D107" s="58" t="n">
        <f aca="false">Flights!$D$8</f>
        <v>46305</v>
      </c>
      <c r="E107" s="57" t="str">
        <f aca="false">Flights!$G$8&amp;"-"&amp;Flights!$H$8</f>
        <v>KUL-NRT</v>
      </c>
      <c r="F107" s="57" t="str">
        <f aca="false">Flights!$K$8</f>
        <v>BC</v>
      </c>
      <c r="G107" s="57" t="s">
        <v>385</v>
      </c>
      <c r="H107" s="57" t="s">
        <v>343</v>
      </c>
      <c r="I107" s="57" t="s">
        <v>405</v>
      </c>
      <c r="J107" s="57" t="s">
        <v>406</v>
      </c>
      <c r="K107" s="67" t="s">
        <v>466</v>
      </c>
      <c r="L107" s="67" t="s">
        <v>566</v>
      </c>
      <c r="M107" s="67" t="s">
        <v>179</v>
      </c>
      <c r="N107" s="67" t="s">
        <v>348</v>
      </c>
      <c r="O107" s="67"/>
      <c r="P107" s="57" t="s">
        <v>179</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59" t="n">
        <f aca="false">Q107-T12EarlyH/24</f>
        <v>46304.6458333333</v>
      </c>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IF(N107="N/A – rule","N/A – RULE",IF(TRIM(U107)="N/A",IF(AT107=0,"INVALID – N/A not permitted for this mandatory check",IF(AND(TRIM(AC107)&lt;&gt;"",TRIM(AE107)&lt;&gt;"",TRIM(T107)&lt;&gt;"",TRIM(AE107)&lt;&gt;TRIM(T107)),"N/A – JUSTIFIED","INVALID – N/A needs justification, PIC and a different verifier")),IF(OR(TRIM(U107)="Pass",TRIM(U107)="Pass after CA"),IF(NOT(ISNUMBER(AD107)),"INVALID – completion time missing",IF(TRIM(T107)="","INVALID – PIC missing",IF(TRIM(V107)="","INVALID – result / assessment missing",IF(TRIM(Z107)="","INVALID – evidence missing",IF(TRIM(AE107)="","INVALID – verifier missing",IF(TRIM(AE107)=TRIM(T107),"INVALID – verifier must be someone other than the PIC",IF(AND(AQ107=1,TRIM(W107)=""),"INVALID – batch ID missing",IF(AND(AR107=1,OR(NOT(ISNUMBER(X107)),NOT(ISNUMBER(Y107)))),"INVALID – expected/actual qty missing",IF(IF(AND(TRIM(U107)="Pass",ISNUMBER(AF107)),IF(AF107&lt;&gt;0,"INVALID – qty variance: use Fail or Pass after CA",""),"")&amp;IF(AND(TRIM(U107)="Pass",TRIM(AB107)&lt;&gt;"",TRIM(AB107)&lt;&gt;"Closed"),"INVALID – corrective action not closed: use Fail, then Pass after CA","")&amp;IF(AND(TRIM(AA107)&lt;&gt;"",TRIM(AB107)=""),"INVALID – CA status missing for the recorded corrective action","")&amp;IF(AND(TRIM(U107)="Pass after CA",OR(TRIM(AA107)="",TRIM(AB107)&lt;&gt;"Closed")),"INVALID – corrective action not recorded/closed","")&lt;&gt;"",IF(AND(TRIM(U107)="Pass",ISNUMBER(AF107)),IF(AF107&lt;&gt;0,"INVALID – qty variance: use Fail or Pass after CA",""),"")&amp;IF(AND(TRIM(U107)="Pass",TRIM(AB107)&lt;&gt;"",TRIM(AB107)&lt;&gt;"Closed"),"INVALID – corrective action not closed: use Fail, then Pass after CA","")&amp;IF(AND(TRIM(AA107)&lt;&gt;"",TRIM(AB107)=""),"INVALID – CA status missing for the recorded corrective action","")&amp;IF(AND(TRIM(U107)="Pass after CA",OR(TRIM(AA107)="",TRIM(AB107)&lt;&gt;"Closed")),"INVALID – corrective action not recorded/closed",""),IF(AND(AS107=1,Documents!$J$8&lt;&gt;"ON FILE"),"INVALID – GLD not on file (Documents sheet)",IF(AND(AS107=2,Documents!$O$8&lt;&gt;"ON FILE"),"INVALID – menu checklist not on file (Documents sheet)",IF(AND(AS107=3,NOT(ISNUMBER(Flights!$AX$8))),"INVALID – enter carrying flight KUL departure (Flights AX)",IF(AND(AS107=3,OR(Flights!$AX$8&gt;=Flights!$AA$8,Flights!$AX$8&lt;Flights!$AA$8-3)),"INVALID – Flights AX must be before this leg's STD (within 3 days)",IF(AG107&gt;AsOfUTC,"INVALID – completion time is in the future",IF(AND(ISNUMBER(S107),AG107&lt;S107),IF(H107="Physical uplift","INVALID – before uplift window (cannot confirm loading)","INVALID – before valid window"),IF(AG107&gt;Flights!$AA$8,"INVALID – completed after departure (cannot establish readiness)",IF(AND(H107="Physical uplift",AG107&gt;Q107),"INVALID – recorded after the loading flight departed",IF(AG107&gt;Q107,"COMPLETE – LATE","COMPLETE")))))))))))))))))),IF(TRIM(U107)="Fail","FAIL – DISCREPANCY",IF(AND(TRIM(U107)&lt;&gt;"",TRIM(U107)&lt;&gt;"Not started",TRIM(U107)&lt;&gt;"In progress"),"INVALID – unrecognised status (use the list)",IF(AsOfUTC&gt;Q107,"OVERDUE",IF(N107="Clarification required","OPEN – CLARIFICATION","OPEN")))))))</f>
        <v>OPEN</v>
      </c>
      <c r="AI107" s="61" t="n">
        <f aca="false">IF(OR(AH107="N/A – RULE",AH107="N/A – JUSTIFIED"),0,1)</f>
        <v>1</v>
      </c>
      <c r="AJ107" s="61" t="n">
        <f aca="false">IF(LEFT(AH107,8)="COMPLETE",1,0)</f>
        <v>0</v>
      </c>
      <c r="AK107" s="61" t="n">
        <f aca="false">IF(AND(AI107=1,AJ107=0,AsOfUTC&gt;Q107),1,0)</f>
        <v>0</v>
      </c>
      <c r="AL107" s="61" t="n">
        <f aca="false">IF(AND(AI107=1,OR(TRIM(U107)="Fail",AND(TRIM(AB107)&lt;&gt;"",TRIM(AB107)&lt;&gt;"Closed"),AND(ISNUMBER(AF107),AF107&lt;&gt;0,TRIM(U107)&lt;&gt;"Pass after CA"))),1,0)</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8" t="b">
        <f aca="false">TRUE()</f>
        <v>1</v>
      </c>
    </row>
    <row r="108" customFormat="false" ht="39.75" hidden="false" customHeight="true" outlineLevel="0" collapsed="false">
      <c r="A108" s="57" t="s">
        <v>567</v>
      </c>
      <c r="B108" s="57" t="s">
        <v>210</v>
      </c>
      <c r="C108" s="57" t="str">
        <f aca="false">Flights!$F$8</f>
        <v>MH0088</v>
      </c>
      <c r="D108" s="58" t="n">
        <f aca="false">Flights!$D$8</f>
        <v>46305</v>
      </c>
      <c r="E108" s="57" t="str">
        <f aca="false">Flights!$G$8&amp;"-"&amp;Flights!$H$8</f>
        <v>KUL-NRT</v>
      </c>
      <c r="F108" s="57" t="str">
        <f aca="false">Flights!$K$8</f>
        <v>BC</v>
      </c>
      <c r="G108" s="57" t="s">
        <v>385</v>
      </c>
      <c r="H108" s="57" t="s">
        <v>343</v>
      </c>
      <c r="I108" s="57" t="s">
        <v>405</v>
      </c>
      <c r="J108" s="57" t="s">
        <v>568</v>
      </c>
      <c r="K108" s="67" t="s">
        <v>466</v>
      </c>
      <c r="L108" s="67" t="s">
        <v>569</v>
      </c>
      <c r="M108" s="67" t="s">
        <v>179</v>
      </c>
      <c r="N108" s="67" t="s">
        <v>348</v>
      </c>
      <c r="O108" s="67"/>
      <c r="P108" s="57" t="s">
        <v>179</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59" t="n">
        <f aca="false">Q108-T12EarlyH/24</f>
        <v>46304.6458333333</v>
      </c>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IF(N108="N/A – rule","N/A – RULE",IF(TRIM(U108)="N/A",IF(AT108=0,"INVALID – N/A not permitted for this mandatory check",IF(AND(TRIM(AC108)&lt;&gt;"",TRIM(AE108)&lt;&gt;"",TRIM(T108)&lt;&gt;"",TRIM(AE108)&lt;&gt;TRIM(T108)),"N/A – JUSTIFIED","INVALID – N/A needs justification, PIC and a different verifier")),IF(OR(TRIM(U108)="Pass",TRIM(U108)="Pass after CA"),IF(NOT(ISNUMBER(AD108)),"INVALID – completion time missing",IF(TRIM(T108)="","INVALID – PIC missing",IF(TRIM(V108)="","INVALID – result / assessment missing",IF(TRIM(Z108)="","INVALID – evidence missing",IF(TRIM(AE108)="","INVALID – verifier missing",IF(TRIM(AE108)=TRIM(T108),"INVALID – verifier must be someone other than the PIC",IF(AND(AQ108=1,TRIM(W108)=""),"INVALID – batch ID missing",IF(AND(AR108=1,OR(NOT(ISNUMBER(X108)),NOT(ISNUMBER(Y108)))),"INVALID – expected/actual qty missing",IF(IF(AND(TRIM(U108)="Pass",ISNUMBER(AF108)),IF(AF108&lt;&gt;0,"INVALID – qty variance: use Fail or Pass after CA",""),"")&amp;IF(AND(TRIM(U108)="Pass",TRIM(AB108)&lt;&gt;"",TRIM(AB108)&lt;&gt;"Closed"),"INVALID – corrective action not closed: use Fail, then Pass after CA","")&amp;IF(AND(TRIM(AA108)&lt;&gt;"",TRIM(AB108)=""),"INVALID – CA status missing for the recorded corrective action","")&amp;IF(AND(TRIM(U108)="Pass after CA",OR(TRIM(AA108)="",TRIM(AB108)&lt;&gt;"Closed")),"INVALID – corrective action not recorded/closed","")&lt;&gt;"",IF(AND(TRIM(U108)="Pass",ISNUMBER(AF108)),IF(AF108&lt;&gt;0,"INVALID – qty variance: use Fail or Pass after CA",""),"")&amp;IF(AND(TRIM(U108)="Pass",TRIM(AB108)&lt;&gt;"",TRIM(AB108)&lt;&gt;"Closed"),"INVALID – corrective action not closed: use Fail, then Pass after CA","")&amp;IF(AND(TRIM(AA108)&lt;&gt;"",TRIM(AB108)=""),"INVALID – CA status missing for the recorded corrective action","")&amp;IF(AND(TRIM(U108)="Pass after CA",OR(TRIM(AA108)="",TRIM(AB108)&lt;&gt;"Closed")),"INVALID – corrective action not recorded/closed",""),IF(AND(AS108=1,Documents!$J$8&lt;&gt;"ON FILE"),"INVALID – GLD not on file (Documents sheet)",IF(AND(AS108=2,Documents!$O$8&lt;&gt;"ON FILE"),"INVALID – menu checklist not on file (Documents sheet)",IF(AND(AS108=3,NOT(ISNUMBER(Flights!$AX$8))),"INVALID – enter carrying flight KUL departure (Flights AX)",IF(AND(AS108=3,OR(Flights!$AX$8&gt;=Flights!$AA$8,Flights!$AX$8&lt;Flights!$AA$8-3)),"INVALID – Flights AX must be before this leg's STD (within 3 days)",IF(AG108&gt;AsOfUTC,"INVALID – completion time is in the future",IF(AND(ISNUMBER(S108),AG108&lt;S108),IF(H108="Physical uplift","INVALID – before uplift window (cannot confirm loading)","INVALID – before valid window"),IF(AG108&gt;Flights!$AA$8,"INVALID – completed after departure (cannot establish readiness)",IF(AND(H108="Physical uplift",AG108&gt;Q108),"INVALID – recorded after the loading flight departed",IF(AG108&gt;Q108,"COMPLETE – LATE","COMPLETE")))))))))))))))))),IF(TRIM(U108)="Fail","FAIL – DISCREPANCY",IF(AND(TRIM(U108)&lt;&gt;"",TRIM(U108)&lt;&gt;"Not started",TRIM(U108)&lt;&gt;"In progress"),"INVALID – unrecognised status (use the list)",IF(AsOfUTC&gt;Q108,"OVERDUE",IF(N108="Clarification required","OPEN – CLARIFICATION","OPEN")))))))</f>
        <v>OPEN</v>
      </c>
      <c r="AI108" s="61" t="n">
        <f aca="false">IF(OR(AH108="N/A – RULE",AH108="N/A – JUSTIFIED"),0,1)</f>
        <v>1</v>
      </c>
      <c r="AJ108" s="61" t="n">
        <f aca="false">IF(LEFT(AH108,8)="COMPLETE",1,0)</f>
        <v>0</v>
      </c>
      <c r="AK108" s="61" t="n">
        <f aca="false">IF(AND(AI108=1,AJ108=0,AsOfUTC&gt;Q108),1,0)</f>
        <v>0</v>
      </c>
      <c r="AL108" s="61" t="n">
        <f aca="false">IF(AND(AI108=1,OR(TRIM(U108)="Fail",AND(TRIM(AB108)&lt;&gt;"",TRIM(AB108)&lt;&gt;"Closed"),AND(ISNUMBER(AF108),AF108&lt;&gt;0,TRIM(U108)&lt;&gt;"Pass after CA"))),1,0)</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8" t="b">
        <f aca="false">TRUE()</f>
        <v>1</v>
      </c>
    </row>
    <row r="109" customFormat="false" ht="41.25" hidden="false" customHeight="true" outlineLevel="0" collapsed="false">
      <c r="A109" s="57" t="s">
        <v>570</v>
      </c>
      <c r="B109" s="57" t="s">
        <v>210</v>
      </c>
      <c r="C109" s="57" t="str">
        <f aca="false">Flights!$F$8</f>
        <v>MH0088</v>
      </c>
      <c r="D109" s="58" t="n">
        <f aca="false">Flights!$D$8</f>
        <v>46305</v>
      </c>
      <c r="E109" s="57" t="str">
        <f aca="false">Flights!$G$8&amp;"-"&amp;Flights!$H$8</f>
        <v>KUL-NRT</v>
      </c>
      <c r="F109" s="57" t="str">
        <f aca="false">Flights!$K$8</f>
        <v>BC</v>
      </c>
      <c r="G109" s="57" t="s">
        <v>385</v>
      </c>
      <c r="H109" s="57" t="s">
        <v>343</v>
      </c>
      <c r="I109" s="57" t="s">
        <v>464</v>
      </c>
      <c r="J109" s="57" t="s">
        <v>465</v>
      </c>
      <c r="K109" s="67" t="s">
        <v>466</v>
      </c>
      <c r="L109" s="67" t="s">
        <v>571</v>
      </c>
      <c r="M109" s="67" t="s">
        <v>416</v>
      </c>
      <c r="N109" s="67" t="s">
        <v>348</v>
      </c>
      <c r="O109" s="67" t="s">
        <v>468</v>
      </c>
      <c r="P109" s="57" t="s">
        <v>179</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59" t="n">
        <f aca="false">Q109-T12EarlyH/24</f>
        <v>46304.6458333333</v>
      </c>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IF(N109="N/A – rule","N/A – RULE",IF(TRIM(U109)="N/A",IF(AT109=0,"INVALID – N/A not permitted for this mandatory check",IF(AND(TRIM(AC109)&lt;&gt;"",TRIM(AE109)&lt;&gt;"",TRIM(T109)&lt;&gt;"",TRIM(AE109)&lt;&gt;TRIM(T109)),"N/A – JUSTIFIED","INVALID – N/A needs justification, PIC and a different verifier")),IF(OR(TRIM(U109)="Pass",TRIM(U109)="Pass after CA"),IF(NOT(ISNUMBER(AD109)),"INVALID – completion time missing",IF(TRIM(T109)="","INVALID – PIC missing",IF(TRIM(V109)="","INVALID – result / assessment missing",IF(TRIM(Z109)="","INVALID – evidence missing",IF(TRIM(AE109)="","INVALID – verifier missing",IF(TRIM(AE109)=TRIM(T109),"INVALID – verifier must be someone other than the PIC",IF(AND(AQ109=1,TRIM(W109)=""),"INVALID – batch ID missing",IF(AND(AR109=1,OR(NOT(ISNUMBER(X109)),NOT(ISNUMBER(Y109)))),"INVALID – expected/actual qty missing",IF(IF(AND(TRIM(U109)="Pass",ISNUMBER(AF109)),IF(AF109&lt;&gt;0,"INVALID – qty variance: use Fail or Pass after CA",""),"")&amp;IF(AND(TRIM(U109)="Pass",TRIM(AB109)&lt;&gt;"",TRIM(AB109)&lt;&gt;"Closed"),"INVALID – corrective action not closed: use Fail, then Pass after CA","")&amp;IF(AND(TRIM(AA109)&lt;&gt;"",TRIM(AB109)=""),"INVALID – CA status missing for the recorded corrective action","")&amp;IF(AND(TRIM(U109)="Pass after CA",OR(TRIM(AA109)="",TRIM(AB109)&lt;&gt;"Closed")),"INVALID – corrective action not recorded/closed","")&lt;&gt;"",IF(AND(TRIM(U109)="Pass",ISNUMBER(AF109)),IF(AF109&lt;&gt;0,"INVALID – qty variance: use Fail or Pass after CA",""),"")&amp;IF(AND(TRIM(U109)="Pass",TRIM(AB109)&lt;&gt;"",TRIM(AB109)&lt;&gt;"Closed"),"INVALID – corrective action not closed: use Fail, then Pass after CA","")&amp;IF(AND(TRIM(AA109)&lt;&gt;"",TRIM(AB109)=""),"INVALID – CA status missing for the recorded corrective action","")&amp;IF(AND(TRIM(U109)="Pass after CA",OR(TRIM(AA109)="",TRIM(AB109)&lt;&gt;"Closed")),"INVALID – corrective action not recorded/closed",""),IF(AND(AS109=1,Documents!$J$8&lt;&gt;"ON FILE"),"INVALID – GLD not on file (Documents sheet)",IF(AND(AS109=2,Documents!$O$8&lt;&gt;"ON FILE"),"INVALID – menu checklist not on file (Documents sheet)",IF(AND(AS109=3,NOT(ISNUMBER(Flights!$AX$8))),"INVALID – enter carrying flight KUL departure (Flights AX)",IF(AND(AS109=3,OR(Flights!$AX$8&gt;=Flights!$AA$8,Flights!$AX$8&lt;Flights!$AA$8-3)),"INVALID – Flights AX must be before this leg's STD (within 3 days)",IF(AG109&gt;AsOfUTC,"INVALID – completion time is in the future",IF(AND(ISNUMBER(S109),AG109&lt;S109),IF(H109="Physical uplift","INVALID – before uplift window (cannot confirm loading)","INVALID – before valid window"),IF(AG109&gt;Flights!$AA$8,"INVALID – completed after departure (cannot establish readiness)",IF(AND(H109="Physical uplift",AG109&gt;Q109),"INVALID – recorded after the loading flight departed",IF(AG109&gt;Q109,"COMPLETE – LATE","COMPLETE")))))))))))))))))),IF(TRIM(U109)="Fail","FAIL – DISCREPANCY",IF(AND(TRIM(U109)&lt;&gt;"",TRIM(U109)&lt;&gt;"Not started",TRIM(U109)&lt;&gt;"In progress"),"INVALID – unrecognised status (use the list)",IF(AsOfUTC&gt;Q109,"OVERDUE",IF(N109="Clarification required","OPEN – CLARIFICATION","OPEN")))))))</f>
        <v>OPEN</v>
      </c>
      <c r="AI109" s="61" t="n">
        <f aca="false">IF(OR(AH109="N/A – RULE",AH109="N/A – JUSTIFIED"),0,1)</f>
        <v>1</v>
      </c>
      <c r="AJ109" s="61" t="n">
        <f aca="false">IF(LEFT(AH109,8)="COMPLETE",1,0)</f>
        <v>0</v>
      </c>
      <c r="AK109" s="61" t="n">
        <f aca="false">IF(AND(AI109=1,AJ109=0,AsOfUTC&gt;Q109),1,0)</f>
        <v>0</v>
      </c>
      <c r="AL109" s="61" t="n">
        <f aca="false">IF(AND(AI109=1,OR(TRIM(U109)="Fail",AND(TRIM(AB109)&lt;&gt;"",TRIM(AB109)&lt;&gt;"Closed"),AND(ISNUMBER(AF109),AF109&lt;&gt;0,TRIM(U109)&lt;&gt;"Pass after CA"))),1,0)</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8" t="b">
        <f aca="false">TRUE()</f>
        <v>1</v>
      </c>
    </row>
    <row r="110" customFormat="false" ht="41.25" hidden="false" customHeight="true" outlineLevel="0" collapsed="false">
      <c r="A110" s="57" t="s">
        <v>572</v>
      </c>
      <c r="B110" s="57" t="s">
        <v>210</v>
      </c>
      <c r="C110" s="57" t="str">
        <f aca="false">Flights!$F$8</f>
        <v>MH0088</v>
      </c>
      <c r="D110" s="58" t="n">
        <f aca="false">Flights!$D$8</f>
        <v>46305</v>
      </c>
      <c r="E110" s="57" t="str">
        <f aca="false">Flights!$G$8&amp;"-"&amp;Flights!$H$8</f>
        <v>KUL-NRT</v>
      </c>
      <c r="F110" s="57" t="str">
        <f aca="false">Flights!$K$8</f>
        <v>BC</v>
      </c>
      <c r="G110" s="57" t="s">
        <v>385</v>
      </c>
      <c r="H110" s="57" t="s">
        <v>343</v>
      </c>
      <c r="I110" s="57" t="s">
        <v>464</v>
      </c>
      <c r="J110" s="57" t="s">
        <v>470</v>
      </c>
      <c r="K110" s="67" t="s">
        <v>466</v>
      </c>
      <c r="L110" s="67" t="s">
        <v>573</v>
      </c>
      <c r="M110" s="67" t="s">
        <v>416</v>
      </c>
      <c r="N110" s="67" t="s">
        <v>348</v>
      </c>
      <c r="O110" s="67" t="s">
        <v>468</v>
      </c>
      <c r="P110" s="57" t="s">
        <v>179</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59" t="n">
        <f aca="false">Q110-T12EarlyH/24</f>
        <v>46304.6458333333</v>
      </c>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IF(N110="N/A – rule","N/A – RULE",IF(TRIM(U110)="N/A",IF(AT110=0,"INVALID – N/A not permitted for this mandatory check",IF(AND(TRIM(AC110)&lt;&gt;"",TRIM(AE110)&lt;&gt;"",TRIM(T110)&lt;&gt;"",TRIM(AE110)&lt;&gt;TRIM(T110)),"N/A – JUSTIFIED","INVALID – N/A needs justification, PIC and a different verifier")),IF(OR(TRIM(U110)="Pass",TRIM(U110)="Pass after CA"),IF(NOT(ISNUMBER(AD110)),"INVALID – completion time missing",IF(TRIM(T110)="","INVALID – PIC missing",IF(TRIM(V110)="","INVALID – result / assessment missing",IF(TRIM(Z110)="","INVALID – evidence missing",IF(TRIM(AE110)="","INVALID – verifier missing",IF(TRIM(AE110)=TRIM(T110),"INVALID – verifier must be someone other than the PIC",IF(AND(AQ110=1,TRIM(W110)=""),"INVALID – batch ID missing",IF(AND(AR110=1,OR(NOT(ISNUMBER(X110)),NOT(ISNUMBER(Y110)))),"INVALID – expected/actual qty missing",IF(IF(AND(TRIM(U110)="Pass",ISNUMBER(AF110)),IF(AF110&lt;&gt;0,"INVALID – qty variance: use Fail or Pass after CA",""),"")&amp;IF(AND(TRIM(U110)="Pass",TRIM(AB110)&lt;&gt;"",TRIM(AB110)&lt;&gt;"Closed"),"INVALID – corrective action not closed: use Fail, then Pass after CA","")&amp;IF(AND(TRIM(AA110)&lt;&gt;"",TRIM(AB110)=""),"INVALID – CA status missing for the recorded corrective action","")&amp;IF(AND(TRIM(U110)="Pass after CA",OR(TRIM(AA110)="",TRIM(AB110)&lt;&gt;"Closed")),"INVALID – corrective action not recorded/closed","")&lt;&gt;"",IF(AND(TRIM(U110)="Pass",ISNUMBER(AF110)),IF(AF110&lt;&gt;0,"INVALID – qty variance: use Fail or Pass after CA",""),"")&amp;IF(AND(TRIM(U110)="Pass",TRIM(AB110)&lt;&gt;"",TRIM(AB110)&lt;&gt;"Closed"),"INVALID – corrective action not closed: use Fail, then Pass after CA","")&amp;IF(AND(TRIM(AA110)&lt;&gt;"",TRIM(AB110)=""),"INVALID – CA status missing for the recorded corrective action","")&amp;IF(AND(TRIM(U110)="Pass after CA",OR(TRIM(AA110)="",TRIM(AB110)&lt;&gt;"Closed")),"INVALID – corrective action not recorded/closed",""),IF(AND(AS110=1,Documents!$J$8&lt;&gt;"ON FILE"),"INVALID – GLD not on file (Documents sheet)",IF(AND(AS110=2,Documents!$O$8&lt;&gt;"ON FILE"),"INVALID – menu checklist not on file (Documents sheet)",IF(AND(AS110=3,NOT(ISNUMBER(Flights!$AX$8))),"INVALID – enter carrying flight KUL departure (Flights AX)",IF(AND(AS110=3,OR(Flights!$AX$8&gt;=Flights!$AA$8,Flights!$AX$8&lt;Flights!$AA$8-3)),"INVALID – Flights AX must be before this leg's STD (within 3 days)",IF(AG110&gt;AsOfUTC,"INVALID – completion time is in the future",IF(AND(ISNUMBER(S110),AG110&lt;S110),IF(H110="Physical uplift","INVALID – before uplift window (cannot confirm loading)","INVALID – before valid window"),IF(AG110&gt;Flights!$AA$8,"INVALID – completed after departure (cannot establish readiness)",IF(AND(H110="Physical uplift",AG110&gt;Q110),"INVALID – recorded after the loading flight departed",IF(AG110&gt;Q110,"COMPLETE – LATE","COMPLETE")))))))))))))))))),IF(TRIM(U110)="Fail","FAIL – DISCREPANCY",IF(AND(TRIM(U110)&lt;&gt;"",TRIM(U110)&lt;&gt;"Not started",TRIM(U110)&lt;&gt;"In progress"),"INVALID – unrecognised status (use the list)",IF(AsOfUTC&gt;Q110,"OVERDUE",IF(N110="Clarification required","OPEN – CLARIFICATION","OPEN")))))))</f>
        <v>OPEN</v>
      </c>
      <c r="AI110" s="61" t="n">
        <f aca="false">IF(OR(AH110="N/A – RULE",AH110="N/A – JUSTIFIED"),0,1)</f>
        <v>1</v>
      </c>
      <c r="AJ110" s="61" t="n">
        <f aca="false">IF(LEFT(AH110,8)="COMPLETE",1,0)</f>
        <v>0</v>
      </c>
      <c r="AK110" s="61" t="n">
        <f aca="false">IF(AND(AI110=1,AJ110=0,AsOfUTC&gt;Q110),1,0)</f>
        <v>0</v>
      </c>
      <c r="AL110" s="61" t="n">
        <f aca="false">IF(AND(AI110=1,OR(TRIM(U110)="Fail",AND(TRIM(AB110)&lt;&gt;"",TRIM(AB110)&lt;&gt;"Closed"),AND(ISNUMBER(AF110),AF110&lt;&gt;0,TRIM(U110)&lt;&gt;"Pass after CA"))),1,0)</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8" t="b">
        <f aca="false">TRUE()</f>
        <v>1</v>
      </c>
    </row>
    <row r="111" customFormat="false" ht="41.25" hidden="false" customHeight="true" outlineLevel="0" collapsed="false">
      <c r="A111" s="57" t="s">
        <v>574</v>
      </c>
      <c r="B111" s="57" t="s">
        <v>210</v>
      </c>
      <c r="C111" s="57" t="str">
        <f aca="false">Flights!$F$8</f>
        <v>MH0088</v>
      </c>
      <c r="D111" s="58" t="n">
        <f aca="false">Flights!$D$8</f>
        <v>46305</v>
      </c>
      <c r="E111" s="57" t="str">
        <f aca="false">Flights!$G$8&amp;"-"&amp;Flights!$H$8</f>
        <v>KUL-NRT</v>
      </c>
      <c r="F111" s="57" t="str">
        <f aca="false">Flights!$K$8</f>
        <v>BC</v>
      </c>
      <c r="G111" s="57" t="s">
        <v>385</v>
      </c>
      <c r="H111" s="57" t="s">
        <v>343</v>
      </c>
      <c r="I111" s="57" t="s">
        <v>464</v>
      </c>
      <c r="J111" s="57" t="s">
        <v>473</v>
      </c>
      <c r="K111" s="67" t="s">
        <v>466</v>
      </c>
      <c r="L111" s="67" t="s">
        <v>575</v>
      </c>
      <c r="M111" s="67" t="s">
        <v>416</v>
      </c>
      <c r="N111" s="67" t="s">
        <v>348</v>
      </c>
      <c r="O111" s="67" t="s">
        <v>468</v>
      </c>
      <c r="P111" s="57" t="s">
        <v>179</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59" t="n">
        <f aca="false">Q111-T12EarlyH/24</f>
        <v>46304.6458333333</v>
      </c>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IF(N111="N/A – rule","N/A – RULE",IF(TRIM(U111)="N/A",IF(AT111=0,"INVALID – N/A not permitted for this mandatory check",IF(AND(TRIM(AC111)&lt;&gt;"",TRIM(AE111)&lt;&gt;"",TRIM(T111)&lt;&gt;"",TRIM(AE111)&lt;&gt;TRIM(T111)),"N/A – JUSTIFIED","INVALID – N/A needs justification, PIC and a different verifier")),IF(OR(TRIM(U111)="Pass",TRIM(U111)="Pass after CA"),IF(NOT(ISNUMBER(AD111)),"INVALID – completion time missing",IF(TRIM(T111)="","INVALID – PIC missing",IF(TRIM(V111)="","INVALID – result / assessment missing",IF(TRIM(Z111)="","INVALID – evidence missing",IF(TRIM(AE111)="","INVALID – verifier missing",IF(TRIM(AE111)=TRIM(T111),"INVALID – verifier must be someone other than the PIC",IF(AND(AQ111=1,TRIM(W111)=""),"INVALID – batch ID missing",IF(AND(AR111=1,OR(NOT(ISNUMBER(X111)),NOT(ISNUMBER(Y111)))),"INVALID – expected/actual qty missing",IF(IF(AND(TRIM(U111)="Pass",ISNUMBER(AF111)),IF(AF111&lt;&gt;0,"INVALID – qty variance: use Fail or Pass after CA",""),"")&amp;IF(AND(TRIM(U111)="Pass",TRIM(AB111)&lt;&gt;"",TRIM(AB111)&lt;&gt;"Closed"),"INVALID – corrective action not closed: use Fail, then Pass after CA","")&amp;IF(AND(TRIM(AA111)&lt;&gt;"",TRIM(AB111)=""),"INVALID – CA status missing for the recorded corrective action","")&amp;IF(AND(TRIM(U111)="Pass after CA",OR(TRIM(AA111)="",TRIM(AB111)&lt;&gt;"Closed")),"INVALID – corrective action not recorded/closed","")&lt;&gt;"",IF(AND(TRIM(U111)="Pass",ISNUMBER(AF111)),IF(AF111&lt;&gt;0,"INVALID – qty variance: use Fail or Pass after CA",""),"")&amp;IF(AND(TRIM(U111)="Pass",TRIM(AB111)&lt;&gt;"",TRIM(AB111)&lt;&gt;"Closed"),"INVALID – corrective action not closed: use Fail, then Pass after CA","")&amp;IF(AND(TRIM(AA111)&lt;&gt;"",TRIM(AB111)=""),"INVALID – CA status missing for the recorded corrective action","")&amp;IF(AND(TRIM(U111)="Pass after CA",OR(TRIM(AA111)="",TRIM(AB111)&lt;&gt;"Closed")),"INVALID – corrective action not recorded/closed",""),IF(AND(AS111=1,Documents!$J$8&lt;&gt;"ON FILE"),"INVALID – GLD not on file (Documents sheet)",IF(AND(AS111=2,Documents!$O$8&lt;&gt;"ON FILE"),"INVALID – menu checklist not on file (Documents sheet)",IF(AND(AS111=3,NOT(ISNUMBER(Flights!$AX$8))),"INVALID – enter carrying flight KUL departure (Flights AX)",IF(AND(AS111=3,OR(Flights!$AX$8&gt;=Flights!$AA$8,Flights!$AX$8&lt;Flights!$AA$8-3)),"INVALID – Flights AX must be before this leg's STD (within 3 days)",IF(AG111&gt;AsOfUTC,"INVALID – completion time is in the future",IF(AND(ISNUMBER(S111),AG111&lt;S111),IF(H111="Physical uplift","INVALID – before uplift window (cannot confirm loading)","INVALID – before valid window"),IF(AG111&gt;Flights!$AA$8,"INVALID – completed after departure (cannot establish readiness)",IF(AND(H111="Physical uplift",AG111&gt;Q111),"INVALID – recorded after the loading flight departed",IF(AG111&gt;Q111,"COMPLETE – LATE","COMPLETE")))))))))))))))))),IF(TRIM(U111)="Fail","FAIL – DISCREPANCY",IF(AND(TRIM(U111)&lt;&gt;"",TRIM(U111)&lt;&gt;"Not started",TRIM(U111)&lt;&gt;"In progress"),"INVALID – unrecognised status (use the list)",IF(AsOfUTC&gt;Q111,"OVERDUE",IF(N111="Clarification required","OPEN – CLARIFICATION","OPEN")))))))</f>
        <v>OPEN</v>
      </c>
      <c r="AI111" s="61" t="n">
        <f aca="false">IF(OR(AH111="N/A – RULE",AH111="N/A – JUSTIFIED"),0,1)</f>
        <v>1</v>
      </c>
      <c r="AJ111" s="61" t="n">
        <f aca="false">IF(LEFT(AH111,8)="COMPLETE",1,0)</f>
        <v>0</v>
      </c>
      <c r="AK111" s="61" t="n">
        <f aca="false">IF(AND(AI111=1,AJ111=0,AsOfUTC&gt;Q111),1,0)</f>
        <v>0</v>
      </c>
      <c r="AL111" s="61" t="n">
        <f aca="false">IF(AND(AI111=1,OR(TRIM(U111)="Fail",AND(TRIM(AB111)&lt;&gt;"",TRIM(AB111)&lt;&gt;"Closed"),AND(ISNUMBER(AF111),AF111&lt;&gt;0,TRIM(U111)&lt;&gt;"Pass after CA"))),1,0)</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8" t="b">
        <f aca="false">TRUE()</f>
        <v>1</v>
      </c>
    </row>
    <row r="112" customFormat="false" ht="41.25" hidden="false" customHeight="true" outlineLevel="0" collapsed="false">
      <c r="A112" s="57" t="s">
        <v>576</v>
      </c>
      <c r="B112" s="57" t="s">
        <v>210</v>
      </c>
      <c r="C112" s="57" t="str">
        <f aca="false">Flights!$F$8</f>
        <v>MH0088</v>
      </c>
      <c r="D112" s="58" t="n">
        <f aca="false">Flights!$D$8</f>
        <v>46305</v>
      </c>
      <c r="E112" s="57" t="str">
        <f aca="false">Flights!$G$8&amp;"-"&amp;Flights!$H$8</f>
        <v>KUL-NRT</v>
      </c>
      <c r="F112" s="57" t="str">
        <f aca="false">Flights!$K$8</f>
        <v>BC</v>
      </c>
      <c r="G112" s="57" t="s">
        <v>385</v>
      </c>
      <c r="H112" s="57" t="s">
        <v>343</v>
      </c>
      <c r="I112" s="57" t="s">
        <v>464</v>
      </c>
      <c r="J112" s="57" t="s">
        <v>476</v>
      </c>
      <c r="K112" s="67" t="s">
        <v>466</v>
      </c>
      <c r="L112" s="67" t="s">
        <v>577</v>
      </c>
      <c r="M112" s="67" t="s">
        <v>416</v>
      </c>
      <c r="N112" s="67" t="s">
        <v>348</v>
      </c>
      <c r="O112" s="67" t="s">
        <v>468</v>
      </c>
      <c r="P112" s="57" t="s">
        <v>179</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59" t="n">
        <f aca="false">Q112-T12EarlyH/24</f>
        <v>46304.6458333333</v>
      </c>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IF(N112="N/A – rule","N/A – RULE",IF(TRIM(U112)="N/A",IF(AT112=0,"INVALID – N/A not permitted for this mandatory check",IF(AND(TRIM(AC112)&lt;&gt;"",TRIM(AE112)&lt;&gt;"",TRIM(T112)&lt;&gt;"",TRIM(AE112)&lt;&gt;TRIM(T112)),"N/A – JUSTIFIED","INVALID – N/A needs justification, PIC and a different verifier")),IF(OR(TRIM(U112)="Pass",TRIM(U112)="Pass after CA"),IF(NOT(ISNUMBER(AD112)),"INVALID – completion time missing",IF(TRIM(T112)="","INVALID – PIC missing",IF(TRIM(V112)="","INVALID – result / assessment missing",IF(TRIM(Z112)="","INVALID – evidence missing",IF(TRIM(AE112)="","INVALID – verifier missing",IF(TRIM(AE112)=TRIM(T112),"INVALID – verifier must be someone other than the PIC",IF(AND(AQ112=1,TRIM(W112)=""),"INVALID – batch ID missing",IF(AND(AR112=1,OR(NOT(ISNUMBER(X112)),NOT(ISNUMBER(Y112)))),"INVALID – expected/actual qty missing",IF(IF(AND(TRIM(U112)="Pass",ISNUMBER(AF112)),IF(AF112&lt;&gt;0,"INVALID – qty variance: use Fail or Pass after CA",""),"")&amp;IF(AND(TRIM(U112)="Pass",TRIM(AB112)&lt;&gt;"",TRIM(AB112)&lt;&gt;"Closed"),"INVALID – corrective action not closed: use Fail, then Pass after CA","")&amp;IF(AND(TRIM(AA112)&lt;&gt;"",TRIM(AB112)=""),"INVALID – CA status missing for the recorded corrective action","")&amp;IF(AND(TRIM(U112)="Pass after CA",OR(TRIM(AA112)="",TRIM(AB112)&lt;&gt;"Closed")),"INVALID – corrective action not recorded/closed","")&lt;&gt;"",IF(AND(TRIM(U112)="Pass",ISNUMBER(AF112)),IF(AF112&lt;&gt;0,"INVALID – qty variance: use Fail or Pass after CA",""),"")&amp;IF(AND(TRIM(U112)="Pass",TRIM(AB112)&lt;&gt;"",TRIM(AB112)&lt;&gt;"Closed"),"INVALID – corrective action not closed: use Fail, then Pass after CA","")&amp;IF(AND(TRIM(AA112)&lt;&gt;"",TRIM(AB112)=""),"INVALID – CA status missing for the recorded corrective action","")&amp;IF(AND(TRIM(U112)="Pass after CA",OR(TRIM(AA112)="",TRIM(AB112)&lt;&gt;"Closed")),"INVALID – corrective action not recorded/closed",""),IF(AND(AS112=1,Documents!$J$8&lt;&gt;"ON FILE"),"INVALID – GLD not on file (Documents sheet)",IF(AND(AS112=2,Documents!$O$8&lt;&gt;"ON FILE"),"INVALID – menu checklist not on file (Documents sheet)",IF(AND(AS112=3,NOT(ISNUMBER(Flights!$AX$8))),"INVALID – enter carrying flight KUL departure (Flights AX)",IF(AND(AS112=3,OR(Flights!$AX$8&gt;=Flights!$AA$8,Flights!$AX$8&lt;Flights!$AA$8-3)),"INVALID – Flights AX must be before this leg's STD (within 3 days)",IF(AG112&gt;AsOfUTC,"INVALID – completion time is in the future",IF(AND(ISNUMBER(S112),AG112&lt;S112),IF(H112="Physical uplift","INVALID – before uplift window (cannot confirm loading)","INVALID – before valid window"),IF(AG112&gt;Flights!$AA$8,"INVALID – completed after departure (cannot establish readiness)",IF(AND(H112="Physical uplift",AG112&gt;Q112),"INVALID – recorded after the loading flight departed",IF(AG112&gt;Q112,"COMPLETE – LATE","COMPLETE")))))))))))))))))),IF(TRIM(U112)="Fail","FAIL – DISCREPANCY",IF(AND(TRIM(U112)&lt;&gt;"",TRIM(U112)&lt;&gt;"Not started",TRIM(U112)&lt;&gt;"In progress"),"INVALID – unrecognised status (use the list)",IF(AsOfUTC&gt;Q112,"OVERDUE",IF(N112="Clarification required","OPEN – CLARIFICATION","OPEN")))))))</f>
        <v>OPEN</v>
      </c>
      <c r="AI112" s="61" t="n">
        <f aca="false">IF(OR(AH112="N/A – RULE",AH112="N/A – JUSTIFIED"),0,1)</f>
        <v>1</v>
      </c>
      <c r="AJ112" s="61" t="n">
        <f aca="false">IF(LEFT(AH112,8)="COMPLETE",1,0)</f>
        <v>0</v>
      </c>
      <c r="AK112" s="61" t="n">
        <f aca="false">IF(AND(AI112=1,AJ112=0,AsOfUTC&gt;Q112),1,0)</f>
        <v>0</v>
      </c>
      <c r="AL112" s="61" t="n">
        <f aca="false">IF(AND(AI112=1,OR(TRIM(U112)="Fail",AND(TRIM(AB112)&lt;&gt;"",TRIM(AB112)&lt;&gt;"Closed"),AND(ISNUMBER(AF112),AF112&lt;&gt;0,TRIM(U112)&lt;&gt;"Pass after CA"))),1,0)</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8" t="b">
        <f aca="false">TRUE()</f>
        <v>1</v>
      </c>
    </row>
    <row r="113" customFormat="false" ht="41.25" hidden="false" customHeight="true" outlineLevel="0" collapsed="false">
      <c r="A113" s="57" t="s">
        <v>578</v>
      </c>
      <c r="B113" s="57" t="s">
        <v>210</v>
      </c>
      <c r="C113" s="57" t="str">
        <f aca="false">Flights!$F$8</f>
        <v>MH0088</v>
      </c>
      <c r="D113" s="58" t="n">
        <f aca="false">Flights!$D$8</f>
        <v>46305</v>
      </c>
      <c r="E113" s="57" t="str">
        <f aca="false">Flights!$G$8&amp;"-"&amp;Flights!$H$8</f>
        <v>KUL-NRT</v>
      </c>
      <c r="F113" s="57" t="str">
        <f aca="false">Flights!$K$8</f>
        <v>BC</v>
      </c>
      <c r="G113" s="57" t="s">
        <v>385</v>
      </c>
      <c r="H113" s="57" t="s">
        <v>343</v>
      </c>
      <c r="I113" s="57" t="s">
        <v>464</v>
      </c>
      <c r="J113" s="57" t="s">
        <v>480</v>
      </c>
      <c r="K113" s="67" t="s">
        <v>466</v>
      </c>
      <c r="L113" s="67" t="s">
        <v>579</v>
      </c>
      <c r="M113" s="67" t="s">
        <v>416</v>
      </c>
      <c r="N113" s="67" t="s">
        <v>348</v>
      </c>
      <c r="O113" s="67" t="s">
        <v>468</v>
      </c>
      <c r="P113" s="57" t="s">
        <v>179</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59" t="n">
        <f aca="false">Q113-T12EarlyH/24</f>
        <v>46304.6458333333</v>
      </c>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IF(N113="N/A – rule","N/A – RULE",IF(TRIM(U113)="N/A",IF(AT113=0,"INVALID – N/A not permitted for this mandatory check",IF(AND(TRIM(AC113)&lt;&gt;"",TRIM(AE113)&lt;&gt;"",TRIM(T113)&lt;&gt;"",TRIM(AE113)&lt;&gt;TRIM(T113)),"N/A – JUSTIFIED","INVALID – N/A needs justification, PIC and a different verifier")),IF(OR(TRIM(U113)="Pass",TRIM(U113)="Pass after CA"),IF(NOT(ISNUMBER(AD113)),"INVALID – completion time missing",IF(TRIM(T113)="","INVALID – PIC missing",IF(TRIM(V113)="","INVALID – result / assessment missing",IF(TRIM(Z113)="","INVALID – evidence missing",IF(TRIM(AE113)="","INVALID – verifier missing",IF(TRIM(AE113)=TRIM(T113),"INVALID – verifier must be someone other than the PIC",IF(AND(AQ113=1,TRIM(W113)=""),"INVALID – batch ID missing",IF(AND(AR113=1,OR(NOT(ISNUMBER(X113)),NOT(ISNUMBER(Y113)))),"INVALID – expected/actual qty missing",IF(IF(AND(TRIM(U113)="Pass",ISNUMBER(AF113)),IF(AF113&lt;&gt;0,"INVALID – qty variance: use Fail or Pass after CA",""),"")&amp;IF(AND(TRIM(U113)="Pass",TRIM(AB113)&lt;&gt;"",TRIM(AB113)&lt;&gt;"Closed"),"INVALID – corrective action not closed: use Fail, then Pass after CA","")&amp;IF(AND(TRIM(AA113)&lt;&gt;"",TRIM(AB113)=""),"INVALID – CA status missing for the recorded corrective action","")&amp;IF(AND(TRIM(U113)="Pass after CA",OR(TRIM(AA113)="",TRIM(AB113)&lt;&gt;"Closed")),"INVALID – corrective action not recorded/closed","")&lt;&gt;"",IF(AND(TRIM(U113)="Pass",ISNUMBER(AF113)),IF(AF113&lt;&gt;0,"INVALID – qty variance: use Fail or Pass after CA",""),"")&amp;IF(AND(TRIM(U113)="Pass",TRIM(AB113)&lt;&gt;"",TRIM(AB113)&lt;&gt;"Closed"),"INVALID – corrective action not closed: use Fail, then Pass after CA","")&amp;IF(AND(TRIM(AA113)&lt;&gt;"",TRIM(AB113)=""),"INVALID – CA status missing for the recorded corrective action","")&amp;IF(AND(TRIM(U113)="Pass after CA",OR(TRIM(AA113)="",TRIM(AB113)&lt;&gt;"Closed")),"INVALID – corrective action not recorded/closed",""),IF(AND(AS113=1,Documents!$J$8&lt;&gt;"ON FILE"),"INVALID – GLD not on file (Documents sheet)",IF(AND(AS113=2,Documents!$O$8&lt;&gt;"ON FILE"),"INVALID – menu checklist not on file (Documents sheet)",IF(AND(AS113=3,NOT(ISNUMBER(Flights!$AX$8))),"INVALID – enter carrying flight KUL departure (Flights AX)",IF(AND(AS113=3,OR(Flights!$AX$8&gt;=Flights!$AA$8,Flights!$AX$8&lt;Flights!$AA$8-3)),"INVALID – Flights AX must be before this leg's STD (within 3 days)",IF(AG113&gt;AsOfUTC,"INVALID – completion time is in the future",IF(AND(ISNUMBER(S113),AG113&lt;S113),IF(H113="Physical uplift","INVALID – before uplift window (cannot confirm loading)","INVALID – before valid window"),IF(AG113&gt;Flights!$AA$8,"INVALID – completed after departure (cannot establish readiness)",IF(AND(H113="Physical uplift",AG113&gt;Q113),"INVALID – recorded after the loading flight departed",IF(AG113&gt;Q113,"COMPLETE – LATE","COMPLETE")))))))))))))))))),IF(TRIM(U113)="Fail","FAIL – DISCREPANCY",IF(AND(TRIM(U113)&lt;&gt;"",TRIM(U113)&lt;&gt;"Not started",TRIM(U113)&lt;&gt;"In progress"),"INVALID – unrecognised status (use the list)",IF(AsOfUTC&gt;Q113,"OVERDUE",IF(N113="Clarification required","OPEN – CLARIFICATION","OPEN")))))))</f>
        <v>OPEN</v>
      </c>
      <c r="AI113" s="61" t="n">
        <f aca="false">IF(OR(AH113="N/A – RULE",AH113="N/A – JUSTIFIED"),0,1)</f>
        <v>1</v>
      </c>
      <c r="AJ113" s="61" t="n">
        <f aca="false">IF(LEFT(AH113,8)="COMPLETE",1,0)</f>
        <v>0</v>
      </c>
      <c r="AK113" s="61" t="n">
        <f aca="false">IF(AND(AI113=1,AJ113=0,AsOfUTC&gt;Q113),1,0)</f>
        <v>0</v>
      </c>
      <c r="AL113" s="61" t="n">
        <f aca="false">IF(AND(AI113=1,OR(TRIM(U113)="Fail",AND(TRIM(AB113)&lt;&gt;"",TRIM(AB113)&lt;&gt;"Closed"),AND(ISNUMBER(AF113),AF113&lt;&gt;0,TRIM(U113)&lt;&gt;"Pass after CA"))),1,0)</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8" t="b">
        <f aca="false">TRUE()</f>
        <v>1</v>
      </c>
    </row>
    <row r="114" customFormat="false" ht="54" hidden="false" customHeight="true" outlineLevel="0" collapsed="false">
      <c r="A114" s="57" t="s">
        <v>580</v>
      </c>
      <c r="B114" s="57" t="s">
        <v>210</v>
      </c>
      <c r="C114" s="57" t="str">
        <f aca="false">Flights!$F$8</f>
        <v>MH0088</v>
      </c>
      <c r="D114" s="58" t="n">
        <f aca="false">Flights!$D$8</f>
        <v>46305</v>
      </c>
      <c r="E114" s="57" t="str">
        <f aca="false">Flights!$G$8&amp;"-"&amp;Flights!$H$8</f>
        <v>KUL-NRT</v>
      </c>
      <c r="F114" s="57" t="str">
        <f aca="false">Flights!$K$8</f>
        <v>BC</v>
      </c>
      <c r="G114" s="57" t="s">
        <v>385</v>
      </c>
      <c r="H114" s="57" t="s">
        <v>343</v>
      </c>
      <c r="I114" s="57" t="s">
        <v>464</v>
      </c>
      <c r="J114" s="57" t="s">
        <v>483</v>
      </c>
      <c r="K114" s="67" t="s">
        <v>581</v>
      </c>
      <c r="L114" s="67" t="s">
        <v>582</v>
      </c>
      <c r="M114" s="67" t="s">
        <v>416</v>
      </c>
      <c r="N114" s="67" t="s">
        <v>348</v>
      </c>
      <c r="O114" s="67" t="s">
        <v>486</v>
      </c>
      <c r="P114" s="57" t="s">
        <v>179</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59" t="n">
        <f aca="false">Q114-T12EarlyH/24</f>
        <v>46304.6458333333</v>
      </c>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IF(N114="N/A – rule","N/A – RULE",IF(TRIM(U114)="N/A",IF(AT114=0,"INVALID – N/A not permitted for this mandatory check",IF(AND(TRIM(AC114)&lt;&gt;"",TRIM(AE114)&lt;&gt;"",TRIM(T114)&lt;&gt;"",TRIM(AE114)&lt;&gt;TRIM(T114)),"N/A – JUSTIFIED","INVALID – N/A needs justification, PIC and a different verifier")),IF(OR(TRIM(U114)="Pass",TRIM(U114)="Pass after CA"),IF(NOT(ISNUMBER(AD114)),"INVALID – completion time missing",IF(TRIM(T114)="","INVALID – PIC missing",IF(TRIM(V114)="","INVALID – result / assessment missing",IF(TRIM(Z114)="","INVALID – evidence missing",IF(TRIM(AE114)="","INVALID – verifier missing",IF(TRIM(AE114)=TRIM(T114),"INVALID – verifier must be someone other than the PIC",IF(AND(AQ114=1,TRIM(W114)=""),"INVALID – batch ID missing",IF(AND(AR114=1,OR(NOT(ISNUMBER(X114)),NOT(ISNUMBER(Y114)))),"INVALID – expected/actual qty missing",IF(IF(AND(TRIM(U114)="Pass",ISNUMBER(AF114)),IF(AF114&lt;&gt;0,"INVALID – qty variance: use Fail or Pass after CA",""),"")&amp;IF(AND(TRIM(U114)="Pass",TRIM(AB114)&lt;&gt;"",TRIM(AB114)&lt;&gt;"Closed"),"INVALID – corrective action not closed: use Fail, then Pass after CA","")&amp;IF(AND(TRIM(AA114)&lt;&gt;"",TRIM(AB114)=""),"INVALID – CA status missing for the recorded corrective action","")&amp;IF(AND(TRIM(U114)="Pass after CA",OR(TRIM(AA114)="",TRIM(AB114)&lt;&gt;"Closed")),"INVALID – corrective action not recorded/closed","")&lt;&gt;"",IF(AND(TRIM(U114)="Pass",ISNUMBER(AF114)),IF(AF114&lt;&gt;0,"INVALID – qty variance: use Fail or Pass after CA",""),"")&amp;IF(AND(TRIM(U114)="Pass",TRIM(AB114)&lt;&gt;"",TRIM(AB114)&lt;&gt;"Closed"),"INVALID – corrective action not closed: use Fail, then Pass after CA","")&amp;IF(AND(TRIM(AA114)&lt;&gt;"",TRIM(AB114)=""),"INVALID – CA status missing for the recorded corrective action","")&amp;IF(AND(TRIM(U114)="Pass after CA",OR(TRIM(AA114)="",TRIM(AB114)&lt;&gt;"Closed")),"INVALID – corrective action not recorded/closed",""),IF(AND(AS114=1,Documents!$J$8&lt;&gt;"ON FILE"),"INVALID – GLD not on file (Documents sheet)",IF(AND(AS114=2,Documents!$O$8&lt;&gt;"ON FILE"),"INVALID – menu checklist not on file (Documents sheet)",IF(AND(AS114=3,NOT(ISNUMBER(Flights!$AX$8))),"INVALID – enter carrying flight KUL departure (Flights AX)",IF(AND(AS114=3,OR(Flights!$AX$8&gt;=Flights!$AA$8,Flights!$AX$8&lt;Flights!$AA$8-3)),"INVALID – Flights AX must be before this leg's STD (within 3 days)",IF(AG114&gt;AsOfUTC,"INVALID – completion time is in the future",IF(AND(ISNUMBER(S114),AG114&lt;S114),IF(H114="Physical uplift","INVALID – before uplift window (cannot confirm loading)","INVALID – before valid window"),IF(AG114&gt;Flights!$AA$8,"INVALID – completed after departure (cannot establish readiness)",IF(AND(H114="Physical uplift",AG114&gt;Q114),"INVALID – recorded after the loading flight departed",IF(AG114&gt;Q114,"COMPLETE – LATE","COMPLETE")))))))))))))))))),IF(TRIM(U114)="Fail","FAIL – DISCREPANCY",IF(AND(TRIM(U114)&lt;&gt;"",TRIM(U114)&lt;&gt;"Not started",TRIM(U114)&lt;&gt;"In progress"),"INVALID – unrecognised status (use the list)",IF(AsOfUTC&gt;Q114,"OVERDUE",IF(N114="Clarification required","OPEN – CLARIFICATION","OPEN")))))))</f>
        <v>OPEN</v>
      </c>
      <c r="AI114" s="61" t="n">
        <f aca="false">IF(OR(AH114="N/A – RULE",AH114="N/A – JUSTIFIED"),0,1)</f>
        <v>1</v>
      </c>
      <c r="AJ114" s="61" t="n">
        <f aca="false">IF(LEFT(AH114,8)="COMPLETE",1,0)</f>
        <v>0</v>
      </c>
      <c r="AK114" s="61" t="n">
        <f aca="false">IF(AND(AI114=1,AJ114=0,AsOfUTC&gt;Q114),1,0)</f>
        <v>0</v>
      </c>
      <c r="AL114" s="61" t="n">
        <f aca="false">IF(AND(AI114=1,OR(TRIM(U114)="Fail",AND(TRIM(AB114)&lt;&gt;"",TRIM(AB114)&lt;&gt;"Closed"),AND(ISNUMBER(AF114),AF114&lt;&gt;0,TRIM(U114)&lt;&gt;"Pass after CA"))),1,0)</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8" t="b">
        <f aca="false">TRUE()</f>
        <v>1</v>
      </c>
    </row>
    <row r="115" customFormat="false" ht="41.25" hidden="false" customHeight="true" outlineLevel="0" collapsed="false">
      <c r="A115" s="57" t="s">
        <v>583</v>
      </c>
      <c r="B115" s="57" t="s">
        <v>210</v>
      </c>
      <c r="C115" s="57" t="str">
        <f aca="false">Flights!$F$8</f>
        <v>MH0088</v>
      </c>
      <c r="D115" s="58" t="n">
        <f aca="false">Flights!$D$8</f>
        <v>46305</v>
      </c>
      <c r="E115" s="57" t="str">
        <f aca="false">Flights!$G$8&amp;"-"&amp;Flights!$H$8</f>
        <v>KUL-NRT</v>
      </c>
      <c r="F115" s="57" t="str">
        <f aca="false">Flights!$K$8</f>
        <v>BC</v>
      </c>
      <c r="G115" s="57" t="s">
        <v>385</v>
      </c>
      <c r="H115" s="57" t="s">
        <v>343</v>
      </c>
      <c r="I115" s="57" t="s">
        <v>464</v>
      </c>
      <c r="J115" s="57" t="s">
        <v>488</v>
      </c>
      <c r="K115" s="67" t="s">
        <v>466</v>
      </c>
      <c r="L115" s="67" t="s">
        <v>584</v>
      </c>
      <c r="M115" s="67" t="s">
        <v>416</v>
      </c>
      <c r="N115" s="67" t="s">
        <v>348</v>
      </c>
      <c r="O115" s="67" t="s">
        <v>468</v>
      </c>
      <c r="P115" s="57" t="s">
        <v>179</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59" t="n">
        <f aca="false">Q115-T12EarlyH/24</f>
        <v>46304.6458333333</v>
      </c>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IF(N115="N/A – rule","N/A – RULE",IF(TRIM(U115)="N/A",IF(AT115=0,"INVALID – N/A not permitted for this mandatory check",IF(AND(TRIM(AC115)&lt;&gt;"",TRIM(AE115)&lt;&gt;"",TRIM(T115)&lt;&gt;"",TRIM(AE115)&lt;&gt;TRIM(T115)),"N/A – JUSTIFIED","INVALID – N/A needs justification, PIC and a different verifier")),IF(OR(TRIM(U115)="Pass",TRIM(U115)="Pass after CA"),IF(NOT(ISNUMBER(AD115)),"INVALID – completion time missing",IF(TRIM(T115)="","INVALID – PIC missing",IF(TRIM(V115)="","INVALID – result / assessment missing",IF(TRIM(Z115)="","INVALID – evidence missing",IF(TRIM(AE115)="","INVALID – verifier missing",IF(TRIM(AE115)=TRIM(T115),"INVALID – verifier must be someone other than the PIC",IF(AND(AQ115=1,TRIM(W115)=""),"INVALID – batch ID missing",IF(AND(AR115=1,OR(NOT(ISNUMBER(X115)),NOT(ISNUMBER(Y115)))),"INVALID – expected/actual qty missing",IF(IF(AND(TRIM(U115)="Pass",ISNUMBER(AF115)),IF(AF115&lt;&gt;0,"INVALID – qty variance: use Fail or Pass after CA",""),"")&amp;IF(AND(TRIM(U115)="Pass",TRIM(AB115)&lt;&gt;"",TRIM(AB115)&lt;&gt;"Closed"),"INVALID – corrective action not closed: use Fail, then Pass after CA","")&amp;IF(AND(TRIM(AA115)&lt;&gt;"",TRIM(AB115)=""),"INVALID – CA status missing for the recorded corrective action","")&amp;IF(AND(TRIM(U115)="Pass after CA",OR(TRIM(AA115)="",TRIM(AB115)&lt;&gt;"Closed")),"INVALID – corrective action not recorded/closed","")&lt;&gt;"",IF(AND(TRIM(U115)="Pass",ISNUMBER(AF115)),IF(AF115&lt;&gt;0,"INVALID – qty variance: use Fail or Pass after CA",""),"")&amp;IF(AND(TRIM(U115)="Pass",TRIM(AB115)&lt;&gt;"",TRIM(AB115)&lt;&gt;"Closed"),"INVALID – corrective action not closed: use Fail, then Pass after CA","")&amp;IF(AND(TRIM(AA115)&lt;&gt;"",TRIM(AB115)=""),"INVALID – CA status missing for the recorded corrective action","")&amp;IF(AND(TRIM(U115)="Pass after CA",OR(TRIM(AA115)="",TRIM(AB115)&lt;&gt;"Closed")),"INVALID – corrective action not recorded/closed",""),IF(AND(AS115=1,Documents!$J$8&lt;&gt;"ON FILE"),"INVALID – GLD not on file (Documents sheet)",IF(AND(AS115=2,Documents!$O$8&lt;&gt;"ON FILE"),"INVALID – menu checklist not on file (Documents sheet)",IF(AND(AS115=3,NOT(ISNUMBER(Flights!$AX$8))),"INVALID – enter carrying flight KUL departure (Flights AX)",IF(AND(AS115=3,OR(Flights!$AX$8&gt;=Flights!$AA$8,Flights!$AX$8&lt;Flights!$AA$8-3)),"INVALID – Flights AX must be before this leg's STD (within 3 days)",IF(AG115&gt;AsOfUTC,"INVALID – completion time is in the future",IF(AND(ISNUMBER(S115),AG115&lt;S115),IF(H115="Physical uplift","INVALID – before uplift window (cannot confirm loading)","INVALID – before valid window"),IF(AG115&gt;Flights!$AA$8,"INVALID – completed after departure (cannot establish readiness)",IF(AND(H115="Physical uplift",AG115&gt;Q115),"INVALID – recorded after the loading flight departed",IF(AG115&gt;Q115,"COMPLETE – LATE","COMPLETE")))))))))))))))))),IF(TRIM(U115)="Fail","FAIL – DISCREPANCY",IF(AND(TRIM(U115)&lt;&gt;"",TRIM(U115)&lt;&gt;"Not started",TRIM(U115)&lt;&gt;"In progress"),"INVALID – unrecognised status (use the list)",IF(AsOfUTC&gt;Q115,"OVERDUE",IF(N115="Clarification required","OPEN – CLARIFICATION","OPEN")))))))</f>
        <v>OPEN</v>
      </c>
      <c r="AI115" s="61" t="n">
        <f aca="false">IF(OR(AH115="N/A – RULE",AH115="N/A – JUSTIFIED"),0,1)</f>
        <v>1</v>
      </c>
      <c r="AJ115" s="61" t="n">
        <f aca="false">IF(LEFT(AH115,8)="COMPLETE",1,0)</f>
        <v>0</v>
      </c>
      <c r="AK115" s="61" t="n">
        <f aca="false">IF(AND(AI115=1,AJ115=0,AsOfUTC&gt;Q115),1,0)</f>
        <v>0</v>
      </c>
      <c r="AL115" s="61" t="n">
        <f aca="false">IF(AND(AI115=1,OR(TRIM(U115)="Fail",AND(TRIM(AB115)&lt;&gt;"",TRIM(AB115)&lt;&gt;"Closed"),AND(ISNUMBER(AF115),AF115&lt;&gt;0,TRIM(U115)&lt;&gt;"Pass after CA"))),1,0)</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8" t="b">
        <f aca="false">TRUE()</f>
        <v>1</v>
      </c>
    </row>
    <row r="116" customFormat="false" ht="41.25" hidden="false" customHeight="true" outlineLevel="0" collapsed="false">
      <c r="A116" s="57" t="s">
        <v>585</v>
      </c>
      <c r="B116" s="57" t="s">
        <v>210</v>
      </c>
      <c r="C116" s="57" t="str">
        <f aca="false">Flights!$F$8</f>
        <v>MH0088</v>
      </c>
      <c r="D116" s="58" t="n">
        <f aca="false">Flights!$D$8</f>
        <v>46305</v>
      </c>
      <c r="E116" s="57" t="str">
        <f aca="false">Flights!$G$8&amp;"-"&amp;Flights!$H$8</f>
        <v>KUL-NRT</v>
      </c>
      <c r="F116" s="57" t="str">
        <f aca="false">Flights!$K$8</f>
        <v>BC</v>
      </c>
      <c r="G116" s="57" t="s">
        <v>385</v>
      </c>
      <c r="H116" s="57" t="s">
        <v>343</v>
      </c>
      <c r="I116" s="57" t="s">
        <v>412</v>
      </c>
      <c r="J116" s="57" t="s">
        <v>491</v>
      </c>
      <c r="K116" s="67" t="s">
        <v>414</v>
      </c>
      <c r="L116" s="67" t="s">
        <v>586</v>
      </c>
      <c r="M116" s="67" t="s">
        <v>416</v>
      </c>
      <c r="N116" s="67" t="s">
        <v>348</v>
      </c>
      <c r="O116" s="67" t="s">
        <v>468</v>
      </c>
      <c r="P116" s="57" t="s">
        <v>179</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59" t="n">
        <f aca="false">Q116-T12EarlyH/24</f>
        <v>46304.6458333333</v>
      </c>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IF(N116="N/A – rule","N/A – RULE",IF(TRIM(U116)="N/A",IF(AT116=0,"INVALID – N/A not permitted for this mandatory check",IF(AND(TRIM(AC116)&lt;&gt;"",TRIM(AE116)&lt;&gt;"",TRIM(T116)&lt;&gt;"",TRIM(AE116)&lt;&gt;TRIM(T116)),"N/A – JUSTIFIED","INVALID – N/A needs justification, PIC and a different verifier")),IF(OR(TRIM(U116)="Pass",TRIM(U116)="Pass after CA"),IF(NOT(ISNUMBER(AD116)),"INVALID – completion time missing",IF(TRIM(T116)="","INVALID – PIC missing",IF(TRIM(V116)="","INVALID – result / assessment missing",IF(TRIM(Z116)="","INVALID – evidence missing",IF(TRIM(AE116)="","INVALID – verifier missing",IF(TRIM(AE116)=TRIM(T116),"INVALID – verifier must be someone other than the PIC",IF(AND(AQ116=1,TRIM(W116)=""),"INVALID – batch ID missing",IF(AND(AR116=1,OR(NOT(ISNUMBER(X116)),NOT(ISNUMBER(Y116)))),"INVALID – expected/actual qty missing",IF(IF(AND(TRIM(U116)="Pass",ISNUMBER(AF116)),IF(AF116&lt;&gt;0,"INVALID – qty variance: use Fail or Pass after CA",""),"")&amp;IF(AND(TRIM(U116)="Pass",TRIM(AB116)&lt;&gt;"",TRIM(AB116)&lt;&gt;"Closed"),"INVALID – corrective action not closed: use Fail, then Pass after CA","")&amp;IF(AND(TRIM(AA116)&lt;&gt;"",TRIM(AB116)=""),"INVALID – CA status missing for the recorded corrective action","")&amp;IF(AND(TRIM(U116)="Pass after CA",OR(TRIM(AA116)="",TRIM(AB116)&lt;&gt;"Closed")),"INVALID – corrective action not recorded/closed","")&lt;&gt;"",IF(AND(TRIM(U116)="Pass",ISNUMBER(AF116)),IF(AF116&lt;&gt;0,"INVALID – qty variance: use Fail or Pass after CA",""),"")&amp;IF(AND(TRIM(U116)="Pass",TRIM(AB116)&lt;&gt;"",TRIM(AB116)&lt;&gt;"Closed"),"INVALID – corrective action not closed: use Fail, then Pass after CA","")&amp;IF(AND(TRIM(AA116)&lt;&gt;"",TRIM(AB116)=""),"INVALID – CA status missing for the recorded corrective action","")&amp;IF(AND(TRIM(U116)="Pass after CA",OR(TRIM(AA116)="",TRIM(AB116)&lt;&gt;"Closed")),"INVALID – corrective action not recorded/closed",""),IF(AND(AS116=1,Documents!$J$8&lt;&gt;"ON FILE"),"INVALID – GLD not on file (Documents sheet)",IF(AND(AS116=2,Documents!$O$8&lt;&gt;"ON FILE"),"INVALID – menu checklist not on file (Documents sheet)",IF(AND(AS116=3,NOT(ISNUMBER(Flights!$AX$8))),"INVALID – enter carrying flight KUL departure (Flights AX)",IF(AND(AS116=3,OR(Flights!$AX$8&gt;=Flights!$AA$8,Flights!$AX$8&lt;Flights!$AA$8-3)),"INVALID – Flights AX must be before this leg's STD (within 3 days)",IF(AG116&gt;AsOfUTC,"INVALID – completion time is in the future",IF(AND(ISNUMBER(S116),AG116&lt;S116),IF(H116="Physical uplift","INVALID – before uplift window (cannot confirm loading)","INVALID – before valid window"),IF(AG116&gt;Flights!$AA$8,"INVALID – completed after departure (cannot establish readiness)",IF(AND(H116="Physical uplift",AG116&gt;Q116),"INVALID – recorded after the loading flight departed",IF(AG116&gt;Q116,"COMPLETE – LATE","COMPLETE")))))))))))))))))),IF(TRIM(U116)="Fail","FAIL – DISCREPANCY",IF(AND(TRIM(U116)&lt;&gt;"",TRIM(U116)&lt;&gt;"Not started",TRIM(U116)&lt;&gt;"In progress"),"INVALID – unrecognised status (use the list)",IF(AsOfUTC&gt;Q116,"OVERDUE",IF(N116="Clarification required","OPEN – CLARIFICATION","OPEN")))))))</f>
        <v>OPEN</v>
      </c>
      <c r="AI116" s="61" t="n">
        <f aca="false">IF(OR(AH116="N/A – RULE",AH116="N/A – JUSTIFIED"),0,1)</f>
        <v>1</v>
      </c>
      <c r="AJ116" s="61" t="n">
        <f aca="false">IF(LEFT(AH116,8)="COMPLETE",1,0)</f>
        <v>0</v>
      </c>
      <c r="AK116" s="61" t="n">
        <f aca="false">IF(AND(AI116=1,AJ116=0,AsOfUTC&gt;Q116),1,0)</f>
        <v>0</v>
      </c>
      <c r="AL116" s="61" t="n">
        <f aca="false">IF(AND(AI116=1,OR(TRIM(U116)="Fail",AND(TRIM(AB116)&lt;&gt;"",TRIM(AB116)&lt;&gt;"Closed"),AND(ISNUMBER(AF116),AF116&lt;&gt;0,TRIM(U116)&lt;&gt;"Pass after CA"))),1,0)</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8" t="b">
        <f aca="false">TRUE()</f>
        <v>1</v>
      </c>
    </row>
    <row r="117" customFormat="false" ht="41.25" hidden="false" customHeight="true" outlineLevel="0" collapsed="false">
      <c r="A117" s="57" t="s">
        <v>587</v>
      </c>
      <c r="B117" s="57" t="s">
        <v>210</v>
      </c>
      <c r="C117" s="57" t="str">
        <f aca="false">Flights!$F$8</f>
        <v>MH0088</v>
      </c>
      <c r="D117" s="58" t="n">
        <f aca="false">Flights!$D$8</f>
        <v>46305</v>
      </c>
      <c r="E117" s="57" t="str">
        <f aca="false">Flights!$G$8&amp;"-"&amp;Flights!$H$8</f>
        <v>KUL-NRT</v>
      </c>
      <c r="F117" s="57" t="str">
        <f aca="false">Flights!$K$8</f>
        <v>BC</v>
      </c>
      <c r="G117" s="57" t="s">
        <v>385</v>
      </c>
      <c r="H117" s="57" t="s">
        <v>343</v>
      </c>
      <c r="I117" s="57" t="s">
        <v>412</v>
      </c>
      <c r="J117" s="57" t="s">
        <v>588</v>
      </c>
      <c r="K117" s="67" t="s">
        <v>414</v>
      </c>
      <c r="L117" s="67" t="s">
        <v>589</v>
      </c>
      <c r="M117" s="67" t="s">
        <v>416</v>
      </c>
      <c r="N117" s="67" t="s">
        <v>348</v>
      </c>
      <c r="O117" s="67" t="s">
        <v>468</v>
      </c>
      <c r="P117" s="57" t="s">
        <v>179</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59" t="n">
        <f aca="false">Q117-T12EarlyH/24</f>
        <v>46304.6458333333</v>
      </c>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IF(N117="N/A – rule","N/A – RULE",IF(TRIM(U117)="N/A",IF(AT117=0,"INVALID – N/A not permitted for this mandatory check",IF(AND(TRIM(AC117)&lt;&gt;"",TRIM(AE117)&lt;&gt;"",TRIM(T117)&lt;&gt;"",TRIM(AE117)&lt;&gt;TRIM(T117)),"N/A – JUSTIFIED","INVALID – N/A needs justification, PIC and a different verifier")),IF(OR(TRIM(U117)="Pass",TRIM(U117)="Pass after CA"),IF(NOT(ISNUMBER(AD117)),"INVALID – completion time missing",IF(TRIM(T117)="","INVALID – PIC missing",IF(TRIM(V117)="","INVALID – result / assessment missing",IF(TRIM(Z117)="","INVALID – evidence missing",IF(TRIM(AE117)="","INVALID – verifier missing",IF(TRIM(AE117)=TRIM(T117),"INVALID – verifier must be someone other than the PIC",IF(AND(AQ117=1,TRIM(W117)=""),"INVALID – batch ID missing",IF(AND(AR117=1,OR(NOT(ISNUMBER(X117)),NOT(ISNUMBER(Y117)))),"INVALID – expected/actual qty missing",IF(IF(AND(TRIM(U117)="Pass",ISNUMBER(AF117)),IF(AF117&lt;&gt;0,"INVALID – qty variance: use Fail or Pass after CA",""),"")&amp;IF(AND(TRIM(U117)="Pass",TRIM(AB117)&lt;&gt;"",TRIM(AB117)&lt;&gt;"Closed"),"INVALID – corrective action not closed: use Fail, then Pass after CA","")&amp;IF(AND(TRIM(AA117)&lt;&gt;"",TRIM(AB117)=""),"INVALID – CA status missing for the recorded corrective action","")&amp;IF(AND(TRIM(U117)="Pass after CA",OR(TRIM(AA117)="",TRIM(AB117)&lt;&gt;"Closed")),"INVALID – corrective action not recorded/closed","")&lt;&gt;"",IF(AND(TRIM(U117)="Pass",ISNUMBER(AF117)),IF(AF117&lt;&gt;0,"INVALID – qty variance: use Fail or Pass after CA",""),"")&amp;IF(AND(TRIM(U117)="Pass",TRIM(AB117)&lt;&gt;"",TRIM(AB117)&lt;&gt;"Closed"),"INVALID – corrective action not closed: use Fail, then Pass after CA","")&amp;IF(AND(TRIM(AA117)&lt;&gt;"",TRIM(AB117)=""),"INVALID – CA status missing for the recorded corrective action","")&amp;IF(AND(TRIM(U117)="Pass after CA",OR(TRIM(AA117)="",TRIM(AB117)&lt;&gt;"Closed")),"INVALID – corrective action not recorded/closed",""),IF(AND(AS117=1,Documents!$J$8&lt;&gt;"ON FILE"),"INVALID – GLD not on file (Documents sheet)",IF(AND(AS117=2,Documents!$O$8&lt;&gt;"ON FILE"),"INVALID – menu checklist not on file (Documents sheet)",IF(AND(AS117=3,NOT(ISNUMBER(Flights!$AX$8))),"INVALID – enter carrying flight KUL departure (Flights AX)",IF(AND(AS117=3,OR(Flights!$AX$8&gt;=Flights!$AA$8,Flights!$AX$8&lt;Flights!$AA$8-3)),"INVALID – Flights AX must be before this leg's STD (within 3 days)",IF(AG117&gt;AsOfUTC,"INVALID – completion time is in the future",IF(AND(ISNUMBER(S117),AG117&lt;S117),IF(H117="Physical uplift","INVALID – before uplift window (cannot confirm loading)","INVALID – before valid window"),IF(AG117&gt;Flights!$AA$8,"INVALID – completed after departure (cannot establish readiness)",IF(AND(H117="Physical uplift",AG117&gt;Q117),"INVALID – recorded after the loading flight departed",IF(AG117&gt;Q117,"COMPLETE – LATE","COMPLETE")))))))))))))))))),IF(TRIM(U117)="Fail","FAIL – DISCREPANCY",IF(AND(TRIM(U117)&lt;&gt;"",TRIM(U117)&lt;&gt;"Not started",TRIM(U117)&lt;&gt;"In progress"),"INVALID – unrecognised status (use the list)",IF(AsOfUTC&gt;Q117,"OVERDUE",IF(N117="Clarification required","OPEN – CLARIFICATION","OPEN")))))))</f>
        <v>OPEN</v>
      </c>
      <c r="AI117" s="61" t="n">
        <f aca="false">IF(OR(AH117="N/A – RULE",AH117="N/A – JUSTIFIED"),0,1)</f>
        <v>1</v>
      </c>
      <c r="AJ117" s="61" t="n">
        <f aca="false">IF(LEFT(AH117,8)="COMPLETE",1,0)</f>
        <v>0</v>
      </c>
      <c r="AK117" s="61" t="n">
        <f aca="false">IF(AND(AI117=1,AJ117=0,AsOfUTC&gt;Q117),1,0)</f>
        <v>0</v>
      </c>
      <c r="AL117" s="61" t="n">
        <f aca="false">IF(AND(AI117=1,OR(TRIM(U117)="Fail",AND(TRIM(AB117)&lt;&gt;"",TRIM(AB117)&lt;&gt;"Closed"),AND(ISNUMBER(AF117),AF117&lt;&gt;0,TRIM(U117)&lt;&gt;"Pass after CA"))),1,0)</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8" t="b">
        <f aca="false">TRUE()</f>
        <v>1</v>
      </c>
    </row>
    <row r="118" customFormat="false" ht="41.25" hidden="false" customHeight="true" outlineLevel="0" collapsed="false">
      <c r="A118" s="57" t="s">
        <v>590</v>
      </c>
      <c r="B118" s="57" t="s">
        <v>210</v>
      </c>
      <c r="C118" s="57" t="str">
        <f aca="false">Flights!$F$8</f>
        <v>MH0088</v>
      </c>
      <c r="D118" s="58" t="n">
        <f aca="false">Flights!$D$8</f>
        <v>46305</v>
      </c>
      <c r="E118" s="57" t="str">
        <f aca="false">Flights!$G$8&amp;"-"&amp;Flights!$H$8</f>
        <v>KUL-NRT</v>
      </c>
      <c r="F118" s="57" t="str">
        <f aca="false">Flights!$K$8</f>
        <v>BC</v>
      </c>
      <c r="G118" s="57" t="s">
        <v>385</v>
      </c>
      <c r="H118" s="57" t="s">
        <v>343</v>
      </c>
      <c r="I118" s="57" t="s">
        <v>412</v>
      </c>
      <c r="J118" s="57" t="s">
        <v>591</v>
      </c>
      <c r="K118" s="67" t="s">
        <v>414</v>
      </c>
      <c r="L118" s="67" t="s">
        <v>592</v>
      </c>
      <c r="M118" s="67" t="s">
        <v>416</v>
      </c>
      <c r="N118" s="67" t="s">
        <v>348</v>
      </c>
      <c r="O118" s="67" t="s">
        <v>468</v>
      </c>
      <c r="P118" s="57" t="s">
        <v>179</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59" t="n">
        <f aca="false">Q118-T12EarlyH/24</f>
        <v>46304.6458333333</v>
      </c>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IF(N118="N/A – rule","N/A – RULE",IF(TRIM(U118)="N/A",IF(AT118=0,"INVALID – N/A not permitted for this mandatory check",IF(AND(TRIM(AC118)&lt;&gt;"",TRIM(AE118)&lt;&gt;"",TRIM(T118)&lt;&gt;"",TRIM(AE118)&lt;&gt;TRIM(T118)),"N/A – JUSTIFIED","INVALID – N/A needs justification, PIC and a different verifier")),IF(OR(TRIM(U118)="Pass",TRIM(U118)="Pass after CA"),IF(NOT(ISNUMBER(AD118)),"INVALID – completion time missing",IF(TRIM(T118)="","INVALID – PIC missing",IF(TRIM(V118)="","INVALID – result / assessment missing",IF(TRIM(Z118)="","INVALID – evidence missing",IF(TRIM(AE118)="","INVALID – verifier missing",IF(TRIM(AE118)=TRIM(T118),"INVALID – verifier must be someone other than the PIC",IF(AND(AQ118=1,TRIM(W118)=""),"INVALID – batch ID missing",IF(AND(AR118=1,OR(NOT(ISNUMBER(X118)),NOT(ISNUMBER(Y118)))),"INVALID – expected/actual qty missing",IF(IF(AND(TRIM(U118)="Pass",ISNUMBER(AF118)),IF(AF118&lt;&gt;0,"INVALID – qty variance: use Fail or Pass after CA",""),"")&amp;IF(AND(TRIM(U118)="Pass",TRIM(AB118)&lt;&gt;"",TRIM(AB118)&lt;&gt;"Closed"),"INVALID – corrective action not closed: use Fail, then Pass after CA","")&amp;IF(AND(TRIM(AA118)&lt;&gt;"",TRIM(AB118)=""),"INVALID – CA status missing for the recorded corrective action","")&amp;IF(AND(TRIM(U118)="Pass after CA",OR(TRIM(AA118)="",TRIM(AB118)&lt;&gt;"Closed")),"INVALID – corrective action not recorded/closed","")&lt;&gt;"",IF(AND(TRIM(U118)="Pass",ISNUMBER(AF118)),IF(AF118&lt;&gt;0,"INVALID – qty variance: use Fail or Pass after CA",""),"")&amp;IF(AND(TRIM(U118)="Pass",TRIM(AB118)&lt;&gt;"",TRIM(AB118)&lt;&gt;"Closed"),"INVALID – corrective action not closed: use Fail, then Pass after CA","")&amp;IF(AND(TRIM(AA118)&lt;&gt;"",TRIM(AB118)=""),"INVALID – CA status missing for the recorded corrective action","")&amp;IF(AND(TRIM(U118)="Pass after CA",OR(TRIM(AA118)="",TRIM(AB118)&lt;&gt;"Closed")),"INVALID – corrective action not recorded/closed",""),IF(AND(AS118=1,Documents!$J$8&lt;&gt;"ON FILE"),"INVALID – GLD not on file (Documents sheet)",IF(AND(AS118=2,Documents!$O$8&lt;&gt;"ON FILE"),"INVALID – menu checklist not on file (Documents sheet)",IF(AND(AS118=3,NOT(ISNUMBER(Flights!$AX$8))),"INVALID – enter carrying flight KUL departure (Flights AX)",IF(AND(AS118=3,OR(Flights!$AX$8&gt;=Flights!$AA$8,Flights!$AX$8&lt;Flights!$AA$8-3)),"INVALID – Flights AX must be before this leg's STD (within 3 days)",IF(AG118&gt;AsOfUTC,"INVALID – completion time is in the future",IF(AND(ISNUMBER(S118),AG118&lt;S118),IF(H118="Physical uplift","INVALID – before uplift window (cannot confirm loading)","INVALID – before valid window"),IF(AG118&gt;Flights!$AA$8,"INVALID – completed after departure (cannot establish readiness)",IF(AND(H118="Physical uplift",AG118&gt;Q118),"INVALID – recorded after the loading flight departed",IF(AG118&gt;Q118,"COMPLETE – LATE","COMPLETE")))))))))))))))))),IF(TRIM(U118)="Fail","FAIL – DISCREPANCY",IF(AND(TRIM(U118)&lt;&gt;"",TRIM(U118)&lt;&gt;"Not started",TRIM(U118)&lt;&gt;"In progress"),"INVALID – unrecognised status (use the list)",IF(AsOfUTC&gt;Q118,"OVERDUE",IF(N118="Clarification required","OPEN – CLARIFICATION","OPEN")))))))</f>
        <v>OPEN</v>
      </c>
      <c r="AI118" s="61" t="n">
        <f aca="false">IF(OR(AH118="N/A – RULE",AH118="N/A – JUSTIFIED"),0,1)</f>
        <v>1</v>
      </c>
      <c r="AJ118" s="61" t="n">
        <f aca="false">IF(LEFT(AH118,8)="COMPLETE",1,0)</f>
        <v>0</v>
      </c>
      <c r="AK118" s="61" t="n">
        <f aca="false">IF(AND(AI118=1,AJ118=0,AsOfUTC&gt;Q118),1,0)</f>
        <v>0</v>
      </c>
      <c r="AL118" s="61" t="n">
        <f aca="false">IF(AND(AI118=1,OR(TRIM(U118)="Fail",AND(TRIM(AB118)&lt;&gt;"",TRIM(AB118)&lt;&gt;"Closed"),AND(ISNUMBER(AF118),AF118&lt;&gt;0,TRIM(U118)&lt;&gt;"Pass after CA"))),1,0)</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8" t="b">
        <f aca="false">TRUE()</f>
        <v>1</v>
      </c>
    </row>
    <row r="119" customFormat="false" ht="39.75" hidden="false" customHeight="true" outlineLevel="0" collapsed="false">
      <c r="A119" s="57" t="s">
        <v>593</v>
      </c>
      <c r="B119" s="57" t="s">
        <v>210</v>
      </c>
      <c r="C119" s="57" t="str">
        <f aca="false">Flights!$F$8</f>
        <v>MH0088</v>
      </c>
      <c r="D119" s="58" t="n">
        <f aca="false">Flights!$D$8</f>
        <v>46305</v>
      </c>
      <c r="E119" s="57" t="str">
        <f aca="false">Flights!$G$8&amp;"-"&amp;Flights!$H$8</f>
        <v>KUL-NRT</v>
      </c>
      <c r="F119" s="57" t="str">
        <f aca="false">Flights!$K$8</f>
        <v>BC</v>
      </c>
      <c r="G119" s="57" t="s">
        <v>385</v>
      </c>
      <c r="H119" s="57" t="s">
        <v>343</v>
      </c>
      <c r="I119" s="57" t="s">
        <v>594</v>
      </c>
      <c r="J119" s="57" t="s">
        <v>595</v>
      </c>
      <c r="K119" s="67" t="s">
        <v>466</v>
      </c>
      <c r="L119" s="67" t="s">
        <v>596</v>
      </c>
      <c r="M119" s="67" t="s">
        <v>179</v>
      </c>
      <c r="N119" s="67" t="s">
        <v>348</v>
      </c>
      <c r="O119" s="67" t="s">
        <v>597</v>
      </c>
      <c r="P119" s="57" t="s">
        <v>179</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59" t="n">
        <f aca="false">Q119-T12EarlyH/24</f>
        <v>46304.6458333333</v>
      </c>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IF(N119="N/A – rule","N/A – RULE",IF(TRIM(U119)="N/A",IF(AT119=0,"INVALID – N/A not permitted for this mandatory check",IF(AND(TRIM(AC119)&lt;&gt;"",TRIM(AE119)&lt;&gt;"",TRIM(T119)&lt;&gt;"",TRIM(AE119)&lt;&gt;TRIM(T119)),"N/A – JUSTIFIED","INVALID – N/A needs justification, PIC and a different verifier")),IF(OR(TRIM(U119)="Pass",TRIM(U119)="Pass after CA"),IF(NOT(ISNUMBER(AD119)),"INVALID – completion time missing",IF(TRIM(T119)="","INVALID – PIC missing",IF(TRIM(V119)="","INVALID – result / assessment missing",IF(TRIM(Z119)="","INVALID – evidence missing",IF(TRIM(AE119)="","INVALID – verifier missing",IF(TRIM(AE119)=TRIM(T119),"INVALID – verifier must be someone other than the PIC",IF(AND(AQ119=1,TRIM(W119)=""),"INVALID – batch ID missing",IF(AND(AR119=1,OR(NOT(ISNUMBER(X119)),NOT(ISNUMBER(Y119)))),"INVALID – expected/actual qty missing",IF(IF(AND(TRIM(U119)="Pass",ISNUMBER(AF119)),IF(AF119&lt;&gt;0,"INVALID – qty variance: use Fail or Pass after CA",""),"")&amp;IF(AND(TRIM(U119)="Pass",TRIM(AB119)&lt;&gt;"",TRIM(AB119)&lt;&gt;"Closed"),"INVALID – corrective action not closed: use Fail, then Pass after CA","")&amp;IF(AND(TRIM(AA119)&lt;&gt;"",TRIM(AB119)=""),"INVALID – CA status missing for the recorded corrective action","")&amp;IF(AND(TRIM(U119)="Pass after CA",OR(TRIM(AA119)="",TRIM(AB119)&lt;&gt;"Closed")),"INVALID – corrective action not recorded/closed","")&lt;&gt;"",IF(AND(TRIM(U119)="Pass",ISNUMBER(AF119)),IF(AF119&lt;&gt;0,"INVALID – qty variance: use Fail or Pass after CA",""),"")&amp;IF(AND(TRIM(U119)="Pass",TRIM(AB119)&lt;&gt;"",TRIM(AB119)&lt;&gt;"Closed"),"INVALID – corrective action not closed: use Fail, then Pass after CA","")&amp;IF(AND(TRIM(AA119)&lt;&gt;"",TRIM(AB119)=""),"INVALID – CA status missing for the recorded corrective action","")&amp;IF(AND(TRIM(U119)="Pass after CA",OR(TRIM(AA119)="",TRIM(AB119)&lt;&gt;"Closed")),"INVALID – corrective action not recorded/closed",""),IF(AND(AS119=1,Documents!$J$8&lt;&gt;"ON FILE"),"INVALID – GLD not on file (Documents sheet)",IF(AND(AS119=2,Documents!$O$8&lt;&gt;"ON FILE"),"INVALID – menu checklist not on file (Documents sheet)",IF(AND(AS119=3,NOT(ISNUMBER(Flights!$AX$8))),"INVALID – enter carrying flight KUL departure (Flights AX)",IF(AND(AS119=3,OR(Flights!$AX$8&gt;=Flights!$AA$8,Flights!$AX$8&lt;Flights!$AA$8-3)),"INVALID – Flights AX must be before this leg's STD (within 3 days)",IF(AG119&gt;AsOfUTC,"INVALID – completion time is in the future",IF(AND(ISNUMBER(S119),AG119&lt;S119),IF(H119="Physical uplift","INVALID – before uplift window (cannot confirm loading)","INVALID – before valid window"),IF(AG119&gt;Flights!$AA$8,"INVALID – completed after departure (cannot establish readiness)",IF(AND(H119="Physical uplift",AG119&gt;Q119),"INVALID – recorded after the loading flight departed",IF(AG119&gt;Q119,"COMPLETE – LATE","COMPLETE")))))))))))))))))),IF(TRIM(U119)="Fail","FAIL – DISCREPANCY",IF(AND(TRIM(U119)&lt;&gt;"",TRIM(U119)&lt;&gt;"Not started",TRIM(U119)&lt;&gt;"In progress"),"INVALID – unrecognised status (use the list)",IF(AsOfUTC&gt;Q119,"OVERDUE",IF(N119="Clarification required","OPEN – CLARIFICATION","OPEN")))))))</f>
        <v>OPEN</v>
      </c>
      <c r="AI119" s="61" t="n">
        <f aca="false">IF(OR(AH119="N/A – RULE",AH119="N/A – JUSTIFIED"),0,1)</f>
        <v>1</v>
      </c>
      <c r="AJ119" s="61" t="n">
        <f aca="false">IF(LEFT(AH119,8)="COMPLETE",1,0)</f>
        <v>0</v>
      </c>
      <c r="AK119" s="61" t="n">
        <f aca="false">IF(AND(AI119=1,AJ119=0,AsOfUTC&gt;Q119),1,0)</f>
        <v>0</v>
      </c>
      <c r="AL119" s="61" t="n">
        <f aca="false">IF(AND(AI119=1,OR(TRIM(U119)="Fail",AND(TRIM(AB119)&lt;&gt;"",TRIM(AB119)&lt;&gt;"Closed"),AND(ISNUMBER(AF119),AF119&lt;&gt;0,TRIM(U119)&lt;&gt;"Pass after CA"))),1,0)</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8" t="b">
        <f aca="false">TRUE()</f>
        <v>1</v>
      </c>
    </row>
    <row r="120" customFormat="false" ht="54" hidden="false" customHeight="true" outlineLevel="0" collapsed="false">
      <c r="A120" s="57" t="s">
        <v>598</v>
      </c>
      <c r="B120" s="57" t="s">
        <v>210</v>
      </c>
      <c r="C120" s="57" t="str">
        <f aca="false">Flights!$F$8</f>
        <v>MH0088</v>
      </c>
      <c r="D120" s="58" t="n">
        <f aca="false">Flights!$D$8</f>
        <v>46305</v>
      </c>
      <c r="E120" s="57" t="str">
        <f aca="false">Flights!$G$8&amp;"-"&amp;Flights!$H$8</f>
        <v>KUL-NRT</v>
      </c>
      <c r="F120" s="57" t="str">
        <f aca="false">Flights!$K$8</f>
        <v>BC</v>
      </c>
      <c r="G120" s="57" t="s">
        <v>385</v>
      </c>
      <c r="H120" s="57" t="s">
        <v>343</v>
      </c>
      <c r="I120" s="57" t="s">
        <v>599</v>
      </c>
      <c r="J120" s="57" t="s">
        <v>600</v>
      </c>
      <c r="K120" s="67" t="s">
        <v>601</v>
      </c>
      <c r="L120" s="67" t="s">
        <v>602</v>
      </c>
      <c r="M120" s="67" t="s">
        <v>416</v>
      </c>
      <c r="N120" s="67" t="s">
        <v>348</v>
      </c>
      <c r="O120" s="67" t="s">
        <v>603</v>
      </c>
      <c r="P120" s="57" t="s">
        <v>179</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59" t="n">
        <f aca="false">Q120-T12EarlyH/24</f>
        <v>46304.6458333333</v>
      </c>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IF(N120="N/A – rule","N/A – RULE",IF(TRIM(U120)="N/A",IF(AT120=0,"INVALID – N/A not permitted for this mandatory check",IF(AND(TRIM(AC120)&lt;&gt;"",TRIM(AE120)&lt;&gt;"",TRIM(T120)&lt;&gt;"",TRIM(AE120)&lt;&gt;TRIM(T120)),"N/A – JUSTIFIED","INVALID – N/A needs justification, PIC and a different verifier")),IF(OR(TRIM(U120)="Pass",TRIM(U120)="Pass after CA"),IF(NOT(ISNUMBER(AD120)),"INVALID – completion time missing",IF(TRIM(T120)="","INVALID – PIC missing",IF(TRIM(V120)="","INVALID – result / assessment missing",IF(TRIM(Z120)="","INVALID – evidence missing",IF(TRIM(AE120)="","INVALID – verifier missing",IF(TRIM(AE120)=TRIM(T120),"INVALID – verifier must be someone other than the PIC",IF(AND(AQ120=1,TRIM(W120)=""),"INVALID – batch ID missing",IF(AND(AR120=1,OR(NOT(ISNUMBER(X120)),NOT(ISNUMBER(Y120)))),"INVALID – expected/actual qty missing",IF(IF(AND(TRIM(U120)="Pass",ISNUMBER(AF120)),IF(AF120&lt;&gt;0,"INVALID – qty variance: use Fail or Pass after CA",""),"")&amp;IF(AND(TRIM(U120)="Pass",TRIM(AB120)&lt;&gt;"",TRIM(AB120)&lt;&gt;"Closed"),"INVALID – corrective action not closed: use Fail, then Pass after CA","")&amp;IF(AND(TRIM(AA120)&lt;&gt;"",TRIM(AB120)=""),"INVALID – CA status missing for the recorded corrective action","")&amp;IF(AND(TRIM(U120)="Pass after CA",OR(TRIM(AA120)="",TRIM(AB120)&lt;&gt;"Closed")),"INVALID – corrective action not recorded/closed","")&lt;&gt;"",IF(AND(TRIM(U120)="Pass",ISNUMBER(AF120)),IF(AF120&lt;&gt;0,"INVALID – qty variance: use Fail or Pass after CA",""),"")&amp;IF(AND(TRIM(U120)="Pass",TRIM(AB120)&lt;&gt;"",TRIM(AB120)&lt;&gt;"Closed"),"INVALID – corrective action not closed: use Fail, then Pass after CA","")&amp;IF(AND(TRIM(AA120)&lt;&gt;"",TRIM(AB120)=""),"INVALID – CA status missing for the recorded corrective action","")&amp;IF(AND(TRIM(U120)="Pass after CA",OR(TRIM(AA120)="",TRIM(AB120)&lt;&gt;"Closed")),"INVALID – corrective action not recorded/closed",""),IF(AND(AS120=1,Documents!$J$8&lt;&gt;"ON FILE"),"INVALID – GLD not on file (Documents sheet)",IF(AND(AS120=2,Documents!$O$8&lt;&gt;"ON FILE"),"INVALID – menu checklist not on file (Documents sheet)",IF(AND(AS120=3,NOT(ISNUMBER(Flights!$AX$8))),"INVALID – enter carrying flight KUL departure (Flights AX)",IF(AND(AS120=3,OR(Flights!$AX$8&gt;=Flights!$AA$8,Flights!$AX$8&lt;Flights!$AA$8-3)),"INVALID – Flights AX must be before this leg's STD (within 3 days)",IF(AG120&gt;AsOfUTC,"INVALID – completion time is in the future",IF(AND(ISNUMBER(S120),AG120&lt;S120),IF(H120="Physical uplift","INVALID – before uplift window (cannot confirm loading)","INVALID – before valid window"),IF(AG120&gt;Flights!$AA$8,"INVALID – completed after departure (cannot establish readiness)",IF(AND(H120="Physical uplift",AG120&gt;Q120),"INVALID – recorded after the loading flight departed",IF(AG120&gt;Q120,"COMPLETE – LATE","COMPLETE")))))))))))))))))),IF(TRIM(U120)="Fail","FAIL – DISCREPANCY",IF(AND(TRIM(U120)&lt;&gt;"",TRIM(U120)&lt;&gt;"Not started",TRIM(U120)&lt;&gt;"In progress"),"INVALID – unrecognised status (use the list)",IF(AsOfUTC&gt;Q120,"OVERDUE",IF(N120="Clarification required","OPEN – CLARIFICATION","OPEN")))))))</f>
        <v>OPEN</v>
      </c>
      <c r="AI120" s="61" t="n">
        <f aca="false">IF(OR(AH120="N/A – RULE",AH120="N/A – JUSTIFIED"),0,1)</f>
        <v>1</v>
      </c>
      <c r="AJ120" s="61" t="n">
        <f aca="false">IF(LEFT(AH120,8)="COMPLETE",1,0)</f>
        <v>0</v>
      </c>
      <c r="AK120" s="61" t="n">
        <f aca="false">IF(AND(AI120=1,AJ120=0,AsOfUTC&gt;Q120),1,0)</f>
        <v>0</v>
      </c>
      <c r="AL120" s="61" t="n">
        <f aca="false">IF(AND(AI120=1,OR(TRIM(U120)="Fail",AND(TRIM(AB120)&lt;&gt;"",TRIM(AB120)&lt;&gt;"Closed"),AND(ISNUMBER(AF120),AF120&lt;&gt;0,TRIM(U120)&lt;&gt;"Pass after CA"))),1,0)</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8" t="b">
        <f aca="false">TRUE()</f>
        <v>1</v>
      </c>
    </row>
    <row r="121" customFormat="false" ht="39.75" hidden="false" customHeight="true" outlineLevel="0" collapsed="false">
      <c r="A121" s="57" t="s">
        <v>604</v>
      </c>
      <c r="B121" s="57" t="s">
        <v>210</v>
      </c>
      <c r="C121" s="57" t="str">
        <f aca="false">Flights!$F$8</f>
        <v>MH0088</v>
      </c>
      <c r="D121" s="58" t="n">
        <f aca="false">Flights!$D$8</f>
        <v>46305</v>
      </c>
      <c r="E121" s="57" t="str">
        <f aca="false">Flights!$G$8&amp;"-"&amp;Flights!$H$8</f>
        <v>KUL-NRT</v>
      </c>
      <c r="F121" s="57" t="str">
        <f aca="false">Flights!$K$8</f>
        <v>BC</v>
      </c>
      <c r="G121" s="57" t="s">
        <v>424</v>
      </c>
      <c r="H121" s="57" t="s">
        <v>425</v>
      </c>
      <c r="I121" s="57" t="s">
        <v>344</v>
      </c>
      <c r="J121" s="57" t="s">
        <v>426</v>
      </c>
      <c r="K121" s="67" t="s">
        <v>391</v>
      </c>
      <c r="L121" s="67" t="s">
        <v>427</v>
      </c>
      <c r="M121" s="67"/>
      <c r="N121" s="67" t="s">
        <v>348</v>
      </c>
      <c r="O121" s="67" t="s">
        <v>428</v>
      </c>
      <c r="P121" s="57" t="s">
        <v>179</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59" t="n">
        <f aca="false">IF(ISNUMBER(Flights!$AY$8),MAX(Q121-UpliftWindowH/24,Flights!$AY$8+UpliftWindowH/24),Q121-UpliftWindowH/24)</f>
        <v>46305.3958333333</v>
      </c>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IF(N121="N/A – rule","N/A – RULE",IF(TRIM(U121)="N/A",IF(AT121=0,"INVALID – N/A not permitted for this mandatory check",IF(AND(TRIM(AC121)&lt;&gt;"",TRIM(AE121)&lt;&gt;"",TRIM(T121)&lt;&gt;"",TRIM(AE121)&lt;&gt;TRIM(T121)),"N/A – JUSTIFIED","INVALID – N/A needs justification, PIC and a different verifier")),IF(OR(TRIM(U121)="Pass",TRIM(U121)="Pass after CA"),IF(NOT(ISNUMBER(AD121)),"INVALID – completion time missing",IF(TRIM(T121)="","INVALID – PIC missing",IF(TRIM(V121)="","INVALID – result / assessment missing",IF(TRIM(Z121)="","INVALID – evidence missing",IF(TRIM(AE121)="","INVALID – verifier missing",IF(TRIM(AE121)=TRIM(T121),"INVALID – verifier must be someone other than the PIC",IF(AND(AQ121=1,TRIM(W121)=""),"INVALID – batch ID missing",IF(AND(AR121=1,OR(NOT(ISNUMBER(X121)),NOT(ISNUMBER(Y121)))),"INVALID – expected/actual qty missing",IF(IF(AND(TRIM(U121)="Pass",ISNUMBER(AF121)),IF(AF121&lt;&gt;0,"INVALID – qty variance: use Fail or Pass after CA",""),"")&amp;IF(AND(TRIM(U121)="Pass",TRIM(AB121)&lt;&gt;"",TRIM(AB121)&lt;&gt;"Closed"),"INVALID – corrective action not closed: use Fail, then Pass after CA","")&amp;IF(AND(TRIM(AA121)&lt;&gt;"",TRIM(AB121)=""),"INVALID – CA status missing for the recorded corrective action","")&amp;IF(AND(TRIM(U121)="Pass after CA",OR(TRIM(AA121)="",TRIM(AB121)&lt;&gt;"Closed")),"INVALID – corrective action not recorded/closed","")&lt;&gt;"",IF(AND(TRIM(U121)="Pass",ISNUMBER(AF121)),IF(AF121&lt;&gt;0,"INVALID – qty variance: use Fail or Pass after CA",""),"")&amp;IF(AND(TRIM(U121)="Pass",TRIM(AB121)&lt;&gt;"",TRIM(AB121)&lt;&gt;"Closed"),"INVALID – corrective action not closed: use Fail, then Pass after CA","")&amp;IF(AND(TRIM(AA121)&lt;&gt;"",TRIM(AB121)=""),"INVALID – CA status missing for the recorded corrective action","")&amp;IF(AND(TRIM(U121)="Pass after CA",OR(TRIM(AA121)="",TRIM(AB121)&lt;&gt;"Closed")),"INVALID – corrective action not recorded/closed",""),IF(AND(AS121=1,Documents!$J$8&lt;&gt;"ON FILE"),"INVALID – GLD not on file (Documents sheet)",IF(AND(AS121=2,Documents!$O$8&lt;&gt;"ON FILE"),"INVALID – menu checklist not on file (Documents sheet)",IF(AND(AS121=3,NOT(ISNUMBER(Flights!$AX$8))),"INVALID – enter carrying flight KUL departure (Flights AX)",IF(AND(AS121=3,OR(Flights!$AX$8&gt;=Flights!$AA$8,Flights!$AX$8&lt;Flights!$AA$8-3)),"INVALID – Flights AX must be before this leg's STD (within 3 days)",IF(AG121&gt;AsOfUTC,"INVALID – completion time is in the future",IF(AND(ISNUMBER(S121),AG121&lt;S121),IF(H121="Physical uplift","INVALID – before uplift window (cannot confirm loading)","INVALID – before valid window"),IF(AG121&gt;Flights!$AA$8,"INVALID – completed after departure (cannot establish readiness)",IF(AND(H121="Physical uplift",AG121&gt;Q121),"INVALID – recorded after the loading flight departed",IF(AG121&gt;Q121,"COMPLETE – LATE","COMPLETE")))))))))))))))))),IF(TRIM(U121)="Fail","FAIL – DISCREPANCY",IF(AND(TRIM(U121)&lt;&gt;"",TRIM(U121)&lt;&gt;"Not started",TRIM(U121)&lt;&gt;"In progress"),"INVALID – unrecognised status (use the list)",IF(AsOfUTC&gt;Q121,"OVERDUE",IF(N121="Clarification required","OPEN – CLARIFICATION","OPEN")))))))</f>
        <v>OPEN</v>
      </c>
      <c r="AI121" s="61" t="n">
        <f aca="false">IF(OR(AH121="N/A – RULE",AH121="N/A – JUSTIFIED"),0,1)</f>
        <v>1</v>
      </c>
      <c r="AJ121" s="61" t="n">
        <f aca="false">IF(LEFT(AH121,8)="COMPLETE",1,0)</f>
        <v>0</v>
      </c>
      <c r="AK121" s="61" t="n">
        <f aca="false">IF(AND(AI121=1,AJ121=0,AsOfUTC&gt;Q121),1,0)</f>
        <v>0</v>
      </c>
      <c r="AL121" s="61" t="n">
        <f aca="false">IF(AND(AI121=1,OR(TRIM(U121)="Fail",AND(TRIM(AB121)&lt;&gt;"",TRIM(AB121)&lt;&gt;"Closed"),AND(ISNUMBER(AF121),AF121&lt;&gt;0,TRIM(U121)&lt;&gt;"Pass after CA"))),1,0)</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row>
    <row r="122" customFormat="false" ht="39.75" hidden="false" customHeight="true" outlineLevel="0" collapsed="false">
      <c r="A122" s="57" t="s">
        <v>605</v>
      </c>
      <c r="B122" s="57" t="s">
        <v>210</v>
      </c>
      <c r="C122" s="57" t="str">
        <f aca="false">Flights!$F$8</f>
        <v>MH0088</v>
      </c>
      <c r="D122" s="58" t="n">
        <f aca="false">Flights!$D$8</f>
        <v>46305</v>
      </c>
      <c r="E122" s="57" t="str">
        <f aca="false">Flights!$G$8&amp;"-"&amp;Flights!$H$8</f>
        <v>KUL-NRT</v>
      </c>
      <c r="F122" s="57" t="str">
        <f aca="false">Flights!$K$8</f>
        <v>BC</v>
      </c>
      <c r="G122" s="57" t="s">
        <v>424</v>
      </c>
      <c r="H122" s="57" t="s">
        <v>425</v>
      </c>
      <c r="I122" s="57" t="s">
        <v>393</v>
      </c>
      <c r="J122" s="57" t="s">
        <v>430</v>
      </c>
      <c r="K122" s="67" t="s">
        <v>391</v>
      </c>
      <c r="L122" s="67" t="s">
        <v>427</v>
      </c>
      <c r="M122" s="67"/>
      <c r="N122" s="67" t="s">
        <v>348</v>
      </c>
      <c r="O122" s="67" t="s">
        <v>428</v>
      </c>
      <c r="P122" s="57" t="s">
        <v>179</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59" t="n">
        <f aca="false">IF(ISNUMBER(Flights!$AY$8),MAX(Q122-UpliftWindowH/24,Flights!$AY$8+UpliftWindowH/24),Q122-UpliftWindowH/24)</f>
        <v>46305.3958333333</v>
      </c>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IF(N122="N/A – rule","N/A – RULE",IF(TRIM(U122)="N/A",IF(AT122=0,"INVALID – N/A not permitted for this mandatory check",IF(AND(TRIM(AC122)&lt;&gt;"",TRIM(AE122)&lt;&gt;"",TRIM(T122)&lt;&gt;"",TRIM(AE122)&lt;&gt;TRIM(T122)),"N/A – JUSTIFIED","INVALID – N/A needs justification, PIC and a different verifier")),IF(OR(TRIM(U122)="Pass",TRIM(U122)="Pass after CA"),IF(NOT(ISNUMBER(AD122)),"INVALID – completion time missing",IF(TRIM(T122)="","INVALID – PIC missing",IF(TRIM(V122)="","INVALID – result / assessment missing",IF(TRIM(Z122)="","INVALID – evidence missing",IF(TRIM(AE122)="","INVALID – verifier missing",IF(TRIM(AE122)=TRIM(T122),"INVALID – verifier must be someone other than the PIC",IF(AND(AQ122=1,TRIM(W122)=""),"INVALID – batch ID missing",IF(AND(AR122=1,OR(NOT(ISNUMBER(X122)),NOT(ISNUMBER(Y122)))),"INVALID – expected/actual qty missing",IF(IF(AND(TRIM(U122)="Pass",ISNUMBER(AF122)),IF(AF122&lt;&gt;0,"INVALID – qty variance: use Fail or Pass after CA",""),"")&amp;IF(AND(TRIM(U122)="Pass",TRIM(AB122)&lt;&gt;"",TRIM(AB122)&lt;&gt;"Closed"),"INVALID – corrective action not closed: use Fail, then Pass after CA","")&amp;IF(AND(TRIM(AA122)&lt;&gt;"",TRIM(AB122)=""),"INVALID – CA status missing for the recorded corrective action","")&amp;IF(AND(TRIM(U122)="Pass after CA",OR(TRIM(AA122)="",TRIM(AB122)&lt;&gt;"Closed")),"INVALID – corrective action not recorded/closed","")&lt;&gt;"",IF(AND(TRIM(U122)="Pass",ISNUMBER(AF122)),IF(AF122&lt;&gt;0,"INVALID – qty variance: use Fail or Pass after CA",""),"")&amp;IF(AND(TRIM(U122)="Pass",TRIM(AB122)&lt;&gt;"",TRIM(AB122)&lt;&gt;"Closed"),"INVALID – corrective action not closed: use Fail, then Pass after CA","")&amp;IF(AND(TRIM(AA122)&lt;&gt;"",TRIM(AB122)=""),"INVALID – CA status missing for the recorded corrective action","")&amp;IF(AND(TRIM(U122)="Pass after CA",OR(TRIM(AA122)="",TRIM(AB122)&lt;&gt;"Closed")),"INVALID – corrective action not recorded/closed",""),IF(AND(AS122=1,Documents!$J$8&lt;&gt;"ON FILE"),"INVALID – GLD not on file (Documents sheet)",IF(AND(AS122=2,Documents!$O$8&lt;&gt;"ON FILE"),"INVALID – menu checklist not on file (Documents sheet)",IF(AND(AS122=3,NOT(ISNUMBER(Flights!$AX$8))),"INVALID – enter carrying flight KUL departure (Flights AX)",IF(AND(AS122=3,OR(Flights!$AX$8&gt;=Flights!$AA$8,Flights!$AX$8&lt;Flights!$AA$8-3)),"INVALID – Flights AX must be before this leg's STD (within 3 days)",IF(AG122&gt;AsOfUTC,"INVALID – completion time is in the future",IF(AND(ISNUMBER(S122),AG122&lt;S122),IF(H122="Physical uplift","INVALID – before uplift window (cannot confirm loading)","INVALID – before valid window"),IF(AG122&gt;Flights!$AA$8,"INVALID – completed after departure (cannot establish readiness)",IF(AND(H122="Physical uplift",AG122&gt;Q122),"INVALID – recorded after the loading flight departed",IF(AG122&gt;Q122,"COMPLETE – LATE","COMPLETE")))))))))))))))))),IF(TRIM(U122)="Fail","FAIL – DISCREPANCY",IF(AND(TRIM(U122)&lt;&gt;"",TRIM(U122)&lt;&gt;"Not started",TRIM(U122)&lt;&gt;"In progress"),"INVALID – unrecognised status (use the list)",IF(AsOfUTC&gt;Q122,"OVERDUE",IF(N122="Clarification required","OPEN – CLARIFICATION","OPEN")))))))</f>
        <v>OPEN</v>
      </c>
      <c r="AI122" s="61" t="n">
        <f aca="false">IF(OR(AH122="N/A – RULE",AH122="N/A – JUSTIFIED"),0,1)</f>
        <v>1</v>
      </c>
      <c r="AJ122" s="61" t="n">
        <f aca="false">IF(LEFT(AH122,8)="COMPLETE",1,0)</f>
        <v>0</v>
      </c>
      <c r="AK122" s="61" t="n">
        <f aca="false">IF(AND(AI122=1,AJ122=0,AsOfUTC&gt;Q122),1,0)</f>
        <v>0</v>
      </c>
      <c r="AL122" s="61" t="n">
        <f aca="false">IF(AND(AI122=1,OR(TRIM(U122)="Fail",AND(TRIM(AB122)&lt;&gt;"",TRIM(AB122)&lt;&gt;"Closed"),AND(ISNUMBER(AF122),AF122&lt;&gt;0,TRIM(U122)&lt;&gt;"Pass after CA"))),1,0)</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row>
    <row r="123" customFormat="false" ht="39.75" hidden="false" customHeight="true" outlineLevel="0" collapsed="false">
      <c r="A123" s="57" t="s">
        <v>606</v>
      </c>
      <c r="B123" s="57" t="s">
        <v>210</v>
      </c>
      <c r="C123" s="57" t="str">
        <f aca="false">Flights!$F$8</f>
        <v>MH0088</v>
      </c>
      <c r="D123" s="58" t="n">
        <f aca="false">Flights!$D$8</f>
        <v>46305</v>
      </c>
      <c r="E123" s="57" t="str">
        <f aca="false">Flights!$G$8&amp;"-"&amp;Flights!$H$8</f>
        <v>KUL-NRT</v>
      </c>
      <c r="F123" s="57" t="str">
        <f aca="false">Flights!$K$8</f>
        <v>BC</v>
      </c>
      <c r="G123" s="57" t="s">
        <v>424</v>
      </c>
      <c r="H123" s="57" t="s">
        <v>425</v>
      </c>
      <c r="I123" s="57" t="s">
        <v>405</v>
      </c>
      <c r="J123" s="57" t="s">
        <v>432</v>
      </c>
      <c r="K123" s="67" t="s">
        <v>466</v>
      </c>
      <c r="L123" s="67" t="s">
        <v>566</v>
      </c>
      <c r="M123" s="67" t="s">
        <v>179</v>
      </c>
      <c r="N123" s="67" t="s">
        <v>348</v>
      </c>
      <c r="O123" s="67"/>
      <c r="P123" s="57" t="s">
        <v>179</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59" t="n">
        <f aca="false">IF(ISNUMBER(Flights!$AY$8),MAX(Q123-UpliftWindowH/24,Flights!$AY$8+UpliftWindowH/24),Q123-UpliftWindowH/24)</f>
        <v>46305.3958333333</v>
      </c>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IF(N123="N/A – rule","N/A – RULE",IF(TRIM(U123)="N/A",IF(AT123=0,"INVALID – N/A not permitted for this mandatory check",IF(AND(TRIM(AC123)&lt;&gt;"",TRIM(AE123)&lt;&gt;"",TRIM(T123)&lt;&gt;"",TRIM(AE123)&lt;&gt;TRIM(T123)),"N/A – JUSTIFIED","INVALID – N/A needs justification, PIC and a different verifier")),IF(OR(TRIM(U123)="Pass",TRIM(U123)="Pass after CA"),IF(NOT(ISNUMBER(AD123)),"INVALID – completion time missing",IF(TRIM(T123)="","INVALID – PIC missing",IF(TRIM(V123)="","INVALID – result / assessment missing",IF(TRIM(Z123)="","INVALID – evidence missing",IF(TRIM(AE123)="","INVALID – verifier missing",IF(TRIM(AE123)=TRIM(T123),"INVALID – verifier must be someone other than the PIC",IF(AND(AQ123=1,TRIM(W123)=""),"INVALID – batch ID missing",IF(AND(AR123=1,OR(NOT(ISNUMBER(X123)),NOT(ISNUMBER(Y123)))),"INVALID – expected/actual qty missing",IF(IF(AND(TRIM(U123)="Pass",ISNUMBER(AF123)),IF(AF123&lt;&gt;0,"INVALID – qty variance: use Fail or Pass after CA",""),"")&amp;IF(AND(TRIM(U123)="Pass",TRIM(AB123)&lt;&gt;"",TRIM(AB123)&lt;&gt;"Closed"),"INVALID – corrective action not closed: use Fail, then Pass after CA","")&amp;IF(AND(TRIM(AA123)&lt;&gt;"",TRIM(AB123)=""),"INVALID – CA status missing for the recorded corrective action","")&amp;IF(AND(TRIM(U123)="Pass after CA",OR(TRIM(AA123)="",TRIM(AB123)&lt;&gt;"Closed")),"INVALID – corrective action not recorded/closed","")&lt;&gt;"",IF(AND(TRIM(U123)="Pass",ISNUMBER(AF123)),IF(AF123&lt;&gt;0,"INVALID – qty variance: use Fail or Pass after CA",""),"")&amp;IF(AND(TRIM(U123)="Pass",TRIM(AB123)&lt;&gt;"",TRIM(AB123)&lt;&gt;"Closed"),"INVALID – corrective action not closed: use Fail, then Pass after CA","")&amp;IF(AND(TRIM(AA123)&lt;&gt;"",TRIM(AB123)=""),"INVALID – CA status missing for the recorded corrective action","")&amp;IF(AND(TRIM(U123)="Pass after CA",OR(TRIM(AA123)="",TRIM(AB123)&lt;&gt;"Closed")),"INVALID – corrective action not recorded/closed",""),IF(AND(AS123=1,Documents!$J$8&lt;&gt;"ON FILE"),"INVALID – GLD not on file (Documents sheet)",IF(AND(AS123=2,Documents!$O$8&lt;&gt;"ON FILE"),"INVALID – menu checklist not on file (Documents sheet)",IF(AND(AS123=3,NOT(ISNUMBER(Flights!$AX$8))),"INVALID – enter carrying flight KUL departure (Flights AX)",IF(AND(AS123=3,OR(Flights!$AX$8&gt;=Flights!$AA$8,Flights!$AX$8&lt;Flights!$AA$8-3)),"INVALID – Flights AX must be before this leg's STD (within 3 days)",IF(AG123&gt;AsOfUTC,"INVALID – completion time is in the future",IF(AND(ISNUMBER(S123),AG123&lt;S123),IF(H123="Physical uplift","INVALID – before uplift window (cannot confirm loading)","INVALID – before valid window"),IF(AG123&gt;Flights!$AA$8,"INVALID – completed after departure (cannot establish readiness)",IF(AND(H123="Physical uplift",AG123&gt;Q123),"INVALID – recorded after the loading flight departed",IF(AG123&gt;Q123,"COMPLETE – LATE","COMPLETE")))))))))))))))))),IF(TRIM(U123)="Fail","FAIL – DISCREPANCY",IF(AND(TRIM(U123)&lt;&gt;"",TRIM(U123)&lt;&gt;"Not started",TRIM(U123)&lt;&gt;"In progress"),"INVALID – unrecognised status (use the list)",IF(AsOfUTC&gt;Q123,"OVERDUE",IF(N123="Clarification required","OPEN – CLARIFICATION","OPEN")))))))</f>
        <v>OPEN</v>
      </c>
      <c r="AI123" s="61" t="n">
        <f aca="false">IF(OR(AH123="N/A – RULE",AH123="N/A – JUSTIFIED"),0,1)</f>
        <v>1</v>
      </c>
      <c r="AJ123" s="61" t="n">
        <f aca="false">IF(LEFT(AH123,8)="COMPLETE",1,0)</f>
        <v>0</v>
      </c>
      <c r="AK123" s="61" t="n">
        <f aca="false">IF(AND(AI123=1,AJ123=0,AsOfUTC&gt;Q123),1,0)</f>
        <v>0</v>
      </c>
      <c r="AL123" s="61" t="n">
        <f aca="false">IF(AND(AI123=1,OR(TRIM(U123)="Fail",AND(TRIM(AB123)&lt;&gt;"",TRIM(AB123)&lt;&gt;"Closed"),AND(ISNUMBER(AF123),AF123&lt;&gt;0,TRIM(U123)&lt;&gt;"Pass after CA"))),1,0)</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8" t="b">
        <f aca="false">TRUE()</f>
        <v>1</v>
      </c>
    </row>
    <row r="124" customFormat="false" ht="39.75" hidden="false" customHeight="true" outlineLevel="0" collapsed="false">
      <c r="A124" s="57" t="s">
        <v>607</v>
      </c>
      <c r="B124" s="57" t="s">
        <v>210</v>
      </c>
      <c r="C124" s="57" t="str">
        <f aca="false">Flights!$F$8</f>
        <v>MH0088</v>
      </c>
      <c r="D124" s="58" t="n">
        <f aca="false">Flights!$D$8</f>
        <v>46305</v>
      </c>
      <c r="E124" s="57" t="str">
        <f aca="false">Flights!$G$8&amp;"-"&amp;Flights!$H$8</f>
        <v>KUL-NRT</v>
      </c>
      <c r="F124" s="57" t="str">
        <f aca="false">Flights!$K$8</f>
        <v>BC</v>
      </c>
      <c r="G124" s="57" t="s">
        <v>424</v>
      </c>
      <c r="H124" s="57" t="s">
        <v>425</v>
      </c>
      <c r="I124" s="57" t="s">
        <v>405</v>
      </c>
      <c r="J124" s="57" t="s">
        <v>608</v>
      </c>
      <c r="K124" s="67" t="s">
        <v>466</v>
      </c>
      <c r="L124" s="67" t="s">
        <v>569</v>
      </c>
      <c r="M124" s="67" t="s">
        <v>179</v>
      </c>
      <c r="N124" s="67" t="s">
        <v>348</v>
      </c>
      <c r="O124" s="67"/>
      <c r="P124" s="57" t="s">
        <v>179</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59" t="n">
        <f aca="false">IF(ISNUMBER(Flights!$AY$8),MAX(Q124-UpliftWindowH/24,Flights!$AY$8+UpliftWindowH/24),Q124-UpliftWindowH/24)</f>
        <v>46305.3958333333</v>
      </c>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IF(N124="N/A – rule","N/A – RULE",IF(TRIM(U124)="N/A",IF(AT124=0,"INVALID – N/A not permitted for this mandatory check",IF(AND(TRIM(AC124)&lt;&gt;"",TRIM(AE124)&lt;&gt;"",TRIM(T124)&lt;&gt;"",TRIM(AE124)&lt;&gt;TRIM(T124)),"N/A – JUSTIFIED","INVALID – N/A needs justification, PIC and a different verifier")),IF(OR(TRIM(U124)="Pass",TRIM(U124)="Pass after CA"),IF(NOT(ISNUMBER(AD124)),"INVALID – completion time missing",IF(TRIM(T124)="","INVALID – PIC missing",IF(TRIM(V124)="","INVALID – result / assessment missing",IF(TRIM(Z124)="","INVALID – evidence missing",IF(TRIM(AE124)="","INVALID – verifier missing",IF(TRIM(AE124)=TRIM(T124),"INVALID – verifier must be someone other than the PIC",IF(AND(AQ124=1,TRIM(W124)=""),"INVALID – batch ID missing",IF(AND(AR124=1,OR(NOT(ISNUMBER(X124)),NOT(ISNUMBER(Y124)))),"INVALID – expected/actual qty missing",IF(IF(AND(TRIM(U124)="Pass",ISNUMBER(AF124)),IF(AF124&lt;&gt;0,"INVALID – qty variance: use Fail or Pass after CA",""),"")&amp;IF(AND(TRIM(U124)="Pass",TRIM(AB124)&lt;&gt;"",TRIM(AB124)&lt;&gt;"Closed"),"INVALID – corrective action not closed: use Fail, then Pass after CA","")&amp;IF(AND(TRIM(AA124)&lt;&gt;"",TRIM(AB124)=""),"INVALID – CA status missing for the recorded corrective action","")&amp;IF(AND(TRIM(U124)="Pass after CA",OR(TRIM(AA124)="",TRIM(AB124)&lt;&gt;"Closed")),"INVALID – corrective action not recorded/closed","")&lt;&gt;"",IF(AND(TRIM(U124)="Pass",ISNUMBER(AF124)),IF(AF124&lt;&gt;0,"INVALID – qty variance: use Fail or Pass after CA",""),"")&amp;IF(AND(TRIM(U124)="Pass",TRIM(AB124)&lt;&gt;"",TRIM(AB124)&lt;&gt;"Closed"),"INVALID – corrective action not closed: use Fail, then Pass after CA","")&amp;IF(AND(TRIM(AA124)&lt;&gt;"",TRIM(AB124)=""),"INVALID – CA status missing for the recorded corrective action","")&amp;IF(AND(TRIM(U124)="Pass after CA",OR(TRIM(AA124)="",TRIM(AB124)&lt;&gt;"Closed")),"INVALID – corrective action not recorded/closed",""),IF(AND(AS124=1,Documents!$J$8&lt;&gt;"ON FILE"),"INVALID – GLD not on file (Documents sheet)",IF(AND(AS124=2,Documents!$O$8&lt;&gt;"ON FILE"),"INVALID – menu checklist not on file (Documents sheet)",IF(AND(AS124=3,NOT(ISNUMBER(Flights!$AX$8))),"INVALID – enter carrying flight KUL departure (Flights AX)",IF(AND(AS124=3,OR(Flights!$AX$8&gt;=Flights!$AA$8,Flights!$AX$8&lt;Flights!$AA$8-3)),"INVALID – Flights AX must be before this leg's STD (within 3 days)",IF(AG124&gt;AsOfUTC,"INVALID – completion time is in the future",IF(AND(ISNUMBER(S124),AG124&lt;S124),IF(H124="Physical uplift","INVALID – before uplift window (cannot confirm loading)","INVALID – before valid window"),IF(AG124&gt;Flights!$AA$8,"INVALID – completed after departure (cannot establish readiness)",IF(AND(H124="Physical uplift",AG124&gt;Q124),"INVALID – recorded after the loading flight departed",IF(AG124&gt;Q124,"COMPLETE – LATE","COMPLETE")))))))))))))))))),IF(TRIM(U124)="Fail","FAIL – DISCREPANCY",IF(AND(TRIM(U124)&lt;&gt;"",TRIM(U124)&lt;&gt;"Not started",TRIM(U124)&lt;&gt;"In progress"),"INVALID – unrecognised status (use the list)",IF(AsOfUTC&gt;Q124,"OVERDUE",IF(N124="Clarification required","OPEN – CLARIFICATION","OPEN")))))))</f>
        <v>OPEN</v>
      </c>
      <c r="AI124" s="61" t="n">
        <f aca="false">IF(OR(AH124="N/A – RULE",AH124="N/A – JUSTIFIED"),0,1)</f>
        <v>1</v>
      </c>
      <c r="AJ124" s="61" t="n">
        <f aca="false">IF(LEFT(AH124,8)="COMPLETE",1,0)</f>
        <v>0</v>
      </c>
      <c r="AK124" s="61" t="n">
        <f aca="false">IF(AND(AI124=1,AJ124=0,AsOfUTC&gt;Q124),1,0)</f>
        <v>0</v>
      </c>
      <c r="AL124" s="61" t="n">
        <f aca="false">IF(AND(AI124=1,OR(TRIM(U124)="Fail",AND(TRIM(AB124)&lt;&gt;"",TRIM(AB124)&lt;&gt;"Closed"),AND(ISNUMBER(AF124),AF124&lt;&gt;0,TRIM(U124)&lt;&gt;"Pass after CA"))),1,0)</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8" t="b">
        <f aca="false">TRUE()</f>
        <v>1</v>
      </c>
    </row>
    <row r="125" customFormat="false" ht="39.75" hidden="false" customHeight="true" outlineLevel="0" collapsed="false">
      <c r="A125" s="57" t="s">
        <v>609</v>
      </c>
      <c r="B125" s="57" t="s">
        <v>210</v>
      </c>
      <c r="C125" s="57" t="str">
        <f aca="false">Flights!$F$8</f>
        <v>MH0088</v>
      </c>
      <c r="D125" s="58" t="n">
        <f aca="false">Flights!$D$8</f>
        <v>46305</v>
      </c>
      <c r="E125" s="57" t="str">
        <f aca="false">Flights!$G$8&amp;"-"&amp;Flights!$H$8</f>
        <v>KUL-NRT</v>
      </c>
      <c r="F125" s="57" t="str">
        <f aca="false">Flights!$K$8</f>
        <v>BC</v>
      </c>
      <c r="G125" s="57" t="s">
        <v>424</v>
      </c>
      <c r="H125" s="57" t="s">
        <v>425</v>
      </c>
      <c r="I125" s="57" t="s">
        <v>464</v>
      </c>
      <c r="J125" s="57" t="s">
        <v>502</v>
      </c>
      <c r="K125" s="67" t="s">
        <v>466</v>
      </c>
      <c r="L125" s="67" t="s">
        <v>571</v>
      </c>
      <c r="M125" s="67" t="s">
        <v>416</v>
      </c>
      <c r="N125" s="67" t="s">
        <v>348</v>
      </c>
      <c r="O125" s="67"/>
      <c r="P125" s="57" t="s">
        <v>179</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59" t="n">
        <f aca="false">IF(ISNUMBER(Flights!$AY$8),MAX(Q125-UpliftWindowH/24,Flights!$AY$8+UpliftWindowH/24),Q125-UpliftWindowH/24)</f>
        <v>46305.3958333333</v>
      </c>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IF(N125="N/A – rule","N/A – RULE",IF(TRIM(U125)="N/A",IF(AT125=0,"INVALID – N/A not permitted for this mandatory check",IF(AND(TRIM(AC125)&lt;&gt;"",TRIM(AE125)&lt;&gt;"",TRIM(T125)&lt;&gt;"",TRIM(AE125)&lt;&gt;TRIM(T125)),"N/A – JUSTIFIED","INVALID – N/A needs justification, PIC and a different verifier")),IF(OR(TRIM(U125)="Pass",TRIM(U125)="Pass after CA"),IF(NOT(ISNUMBER(AD125)),"INVALID – completion time missing",IF(TRIM(T125)="","INVALID – PIC missing",IF(TRIM(V125)="","INVALID – result / assessment missing",IF(TRIM(Z125)="","INVALID – evidence missing",IF(TRIM(AE125)="","INVALID – verifier missing",IF(TRIM(AE125)=TRIM(T125),"INVALID – verifier must be someone other than the PIC",IF(AND(AQ125=1,TRIM(W125)=""),"INVALID – batch ID missing",IF(AND(AR125=1,OR(NOT(ISNUMBER(X125)),NOT(ISNUMBER(Y125)))),"INVALID – expected/actual qty missing",IF(IF(AND(TRIM(U125)="Pass",ISNUMBER(AF125)),IF(AF125&lt;&gt;0,"INVALID – qty variance: use Fail or Pass after CA",""),"")&amp;IF(AND(TRIM(U125)="Pass",TRIM(AB125)&lt;&gt;"",TRIM(AB125)&lt;&gt;"Closed"),"INVALID – corrective action not closed: use Fail, then Pass after CA","")&amp;IF(AND(TRIM(AA125)&lt;&gt;"",TRIM(AB125)=""),"INVALID – CA status missing for the recorded corrective action","")&amp;IF(AND(TRIM(U125)="Pass after CA",OR(TRIM(AA125)="",TRIM(AB125)&lt;&gt;"Closed")),"INVALID – corrective action not recorded/closed","")&lt;&gt;"",IF(AND(TRIM(U125)="Pass",ISNUMBER(AF125)),IF(AF125&lt;&gt;0,"INVALID – qty variance: use Fail or Pass after CA",""),"")&amp;IF(AND(TRIM(U125)="Pass",TRIM(AB125)&lt;&gt;"",TRIM(AB125)&lt;&gt;"Closed"),"INVALID – corrective action not closed: use Fail, then Pass after CA","")&amp;IF(AND(TRIM(AA125)&lt;&gt;"",TRIM(AB125)=""),"INVALID – CA status missing for the recorded corrective action","")&amp;IF(AND(TRIM(U125)="Pass after CA",OR(TRIM(AA125)="",TRIM(AB125)&lt;&gt;"Closed")),"INVALID – corrective action not recorded/closed",""),IF(AND(AS125=1,Documents!$J$8&lt;&gt;"ON FILE"),"INVALID – GLD not on file (Documents sheet)",IF(AND(AS125=2,Documents!$O$8&lt;&gt;"ON FILE"),"INVALID – menu checklist not on file (Documents sheet)",IF(AND(AS125=3,NOT(ISNUMBER(Flights!$AX$8))),"INVALID – enter carrying flight KUL departure (Flights AX)",IF(AND(AS125=3,OR(Flights!$AX$8&gt;=Flights!$AA$8,Flights!$AX$8&lt;Flights!$AA$8-3)),"INVALID – Flights AX must be before this leg's STD (within 3 days)",IF(AG125&gt;AsOfUTC,"INVALID – completion time is in the future",IF(AND(ISNUMBER(S125),AG125&lt;S125),IF(H125="Physical uplift","INVALID – before uplift window (cannot confirm loading)","INVALID – before valid window"),IF(AG125&gt;Flights!$AA$8,"INVALID – completed after departure (cannot establish readiness)",IF(AND(H125="Physical uplift",AG125&gt;Q125),"INVALID – recorded after the loading flight departed",IF(AG125&gt;Q125,"COMPLETE – LATE","COMPLETE")))))))))))))))))),IF(TRIM(U125)="Fail","FAIL – DISCREPANCY",IF(AND(TRIM(U125)&lt;&gt;"",TRIM(U125)&lt;&gt;"Not started",TRIM(U125)&lt;&gt;"In progress"),"INVALID – unrecognised status (use the list)",IF(AsOfUTC&gt;Q125,"OVERDUE",IF(N125="Clarification required","OPEN – CLARIFICATION","OPEN")))))))</f>
        <v>OPEN</v>
      </c>
      <c r="AI125" s="61" t="n">
        <f aca="false">IF(OR(AH125="N/A – RULE",AH125="N/A – JUSTIFIED"),0,1)</f>
        <v>1</v>
      </c>
      <c r="AJ125" s="61" t="n">
        <f aca="false">IF(LEFT(AH125,8)="COMPLETE",1,0)</f>
        <v>0</v>
      </c>
      <c r="AK125" s="61" t="n">
        <f aca="false">IF(AND(AI125=1,AJ125=0,AsOfUTC&gt;Q125),1,0)</f>
        <v>0</v>
      </c>
      <c r="AL125" s="61" t="n">
        <f aca="false">IF(AND(AI125=1,OR(TRIM(U125)="Fail",AND(TRIM(AB125)&lt;&gt;"",TRIM(AB125)&lt;&gt;"Closed"),AND(ISNUMBER(AF125),AF125&lt;&gt;0,TRIM(U125)&lt;&gt;"Pass after CA"))),1,0)</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8" t="b">
        <f aca="false">TRUE()</f>
        <v>1</v>
      </c>
    </row>
    <row r="126" customFormat="false" ht="39.75" hidden="false" customHeight="true" outlineLevel="0" collapsed="false">
      <c r="A126" s="57" t="s">
        <v>610</v>
      </c>
      <c r="B126" s="57" t="s">
        <v>210</v>
      </c>
      <c r="C126" s="57" t="str">
        <f aca="false">Flights!$F$8</f>
        <v>MH0088</v>
      </c>
      <c r="D126" s="58" t="n">
        <f aca="false">Flights!$D$8</f>
        <v>46305</v>
      </c>
      <c r="E126" s="57" t="str">
        <f aca="false">Flights!$G$8&amp;"-"&amp;Flights!$H$8</f>
        <v>KUL-NRT</v>
      </c>
      <c r="F126" s="57" t="str">
        <f aca="false">Flights!$K$8</f>
        <v>BC</v>
      </c>
      <c r="G126" s="57" t="s">
        <v>424</v>
      </c>
      <c r="H126" s="57" t="s">
        <v>425</v>
      </c>
      <c r="I126" s="57" t="s">
        <v>464</v>
      </c>
      <c r="J126" s="57" t="s">
        <v>504</v>
      </c>
      <c r="K126" s="67" t="s">
        <v>466</v>
      </c>
      <c r="L126" s="67" t="s">
        <v>573</v>
      </c>
      <c r="M126" s="67" t="s">
        <v>416</v>
      </c>
      <c r="N126" s="67" t="s">
        <v>348</v>
      </c>
      <c r="O126" s="67"/>
      <c r="P126" s="57" t="s">
        <v>179</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59" t="n">
        <f aca="false">IF(ISNUMBER(Flights!$AY$8),MAX(Q126-UpliftWindowH/24,Flights!$AY$8+UpliftWindowH/24),Q126-UpliftWindowH/24)</f>
        <v>46305.3958333333</v>
      </c>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IF(N126="N/A – rule","N/A – RULE",IF(TRIM(U126)="N/A",IF(AT126=0,"INVALID – N/A not permitted for this mandatory check",IF(AND(TRIM(AC126)&lt;&gt;"",TRIM(AE126)&lt;&gt;"",TRIM(T126)&lt;&gt;"",TRIM(AE126)&lt;&gt;TRIM(T126)),"N/A – JUSTIFIED","INVALID – N/A needs justification, PIC and a different verifier")),IF(OR(TRIM(U126)="Pass",TRIM(U126)="Pass after CA"),IF(NOT(ISNUMBER(AD126)),"INVALID – completion time missing",IF(TRIM(T126)="","INVALID – PIC missing",IF(TRIM(V126)="","INVALID – result / assessment missing",IF(TRIM(Z126)="","INVALID – evidence missing",IF(TRIM(AE126)="","INVALID – verifier missing",IF(TRIM(AE126)=TRIM(T126),"INVALID – verifier must be someone other than the PIC",IF(AND(AQ126=1,TRIM(W126)=""),"INVALID – batch ID missing",IF(AND(AR126=1,OR(NOT(ISNUMBER(X126)),NOT(ISNUMBER(Y126)))),"INVALID – expected/actual qty missing",IF(IF(AND(TRIM(U126)="Pass",ISNUMBER(AF126)),IF(AF126&lt;&gt;0,"INVALID – qty variance: use Fail or Pass after CA",""),"")&amp;IF(AND(TRIM(U126)="Pass",TRIM(AB126)&lt;&gt;"",TRIM(AB126)&lt;&gt;"Closed"),"INVALID – corrective action not closed: use Fail, then Pass after CA","")&amp;IF(AND(TRIM(AA126)&lt;&gt;"",TRIM(AB126)=""),"INVALID – CA status missing for the recorded corrective action","")&amp;IF(AND(TRIM(U126)="Pass after CA",OR(TRIM(AA126)="",TRIM(AB126)&lt;&gt;"Closed")),"INVALID – corrective action not recorded/closed","")&lt;&gt;"",IF(AND(TRIM(U126)="Pass",ISNUMBER(AF126)),IF(AF126&lt;&gt;0,"INVALID – qty variance: use Fail or Pass after CA",""),"")&amp;IF(AND(TRIM(U126)="Pass",TRIM(AB126)&lt;&gt;"",TRIM(AB126)&lt;&gt;"Closed"),"INVALID – corrective action not closed: use Fail, then Pass after CA","")&amp;IF(AND(TRIM(AA126)&lt;&gt;"",TRIM(AB126)=""),"INVALID – CA status missing for the recorded corrective action","")&amp;IF(AND(TRIM(U126)="Pass after CA",OR(TRIM(AA126)="",TRIM(AB126)&lt;&gt;"Closed")),"INVALID – corrective action not recorded/closed",""),IF(AND(AS126=1,Documents!$J$8&lt;&gt;"ON FILE"),"INVALID – GLD not on file (Documents sheet)",IF(AND(AS126=2,Documents!$O$8&lt;&gt;"ON FILE"),"INVALID – menu checklist not on file (Documents sheet)",IF(AND(AS126=3,NOT(ISNUMBER(Flights!$AX$8))),"INVALID – enter carrying flight KUL departure (Flights AX)",IF(AND(AS126=3,OR(Flights!$AX$8&gt;=Flights!$AA$8,Flights!$AX$8&lt;Flights!$AA$8-3)),"INVALID – Flights AX must be before this leg's STD (within 3 days)",IF(AG126&gt;AsOfUTC,"INVALID – completion time is in the future",IF(AND(ISNUMBER(S126),AG126&lt;S126),IF(H126="Physical uplift","INVALID – before uplift window (cannot confirm loading)","INVALID – before valid window"),IF(AG126&gt;Flights!$AA$8,"INVALID – completed after departure (cannot establish readiness)",IF(AND(H126="Physical uplift",AG126&gt;Q126),"INVALID – recorded after the loading flight departed",IF(AG126&gt;Q126,"COMPLETE – LATE","COMPLETE")))))))))))))))))),IF(TRIM(U126)="Fail","FAIL – DISCREPANCY",IF(AND(TRIM(U126)&lt;&gt;"",TRIM(U126)&lt;&gt;"Not started",TRIM(U126)&lt;&gt;"In progress"),"INVALID – unrecognised status (use the list)",IF(AsOfUTC&gt;Q126,"OVERDUE",IF(N126="Clarification required","OPEN – CLARIFICATION","OPEN")))))))</f>
        <v>OPEN</v>
      </c>
      <c r="AI126" s="61" t="n">
        <f aca="false">IF(OR(AH126="N/A – RULE",AH126="N/A – JUSTIFIED"),0,1)</f>
        <v>1</v>
      </c>
      <c r="AJ126" s="61" t="n">
        <f aca="false">IF(LEFT(AH126,8)="COMPLETE",1,0)</f>
        <v>0</v>
      </c>
      <c r="AK126" s="61" t="n">
        <f aca="false">IF(AND(AI126=1,AJ126=0,AsOfUTC&gt;Q126),1,0)</f>
        <v>0</v>
      </c>
      <c r="AL126" s="61" t="n">
        <f aca="false">IF(AND(AI126=1,OR(TRIM(U126)="Fail",AND(TRIM(AB126)&lt;&gt;"",TRIM(AB126)&lt;&gt;"Closed"),AND(ISNUMBER(AF126),AF126&lt;&gt;0,TRIM(U126)&lt;&gt;"Pass after CA"))),1,0)</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8" t="b">
        <f aca="false">TRUE()</f>
        <v>1</v>
      </c>
    </row>
    <row r="127" customFormat="false" ht="39.75" hidden="false" customHeight="true" outlineLevel="0" collapsed="false">
      <c r="A127" s="57" t="s">
        <v>611</v>
      </c>
      <c r="B127" s="57" t="s">
        <v>210</v>
      </c>
      <c r="C127" s="57" t="str">
        <f aca="false">Flights!$F$8</f>
        <v>MH0088</v>
      </c>
      <c r="D127" s="58" t="n">
        <f aca="false">Flights!$D$8</f>
        <v>46305</v>
      </c>
      <c r="E127" s="57" t="str">
        <f aca="false">Flights!$G$8&amp;"-"&amp;Flights!$H$8</f>
        <v>KUL-NRT</v>
      </c>
      <c r="F127" s="57" t="str">
        <f aca="false">Flights!$K$8</f>
        <v>BC</v>
      </c>
      <c r="G127" s="57" t="s">
        <v>424</v>
      </c>
      <c r="H127" s="57" t="s">
        <v>425</v>
      </c>
      <c r="I127" s="57" t="s">
        <v>464</v>
      </c>
      <c r="J127" s="57" t="s">
        <v>506</v>
      </c>
      <c r="K127" s="67" t="s">
        <v>466</v>
      </c>
      <c r="L127" s="67" t="s">
        <v>575</v>
      </c>
      <c r="M127" s="67" t="s">
        <v>416</v>
      </c>
      <c r="N127" s="67" t="s">
        <v>348</v>
      </c>
      <c r="O127" s="67"/>
      <c r="P127" s="57" t="s">
        <v>179</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59" t="n">
        <f aca="false">IF(ISNUMBER(Flights!$AY$8),MAX(Q127-UpliftWindowH/24,Flights!$AY$8+UpliftWindowH/24),Q127-UpliftWindowH/24)</f>
        <v>46305.3958333333</v>
      </c>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IF(N127="N/A – rule","N/A – RULE",IF(TRIM(U127)="N/A",IF(AT127=0,"INVALID – N/A not permitted for this mandatory check",IF(AND(TRIM(AC127)&lt;&gt;"",TRIM(AE127)&lt;&gt;"",TRIM(T127)&lt;&gt;"",TRIM(AE127)&lt;&gt;TRIM(T127)),"N/A – JUSTIFIED","INVALID – N/A needs justification, PIC and a different verifier")),IF(OR(TRIM(U127)="Pass",TRIM(U127)="Pass after CA"),IF(NOT(ISNUMBER(AD127)),"INVALID – completion time missing",IF(TRIM(T127)="","INVALID – PIC missing",IF(TRIM(V127)="","INVALID – result / assessment missing",IF(TRIM(Z127)="","INVALID – evidence missing",IF(TRIM(AE127)="","INVALID – verifier missing",IF(TRIM(AE127)=TRIM(T127),"INVALID – verifier must be someone other than the PIC",IF(AND(AQ127=1,TRIM(W127)=""),"INVALID – batch ID missing",IF(AND(AR127=1,OR(NOT(ISNUMBER(X127)),NOT(ISNUMBER(Y127)))),"INVALID – expected/actual qty missing",IF(IF(AND(TRIM(U127)="Pass",ISNUMBER(AF127)),IF(AF127&lt;&gt;0,"INVALID – qty variance: use Fail or Pass after CA",""),"")&amp;IF(AND(TRIM(U127)="Pass",TRIM(AB127)&lt;&gt;"",TRIM(AB127)&lt;&gt;"Closed"),"INVALID – corrective action not closed: use Fail, then Pass after CA","")&amp;IF(AND(TRIM(AA127)&lt;&gt;"",TRIM(AB127)=""),"INVALID – CA status missing for the recorded corrective action","")&amp;IF(AND(TRIM(U127)="Pass after CA",OR(TRIM(AA127)="",TRIM(AB127)&lt;&gt;"Closed")),"INVALID – corrective action not recorded/closed","")&lt;&gt;"",IF(AND(TRIM(U127)="Pass",ISNUMBER(AF127)),IF(AF127&lt;&gt;0,"INVALID – qty variance: use Fail or Pass after CA",""),"")&amp;IF(AND(TRIM(U127)="Pass",TRIM(AB127)&lt;&gt;"",TRIM(AB127)&lt;&gt;"Closed"),"INVALID – corrective action not closed: use Fail, then Pass after CA","")&amp;IF(AND(TRIM(AA127)&lt;&gt;"",TRIM(AB127)=""),"INVALID – CA status missing for the recorded corrective action","")&amp;IF(AND(TRIM(U127)="Pass after CA",OR(TRIM(AA127)="",TRIM(AB127)&lt;&gt;"Closed")),"INVALID – corrective action not recorded/closed",""),IF(AND(AS127=1,Documents!$J$8&lt;&gt;"ON FILE"),"INVALID – GLD not on file (Documents sheet)",IF(AND(AS127=2,Documents!$O$8&lt;&gt;"ON FILE"),"INVALID – menu checklist not on file (Documents sheet)",IF(AND(AS127=3,NOT(ISNUMBER(Flights!$AX$8))),"INVALID – enter carrying flight KUL departure (Flights AX)",IF(AND(AS127=3,OR(Flights!$AX$8&gt;=Flights!$AA$8,Flights!$AX$8&lt;Flights!$AA$8-3)),"INVALID – Flights AX must be before this leg's STD (within 3 days)",IF(AG127&gt;AsOfUTC,"INVALID – completion time is in the future",IF(AND(ISNUMBER(S127),AG127&lt;S127),IF(H127="Physical uplift","INVALID – before uplift window (cannot confirm loading)","INVALID – before valid window"),IF(AG127&gt;Flights!$AA$8,"INVALID – completed after departure (cannot establish readiness)",IF(AND(H127="Physical uplift",AG127&gt;Q127),"INVALID – recorded after the loading flight departed",IF(AG127&gt;Q127,"COMPLETE – LATE","COMPLETE")))))))))))))))))),IF(TRIM(U127)="Fail","FAIL – DISCREPANCY",IF(AND(TRIM(U127)&lt;&gt;"",TRIM(U127)&lt;&gt;"Not started",TRIM(U127)&lt;&gt;"In progress"),"INVALID – unrecognised status (use the list)",IF(AsOfUTC&gt;Q127,"OVERDUE",IF(N127="Clarification required","OPEN – CLARIFICATION","OPEN")))))))</f>
        <v>OPEN</v>
      </c>
      <c r="AI127" s="61" t="n">
        <f aca="false">IF(OR(AH127="N/A – RULE",AH127="N/A – JUSTIFIED"),0,1)</f>
        <v>1</v>
      </c>
      <c r="AJ127" s="61" t="n">
        <f aca="false">IF(LEFT(AH127,8)="COMPLETE",1,0)</f>
        <v>0</v>
      </c>
      <c r="AK127" s="61" t="n">
        <f aca="false">IF(AND(AI127=1,AJ127=0,AsOfUTC&gt;Q127),1,0)</f>
        <v>0</v>
      </c>
      <c r="AL127" s="61" t="n">
        <f aca="false">IF(AND(AI127=1,OR(TRIM(U127)="Fail",AND(TRIM(AB127)&lt;&gt;"",TRIM(AB127)&lt;&gt;"Closed"),AND(ISNUMBER(AF127),AF127&lt;&gt;0,TRIM(U127)&lt;&gt;"Pass after CA"))),1,0)</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8" t="b">
        <f aca="false">TRUE()</f>
        <v>1</v>
      </c>
    </row>
    <row r="128" customFormat="false" ht="39.75" hidden="false" customHeight="true" outlineLevel="0" collapsed="false">
      <c r="A128" s="57" t="s">
        <v>612</v>
      </c>
      <c r="B128" s="57" t="s">
        <v>210</v>
      </c>
      <c r="C128" s="57" t="str">
        <f aca="false">Flights!$F$8</f>
        <v>MH0088</v>
      </c>
      <c r="D128" s="58" t="n">
        <f aca="false">Flights!$D$8</f>
        <v>46305</v>
      </c>
      <c r="E128" s="57" t="str">
        <f aca="false">Flights!$G$8&amp;"-"&amp;Flights!$H$8</f>
        <v>KUL-NRT</v>
      </c>
      <c r="F128" s="57" t="str">
        <f aca="false">Flights!$K$8</f>
        <v>BC</v>
      </c>
      <c r="G128" s="57" t="s">
        <v>424</v>
      </c>
      <c r="H128" s="57" t="s">
        <v>425</v>
      </c>
      <c r="I128" s="57" t="s">
        <v>464</v>
      </c>
      <c r="J128" s="57" t="s">
        <v>508</v>
      </c>
      <c r="K128" s="67" t="s">
        <v>466</v>
      </c>
      <c r="L128" s="67" t="s">
        <v>577</v>
      </c>
      <c r="M128" s="67" t="s">
        <v>416</v>
      </c>
      <c r="N128" s="67" t="s">
        <v>348</v>
      </c>
      <c r="O128" s="67"/>
      <c r="P128" s="57" t="s">
        <v>179</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59" t="n">
        <f aca="false">IF(ISNUMBER(Flights!$AY$8),MAX(Q128-UpliftWindowH/24,Flights!$AY$8+UpliftWindowH/24),Q128-UpliftWindowH/24)</f>
        <v>46305.3958333333</v>
      </c>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IF(N128="N/A – rule","N/A – RULE",IF(TRIM(U128)="N/A",IF(AT128=0,"INVALID – N/A not permitted for this mandatory check",IF(AND(TRIM(AC128)&lt;&gt;"",TRIM(AE128)&lt;&gt;"",TRIM(T128)&lt;&gt;"",TRIM(AE128)&lt;&gt;TRIM(T128)),"N/A – JUSTIFIED","INVALID – N/A needs justification, PIC and a different verifier")),IF(OR(TRIM(U128)="Pass",TRIM(U128)="Pass after CA"),IF(NOT(ISNUMBER(AD128)),"INVALID – completion time missing",IF(TRIM(T128)="","INVALID – PIC missing",IF(TRIM(V128)="","INVALID – result / assessment missing",IF(TRIM(Z128)="","INVALID – evidence missing",IF(TRIM(AE128)="","INVALID – verifier missing",IF(TRIM(AE128)=TRIM(T128),"INVALID – verifier must be someone other than the PIC",IF(AND(AQ128=1,TRIM(W128)=""),"INVALID – batch ID missing",IF(AND(AR128=1,OR(NOT(ISNUMBER(X128)),NOT(ISNUMBER(Y128)))),"INVALID – expected/actual qty missing",IF(IF(AND(TRIM(U128)="Pass",ISNUMBER(AF128)),IF(AF128&lt;&gt;0,"INVALID – qty variance: use Fail or Pass after CA",""),"")&amp;IF(AND(TRIM(U128)="Pass",TRIM(AB128)&lt;&gt;"",TRIM(AB128)&lt;&gt;"Closed"),"INVALID – corrective action not closed: use Fail, then Pass after CA","")&amp;IF(AND(TRIM(AA128)&lt;&gt;"",TRIM(AB128)=""),"INVALID – CA status missing for the recorded corrective action","")&amp;IF(AND(TRIM(U128)="Pass after CA",OR(TRIM(AA128)="",TRIM(AB128)&lt;&gt;"Closed")),"INVALID – corrective action not recorded/closed","")&lt;&gt;"",IF(AND(TRIM(U128)="Pass",ISNUMBER(AF128)),IF(AF128&lt;&gt;0,"INVALID – qty variance: use Fail or Pass after CA",""),"")&amp;IF(AND(TRIM(U128)="Pass",TRIM(AB128)&lt;&gt;"",TRIM(AB128)&lt;&gt;"Closed"),"INVALID – corrective action not closed: use Fail, then Pass after CA","")&amp;IF(AND(TRIM(AA128)&lt;&gt;"",TRIM(AB128)=""),"INVALID – CA status missing for the recorded corrective action","")&amp;IF(AND(TRIM(U128)="Pass after CA",OR(TRIM(AA128)="",TRIM(AB128)&lt;&gt;"Closed")),"INVALID – corrective action not recorded/closed",""),IF(AND(AS128=1,Documents!$J$8&lt;&gt;"ON FILE"),"INVALID – GLD not on file (Documents sheet)",IF(AND(AS128=2,Documents!$O$8&lt;&gt;"ON FILE"),"INVALID – menu checklist not on file (Documents sheet)",IF(AND(AS128=3,NOT(ISNUMBER(Flights!$AX$8))),"INVALID – enter carrying flight KUL departure (Flights AX)",IF(AND(AS128=3,OR(Flights!$AX$8&gt;=Flights!$AA$8,Flights!$AX$8&lt;Flights!$AA$8-3)),"INVALID – Flights AX must be before this leg's STD (within 3 days)",IF(AG128&gt;AsOfUTC,"INVALID – completion time is in the future",IF(AND(ISNUMBER(S128),AG128&lt;S128),IF(H128="Physical uplift","INVALID – before uplift window (cannot confirm loading)","INVALID – before valid window"),IF(AG128&gt;Flights!$AA$8,"INVALID – completed after departure (cannot establish readiness)",IF(AND(H128="Physical uplift",AG128&gt;Q128),"INVALID – recorded after the loading flight departed",IF(AG128&gt;Q128,"COMPLETE – LATE","COMPLETE")))))))))))))))))),IF(TRIM(U128)="Fail","FAIL – DISCREPANCY",IF(AND(TRIM(U128)&lt;&gt;"",TRIM(U128)&lt;&gt;"Not started",TRIM(U128)&lt;&gt;"In progress"),"INVALID – unrecognised status (use the list)",IF(AsOfUTC&gt;Q128,"OVERDUE",IF(N128="Clarification required","OPEN – CLARIFICATION","OPEN")))))))</f>
        <v>OPEN</v>
      </c>
      <c r="AI128" s="61" t="n">
        <f aca="false">IF(OR(AH128="N/A – RULE",AH128="N/A – JUSTIFIED"),0,1)</f>
        <v>1</v>
      </c>
      <c r="AJ128" s="61" t="n">
        <f aca="false">IF(LEFT(AH128,8)="COMPLETE",1,0)</f>
        <v>0</v>
      </c>
      <c r="AK128" s="61" t="n">
        <f aca="false">IF(AND(AI128=1,AJ128=0,AsOfUTC&gt;Q128),1,0)</f>
        <v>0</v>
      </c>
      <c r="AL128" s="61" t="n">
        <f aca="false">IF(AND(AI128=1,OR(TRIM(U128)="Fail",AND(TRIM(AB128)&lt;&gt;"",TRIM(AB128)&lt;&gt;"Closed"),AND(ISNUMBER(AF128),AF128&lt;&gt;0,TRIM(U128)&lt;&gt;"Pass after CA"))),1,0)</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8" t="b">
        <f aca="false">TRUE()</f>
        <v>1</v>
      </c>
    </row>
    <row r="129" customFormat="false" ht="39.75" hidden="false" customHeight="true" outlineLevel="0" collapsed="false">
      <c r="A129" s="57" t="s">
        <v>613</v>
      </c>
      <c r="B129" s="57" t="s">
        <v>210</v>
      </c>
      <c r="C129" s="57" t="str">
        <f aca="false">Flights!$F$8</f>
        <v>MH0088</v>
      </c>
      <c r="D129" s="58" t="n">
        <f aca="false">Flights!$D$8</f>
        <v>46305</v>
      </c>
      <c r="E129" s="57" t="str">
        <f aca="false">Flights!$G$8&amp;"-"&amp;Flights!$H$8</f>
        <v>KUL-NRT</v>
      </c>
      <c r="F129" s="57" t="str">
        <f aca="false">Flights!$K$8</f>
        <v>BC</v>
      </c>
      <c r="G129" s="57" t="s">
        <v>424</v>
      </c>
      <c r="H129" s="57" t="s">
        <v>425</v>
      </c>
      <c r="I129" s="57" t="s">
        <v>464</v>
      </c>
      <c r="J129" s="57" t="s">
        <v>511</v>
      </c>
      <c r="K129" s="67" t="s">
        <v>466</v>
      </c>
      <c r="L129" s="67" t="s">
        <v>579</v>
      </c>
      <c r="M129" s="67" t="s">
        <v>416</v>
      </c>
      <c r="N129" s="67" t="s">
        <v>348</v>
      </c>
      <c r="O129" s="67"/>
      <c r="P129" s="57" t="s">
        <v>179</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59" t="n">
        <f aca="false">IF(ISNUMBER(Flights!$AY$8),MAX(Q129-UpliftWindowH/24,Flights!$AY$8+UpliftWindowH/24),Q129-UpliftWindowH/24)</f>
        <v>46305.3958333333</v>
      </c>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IF(N129="N/A – rule","N/A – RULE",IF(TRIM(U129)="N/A",IF(AT129=0,"INVALID – N/A not permitted for this mandatory check",IF(AND(TRIM(AC129)&lt;&gt;"",TRIM(AE129)&lt;&gt;"",TRIM(T129)&lt;&gt;"",TRIM(AE129)&lt;&gt;TRIM(T129)),"N/A – JUSTIFIED","INVALID – N/A needs justification, PIC and a different verifier")),IF(OR(TRIM(U129)="Pass",TRIM(U129)="Pass after CA"),IF(NOT(ISNUMBER(AD129)),"INVALID – completion time missing",IF(TRIM(T129)="","INVALID – PIC missing",IF(TRIM(V129)="","INVALID – result / assessment missing",IF(TRIM(Z129)="","INVALID – evidence missing",IF(TRIM(AE129)="","INVALID – verifier missing",IF(TRIM(AE129)=TRIM(T129),"INVALID – verifier must be someone other than the PIC",IF(AND(AQ129=1,TRIM(W129)=""),"INVALID – batch ID missing",IF(AND(AR129=1,OR(NOT(ISNUMBER(X129)),NOT(ISNUMBER(Y129)))),"INVALID – expected/actual qty missing",IF(IF(AND(TRIM(U129)="Pass",ISNUMBER(AF129)),IF(AF129&lt;&gt;0,"INVALID – qty variance: use Fail or Pass after CA",""),"")&amp;IF(AND(TRIM(U129)="Pass",TRIM(AB129)&lt;&gt;"",TRIM(AB129)&lt;&gt;"Closed"),"INVALID – corrective action not closed: use Fail, then Pass after CA","")&amp;IF(AND(TRIM(AA129)&lt;&gt;"",TRIM(AB129)=""),"INVALID – CA status missing for the recorded corrective action","")&amp;IF(AND(TRIM(U129)="Pass after CA",OR(TRIM(AA129)="",TRIM(AB129)&lt;&gt;"Closed")),"INVALID – corrective action not recorded/closed","")&lt;&gt;"",IF(AND(TRIM(U129)="Pass",ISNUMBER(AF129)),IF(AF129&lt;&gt;0,"INVALID – qty variance: use Fail or Pass after CA",""),"")&amp;IF(AND(TRIM(U129)="Pass",TRIM(AB129)&lt;&gt;"",TRIM(AB129)&lt;&gt;"Closed"),"INVALID – corrective action not closed: use Fail, then Pass after CA","")&amp;IF(AND(TRIM(AA129)&lt;&gt;"",TRIM(AB129)=""),"INVALID – CA status missing for the recorded corrective action","")&amp;IF(AND(TRIM(U129)="Pass after CA",OR(TRIM(AA129)="",TRIM(AB129)&lt;&gt;"Closed")),"INVALID – corrective action not recorded/closed",""),IF(AND(AS129=1,Documents!$J$8&lt;&gt;"ON FILE"),"INVALID – GLD not on file (Documents sheet)",IF(AND(AS129=2,Documents!$O$8&lt;&gt;"ON FILE"),"INVALID – menu checklist not on file (Documents sheet)",IF(AND(AS129=3,NOT(ISNUMBER(Flights!$AX$8))),"INVALID – enter carrying flight KUL departure (Flights AX)",IF(AND(AS129=3,OR(Flights!$AX$8&gt;=Flights!$AA$8,Flights!$AX$8&lt;Flights!$AA$8-3)),"INVALID – Flights AX must be before this leg's STD (within 3 days)",IF(AG129&gt;AsOfUTC,"INVALID – completion time is in the future",IF(AND(ISNUMBER(S129),AG129&lt;S129),IF(H129="Physical uplift","INVALID – before uplift window (cannot confirm loading)","INVALID – before valid window"),IF(AG129&gt;Flights!$AA$8,"INVALID – completed after departure (cannot establish readiness)",IF(AND(H129="Physical uplift",AG129&gt;Q129),"INVALID – recorded after the loading flight departed",IF(AG129&gt;Q129,"COMPLETE – LATE","COMPLETE")))))))))))))))))),IF(TRIM(U129)="Fail","FAIL – DISCREPANCY",IF(AND(TRIM(U129)&lt;&gt;"",TRIM(U129)&lt;&gt;"Not started",TRIM(U129)&lt;&gt;"In progress"),"INVALID – unrecognised status (use the list)",IF(AsOfUTC&gt;Q129,"OVERDUE",IF(N129="Clarification required","OPEN – CLARIFICATION","OPEN")))))))</f>
        <v>OPEN</v>
      </c>
      <c r="AI129" s="61" t="n">
        <f aca="false">IF(OR(AH129="N/A – RULE",AH129="N/A – JUSTIFIED"),0,1)</f>
        <v>1</v>
      </c>
      <c r="AJ129" s="61" t="n">
        <f aca="false">IF(LEFT(AH129,8)="COMPLETE",1,0)</f>
        <v>0</v>
      </c>
      <c r="AK129" s="61" t="n">
        <f aca="false">IF(AND(AI129=1,AJ129=0,AsOfUTC&gt;Q129),1,0)</f>
        <v>0</v>
      </c>
      <c r="AL129" s="61" t="n">
        <f aca="false">IF(AND(AI129=1,OR(TRIM(U129)="Fail",AND(TRIM(AB129)&lt;&gt;"",TRIM(AB129)&lt;&gt;"Closed"),AND(ISNUMBER(AF129),AF129&lt;&gt;0,TRIM(U129)&lt;&gt;"Pass after CA"))),1,0)</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8" t="b">
        <f aca="false">TRUE()</f>
        <v>1</v>
      </c>
    </row>
    <row r="130" customFormat="false" ht="39.75" hidden="false" customHeight="true" outlineLevel="0" collapsed="false">
      <c r="A130" s="57" t="s">
        <v>614</v>
      </c>
      <c r="B130" s="57" t="s">
        <v>210</v>
      </c>
      <c r="C130" s="57" t="str">
        <f aca="false">Flights!$F$8</f>
        <v>MH0088</v>
      </c>
      <c r="D130" s="58" t="n">
        <f aca="false">Flights!$D$8</f>
        <v>46305</v>
      </c>
      <c r="E130" s="57" t="str">
        <f aca="false">Flights!$G$8&amp;"-"&amp;Flights!$H$8</f>
        <v>KUL-NRT</v>
      </c>
      <c r="F130" s="57" t="str">
        <f aca="false">Flights!$K$8</f>
        <v>BC</v>
      </c>
      <c r="G130" s="57" t="s">
        <v>424</v>
      </c>
      <c r="H130" s="57" t="s">
        <v>425</v>
      </c>
      <c r="I130" s="57" t="s">
        <v>464</v>
      </c>
      <c r="J130" s="57" t="s">
        <v>513</v>
      </c>
      <c r="K130" s="67" t="s">
        <v>581</v>
      </c>
      <c r="L130" s="67" t="s">
        <v>582</v>
      </c>
      <c r="M130" s="67" t="s">
        <v>416</v>
      </c>
      <c r="N130" s="67" t="s">
        <v>348</v>
      </c>
      <c r="O130" s="67" t="s">
        <v>514</v>
      </c>
      <c r="P130" s="57" t="s">
        <v>179</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59" t="n">
        <f aca="false">IF(ISNUMBER(Flights!$AY$8),MAX(Q130-UpliftWindowH/24,Flights!$AY$8+UpliftWindowH/24),Q130-UpliftWindowH/24)</f>
        <v>46305.3958333333</v>
      </c>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IF(N130="N/A – rule","N/A – RULE",IF(TRIM(U130)="N/A",IF(AT130=0,"INVALID – N/A not permitted for this mandatory check",IF(AND(TRIM(AC130)&lt;&gt;"",TRIM(AE130)&lt;&gt;"",TRIM(T130)&lt;&gt;"",TRIM(AE130)&lt;&gt;TRIM(T130)),"N/A – JUSTIFIED","INVALID – N/A needs justification, PIC and a different verifier")),IF(OR(TRIM(U130)="Pass",TRIM(U130)="Pass after CA"),IF(NOT(ISNUMBER(AD130)),"INVALID – completion time missing",IF(TRIM(T130)="","INVALID – PIC missing",IF(TRIM(V130)="","INVALID – result / assessment missing",IF(TRIM(Z130)="","INVALID – evidence missing",IF(TRIM(AE130)="","INVALID – verifier missing",IF(TRIM(AE130)=TRIM(T130),"INVALID – verifier must be someone other than the PIC",IF(AND(AQ130=1,TRIM(W130)=""),"INVALID – batch ID missing",IF(AND(AR130=1,OR(NOT(ISNUMBER(X130)),NOT(ISNUMBER(Y130)))),"INVALID – expected/actual qty missing",IF(IF(AND(TRIM(U130)="Pass",ISNUMBER(AF130)),IF(AF130&lt;&gt;0,"INVALID – qty variance: use Fail or Pass after CA",""),"")&amp;IF(AND(TRIM(U130)="Pass",TRIM(AB130)&lt;&gt;"",TRIM(AB130)&lt;&gt;"Closed"),"INVALID – corrective action not closed: use Fail, then Pass after CA","")&amp;IF(AND(TRIM(AA130)&lt;&gt;"",TRIM(AB130)=""),"INVALID – CA status missing for the recorded corrective action","")&amp;IF(AND(TRIM(U130)="Pass after CA",OR(TRIM(AA130)="",TRIM(AB130)&lt;&gt;"Closed")),"INVALID – corrective action not recorded/closed","")&lt;&gt;"",IF(AND(TRIM(U130)="Pass",ISNUMBER(AF130)),IF(AF130&lt;&gt;0,"INVALID – qty variance: use Fail or Pass after CA",""),"")&amp;IF(AND(TRIM(U130)="Pass",TRIM(AB130)&lt;&gt;"",TRIM(AB130)&lt;&gt;"Closed"),"INVALID – corrective action not closed: use Fail, then Pass after CA","")&amp;IF(AND(TRIM(AA130)&lt;&gt;"",TRIM(AB130)=""),"INVALID – CA status missing for the recorded corrective action","")&amp;IF(AND(TRIM(U130)="Pass after CA",OR(TRIM(AA130)="",TRIM(AB130)&lt;&gt;"Closed")),"INVALID – corrective action not recorded/closed",""),IF(AND(AS130=1,Documents!$J$8&lt;&gt;"ON FILE"),"INVALID – GLD not on file (Documents sheet)",IF(AND(AS130=2,Documents!$O$8&lt;&gt;"ON FILE"),"INVALID – menu checklist not on file (Documents sheet)",IF(AND(AS130=3,NOT(ISNUMBER(Flights!$AX$8))),"INVALID – enter carrying flight KUL departure (Flights AX)",IF(AND(AS130=3,OR(Flights!$AX$8&gt;=Flights!$AA$8,Flights!$AX$8&lt;Flights!$AA$8-3)),"INVALID – Flights AX must be before this leg's STD (within 3 days)",IF(AG130&gt;AsOfUTC,"INVALID – completion time is in the future",IF(AND(ISNUMBER(S130),AG130&lt;S130),IF(H130="Physical uplift","INVALID – before uplift window (cannot confirm loading)","INVALID – before valid window"),IF(AG130&gt;Flights!$AA$8,"INVALID – completed after departure (cannot establish readiness)",IF(AND(H130="Physical uplift",AG130&gt;Q130),"INVALID – recorded after the loading flight departed",IF(AG130&gt;Q130,"COMPLETE – LATE","COMPLETE")))))))))))))))))),IF(TRIM(U130)="Fail","FAIL – DISCREPANCY",IF(AND(TRIM(U130)&lt;&gt;"",TRIM(U130)&lt;&gt;"Not started",TRIM(U130)&lt;&gt;"In progress"),"INVALID – unrecognised status (use the list)",IF(AsOfUTC&gt;Q130,"OVERDUE",IF(N130="Clarification required","OPEN – CLARIFICATION","OPEN")))))))</f>
        <v>OPEN</v>
      </c>
      <c r="AI130" s="61" t="n">
        <f aca="false">IF(OR(AH130="N/A – RULE",AH130="N/A – JUSTIFIED"),0,1)</f>
        <v>1</v>
      </c>
      <c r="AJ130" s="61" t="n">
        <f aca="false">IF(LEFT(AH130,8)="COMPLETE",1,0)</f>
        <v>0</v>
      </c>
      <c r="AK130" s="61" t="n">
        <f aca="false">IF(AND(AI130=1,AJ130=0,AsOfUTC&gt;Q130),1,0)</f>
        <v>0</v>
      </c>
      <c r="AL130" s="61" t="n">
        <f aca="false">IF(AND(AI130=1,OR(TRIM(U130)="Fail",AND(TRIM(AB130)&lt;&gt;"",TRIM(AB130)&lt;&gt;"Closed"),AND(ISNUMBER(AF130),AF130&lt;&gt;0,TRIM(U130)&lt;&gt;"Pass after CA"))),1,0)</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8" t="b">
        <f aca="false">TRUE()</f>
        <v>1</v>
      </c>
    </row>
    <row r="131" customFormat="false" ht="39.75" hidden="false" customHeight="true" outlineLevel="0" collapsed="false">
      <c r="A131" s="57" t="s">
        <v>615</v>
      </c>
      <c r="B131" s="57" t="s">
        <v>210</v>
      </c>
      <c r="C131" s="57" t="str">
        <f aca="false">Flights!$F$8</f>
        <v>MH0088</v>
      </c>
      <c r="D131" s="58" t="n">
        <f aca="false">Flights!$D$8</f>
        <v>46305</v>
      </c>
      <c r="E131" s="57" t="str">
        <f aca="false">Flights!$G$8&amp;"-"&amp;Flights!$H$8</f>
        <v>KUL-NRT</v>
      </c>
      <c r="F131" s="57" t="str">
        <f aca="false">Flights!$K$8</f>
        <v>BC</v>
      </c>
      <c r="G131" s="57" t="s">
        <v>424</v>
      </c>
      <c r="H131" s="57" t="s">
        <v>425</v>
      </c>
      <c r="I131" s="57" t="s">
        <v>464</v>
      </c>
      <c r="J131" s="57" t="s">
        <v>516</v>
      </c>
      <c r="K131" s="67" t="s">
        <v>466</v>
      </c>
      <c r="L131" s="67" t="s">
        <v>584</v>
      </c>
      <c r="M131" s="67" t="s">
        <v>416</v>
      </c>
      <c r="N131" s="67" t="s">
        <v>348</v>
      </c>
      <c r="O131" s="67"/>
      <c r="P131" s="57" t="s">
        <v>179</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59" t="n">
        <f aca="false">IF(ISNUMBER(Flights!$AY$8),MAX(Q131-UpliftWindowH/24,Flights!$AY$8+UpliftWindowH/24),Q131-UpliftWindowH/24)</f>
        <v>46305.3958333333</v>
      </c>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IF(N131="N/A – rule","N/A – RULE",IF(TRIM(U131)="N/A",IF(AT131=0,"INVALID – N/A not permitted for this mandatory check",IF(AND(TRIM(AC131)&lt;&gt;"",TRIM(AE131)&lt;&gt;"",TRIM(T131)&lt;&gt;"",TRIM(AE131)&lt;&gt;TRIM(T131)),"N/A – JUSTIFIED","INVALID – N/A needs justification, PIC and a different verifier")),IF(OR(TRIM(U131)="Pass",TRIM(U131)="Pass after CA"),IF(NOT(ISNUMBER(AD131)),"INVALID – completion time missing",IF(TRIM(T131)="","INVALID – PIC missing",IF(TRIM(V131)="","INVALID – result / assessment missing",IF(TRIM(Z131)="","INVALID – evidence missing",IF(TRIM(AE131)="","INVALID – verifier missing",IF(TRIM(AE131)=TRIM(T131),"INVALID – verifier must be someone other than the PIC",IF(AND(AQ131=1,TRIM(W131)=""),"INVALID – batch ID missing",IF(AND(AR131=1,OR(NOT(ISNUMBER(X131)),NOT(ISNUMBER(Y131)))),"INVALID – expected/actual qty missing",IF(IF(AND(TRIM(U131)="Pass",ISNUMBER(AF131)),IF(AF131&lt;&gt;0,"INVALID – qty variance: use Fail or Pass after CA",""),"")&amp;IF(AND(TRIM(U131)="Pass",TRIM(AB131)&lt;&gt;"",TRIM(AB131)&lt;&gt;"Closed"),"INVALID – corrective action not closed: use Fail, then Pass after CA","")&amp;IF(AND(TRIM(AA131)&lt;&gt;"",TRIM(AB131)=""),"INVALID – CA status missing for the recorded corrective action","")&amp;IF(AND(TRIM(U131)="Pass after CA",OR(TRIM(AA131)="",TRIM(AB131)&lt;&gt;"Closed")),"INVALID – corrective action not recorded/closed","")&lt;&gt;"",IF(AND(TRIM(U131)="Pass",ISNUMBER(AF131)),IF(AF131&lt;&gt;0,"INVALID – qty variance: use Fail or Pass after CA",""),"")&amp;IF(AND(TRIM(U131)="Pass",TRIM(AB131)&lt;&gt;"",TRIM(AB131)&lt;&gt;"Closed"),"INVALID – corrective action not closed: use Fail, then Pass after CA","")&amp;IF(AND(TRIM(AA131)&lt;&gt;"",TRIM(AB131)=""),"INVALID – CA status missing for the recorded corrective action","")&amp;IF(AND(TRIM(U131)="Pass after CA",OR(TRIM(AA131)="",TRIM(AB131)&lt;&gt;"Closed")),"INVALID – corrective action not recorded/closed",""),IF(AND(AS131=1,Documents!$J$8&lt;&gt;"ON FILE"),"INVALID – GLD not on file (Documents sheet)",IF(AND(AS131=2,Documents!$O$8&lt;&gt;"ON FILE"),"INVALID – menu checklist not on file (Documents sheet)",IF(AND(AS131=3,NOT(ISNUMBER(Flights!$AX$8))),"INVALID – enter carrying flight KUL departure (Flights AX)",IF(AND(AS131=3,OR(Flights!$AX$8&gt;=Flights!$AA$8,Flights!$AX$8&lt;Flights!$AA$8-3)),"INVALID – Flights AX must be before this leg's STD (within 3 days)",IF(AG131&gt;AsOfUTC,"INVALID – completion time is in the future",IF(AND(ISNUMBER(S131),AG131&lt;S131),IF(H131="Physical uplift","INVALID – before uplift window (cannot confirm loading)","INVALID – before valid window"),IF(AG131&gt;Flights!$AA$8,"INVALID – completed after departure (cannot establish readiness)",IF(AND(H131="Physical uplift",AG131&gt;Q131),"INVALID – recorded after the loading flight departed",IF(AG131&gt;Q131,"COMPLETE – LATE","COMPLETE")))))))))))))))))),IF(TRIM(U131)="Fail","FAIL – DISCREPANCY",IF(AND(TRIM(U131)&lt;&gt;"",TRIM(U131)&lt;&gt;"Not started",TRIM(U131)&lt;&gt;"In progress"),"INVALID – unrecognised status (use the list)",IF(AsOfUTC&gt;Q131,"OVERDUE",IF(N131="Clarification required","OPEN – CLARIFICATION","OPEN")))))))</f>
        <v>OPEN</v>
      </c>
      <c r="AI131" s="61" t="n">
        <f aca="false">IF(OR(AH131="N/A – RULE",AH131="N/A – JUSTIFIED"),0,1)</f>
        <v>1</v>
      </c>
      <c r="AJ131" s="61" t="n">
        <f aca="false">IF(LEFT(AH131,8)="COMPLETE",1,0)</f>
        <v>0</v>
      </c>
      <c r="AK131" s="61" t="n">
        <f aca="false">IF(AND(AI131=1,AJ131=0,AsOfUTC&gt;Q131),1,0)</f>
        <v>0</v>
      </c>
      <c r="AL131" s="61" t="n">
        <f aca="false">IF(AND(AI131=1,OR(TRIM(U131)="Fail",AND(TRIM(AB131)&lt;&gt;"",TRIM(AB131)&lt;&gt;"Closed"),AND(ISNUMBER(AF131),AF131&lt;&gt;0,TRIM(U131)&lt;&gt;"Pass after CA"))),1,0)</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8" t="b">
        <f aca="false">TRUE()</f>
        <v>1</v>
      </c>
    </row>
    <row r="132" customFormat="false" ht="39.75" hidden="false" customHeight="true" outlineLevel="0" collapsed="false">
      <c r="A132" s="57" t="s">
        <v>616</v>
      </c>
      <c r="B132" s="57" t="s">
        <v>210</v>
      </c>
      <c r="C132" s="57" t="str">
        <f aca="false">Flights!$F$8</f>
        <v>MH0088</v>
      </c>
      <c r="D132" s="58" t="n">
        <f aca="false">Flights!$D$8</f>
        <v>46305</v>
      </c>
      <c r="E132" s="57" t="str">
        <f aca="false">Flights!$G$8&amp;"-"&amp;Flights!$H$8</f>
        <v>KUL-NRT</v>
      </c>
      <c r="F132" s="57" t="str">
        <f aca="false">Flights!$K$8</f>
        <v>BC</v>
      </c>
      <c r="G132" s="57" t="s">
        <v>424</v>
      </c>
      <c r="H132" s="57" t="s">
        <v>425</v>
      </c>
      <c r="I132" s="57" t="s">
        <v>412</v>
      </c>
      <c r="J132" s="57" t="s">
        <v>518</v>
      </c>
      <c r="K132" s="67" t="s">
        <v>414</v>
      </c>
      <c r="L132" s="67" t="s">
        <v>586</v>
      </c>
      <c r="M132" s="67" t="s">
        <v>416</v>
      </c>
      <c r="N132" s="67" t="s">
        <v>348</v>
      </c>
      <c r="O132" s="67"/>
      <c r="P132" s="57" t="s">
        <v>179</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59" t="n">
        <f aca="false">IF(ISNUMBER(Flights!$AY$8),MAX(Q132-UpliftWindowH/24,Flights!$AY$8+UpliftWindowH/24),Q132-UpliftWindowH/24)</f>
        <v>46305.3958333333</v>
      </c>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IF(N132="N/A – rule","N/A – RULE",IF(TRIM(U132)="N/A",IF(AT132=0,"INVALID – N/A not permitted for this mandatory check",IF(AND(TRIM(AC132)&lt;&gt;"",TRIM(AE132)&lt;&gt;"",TRIM(T132)&lt;&gt;"",TRIM(AE132)&lt;&gt;TRIM(T132)),"N/A – JUSTIFIED","INVALID – N/A needs justification, PIC and a different verifier")),IF(OR(TRIM(U132)="Pass",TRIM(U132)="Pass after CA"),IF(NOT(ISNUMBER(AD132)),"INVALID – completion time missing",IF(TRIM(T132)="","INVALID – PIC missing",IF(TRIM(V132)="","INVALID – result / assessment missing",IF(TRIM(Z132)="","INVALID – evidence missing",IF(TRIM(AE132)="","INVALID – verifier missing",IF(TRIM(AE132)=TRIM(T132),"INVALID – verifier must be someone other than the PIC",IF(AND(AQ132=1,TRIM(W132)=""),"INVALID – batch ID missing",IF(AND(AR132=1,OR(NOT(ISNUMBER(X132)),NOT(ISNUMBER(Y132)))),"INVALID – expected/actual qty missing",IF(IF(AND(TRIM(U132)="Pass",ISNUMBER(AF132)),IF(AF132&lt;&gt;0,"INVALID – qty variance: use Fail or Pass after CA",""),"")&amp;IF(AND(TRIM(U132)="Pass",TRIM(AB132)&lt;&gt;"",TRIM(AB132)&lt;&gt;"Closed"),"INVALID – corrective action not closed: use Fail, then Pass after CA","")&amp;IF(AND(TRIM(AA132)&lt;&gt;"",TRIM(AB132)=""),"INVALID – CA status missing for the recorded corrective action","")&amp;IF(AND(TRIM(U132)="Pass after CA",OR(TRIM(AA132)="",TRIM(AB132)&lt;&gt;"Closed")),"INVALID – corrective action not recorded/closed","")&lt;&gt;"",IF(AND(TRIM(U132)="Pass",ISNUMBER(AF132)),IF(AF132&lt;&gt;0,"INVALID – qty variance: use Fail or Pass after CA",""),"")&amp;IF(AND(TRIM(U132)="Pass",TRIM(AB132)&lt;&gt;"",TRIM(AB132)&lt;&gt;"Closed"),"INVALID – corrective action not closed: use Fail, then Pass after CA","")&amp;IF(AND(TRIM(AA132)&lt;&gt;"",TRIM(AB132)=""),"INVALID – CA status missing for the recorded corrective action","")&amp;IF(AND(TRIM(U132)="Pass after CA",OR(TRIM(AA132)="",TRIM(AB132)&lt;&gt;"Closed")),"INVALID – corrective action not recorded/closed",""),IF(AND(AS132=1,Documents!$J$8&lt;&gt;"ON FILE"),"INVALID – GLD not on file (Documents sheet)",IF(AND(AS132=2,Documents!$O$8&lt;&gt;"ON FILE"),"INVALID – menu checklist not on file (Documents sheet)",IF(AND(AS132=3,NOT(ISNUMBER(Flights!$AX$8))),"INVALID – enter carrying flight KUL departure (Flights AX)",IF(AND(AS132=3,OR(Flights!$AX$8&gt;=Flights!$AA$8,Flights!$AX$8&lt;Flights!$AA$8-3)),"INVALID – Flights AX must be before this leg's STD (within 3 days)",IF(AG132&gt;AsOfUTC,"INVALID – completion time is in the future",IF(AND(ISNUMBER(S132),AG132&lt;S132),IF(H132="Physical uplift","INVALID – before uplift window (cannot confirm loading)","INVALID – before valid window"),IF(AG132&gt;Flights!$AA$8,"INVALID – completed after departure (cannot establish readiness)",IF(AND(H132="Physical uplift",AG132&gt;Q132),"INVALID – recorded after the loading flight departed",IF(AG132&gt;Q132,"COMPLETE – LATE","COMPLETE")))))))))))))))))),IF(TRIM(U132)="Fail","FAIL – DISCREPANCY",IF(AND(TRIM(U132)&lt;&gt;"",TRIM(U132)&lt;&gt;"Not started",TRIM(U132)&lt;&gt;"In progress"),"INVALID – unrecognised status (use the list)",IF(AsOfUTC&gt;Q132,"OVERDUE",IF(N132="Clarification required","OPEN – CLARIFICATION","OPEN")))))))</f>
        <v>OPEN</v>
      </c>
      <c r="AI132" s="61" t="n">
        <f aca="false">IF(OR(AH132="N/A – RULE",AH132="N/A – JUSTIFIED"),0,1)</f>
        <v>1</v>
      </c>
      <c r="AJ132" s="61" t="n">
        <f aca="false">IF(LEFT(AH132,8)="COMPLETE",1,0)</f>
        <v>0</v>
      </c>
      <c r="AK132" s="61" t="n">
        <f aca="false">IF(AND(AI132=1,AJ132=0,AsOfUTC&gt;Q132),1,0)</f>
        <v>0</v>
      </c>
      <c r="AL132" s="61" t="n">
        <f aca="false">IF(AND(AI132=1,OR(TRIM(U132)="Fail",AND(TRIM(AB132)&lt;&gt;"",TRIM(AB132)&lt;&gt;"Closed"),AND(ISNUMBER(AF132),AF132&lt;&gt;0,TRIM(U132)&lt;&gt;"Pass after CA"))),1,0)</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8" t="b">
        <f aca="false">TRUE()</f>
        <v>1</v>
      </c>
    </row>
    <row r="133" customFormat="false" ht="39.75" hidden="false" customHeight="true" outlineLevel="0" collapsed="false">
      <c r="A133" s="57" t="s">
        <v>617</v>
      </c>
      <c r="B133" s="57" t="s">
        <v>210</v>
      </c>
      <c r="C133" s="57" t="str">
        <f aca="false">Flights!$F$8</f>
        <v>MH0088</v>
      </c>
      <c r="D133" s="58" t="n">
        <f aca="false">Flights!$D$8</f>
        <v>46305</v>
      </c>
      <c r="E133" s="57" t="str">
        <f aca="false">Flights!$G$8&amp;"-"&amp;Flights!$H$8</f>
        <v>KUL-NRT</v>
      </c>
      <c r="F133" s="57" t="str">
        <f aca="false">Flights!$K$8</f>
        <v>BC</v>
      </c>
      <c r="G133" s="57" t="s">
        <v>424</v>
      </c>
      <c r="H133" s="57" t="s">
        <v>425</v>
      </c>
      <c r="I133" s="57" t="s">
        <v>412</v>
      </c>
      <c r="J133" s="57" t="s">
        <v>618</v>
      </c>
      <c r="K133" s="67" t="s">
        <v>414</v>
      </c>
      <c r="L133" s="67" t="s">
        <v>589</v>
      </c>
      <c r="M133" s="67" t="s">
        <v>416</v>
      </c>
      <c r="N133" s="67" t="s">
        <v>348</v>
      </c>
      <c r="O133" s="67"/>
      <c r="P133" s="57" t="s">
        <v>179</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59" t="n">
        <f aca="false">IF(ISNUMBER(Flights!$AY$8),MAX(Q133-UpliftWindowH/24,Flights!$AY$8+UpliftWindowH/24),Q133-UpliftWindowH/24)</f>
        <v>46305.3958333333</v>
      </c>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IF(N133="N/A – rule","N/A – RULE",IF(TRIM(U133)="N/A",IF(AT133=0,"INVALID – N/A not permitted for this mandatory check",IF(AND(TRIM(AC133)&lt;&gt;"",TRIM(AE133)&lt;&gt;"",TRIM(T133)&lt;&gt;"",TRIM(AE133)&lt;&gt;TRIM(T133)),"N/A – JUSTIFIED","INVALID – N/A needs justification, PIC and a different verifier")),IF(OR(TRIM(U133)="Pass",TRIM(U133)="Pass after CA"),IF(NOT(ISNUMBER(AD133)),"INVALID – completion time missing",IF(TRIM(T133)="","INVALID – PIC missing",IF(TRIM(V133)="","INVALID – result / assessment missing",IF(TRIM(Z133)="","INVALID – evidence missing",IF(TRIM(AE133)="","INVALID – verifier missing",IF(TRIM(AE133)=TRIM(T133),"INVALID – verifier must be someone other than the PIC",IF(AND(AQ133=1,TRIM(W133)=""),"INVALID – batch ID missing",IF(AND(AR133=1,OR(NOT(ISNUMBER(X133)),NOT(ISNUMBER(Y133)))),"INVALID – expected/actual qty missing",IF(IF(AND(TRIM(U133)="Pass",ISNUMBER(AF133)),IF(AF133&lt;&gt;0,"INVALID – qty variance: use Fail or Pass after CA",""),"")&amp;IF(AND(TRIM(U133)="Pass",TRIM(AB133)&lt;&gt;"",TRIM(AB133)&lt;&gt;"Closed"),"INVALID – corrective action not closed: use Fail, then Pass after CA","")&amp;IF(AND(TRIM(AA133)&lt;&gt;"",TRIM(AB133)=""),"INVALID – CA status missing for the recorded corrective action","")&amp;IF(AND(TRIM(U133)="Pass after CA",OR(TRIM(AA133)="",TRIM(AB133)&lt;&gt;"Closed")),"INVALID – corrective action not recorded/closed","")&lt;&gt;"",IF(AND(TRIM(U133)="Pass",ISNUMBER(AF133)),IF(AF133&lt;&gt;0,"INVALID – qty variance: use Fail or Pass after CA",""),"")&amp;IF(AND(TRIM(U133)="Pass",TRIM(AB133)&lt;&gt;"",TRIM(AB133)&lt;&gt;"Closed"),"INVALID – corrective action not closed: use Fail, then Pass after CA","")&amp;IF(AND(TRIM(AA133)&lt;&gt;"",TRIM(AB133)=""),"INVALID – CA status missing for the recorded corrective action","")&amp;IF(AND(TRIM(U133)="Pass after CA",OR(TRIM(AA133)="",TRIM(AB133)&lt;&gt;"Closed")),"INVALID – corrective action not recorded/closed",""),IF(AND(AS133=1,Documents!$J$8&lt;&gt;"ON FILE"),"INVALID – GLD not on file (Documents sheet)",IF(AND(AS133=2,Documents!$O$8&lt;&gt;"ON FILE"),"INVALID – menu checklist not on file (Documents sheet)",IF(AND(AS133=3,NOT(ISNUMBER(Flights!$AX$8))),"INVALID – enter carrying flight KUL departure (Flights AX)",IF(AND(AS133=3,OR(Flights!$AX$8&gt;=Flights!$AA$8,Flights!$AX$8&lt;Flights!$AA$8-3)),"INVALID – Flights AX must be before this leg's STD (within 3 days)",IF(AG133&gt;AsOfUTC,"INVALID – completion time is in the future",IF(AND(ISNUMBER(S133),AG133&lt;S133),IF(H133="Physical uplift","INVALID – before uplift window (cannot confirm loading)","INVALID – before valid window"),IF(AG133&gt;Flights!$AA$8,"INVALID – completed after departure (cannot establish readiness)",IF(AND(H133="Physical uplift",AG133&gt;Q133),"INVALID – recorded after the loading flight departed",IF(AG133&gt;Q133,"COMPLETE – LATE","COMPLETE")))))))))))))))))),IF(TRIM(U133)="Fail","FAIL – DISCREPANCY",IF(AND(TRIM(U133)&lt;&gt;"",TRIM(U133)&lt;&gt;"Not started",TRIM(U133)&lt;&gt;"In progress"),"INVALID – unrecognised status (use the list)",IF(AsOfUTC&gt;Q133,"OVERDUE",IF(N133="Clarification required","OPEN – CLARIFICATION","OPEN")))))))</f>
        <v>OPEN</v>
      </c>
      <c r="AI133" s="61" t="n">
        <f aca="false">IF(OR(AH133="N/A – RULE",AH133="N/A – JUSTIFIED"),0,1)</f>
        <v>1</v>
      </c>
      <c r="AJ133" s="61" t="n">
        <f aca="false">IF(LEFT(AH133,8)="COMPLETE",1,0)</f>
        <v>0</v>
      </c>
      <c r="AK133" s="61" t="n">
        <f aca="false">IF(AND(AI133=1,AJ133=0,AsOfUTC&gt;Q133),1,0)</f>
        <v>0</v>
      </c>
      <c r="AL133" s="61" t="n">
        <f aca="false">IF(AND(AI133=1,OR(TRIM(U133)="Fail",AND(TRIM(AB133)&lt;&gt;"",TRIM(AB133)&lt;&gt;"Closed"),AND(ISNUMBER(AF133),AF133&lt;&gt;0,TRIM(U133)&lt;&gt;"Pass after CA"))),1,0)</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8" t="b">
        <f aca="false">TRUE()</f>
        <v>1</v>
      </c>
    </row>
    <row r="134" customFormat="false" ht="39.75" hidden="false" customHeight="true" outlineLevel="0" collapsed="false">
      <c r="A134" s="57" t="s">
        <v>619</v>
      </c>
      <c r="B134" s="57" t="s">
        <v>210</v>
      </c>
      <c r="C134" s="57" t="str">
        <f aca="false">Flights!$F$8</f>
        <v>MH0088</v>
      </c>
      <c r="D134" s="58" t="n">
        <f aca="false">Flights!$D$8</f>
        <v>46305</v>
      </c>
      <c r="E134" s="57" t="str">
        <f aca="false">Flights!$G$8&amp;"-"&amp;Flights!$H$8</f>
        <v>KUL-NRT</v>
      </c>
      <c r="F134" s="57" t="str">
        <f aca="false">Flights!$K$8</f>
        <v>BC</v>
      </c>
      <c r="G134" s="57" t="s">
        <v>424</v>
      </c>
      <c r="H134" s="57" t="s">
        <v>425</v>
      </c>
      <c r="I134" s="57" t="s">
        <v>412</v>
      </c>
      <c r="J134" s="57" t="s">
        <v>620</v>
      </c>
      <c r="K134" s="67" t="s">
        <v>414</v>
      </c>
      <c r="L134" s="67" t="s">
        <v>592</v>
      </c>
      <c r="M134" s="67" t="s">
        <v>416</v>
      </c>
      <c r="N134" s="67" t="s">
        <v>348</v>
      </c>
      <c r="O134" s="67"/>
      <c r="P134" s="57" t="s">
        <v>179</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59" t="n">
        <f aca="false">IF(ISNUMBER(Flights!$AY$8),MAX(Q134-UpliftWindowH/24,Flights!$AY$8+UpliftWindowH/24),Q134-UpliftWindowH/24)</f>
        <v>46305.3958333333</v>
      </c>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IF(N134="N/A – rule","N/A – RULE",IF(TRIM(U134)="N/A",IF(AT134=0,"INVALID – N/A not permitted for this mandatory check",IF(AND(TRIM(AC134)&lt;&gt;"",TRIM(AE134)&lt;&gt;"",TRIM(T134)&lt;&gt;"",TRIM(AE134)&lt;&gt;TRIM(T134)),"N/A – JUSTIFIED","INVALID – N/A needs justification, PIC and a different verifier")),IF(OR(TRIM(U134)="Pass",TRIM(U134)="Pass after CA"),IF(NOT(ISNUMBER(AD134)),"INVALID – completion time missing",IF(TRIM(T134)="","INVALID – PIC missing",IF(TRIM(V134)="","INVALID – result / assessment missing",IF(TRIM(Z134)="","INVALID – evidence missing",IF(TRIM(AE134)="","INVALID – verifier missing",IF(TRIM(AE134)=TRIM(T134),"INVALID – verifier must be someone other than the PIC",IF(AND(AQ134=1,TRIM(W134)=""),"INVALID – batch ID missing",IF(AND(AR134=1,OR(NOT(ISNUMBER(X134)),NOT(ISNUMBER(Y134)))),"INVALID – expected/actual qty missing",IF(IF(AND(TRIM(U134)="Pass",ISNUMBER(AF134)),IF(AF134&lt;&gt;0,"INVALID – qty variance: use Fail or Pass after CA",""),"")&amp;IF(AND(TRIM(U134)="Pass",TRIM(AB134)&lt;&gt;"",TRIM(AB134)&lt;&gt;"Closed"),"INVALID – corrective action not closed: use Fail, then Pass after CA","")&amp;IF(AND(TRIM(AA134)&lt;&gt;"",TRIM(AB134)=""),"INVALID – CA status missing for the recorded corrective action","")&amp;IF(AND(TRIM(U134)="Pass after CA",OR(TRIM(AA134)="",TRIM(AB134)&lt;&gt;"Closed")),"INVALID – corrective action not recorded/closed","")&lt;&gt;"",IF(AND(TRIM(U134)="Pass",ISNUMBER(AF134)),IF(AF134&lt;&gt;0,"INVALID – qty variance: use Fail or Pass after CA",""),"")&amp;IF(AND(TRIM(U134)="Pass",TRIM(AB134)&lt;&gt;"",TRIM(AB134)&lt;&gt;"Closed"),"INVALID – corrective action not closed: use Fail, then Pass after CA","")&amp;IF(AND(TRIM(AA134)&lt;&gt;"",TRIM(AB134)=""),"INVALID – CA status missing for the recorded corrective action","")&amp;IF(AND(TRIM(U134)="Pass after CA",OR(TRIM(AA134)="",TRIM(AB134)&lt;&gt;"Closed")),"INVALID – corrective action not recorded/closed",""),IF(AND(AS134=1,Documents!$J$8&lt;&gt;"ON FILE"),"INVALID – GLD not on file (Documents sheet)",IF(AND(AS134=2,Documents!$O$8&lt;&gt;"ON FILE"),"INVALID – menu checklist not on file (Documents sheet)",IF(AND(AS134=3,NOT(ISNUMBER(Flights!$AX$8))),"INVALID – enter carrying flight KUL departure (Flights AX)",IF(AND(AS134=3,OR(Flights!$AX$8&gt;=Flights!$AA$8,Flights!$AX$8&lt;Flights!$AA$8-3)),"INVALID – Flights AX must be before this leg's STD (within 3 days)",IF(AG134&gt;AsOfUTC,"INVALID – completion time is in the future",IF(AND(ISNUMBER(S134),AG134&lt;S134),IF(H134="Physical uplift","INVALID – before uplift window (cannot confirm loading)","INVALID – before valid window"),IF(AG134&gt;Flights!$AA$8,"INVALID – completed after departure (cannot establish readiness)",IF(AND(H134="Physical uplift",AG134&gt;Q134),"INVALID – recorded after the loading flight departed",IF(AG134&gt;Q134,"COMPLETE – LATE","COMPLETE")))))))))))))))))),IF(TRIM(U134)="Fail","FAIL – DISCREPANCY",IF(AND(TRIM(U134)&lt;&gt;"",TRIM(U134)&lt;&gt;"Not started",TRIM(U134)&lt;&gt;"In progress"),"INVALID – unrecognised status (use the list)",IF(AsOfUTC&gt;Q134,"OVERDUE",IF(N134="Clarification required","OPEN – CLARIFICATION","OPEN")))))))</f>
        <v>OPEN</v>
      </c>
      <c r="AI134" s="61" t="n">
        <f aca="false">IF(OR(AH134="N/A – RULE",AH134="N/A – JUSTIFIED"),0,1)</f>
        <v>1</v>
      </c>
      <c r="AJ134" s="61" t="n">
        <f aca="false">IF(LEFT(AH134,8)="COMPLETE",1,0)</f>
        <v>0</v>
      </c>
      <c r="AK134" s="61" t="n">
        <f aca="false">IF(AND(AI134=1,AJ134=0,AsOfUTC&gt;Q134),1,0)</f>
        <v>0</v>
      </c>
      <c r="AL134" s="61" t="n">
        <f aca="false">IF(AND(AI134=1,OR(TRIM(U134)="Fail",AND(TRIM(AB134)&lt;&gt;"",TRIM(AB134)&lt;&gt;"Closed"),AND(ISNUMBER(AF134),AF134&lt;&gt;0,TRIM(U134)&lt;&gt;"Pass after CA"))),1,0)</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8" t="b">
        <f aca="false">TRUE()</f>
        <v>1</v>
      </c>
    </row>
    <row r="135" customFormat="false" ht="39.75" hidden="false" customHeight="true" outlineLevel="0" collapsed="false">
      <c r="A135" s="57" t="s">
        <v>621</v>
      </c>
      <c r="B135" s="57" t="s">
        <v>210</v>
      </c>
      <c r="C135" s="57" t="str">
        <f aca="false">Flights!$F$8</f>
        <v>MH0088</v>
      </c>
      <c r="D135" s="58" t="n">
        <f aca="false">Flights!$D$8</f>
        <v>46305</v>
      </c>
      <c r="E135" s="57" t="str">
        <f aca="false">Flights!$G$8&amp;"-"&amp;Flights!$H$8</f>
        <v>KUL-NRT</v>
      </c>
      <c r="F135" s="57" t="str">
        <f aca="false">Flights!$K$8</f>
        <v>BC</v>
      </c>
      <c r="G135" s="57" t="s">
        <v>424</v>
      </c>
      <c r="H135" s="57" t="s">
        <v>425</v>
      </c>
      <c r="I135" s="57" t="s">
        <v>594</v>
      </c>
      <c r="J135" s="57" t="s">
        <v>622</v>
      </c>
      <c r="K135" s="67" t="s">
        <v>466</v>
      </c>
      <c r="L135" s="67" t="s">
        <v>596</v>
      </c>
      <c r="M135" s="67" t="s">
        <v>179</v>
      </c>
      <c r="N135" s="67" t="s">
        <v>348</v>
      </c>
      <c r="O135" s="67" t="s">
        <v>597</v>
      </c>
      <c r="P135" s="57" t="s">
        <v>179</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59" t="n">
        <f aca="false">IF(ISNUMBER(Flights!$AY$8),MAX(Q135-UpliftWindowH/24,Flights!$AY$8+UpliftWindowH/24),Q135-UpliftWindowH/24)</f>
        <v>46305.3958333333</v>
      </c>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IF(N135="N/A – rule","N/A – RULE",IF(TRIM(U135)="N/A",IF(AT135=0,"INVALID – N/A not permitted for this mandatory check",IF(AND(TRIM(AC135)&lt;&gt;"",TRIM(AE135)&lt;&gt;"",TRIM(T135)&lt;&gt;"",TRIM(AE135)&lt;&gt;TRIM(T135)),"N/A – JUSTIFIED","INVALID – N/A needs justification, PIC and a different verifier")),IF(OR(TRIM(U135)="Pass",TRIM(U135)="Pass after CA"),IF(NOT(ISNUMBER(AD135)),"INVALID – completion time missing",IF(TRIM(T135)="","INVALID – PIC missing",IF(TRIM(V135)="","INVALID – result / assessment missing",IF(TRIM(Z135)="","INVALID – evidence missing",IF(TRIM(AE135)="","INVALID – verifier missing",IF(TRIM(AE135)=TRIM(T135),"INVALID – verifier must be someone other than the PIC",IF(AND(AQ135=1,TRIM(W135)=""),"INVALID – batch ID missing",IF(AND(AR135=1,OR(NOT(ISNUMBER(X135)),NOT(ISNUMBER(Y135)))),"INVALID – expected/actual qty missing",IF(IF(AND(TRIM(U135)="Pass",ISNUMBER(AF135)),IF(AF135&lt;&gt;0,"INVALID – qty variance: use Fail or Pass after CA",""),"")&amp;IF(AND(TRIM(U135)="Pass",TRIM(AB135)&lt;&gt;"",TRIM(AB135)&lt;&gt;"Closed"),"INVALID – corrective action not closed: use Fail, then Pass after CA","")&amp;IF(AND(TRIM(AA135)&lt;&gt;"",TRIM(AB135)=""),"INVALID – CA status missing for the recorded corrective action","")&amp;IF(AND(TRIM(U135)="Pass after CA",OR(TRIM(AA135)="",TRIM(AB135)&lt;&gt;"Closed")),"INVALID – corrective action not recorded/closed","")&lt;&gt;"",IF(AND(TRIM(U135)="Pass",ISNUMBER(AF135)),IF(AF135&lt;&gt;0,"INVALID – qty variance: use Fail or Pass after CA",""),"")&amp;IF(AND(TRIM(U135)="Pass",TRIM(AB135)&lt;&gt;"",TRIM(AB135)&lt;&gt;"Closed"),"INVALID – corrective action not closed: use Fail, then Pass after CA","")&amp;IF(AND(TRIM(AA135)&lt;&gt;"",TRIM(AB135)=""),"INVALID – CA status missing for the recorded corrective action","")&amp;IF(AND(TRIM(U135)="Pass after CA",OR(TRIM(AA135)="",TRIM(AB135)&lt;&gt;"Closed")),"INVALID – corrective action not recorded/closed",""),IF(AND(AS135=1,Documents!$J$8&lt;&gt;"ON FILE"),"INVALID – GLD not on file (Documents sheet)",IF(AND(AS135=2,Documents!$O$8&lt;&gt;"ON FILE"),"INVALID – menu checklist not on file (Documents sheet)",IF(AND(AS135=3,NOT(ISNUMBER(Flights!$AX$8))),"INVALID – enter carrying flight KUL departure (Flights AX)",IF(AND(AS135=3,OR(Flights!$AX$8&gt;=Flights!$AA$8,Flights!$AX$8&lt;Flights!$AA$8-3)),"INVALID – Flights AX must be before this leg's STD (within 3 days)",IF(AG135&gt;AsOfUTC,"INVALID – completion time is in the future",IF(AND(ISNUMBER(S135),AG135&lt;S135),IF(H135="Physical uplift","INVALID – before uplift window (cannot confirm loading)","INVALID – before valid window"),IF(AG135&gt;Flights!$AA$8,"INVALID – completed after departure (cannot establish readiness)",IF(AND(H135="Physical uplift",AG135&gt;Q135),"INVALID – recorded after the loading flight departed",IF(AG135&gt;Q135,"COMPLETE – LATE","COMPLETE")))))))))))))))))),IF(TRIM(U135)="Fail","FAIL – DISCREPANCY",IF(AND(TRIM(U135)&lt;&gt;"",TRIM(U135)&lt;&gt;"Not started",TRIM(U135)&lt;&gt;"In progress"),"INVALID – unrecognised status (use the list)",IF(AsOfUTC&gt;Q135,"OVERDUE",IF(N135="Clarification required","OPEN – CLARIFICATION","OPEN")))))))</f>
        <v>OPEN</v>
      </c>
      <c r="AI135" s="61" t="n">
        <f aca="false">IF(OR(AH135="N/A – RULE",AH135="N/A – JUSTIFIED"),0,1)</f>
        <v>1</v>
      </c>
      <c r="AJ135" s="61" t="n">
        <f aca="false">IF(LEFT(AH135,8)="COMPLETE",1,0)</f>
        <v>0</v>
      </c>
      <c r="AK135" s="61" t="n">
        <f aca="false">IF(AND(AI135=1,AJ135=0,AsOfUTC&gt;Q135),1,0)</f>
        <v>0</v>
      </c>
      <c r="AL135" s="61" t="n">
        <f aca="false">IF(AND(AI135=1,OR(TRIM(U135)="Fail",AND(TRIM(AB135)&lt;&gt;"",TRIM(AB135)&lt;&gt;"Closed"),AND(ISNUMBER(AF135),AF135&lt;&gt;0,TRIM(U135)&lt;&gt;"Pass after CA"))),1,0)</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8" t="b">
        <f aca="false">TRUE()</f>
        <v>1</v>
      </c>
    </row>
    <row r="136" customFormat="false" ht="41.25" hidden="false" customHeight="true" outlineLevel="0" collapsed="false">
      <c r="A136" s="57" t="s">
        <v>623</v>
      </c>
      <c r="B136" s="57" t="s">
        <v>210</v>
      </c>
      <c r="C136" s="57" t="str">
        <f aca="false">Flights!$F$8</f>
        <v>MH0088</v>
      </c>
      <c r="D136" s="58" t="n">
        <f aca="false">Flights!$D$8</f>
        <v>46305</v>
      </c>
      <c r="E136" s="57" t="str">
        <f aca="false">Flights!$G$8&amp;"-"&amp;Flights!$H$8</f>
        <v>KUL-NRT</v>
      </c>
      <c r="F136" s="57" t="str">
        <f aca="false">Flights!$K$8</f>
        <v>BC</v>
      </c>
      <c r="G136" s="57" t="s">
        <v>424</v>
      </c>
      <c r="H136" s="57" t="s">
        <v>425</v>
      </c>
      <c r="I136" s="57" t="s">
        <v>599</v>
      </c>
      <c r="J136" s="57" t="s">
        <v>624</v>
      </c>
      <c r="K136" s="67" t="s">
        <v>601</v>
      </c>
      <c r="L136" s="67" t="s">
        <v>602</v>
      </c>
      <c r="M136" s="67" t="s">
        <v>416</v>
      </c>
      <c r="N136" s="67" t="s">
        <v>348</v>
      </c>
      <c r="O136" s="67" t="s">
        <v>625</v>
      </c>
      <c r="P136" s="57" t="s">
        <v>179</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59" t="n">
        <f aca="false">IF(ISNUMBER(Flights!$AY$8),MAX(Q136-UpliftWindowH/24,Flights!$AY$8+UpliftWindowH/24),Q136-UpliftWindowH/24)</f>
        <v>46305.3958333333</v>
      </c>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IF(N136="N/A – rule","N/A – RULE",IF(TRIM(U136)="N/A",IF(AT136=0,"INVALID – N/A not permitted for this mandatory check",IF(AND(TRIM(AC136)&lt;&gt;"",TRIM(AE136)&lt;&gt;"",TRIM(T136)&lt;&gt;"",TRIM(AE136)&lt;&gt;TRIM(T136)),"N/A – JUSTIFIED","INVALID – N/A needs justification, PIC and a different verifier")),IF(OR(TRIM(U136)="Pass",TRIM(U136)="Pass after CA"),IF(NOT(ISNUMBER(AD136)),"INVALID – completion time missing",IF(TRIM(T136)="","INVALID – PIC missing",IF(TRIM(V136)="","INVALID – result / assessment missing",IF(TRIM(Z136)="","INVALID – evidence missing",IF(TRIM(AE136)="","INVALID – verifier missing",IF(TRIM(AE136)=TRIM(T136),"INVALID – verifier must be someone other than the PIC",IF(AND(AQ136=1,TRIM(W136)=""),"INVALID – batch ID missing",IF(AND(AR136=1,OR(NOT(ISNUMBER(X136)),NOT(ISNUMBER(Y136)))),"INVALID – expected/actual qty missing",IF(IF(AND(TRIM(U136)="Pass",ISNUMBER(AF136)),IF(AF136&lt;&gt;0,"INVALID – qty variance: use Fail or Pass after CA",""),"")&amp;IF(AND(TRIM(U136)="Pass",TRIM(AB136)&lt;&gt;"",TRIM(AB136)&lt;&gt;"Closed"),"INVALID – corrective action not closed: use Fail, then Pass after CA","")&amp;IF(AND(TRIM(AA136)&lt;&gt;"",TRIM(AB136)=""),"INVALID – CA status missing for the recorded corrective action","")&amp;IF(AND(TRIM(U136)="Pass after CA",OR(TRIM(AA136)="",TRIM(AB136)&lt;&gt;"Closed")),"INVALID – corrective action not recorded/closed","")&lt;&gt;"",IF(AND(TRIM(U136)="Pass",ISNUMBER(AF136)),IF(AF136&lt;&gt;0,"INVALID – qty variance: use Fail or Pass after CA",""),"")&amp;IF(AND(TRIM(U136)="Pass",TRIM(AB136)&lt;&gt;"",TRIM(AB136)&lt;&gt;"Closed"),"INVALID – corrective action not closed: use Fail, then Pass after CA","")&amp;IF(AND(TRIM(AA136)&lt;&gt;"",TRIM(AB136)=""),"INVALID – CA status missing for the recorded corrective action","")&amp;IF(AND(TRIM(U136)="Pass after CA",OR(TRIM(AA136)="",TRIM(AB136)&lt;&gt;"Closed")),"INVALID – corrective action not recorded/closed",""),IF(AND(AS136=1,Documents!$J$8&lt;&gt;"ON FILE"),"INVALID – GLD not on file (Documents sheet)",IF(AND(AS136=2,Documents!$O$8&lt;&gt;"ON FILE"),"INVALID – menu checklist not on file (Documents sheet)",IF(AND(AS136=3,NOT(ISNUMBER(Flights!$AX$8))),"INVALID – enter carrying flight KUL departure (Flights AX)",IF(AND(AS136=3,OR(Flights!$AX$8&gt;=Flights!$AA$8,Flights!$AX$8&lt;Flights!$AA$8-3)),"INVALID – Flights AX must be before this leg's STD (within 3 days)",IF(AG136&gt;AsOfUTC,"INVALID – completion time is in the future",IF(AND(ISNUMBER(S136),AG136&lt;S136),IF(H136="Physical uplift","INVALID – before uplift window (cannot confirm loading)","INVALID – before valid window"),IF(AG136&gt;Flights!$AA$8,"INVALID – completed after departure (cannot establish readiness)",IF(AND(H136="Physical uplift",AG136&gt;Q136),"INVALID – recorded after the loading flight departed",IF(AG136&gt;Q136,"COMPLETE – LATE","COMPLETE")))))))))))))))))),IF(TRIM(U136)="Fail","FAIL – DISCREPANCY",IF(AND(TRIM(U136)&lt;&gt;"",TRIM(U136)&lt;&gt;"Not started",TRIM(U136)&lt;&gt;"In progress"),"INVALID – unrecognised status (use the list)",IF(AsOfUTC&gt;Q136,"OVERDUE",IF(N136="Clarification required","OPEN – CLARIFICATION","OPEN")))))))</f>
        <v>OPEN</v>
      </c>
      <c r="AI136" s="61" t="n">
        <f aca="false">IF(OR(AH136="N/A – RULE",AH136="N/A – JUSTIFIED"),0,1)</f>
        <v>1</v>
      </c>
      <c r="AJ136" s="61" t="n">
        <f aca="false">IF(LEFT(AH136,8)="COMPLETE",1,0)</f>
        <v>0</v>
      </c>
      <c r="AK136" s="61" t="n">
        <f aca="false">IF(AND(AI136=1,AJ136=0,AsOfUTC&gt;Q136),1,0)</f>
        <v>0</v>
      </c>
      <c r="AL136" s="61" t="n">
        <f aca="false">IF(AND(AI136=1,OR(TRIM(U136)="Fail",AND(TRIM(AB136)&lt;&gt;"",TRIM(AB136)&lt;&gt;"Closed"),AND(ISNUMBER(AF136),AF136&lt;&gt;0,TRIM(U136)&lt;&gt;"Pass after CA"))),1,0)</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8" t="b">
        <f aca="false">TRUE()</f>
        <v>1</v>
      </c>
    </row>
    <row r="137" customFormat="false" ht="39.75" hidden="false" customHeight="true" outlineLevel="0" collapsed="false">
      <c r="A137" s="57" t="s">
        <v>626</v>
      </c>
      <c r="B137" s="57" t="s">
        <v>220</v>
      </c>
      <c r="C137" s="57" t="str">
        <f aca="false">Flights!$F$9</f>
        <v>MH0089</v>
      </c>
      <c r="D137" s="58" t="n">
        <f aca="false">Flights!$D$9</f>
        <v>46310</v>
      </c>
      <c r="E137" s="57" t="str">
        <f aca="false">Flights!$G$9&amp;"-"&amp;Flights!$H$9</f>
        <v>NRT-KUL</v>
      </c>
      <c r="F137" s="57" t="str">
        <f aca="false">Flights!$K$9</f>
        <v>EY</v>
      </c>
      <c r="G137" s="57" t="s">
        <v>76</v>
      </c>
      <c r="H137" s="57" t="s">
        <v>343</v>
      </c>
      <c r="I137" s="57" t="s">
        <v>344</v>
      </c>
      <c r="J137" s="57" t="s">
        <v>345</v>
      </c>
      <c r="K137" s="67" t="s">
        <v>346</v>
      </c>
      <c r="L137" s="67" t="s">
        <v>347</v>
      </c>
      <c r="M137" s="67"/>
      <c r="N137" s="67" t="s">
        <v>348</v>
      </c>
      <c r="O137" s="67"/>
      <c r="P137" s="57" t="s">
        <v>212</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59" t="n">
        <f aca="false">Q137-T7EarlyD*24/24</f>
        <v>46289.0451388889</v>
      </c>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IF(N137="N/A – rule","N/A – RULE",IF(TRIM(U137)="N/A",IF(AT137=0,"INVALID – N/A not permitted for this mandatory check",IF(AND(TRIM(AC137)&lt;&gt;"",TRIM(AE137)&lt;&gt;"",TRIM(T137)&lt;&gt;"",TRIM(AE137)&lt;&gt;TRIM(T137)),"N/A – JUSTIFIED","INVALID – N/A needs justification, PIC and a different verifier")),IF(OR(TRIM(U137)="Pass",TRIM(U137)="Pass after CA"),IF(NOT(ISNUMBER(AD137)),"INVALID – completion time missing",IF(TRIM(T137)="","INVALID – PIC missing",IF(TRIM(V137)="","INVALID – result / assessment missing",IF(TRIM(Z137)="","INVALID – evidence missing",IF(TRIM(AE137)="","INVALID – verifier missing",IF(TRIM(AE137)=TRIM(T137),"INVALID – verifier must be someone other than the PIC",IF(AND(AQ137=1,TRIM(W137)=""),"INVALID – batch ID missing",IF(AND(AR137=1,OR(NOT(ISNUMBER(X137)),NOT(ISNUMBER(Y137)))),"INVALID – expected/actual qty missing",IF(IF(AND(TRIM(U137)="Pass",ISNUMBER(AF137)),IF(AF137&lt;&gt;0,"INVALID – qty variance: use Fail or Pass after CA",""),"")&amp;IF(AND(TRIM(U137)="Pass",TRIM(AB137)&lt;&gt;"",TRIM(AB137)&lt;&gt;"Closed"),"INVALID – corrective action not closed: use Fail, then Pass after CA","")&amp;IF(AND(TRIM(AA137)&lt;&gt;"",TRIM(AB137)=""),"INVALID – CA status missing for the recorded corrective action","")&amp;IF(AND(TRIM(U137)="Pass after CA",OR(TRIM(AA137)="",TRIM(AB137)&lt;&gt;"Closed")),"INVALID – corrective action not recorded/closed","")&lt;&gt;"",IF(AND(TRIM(U137)="Pass",ISNUMBER(AF137)),IF(AF137&lt;&gt;0,"INVALID – qty variance: use Fail or Pass after CA",""),"")&amp;IF(AND(TRIM(U137)="Pass",TRIM(AB137)&lt;&gt;"",TRIM(AB137)&lt;&gt;"Closed"),"INVALID – corrective action not closed: use Fail, then Pass after CA","")&amp;IF(AND(TRIM(AA137)&lt;&gt;"",TRIM(AB137)=""),"INVALID – CA status missing for the recorded corrective action","")&amp;IF(AND(TRIM(U137)="Pass after CA",OR(TRIM(AA137)="",TRIM(AB137)&lt;&gt;"Closed")),"INVALID – corrective action not recorded/closed",""),IF(AND(AS137=1,Documents!$J$9&lt;&gt;"ON FILE"),"INVALID – GLD not on file (Documents sheet)",IF(AND(AS137=2,Documents!$O$9&lt;&gt;"ON FILE"),"INVALID – menu checklist not on file (Documents sheet)",IF(AND(AS137=3,NOT(ISNUMBER(Flights!$AX$9))),"INVALID – enter carrying flight KUL departure (Flights AX)",IF(AND(AS137=3,OR(Flights!$AX$9&gt;=Flights!$AA$9,Flights!$AX$9&lt;Flights!$AA$9-3)),"INVALID – Flights AX must be before this leg's STD (within 3 days)",IF(AG137&gt;AsOfUTC,"INVALID – completion time is in the future",IF(AND(ISNUMBER(S137),AG137&lt;S137),IF(H137="Physical uplift","INVALID – before uplift window (cannot confirm loading)","INVALID – before valid window"),IF(AG137&gt;Flights!$AA$9,"INVALID – completed after departure (cannot establish readiness)",IF(AND(H137="Physical uplift",AG137&gt;Q137),"INVALID – recorded after the loading flight departed",IF(AG137&gt;Q137,"COMPLETE – LATE","COMPLETE")))))))))))))))))),IF(TRIM(U137)="Fail","FAIL – DISCREPANCY",IF(AND(TRIM(U137)&lt;&gt;"",TRIM(U137)&lt;&gt;"Not started",TRIM(U137)&lt;&gt;"In progress"),"INVALID – unrecognised status (use the list)",IF(AsOfUTC&gt;Q137,"OVERDUE",IF(N137="Clarification required","OPEN – CLARIFICATION","OPEN")))))))</f>
        <v>OPEN</v>
      </c>
      <c r="AI137" s="61" t="n">
        <f aca="false">IF(OR(AH137="N/A – RULE",AH137="N/A – JUSTIFIED"),0,1)</f>
        <v>1</v>
      </c>
      <c r="AJ137" s="61" t="n">
        <f aca="false">IF(LEFT(AH137,8)="COMPLETE",1,0)</f>
        <v>0</v>
      </c>
      <c r="AK137" s="61" t="n">
        <f aca="false">IF(AND(AI137=1,AJ137=0,AsOfUTC&gt;Q137),1,0)</f>
        <v>0</v>
      </c>
      <c r="AL137" s="61" t="n">
        <f aca="false">IF(AND(AI137=1,OR(TRIM(U137)="Fail",AND(TRIM(AB137)&lt;&gt;"",TRIM(AB137)&lt;&gt;"Closed"),AND(ISNUMBER(AF137),AF137&lt;&gt;0,TRIM(U137)&lt;&gt;"Pass after CA"))),1,0)</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row>
    <row r="138" customFormat="false" ht="39.75" hidden="false" customHeight="true" outlineLevel="0" collapsed="false">
      <c r="A138" s="57" t="s">
        <v>627</v>
      </c>
      <c r="B138" s="57" t="s">
        <v>220</v>
      </c>
      <c r="C138" s="57" t="str">
        <f aca="false">Flights!$F$9</f>
        <v>MH0089</v>
      </c>
      <c r="D138" s="58" t="n">
        <f aca="false">Flights!$D$9</f>
        <v>46310</v>
      </c>
      <c r="E138" s="57" t="str">
        <f aca="false">Flights!$G$9&amp;"-"&amp;Flights!$H$9</f>
        <v>NRT-KUL</v>
      </c>
      <c r="F138" s="57" t="str">
        <f aca="false">Flights!$K$9</f>
        <v>EY</v>
      </c>
      <c r="G138" s="57" t="s">
        <v>76</v>
      </c>
      <c r="H138" s="57" t="s">
        <v>343</v>
      </c>
      <c r="I138" s="57" t="s">
        <v>350</v>
      </c>
      <c r="J138" s="57" t="s">
        <v>351</v>
      </c>
      <c r="K138" s="67" t="s">
        <v>352</v>
      </c>
      <c r="L138" s="67" t="s">
        <v>347</v>
      </c>
      <c r="M138" s="67"/>
      <c r="N138" s="67" t="s">
        <v>348</v>
      </c>
      <c r="O138" s="67"/>
      <c r="P138" s="57" t="s">
        <v>212</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59" t="n">
        <f aca="false">Q138-T7EarlyD*24/24</f>
        <v>46289.0451388889</v>
      </c>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IF(N138="N/A – rule","N/A – RULE",IF(TRIM(U138)="N/A",IF(AT138=0,"INVALID – N/A not permitted for this mandatory check",IF(AND(TRIM(AC138)&lt;&gt;"",TRIM(AE138)&lt;&gt;"",TRIM(T138)&lt;&gt;"",TRIM(AE138)&lt;&gt;TRIM(T138)),"N/A – JUSTIFIED","INVALID – N/A needs justification, PIC and a different verifier")),IF(OR(TRIM(U138)="Pass",TRIM(U138)="Pass after CA"),IF(NOT(ISNUMBER(AD138)),"INVALID – completion time missing",IF(TRIM(T138)="","INVALID – PIC missing",IF(TRIM(V138)="","INVALID – result / assessment missing",IF(TRIM(Z138)="","INVALID – evidence missing",IF(TRIM(AE138)="","INVALID – verifier missing",IF(TRIM(AE138)=TRIM(T138),"INVALID – verifier must be someone other than the PIC",IF(AND(AQ138=1,TRIM(W138)=""),"INVALID – batch ID missing",IF(AND(AR138=1,OR(NOT(ISNUMBER(X138)),NOT(ISNUMBER(Y138)))),"INVALID – expected/actual qty missing",IF(IF(AND(TRIM(U138)="Pass",ISNUMBER(AF138)),IF(AF138&lt;&gt;0,"INVALID – qty variance: use Fail or Pass after CA",""),"")&amp;IF(AND(TRIM(U138)="Pass",TRIM(AB138)&lt;&gt;"",TRIM(AB138)&lt;&gt;"Closed"),"INVALID – corrective action not closed: use Fail, then Pass after CA","")&amp;IF(AND(TRIM(AA138)&lt;&gt;"",TRIM(AB138)=""),"INVALID – CA status missing for the recorded corrective action","")&amp;IF(AND(TRIM(U138)="Pass after CA",OR(TRIM(AA138)="",TRIM(AB138)&lt;&gt;"Closed")),"INVALID – corrective action not recorded/closed","")&lt;&gt;"",IF(AND(TRIM(U138)="Pass",ISNUMBER(AF138)),IF(AF138&lt;&gt;0,"INVALID – qty variance: use Fail or Pass after CA",""),"")&amp;IF(AND(TRIM(U138)="Pass",TRIM(AB138)&lt;&gt;"",TRIM(AB138)&lt;&gt;"Closed"),"INVALID – corrective action not closed: use Fail, then Pass after CA","")&amp;IF(AND(TRIM(AA138)&lt;&gt;"",TRIM(AB138)=""),"INVALID – CA status missing for the recorded corrective action","")&amp;IF(AND(TRIM(U138)="Pass after CA",OR(TRIM(AA138)="",TRIM(AB138)&lt;&gt;"Closed")),"INVALID – corrective action not recorded/closed",""),IF(AND(AS138=1,Documents!$J$9&lt;&gt;"ON FILE"),"INVALID – GLD not on file (Documents sheet)",IF(AND(AS138=2,Documents!$O$9&lt;&gt;"ON FILE"),"INVALID – menu checklist not on file (Documents sheet)",IF(AND(AS138=3,NOT(ISNUMBER(Flights!$AX$9))),"INVALID – enter carrying flight KUL departure (Flights AX)",IF(AND(AS138=3,OR(Flights!$AX$9&gt;=Flights!$AA$9,Flights!$AX$9&lt;Flights!$AA$9-3)),"INVALID – Flights AX must be before this leg's STD (within 3 days)",IF(AG138&gt;AsOfUTC,"INVALID – completion time is in the future",IF(AND(ISNUMBER(S138),AG138&lt;S138),IF(H138="Physical uplift","INVALID – before uplift window (cannot confirm loading)","INVALID – before valid window"),IF(AG138&gt;Flights!$AA$9,"INVALID – completed after departure (cannot establish readiness)",IF(AND(H138="Physical uplift",AG138&gt;Q138),"INVALID – recorded after the loading flight departed",IF(AG138&gt;Q138,"COMPLETE – LATE","COMPLETE")))))))))))))))))),IF(TRIM(U138)="Fail","FAIL – DISCREPANCY",IF(AND(TRIM(U138)&lt;&gt;"",TRIM(U138)&lt;&gt;"Not started",TRIM(U138)&lt;&gt;"In progress"),"INVALID – unrecognised status (use the list)",IF(AsOfUTC&gt;Q138,"OVERDUE",IF(N138="Clarification required","OPEN – CLARIFICATION","OPEN")))))))</f>
        <v>OPEN</v>
      </c>
      <c r="AI138" s="61" t="n">
        <f aca="false">IF(OR(AH138="N/A – RULE",AH138="N/A – JUSTIFIED"),0,1)</f>
        <v>1</v>
      </c>
      <c r="AJ138" s="61" t="n">
        <f aca="false">IF(LEFT(AH138,8)="COMPLETE",1,0)</f>
        <v>0</v>
      </c>
      <c r="AK138" s="61" t="n">
        <f aca="false">IF(AND(AI138=1,AJ138=0,AsOfUTC&gt;Q138),1,0)</f>
        <v>0</v>
      </c>
      <c r="AL138" s="61" t="n">
        <f aca="false">IF(AND(AI138=1,OR(TRIM(U138)="Fail",AND(TRIM(AB138)&lt;&gt;"",TRIM(AB138)&lt;&gt;"Closed"),AND(ISNUMBER(AF138),AF138&lt;&gt;0,TRIM(U138)&lt;&gt;"Pass after CA"))),1,0)</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8" t="b">
        <f aca="false">TRUE()</f>
        <v>1</v>
      </c>
    </row>
    <row r="139" customFormat="false" ht="41.25" hidden="false" customHeight="true" outlineLevel="0" collapsed="false">
      <c r="A139" s="57" t="s">
        <v>628</v>
      </c>
      <c r="B139" s="57" t="s">
        <v>220</v>
      </c>
      <c r="C139" s="57" t="str">
        <f aca="false">Flights!$F$9</f>
        <v>MH0089</v>
      </c>
      <c r="D139" s="58" t="n">
        <f aca="false">Flights!$D$9</f>
        <v>46310</v>
      </c>
      <c r="E139" s="57" t="str">
        <f aca="false">Flights!$G$9&amp;"-"&amp;Flights!$H$9</f>
        <v>NRT-KUL</v>
      </c>
      <c r="F139" s="57" t="str">
        <f aca="false">Flights!$K$9</f>
        <v>EY</v>
      </c>
      <c r="G139" s="57" t="s">
        <v>76</v>
      </c>
      <c r="H139" s="57" t="s">
        <v>343</v>
      </c>
      <c r="I139" s="57" t="s">
        <v>354</v>
      </c>
      <c r="J139" s="57" t="s">
        <v>355</v>
      </c>
      <c r="K139" s="67" t="s">
        <v>356</v>
      </c>
      <c r="L139" s="67" t="s">
        <v>347</v>
      </c>
      <c r="M139" s="67"/>
      <c r="N139" s="67" t="str">
        <f aca="false">IF(TRIM(Flights!$L$9)="A339","Required","N/A – rule")</f>
        <v>N/A – rule</v>
      </c>
      <c r="O139" s="67" t="s">
        <v>357</v>
      </c>
      <c r="P139" s="57" t="s">
        <v>212</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59" t="n">
        <f aca="false">Q139-T7EarlyD*24/24</f>
        <v>46289.0451388889</v>
      </c>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IF(N139="N/A – rule","N/A – RULE",IF(TRIM(U139)="N/A",IF(AT139=0,"INVALID – N/A not permitted for this mandatory check",IF(AND(TRIM(AC139)&lt;&gt;"",TRIM(AE139)&lt;&gt;"",TRIM(T139)&lt;&gt;"",TRIM(AE139)&lt;&gt;TRIM(T139)),"N/A – JUSTIFIED","INVALID – N/A needs justification, PIC and a different verifier")),IF(OR(TRIM(U139)="Pass",TRIM(U139)="Pass after CA"),IF(NOT(ISNUMBER(AD139)),"INVALID – completion time missing",IF(TRIM(T139)="","INVALID – PIC missing",IF(TRIM(V139)="","INVALID – result / assessment missing",IF(TRIM(Z139)="","INVALID – evidence missing",IF(TRIM(AE139)="","INVALID – verifier missing",IF(TRIM(AE139)=TRIM(T139),"INVALID – verifier must be someone other than the PIC",IF(AND(AQ139=1,TRIM(W139)=""),"INVALID – batch ID missing",IF(AND(AR139=1,OR(NOT(ISNUMBER(X139)),NOT(ISNUMBER(Y139)))),"INVALID – expected/actual qty missing",IF(IF(AND(TRIM(U139)="Pass",ISNUMBER(AF139)),IF(AF139&lt;&gt;0,"INVALID – qty variance: use Fail or Pass after CA",""),"")&amp;IF(AND(TRIM(U139)="Pass",TRIM(AB139)&lt;&gt;"",TRIM(AB139)&lt;&gt;"Closed"),"INVALID – corrective action not closed: use Fail, then Pass after CA","")&amp;IF(AND(TRIM(AA139)&lt;&gt;"",TRIM(AB139)=""),"INVALID – CA status missing for the recorded corrective action","")&amp;IF(AND(TRIM(U139)="Pass after CA",OR(TRIM(AA139)="",TRIM(AB139)&lt;&gt;"Closed")),"INVALID – corrective action not recorded/closed","")&lt;&gt;"",IF(AND(TRIM(U139)="Pass",ISNUMBER(AF139)),IF(AF139&lt;&gt;0,"INVALID – qty variance: use Fail or Pass after CA",""),"")&amp;IF(AND(TRIM(U139)="Pass",TRIM(AB139)&lt;&gt;"",TRIM(AB139)&lt;&gt;"Closed"),"INVALID – corrective action not closed: use Fail, then Pass after CA","")&amp;IF(AND(TRIM(AA139)&lt;&gt;"",TRIM(AB139)=""),"INVALID – CA status missing for the recorded corrective action","")&amp;IF(AND(TRIM(U139)="Pass after CA",OR(TRIM(AA139)="",TRIM(AB139)&lt;&gt;"Closed")),"INVALID – corrective action not recorded/closed",""),IF(AND(AS139=1,Documents!$J$9&lt;&gt;"ON FILE"),"INVALID – GLD not on file (Documents sheet)",IF(AND(AS139=2,Documents!$O$9&lt;&gt;"ON FILE"),"INVALID – menu checklist not on file (Documents sheet)",IF(AND(AS139=3,NOT(ISNUMBER(Flights!$AX$9))),"INVALID – enter carrying flight KUL departure (Flights AX)",IF(AND(AS139=3,OR(Flights!$AX$9&gt;=Flights!$AA$9,Flights!$AX$9&lt;Flights!$AA$9-3)),"INVALID – Flights AX must be before this leg's STD (within 3 days)",IF(AG139&gt;AsOfUTC,"INVALID – completion time is in the future",IF(AND(ISNUMBER(S139),AG139&lt;S139),IF(H139="Physical uplift","INVALID – before uplift window (cannot confirm loading)","INVALID – before valid window"),IF(AG139&gt;Flights!$AA$9,"INVALID – completed after departure (cannot establish readiness)",IF(AND(H139="Physical uplift",AG139&gt;Q139),"INVALID – recorded after the loading flight departed",IF(AG139&gt;Q139,"COMPLETE – LATE","COMPLETE")))))))))))))))))),IF(TRIM(U139)="Fail","FAIL – DISCREPANCY",IF(AND(TRIM(U139)&lt;&gt;"",TRIM(U139)&lt;&gt;"Not started",TRIM(U139)&lt;&gt;"In progress"),"INVALID – unrecognised status (use the list)",IF(AsOfUTC&gt;Q139,"OVERDUE",IF(N139="Clarification required","OPEN – CLARIFICATION","OPEN")))))))</f>
        <v>N/A – RULE</v>
      </c>
      <c r="AI139" s="61" t="n">
        <f aca="false">IF(OR(AH139="N/A – RULE",AH139="N/A – JUSTIFIED"),0,1)</f>
        <v>0</v>
      </c>
      <c r="AJ139" s="61" t="n">
        <f aca="false">IF(LEFT(AH139,8)="COMPLETE",1,0)</f>
        <v>0</v>
      </c>
      <c r="AK139" s="61" t="n">
        <f aca="false">IF(AND(AI139=1,AJ139=0,AsOfUTC&gt;Q139),1,0)</f>
        <v>0</v>
      </c>
      <c r="AL139" s="61" t="n">
        <f aca="false">IF(AND(AI139=1,OR(TRIM(U139)="Fail",AND(TRIM(AB139)&lt;&gt;"",TRIM(AB139)&lt;&gt;"Closed"),AND(ISNUMBER(AF139),AF139&lt;&gt;0,TRIM(U139)&lt;&gt;"Pass after CA"))),1,0)</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row>
    <row r="140" customFormat="false" ht="39.75" hidden="false" customHeight="true" outlineLevel="0" collapsed="false">
      <c r="A140" s="57" t="s">
        <v>629</v>
      </c>
      <c r="B140" s="57" t="s">
        <v>220</v>
      </c>
      <c r="C140" s="57" t="str">
        <f aca="false">Flights!$F$9</f>
        <v>MH0089</v>
      </c>
      <c r="D140" s="58" t="n">
        <f aca="false">Flights!$D$9</f>
        <v>46310</v>
      </c>
      <c r="E140" s="57" t="str">
        <f aca="false">Flights!$G$9&amp;"-"&amp;Flights!$H$9</f>
        <v>NRT-KUL</v>
      </c>
      <c r="F140" s="57" t="str">
        <f aca="false">Flights!$K$9</f>
        <v>EY</v>
      </c>
      <c r="G140" s="57" t="s">
        <v>76</v>
      </c>
      <c r="H140" s="57" t="s">
        <v>343</v>
      </c>
      <c r="I140" s="57" t="s">
        <v>359</v>
      </c>
      <c r="J140" s="57" t="s">
        <v>360</v>
      </c>
      <c r="K140" s="67" t="s">
        <v>361</v>
      </c>
      <c r="L140" s="67" t="s">
        <v>347</v>
      </c>
      <c r="M140" s="67"/>
      <c r="N140" s="67" t="s">
        <v>348</v>
      </c>
      <c r="O140" s="67"/>
      <c r="P140" s="57" t="s">
        <v>212</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59" t="n">
        <f aca="false">Q140-T7EarlyD*24/24</f>
        <v>46289.0451388889</v>
      </c>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IF(N140="N/A – rule","N/A – RULE",IF(TRIM(U140)="N/A",IF(AT140=0,"INVALID – N/A not permitted for this mandatory check",IF(AND(TRIM(AC140)&lt;&gt;"",TRIM(AE140)&lt;&gt;"",TRIM(T140)&lt;&gt;"",TRIM(AE140)&lt;&gt;TRIM(T140)),"N/A – JUSTIFIED","INVALID – N/A needs justification, PIC and a different verifier")),IF(OR(TRIM(U140)="Pass",TRIM(U140)="Pass after CA"),IF(NOT(ISNUMBER(AD140)),"INVALID – completion time missing",IF(TRIM(T140)="","INVALID – PIC missing",IF(TRIM(V140)="","INVALID – result / assessment missing",IF(TRIM(Z140)="","INVALID – evidence missing",IF(TRIM(AE140)="","INVALID – verifier missing",IF(TRIM(AE140)=TRIM(T140),"INVALID – verifier must be someone other than the PIC",IF(AND(AQ140=1,TRIM(W140)=""),"INVALID – batch ID missing",IF(AND(AR140=1,OR(NOT(ISNUMBER(X140)),NOT(ISNUMBER(Y140)))),"INVALID – expected/actual qty missing",IF(IF(AND(TRIM(U140)="Pass",ISNUMBER(AF140)),IF(AF140&lt;&gt;0,"INVALID – qty variance: use Fail or Pass after CA",""),"")&amp;IF(AND(TRIM(U140)="Pass",TRIM(AB140)&lt;&gt;"",TRIM(AB140)&lt;&gt;"Closed"),"INVALID – corrective action not closed: use Fail, then Pass after CA","")&amp;IF(AND(TRIM(AA140)&lt;&gt;"",TRIM(AB140)=""),"INVALID – CA status missing for the recorded corrective action","")&amp;IF(AND(TRIM(U140)="Pass after CA",OR(TRIM(AA140)="",TRIM(AB140)&lt;&gt;"Closed")),"INVALID – corrective action not recorded/closed","")&lt;&gt;"",IF(AND(TRIM(U140)="Pass",ISNUMBER(AF140)),IF(AF140&lt;&gt;0,"INVALID – qty variance: use Fail or Pass after CA",""),"")&amp;IF(AND(TRIM(U140)="Pass",TRIM(AB140)&lt;&gt;"",TRIM(AB140)&lt;&gt;"Closed"),"INVALID – corrective action not closed: use Fail, then Pass after CA","")&amp;IF(AND(TRIM(AA140)&lt;&gt;"",TRIM(AB140)=""),"INVALID – CA status missing for the recorded corrective action","")&amp;IF(AND(TRIM(U140)="Pass after CA",OR(TRIM(AA140)="",TRIM(AB140)&lt;&gt;"Closed")),"INVALID – corrective action not recorded/closed",""),IF(AND(AS140=1,Documents!$J$9&lt;&gt;"ON FILE"),"INVALID – GLD not on file (Documents sheet)",IF(AND(AS140=2,Documents!$O$9&lt;&gt;"ON FILE"),"INVALID – menu checklist not on file (Documents sheet)",IF(AND(AS140=3,NOT(ISNUMBER(Flights!$AX$9))),"INVALID – enter carrying flight KUL departure (Flights AX)",IF(AND(AS140=3,OR(Flights!$AX$9&gt;=Flights!$AA$9,Flights!$AX$9&lt;Flights!$AA$9-3)),"INVALID – Flights AX must be before this leg's STD (within 3 days)",IF(AG140&gt;AsOfUTC,"INVALID – completion time is in the future",IF(AND(ISNUMBER(S140),AG140&lt;S140),IF(H140="Physical uplift","INVALID – before uplift window (cannot confirm loading)","INVALID – before valid window"),IF(AG140&gt;Flights!$AA$9,"INVALID – completed after departure (cannot establish readiness)",IF(AND(H140="Physical uplift",AG140&gt;Q140),"INVALID – recorded after the loading flight departed",IF(AG140&gt;Q140,"COMPLETE – LATE","COMPLETE")))))))))))))))))),IF(TRIM(U140)="Fail","FAIL – DISCREPANCY",IF(AND(TRIM(U140)&lt;&gt;"",TRIM(U140)&lt;&gt;"Not started",TRIM(U140)&lt;&gt;"In progress"),"INVALID – unrecognised status (use the list)",IF(AsOfUTC&gt;Q140,"OVERDUE",IF(N140="Clarification required","OPEN – CLARIFICATION","OPEN")))))))</f>
        <v>OPEN</v>
      </c>
      <c r="AI140" s="61" t="n">
        <f aca="false">IF(OR(AH140="N/A – RULE",AH140="N/A – JUSTIFIED"),0,1)</f>
        <v>1</v>
      </c>
      <c r="AJ140" s="61" t="n">
        <f aca="false">IF(LEFT(AH140,8)="COMPLETE",1,0)</f>
        <v>0</v>
      </c>
      <c r="AK140" s="61" t="n">
        <f aca="false">IF(AND(AI140=1,AJ140=0,AsOfUTC&gt;Q140),1,0)</f>
        <v>0</v>
      </c>
      <c r="AL140" s="61" t="n">
        <f aca="false">IF(AND(AI140=1,OR(TRIM(U140)="Fail",AND(TRIM(AB140)&lt;&gt;"",TRIM(AB140)&lt;&gt;"Closed"),AND(ISNUMBER(AF140),AF140&lt;&gt;0,TRIM(U140)&lt;&gt;"Pass after CA"))),1,0)</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row>
    <row r="141" customFormat="false" ht="39.75" hidden="false" customHeight="true" outlineLevel="0" collapsed="false">
      <c r="A141" s="57" t="s">
        <v>630</v>
      </c>
      <c r="B141" s="57" t="s">
        <v>220</v>
      </c>
      <c r="C141" s="57" t="str">
        <f aca="false">Flights!$F$9</f>
        <v>MH0089</v>
      </c>
      <c r="D141" s="58" t="n">
        <f aca="false">Flights!$D$9</f>
        <v>46310</v>
      </c>
      <c r="E141" s="57" t="str">
        <f aca="false">Flights!$G$9&amp;"-"&amp;Flights!$H$9</f>
        <v>NRT-KUL</v>
      </c>
      <c r="F141" s="57" t="str">
        <f aca="false">Flights!$K$9</f>
        <v>EY</v>
      </c>
      <c r="G141" s="57" t="s">
        <v>76</v>
      </c>
      <c r="H141" s="57" t="s">
        <v>343</v>
      </c>
      <c r="I141" s="57" t="s">
        <v>363</v>
      </c>
      <c r="J141" s="57" t="s">
        <v>364</v>
      </c>
      <c r="K141" s="67" t="s">
        <v>365</v>
      </c>
      <c r="L141" s="67" t="s">
        <v>347</v>
      </c>
      <c r="M141" s="67"/>
      <c r="N141" s="67" t="s">
        <v>348</v>
      </c>
      <c r="O141" s="67"/>
      <c r="P141" s="57" t="s">
        <v>212</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59" t="n">
        <f aca="false">Q141-T7EarlyD*24/24</f>
        <v>46289.0451388889</v>
      </c>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IF(N141="N/A – rule","N/A – RULE",IF(TRIM(U141)="N/A",IF(AT141=0,"INVALID – N/A not permitted for this mandatory check",IF(AND(TRIM(AC141)&lt;&gt;"",TRIM(AE141)&lt;&gt;"",TRIM(T141)&lt;&gt;"",TRIM(AE141)&lt;&gt;TRIM(T141)),"N/A – JUSTIFIED","INVALID – N/A needs justification, PIC and a different verifier")),IF(OR(TRIM(U141)="Pass",TRIM(U141)="Pass after CA"),IF(NOT(ISNUMBER(AD141)),"INVALID – completion time missing",IF(TRIM(T141)="","INVALID – PIC missing",IF(TRIM(V141)="","INVALID – result / assessment missing",IF(TRIM(Z141)="","INVALID – evidence missing",IF(TRIM(AE141)="","INVALID – verifier missing",IF(TRIM(AE141)=TRIM(T141),"INVALID – verifier must be someone other than the PIC",IF(AND(AQ141=1,TRIM(W141)=""),"INVALID – batch ID missing",IF(AND(AR141=1,OR(NOT(ISNUMBER(X141)),NOT(ISNUMBER(Y141)))),"INVALID – expected/actual qty missing",IF(IF(AND(TRIM(U141)="Pass",ISNUMBER(AF141)),IF(AF141&lt;&gt;0,"INVALID – qty variance: use Fail or Pass after CA",""),"")&amp;IF(AND(TRIM(U141)="Pass",TRIM(AB141)&lt;&gt;"",TRIM(AB141)&lt;&gt;"Closed"),"INVALID – corrective action not closed: use Fail, then Pass after CA","")&amp;IF(AND(TRIM(AA141)&lt;&gt;"",TRIM(AB141)=""),"INVALID – CA status missing for the recorded corrective action","")&amp;IF(AND(TRIM(U141)="Pass after CA",OR(TRIM(AA141)="",TRIM(AB141)&lt;&gt;"Closed")),"INVALID – corrective action not recorded/closed","")&lt;&gt;"",IF(AND(TRIM(U141)="Pass",ISNUMBER(AF141)),IF(AF141&lt;&gt;0,"INVALID – qty variance: use Fail or Pass after CA",""),"")&amp;IF(AND(TRIM(U141)="Pass",TRIM(AB141)&lt;&gt;"",TRIM(AB141)&lt;&gt;"Closed"),"INVALID – corrective action not closed: use Fail, then Pass after CA","")&amp;IF(AND(TRIM(AA141)&lt;&gt;"",TRIM(AB141)=""),"INVALID – CA status missing for the recorded corrective action","")&amp;IF(AND(TRIM(U141)="Pass after CA",OR(TRIM(AA141)="",TRIM(AB141)&lt;&gt;"Closed")),"INVALID – corrective action not recorded/closed",""),IF(AND(AS141=1,Documents!$J$9&lt;&gt;"ON FILE"),"INVALID – GLD not on file (Documents sheet)",IF(AND(AS141=2,Documents!$O$9&lt;&gt;"ON FILE"),"INVALID – menu checklist not on file (Documents sheet)",IF(AND(AS141=3,NOT(ISNUMBER(Flights!$AX$9))),"INVALID – enter carrying flight KUL departure (Flights AX)",IF(AND(AS141=3,OR(Flights!$AX$9&gt;=Flights!$AA$9,Flights!$AX$9&lt;Flights!$AA$9-3)),"INVALID – Flights AX must be before this leg's STD (within 3 days)",IF(AG141&gt;AsOfUTC,"INVALID – completion time is in the future",IF(AND(ISNUMBER(S141),AG141&lt;S141),IF(H141="Physical uplift","INVALID – before uplift window (cannot confirm loading)","INVALID – before valid window"),IF(AG141&gt;Flights!$AA$9,"INVALID – completed after departure (cannot establish readiness)",IF(AND(H141="Physical uplift",AG141&gt;Q141),"INVALID – recorded after the loading flight departed",IF(AG141&gt;Q141,"COMPLETE – LATE","COMPLETE")))))))))))))))))),IF(TRIM(U141)="Fail","FAIL – DISCREPANCY",IF(AND(TRIM(U141)&lt;&gt;"",TRIM(U141)&lt;&gt;"Not started",TRIM(U141)&lt;&gt;"In progress"),"INVALID – unrecognised status (use the list)",IF(AsOfUTC&gt;Q141,"OVERDUE",IF(N141="Clarification required","OPEN – CLARIFICATION","OPEN")))))))</f>
        <v>OPEN</v>
      </c>
      <c r="AI141" s="61" t="n">
        <f aca="false">IF(OR(AH141="N/A – RULE",AH141="N/A – JUSTIFIED"),0,1)</f>
        <v>1</v>
      </c>
      <c r="AJ141" s="61" t="n">
        <f aca="false">IF(LEFT(AH141,8)="COMPLETE",1,0)</f>
        <v>0</v>
      </c>
      <c r="AK141" s="61" t="n">
        <f aca="false">IF(AND(AI141=1,AJ141=0,AsOfUTC&gt;Q141),1,0)</f>
        <v>0</v>
      </c>
      <c r="AL141" s="61" t="n">
        <f aca="false">IF(AND(AI141=1,OR(TRIM(U141)="Fail",AND(TRIM(AB141)&lt;&gt;"",TRIM(AB141)&lt;&gt;"Closed"),AND(ISNUMBER(AF141),AF141&lt;&gt;0,TRIM(U141)&lt;&gt;"Pass after CA"))),1,0)</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row>
    <row r="142" customFormat="false" ht="39.75" hidden="false" customHeight="true" outlineLevel="0" collapsed="false">
      <c r="A142" s="57" t="s">
        <v>631</v>
      </c>
      <c r="B142" s="57" t="s">
        <v>220</v>
      </c>
      <c r="C142" s="57" t="str">
        <f aca="false">Flights!$F$9</f>
        <v>MH0089</v>
      </c>
      <c r="D142" s="58" t="n">
        <f aca="false">Flights!$D$9</f>
        <v>46310</v>
      </c>
      <c r="E142" s="57" t="str">
        <f aca="false">Flights!$G$9&amp;"-"&amp;Flights!$H$9</f>
        <v>NRT-KUL</v>
      </c>
      <c r="F142" s="57" t="str">
        <f aca="false">Flights!$K$9</f>
        <v>EY</v>
      </c>
      <c r="G142" s="57" t="s">
        <v>76</v>
      </c>
      <c r="H142" s="57" t="s">
        <v>343</v>
      </c>
      <c r="I142" s="57" t="s">
        <v>363</v>
      </c>
      <c r="J142" s="57" t="s">
        <v>367</v>
      </c>
      <c r="K142" s="67" t="s">
        <v>368</v>
      </c>
      <c r="L142" s="67" t="s">
        <v>347</v>
      </c>
      <c r="M142" s="67"/>
      <c r="N142" s="67" t="s">
        <v>348</v>
      </c>
      <c r="O142" s="67"/>
      <c r="P142" s="57" t="s">
        <v>212</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59" t="n">
        <f aca="false">Q142-T7EarlyD*24/24</f>
        <v>46289.0451388889</v>
      </c>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IF(N142="N/A – rule","N/A – RULE",IF(TRIM(U142)="N/A",IF(AT142=0,"INVALID – N/A not permitted for this mandatory check",IF(AND(TRIM(AC142)&lt;&gt;"",TRIM(AE142)&lt;&gt;"",TRIM(T142)&lt;&gt;"",TRIM(AE142)&lt;&gt;TRIM(T142)),"N/A – JUSTIFIED","INVALID – N/A needs justification, PIC and a different verifier")),IF(OR(TRIM(U142)="Pass",TRIM(U142)="Pass after CA"),IF(NOT(ISNUMBER(AD142)),"INVALID – completion time missing",IF(TRIM(T142)="","INVALID – PIC missing",IF(TRIM(V142)="","INVALID – result / assessment missing",IF(TRIM(Z142)="","INVALID – evidence missing",IF(TRIM(AE142)="","INVALID – verifier missing",IF(TRIM(AE142)=TRIM(T142),"INVALID – verifier must be someone other than the PIC",IF(AND(AQ142=1,TRIM(W142)=""),"INVALID – batch ID missing",IF(AND(AR142=1,OR(NOT(ISNUMBER(X142)),NOT(ISNUMBER(Y142)))),"INVALID – expected/actual qty missing",IF(IF(AND(TRIM(U142)="Pass",ISNUMBER(AF142)),IF(AF142&lt;&gt;0,"INVALID – qty variance: use Fail or Pass after CA",""),"")&amp;IF(AND(TRIM(U142)="Pass",TRIM(AB142)&lt;&gt;"",TRIM(AB142)&lt;&gt;"Closed"),"INVALID – corrective action not closed: use Fail, then Pass after CA","")&amp;IF(AND(TRIM(AA142)&lt;&gt;"",TRIM(AB142)=""),"INVALID – CA status missing for the recorded corrective action","")&amp;IF(AND(TRIM(U142)="Pass after CA",OR(TRIM(AA142)="",TRIM(AB142)&lt;&gt;"Closed")),"INVALID – corrective action not recorded/closed","")&lt;&gt;"",IF(AND(TRIM(U142)="Pass",ISNUMBER(AF142)),IF(AF142&lt;&gt;0,"INVALID – qty variance: use Fail or Pass after CA",""),"")&amp;IF(AND(TRIM(U142)="Pass",TRIM(AB142)&lt;&gt;"",TRIM(AB142)&lt;&gt;"Closed"),"INVALID – corrective action not closed: use Fail, then Pass after CA","")&amp;IF(AND(TRIM(AA142)&lt;&gt;"",TRIM(AB142)=""),"INVALID – CA status missing for the recorded corrective action","")&amp;IF(AND(TRIM(U142)="Pass after CA",OR(TRIM(AA142)="",TRIM(AB142)&lt;&gt;"Closed")),"INVALID – corrective action not recorded/closed",""),IF(AND(AS142=1,Documents!$J$9&lt;&gt;"ON FILE"),"INVALID – GLD not on file (Documents sheet)",IF(AND(AS142=2,Documents!$O$9&lt;&gt;"ON FILE"),"INVALID – menu checklist not on file (Documents sheet)",IF(AND(AS142=3,NOT(ISNUMBER(Flights!$AX$9))),"INVALID – enter carrying flight KUL departure (Flights AX)",IF(AND(AS142=3,OR(Flights!$AX$9&gt;=Flights!$AA$9,Flights!$AX$9&lt;Flights!$AA$9-3)),"INVALID – Flights AX must be before this leg's STD (within 3 days)",IF(AG142&gt;AsOfUTC,"INVALID – completion time is in the future",IF(AND(ISNUMBER(S142),AG142&lt;S142),IF(H142="Physical uplift","INVALID – before uplift window (cannot confirm loading)","INVALID – before valid window"),IF(AG142&gt;Flights!$AA$9,"INVALID – completed after departure (cannot establish readiness)",IF(AND(H142="Physical uplift",AG142&gt;Q142),"INVALID – recorded after the loading flight departed",IF(AG142&gt;Q142,"COMPLETE – LATE","COMPLETE")))))))))))))))))),IF(TRIM(U142)="Fail","FAIL – DISCREPANCY",IF(AND(TRIM(U142)&lt;&gt;"",TRIM(U142)&lt;&gt;"Not started",TRIM(U142)&lt;&gt;"In progress"),"INVALID – unrecognised status (use the list)",IF(AsOfUTC&gt;Q142,"OVERDUE",IF(N142="Clarification required","OPEN – CLARIFICATION","OPEN")))))))</f>
        <v>OPEN</v>
      </c>
      <c r="AI142" s="61" t="n">
        <f aca="false">IF(OR(AH142="N/A – RULE",AH142="N/A – JUSTIFIED"),0,1)</f>
        <v>1</v>
      </c>
      <c r="AJ142" s="61" t="n">
        <f aca="false">IF(LEFT(AH142,8)="COMPLETE",1,0)</f>
        <v>0</v>
      </c>
      <c r="AK142" s="61" t="n">
        <f aca="false">IF(AND(AI142=1,AJ142=0,AsOfUTC&gt;Q142),1,0)</f>
        <v>0</v>
      </c>
      <c r="AL142" s="61" t="n">
        <f aca="false">IF(AND(AI142=1,OR(TRIM(U142)="Fail",AND(TRIM(AB142)&lt;&gt;"",TRIM(AB142)&lt;&gt;"Closed"),AND(ISNUMBER(AF142),AF142&lt;&gt;0,TRIM(U142)&lt;&gt;"Pass after CA"))),1,0)</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row>
    <row r="143" customFormat="false" ht="39.75" hidden="false" customHeight="true" outlineLevel="0" collapsed="false">
      <c r="A143" s="57" t="s">
        <v>632</v>
      </c>
      <c r="B143" s="57" t="s">
        <v>220</v>
      </c>
      <c r="C143" s="57" t="str">
        <f aca="false">Flights!$F$9</f>
        <v>MH0089</v>
      </c>
      <c r="D143" s="58" t="n">
        <f aca="false">Flights!$D$9</f>
        <v>46310</v>
      </c>
      <c r="E143" s="57" t="str">
        <f aca="false">Flights!$G$9&amp;"-"&amp;Flights!$H$9</f>
        <v>NRT-KUL</v>
      </c>
      <c r="F143" s="57" t="str">
        <f aca="false">Flights!$K$9</f>
        <v>EY</v>
      </c>
      <c r="G143" s="57" t="s">
        <v>76</v>
      </c>
      <c r="H143" s="57" t="s">
        <v>343</v>
      </c>
      <c r="I143" s="57" t="s">
        <v>370</v>
      </c>
      <c r="J143" s="57" t="s">
        <v>371</v>
      </c>
      <c r="K143" s="67" t="s">
        <v>372</v>
      </c>
      <c r="L143" s="67" t="s">
        <v>347</v>
      </c>
      <c r="M143" s="67"/>
      <c r="N143" s="67" t="s">
        <v>348</v>
      </c>
      <c r="O143" s="67"/>
      <c r="P143" s="57" t="s">
        <v>212</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59" t="n">
        <f aca="false">Q143-T7EarlyD*24/24</f>
        <v>46289.0451388889</v>
      </c>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IF(N143="N/A – rule","N/A – RULE",IF(TRIM(U143)="N/A",IF(AT143=0,"INVALID – N/A not permitted for this mandatory check",IF(AND(TRIM(AC143)&lt;&gt;"",TRIM(AE143)&lt;&gt;"",TRIM(T143)&lt;&gt;"",TRIM(AE143)&lt;&gt;TRIM(T143)),"N/A – JUSTIFIED","INVALID – N/A needs justification, PIC and a different verifier")),IF(OR(TRIM(U143)="Pass",TRIM(U143)="Pass after CA"),IF(NOT(ISNUMBER(AD143)),"INVALID – completion time missing",IF(TRIM(T143)="","INVALID – PIC missing",IF(TRIM(V143)="","INVALID – result / assessment missing",IF(TRIM(Z143)="","INVALID – evidence missing",IF(TRIM(AE143)="","INVALID – verifier missing",IF(TRIM(AE143)=TRIM(T143),"INVALID – verifier must be someone other than the PIC",IF(AND(AQ143=1,TRIM(W143)=""),"INVALID – batch ID missing",IF(AND(AR143=1,OR(NOT(ISNUMBER(X143)),NOT(ISNUMBER(Y143)))),"INVALID – expected/actual qty missing",IF(IF(AND(TRIM(U143)="Pass",ISNUMBER(AF143)),IF(AF143&lt;&gt;0,"INVALID – qty variance: use Fail or Pass after CA",""),"")&amp;IF(AND(TRIM(U143)="Pass",TRIM(AB143)&lt;&gt;"",TRIM(AB143)&lt;&gt;"Closed"),"INVALID – corrective action not closed: use Fail, then Pass after CA","")&amp;IF(AND(TRIM(AA143)&lt;&gt;"",TRIM(AB143)=""),"INVALID – CA status missing for the recorded corrective action","")&amp;IF(AND(TRIM(U143)="Pass after CA",OR(TRIM(AA143)="",TRIM(AB143)&lt;&gt;"Closed")),"INVALID – corrective action not recorded/closed","")&lt;&gt;"",IF(AND(TRIM(U143)="Pass",ISNUMBER(AF143)),IF(AF143&lt;&gt;0,"INVALID – qty variance: use Fail or Pass after CA",""),"")&amp;IF(AND(TRIM(U143)="Pass",TRIM(AB143)&lt;&gt;"",TRIM(AB143)&lt;&gt;"Closed"),"INVALID – corrective action not closed: use Fail, then Pass after CA","")&amp;IF(AND(TRIM(AA143)&lt;&gt;"",TRIM(AB143)=""),"INVALID – CA status missing for the recorded corrective action","")&amp;IF(AND(TRIM(U143)="Pass after CA",OR(TRIM(AA143)="",TRIM(AB143)&lt;&gt;"Closed")),"INVALID – corrective action not recorded/closed",""),IF(AND(AS143=1,Documents!$J$9&lt;&gt;"ON FILE"),"INVALID – GLD not on file (Documents sheet)",IF(AND(AS143=2,Documents!$O$9&lt;&gt;"ON FILE"),"INVALID – menu checklist not on file (Documents sheet)",IF(AND(AS143=3,NOT(ISNUMBER(Flights!$AX$9))),"INVALID – enter carrying flight KUL departure (Flights AX)",IF(AND(AS143=3,OR(Flights!$AX$9&gt;=Flights!$AA$9,Flights!$AX$9&lt;Flights!$AA$9-3)),"INVALID – Flights AX must be before this leg's STD (within 3 days)",IF(AG143&gt;AsOfUTC,"INVALID – completion time is in the future",IF(AND(ISNUMBER(S143),AG143&lt;S143),IF(H143="Physical uplift","INVALID – before uplift window (cannot confirm loading)","INVALID – before valid window"),IF(AG143&gt;Flights!$AA$9,"INVALID – completed after departure (cannot establish readiness)",IF(AND(H143="Physical uplift",AG143&gt;Q143),"INVALID – recorded after the loading flight departed",IF(AG143&gt;Q143,"COMPLETE – LATE","COMPLETE")))))))))))))))))),IF(TRIM(U143)="Fail","FAIL – DISCREPANCY",IF(AND(TRIM(U143)&lt;&gt;"",TRIM(U143)&lt;&gt;"Not started",TRIM(U143)&lt;&gt;"In progress"),"INVALID – unrecognised status (use the list)",IF(AsOfUTC&gt;Q143,"OVERDUE",IF(N143="Clarification required","OPEN – CLARIFICATION","OPEN")))))))</f>
        <v>OPEN</v>
      </c>
      <c r="AI143" s="61" t="n">
        <f aca="false">IF(OR(AH143="N/A – RULE",AH143="N/A – JUSTIFIED"),0,1)</f>
        <v>1</v>
      </c>
      <c r="AJ143" s="61" t="n">
        <f aca="false">IF(LEFT(AH143,8)="COMPLETE",1,0)</f>
        <v>0</v>
      </c>
      <c r="AK143" s="61" t="n">
        <f aca="false">IF(AND(AI143=1,AJ143=0,AsOfUTC&gt;Q143),1,0)</f>
        <v>0</v>
      </c>
      <c r="AL143" s="61" t="n">
        <f aca="false">IF(AND(AI143=1,OR(TRIM(U143)="Fail",AND(TRIM(AB143)&lt;&gt;"",TRIM(AB143)&lt;&gt;"Closed"),AND(ISNUMBER(AF143),AF143&lt;&gt;0,TRIM(U143)&lt;&gt;"Pass after CA"))),1,0)</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row>
    <row r="144" customFormat="false" ht="39.75" hidden="false" customHeight="true" outlineLevel="0" collapsed="false">
      <c r="A144" s="57" t="s">
        <v>633</v>
      </c>
      <c r="B144" s="57" t="s">
        <v>220</v>
      </c>
      <c r="C144" s="57" t="str">
        <f aca="false">Flights!$F$9</f>
        <v>MH0089</v>
      </c>
      <c r="D144" s="58" t="n">
        <f aca="false">Flights!$D$9</f>
        <v>46310</v>
      </c>
      <c r="E144" s="57" t="str">
        <f aca="false">Flights!$G$9&amp;"-"&amp;Flights!$H$9</f>
        <v>NRT-KUL</v>
      </c>
      <c r="F144" s="57" t="str">
        <f aca="false">Flights!$K$9</f>
        <v>EY</v>
      </c>
      <c r="G144" s="57" t="s">
        <v>76</v>
      </c>
      <c r="H144" s="57" t="s">
        <v>343</v>
      </c>
      <c r="I144" s="57" t="s">
        <v>370</v>
      </c>
      <c r="J144" s="57" t="s">
        <v>374</v>
      </c>
      <c r="K144" s="67" t="s">
        <v>372</v>
      </c>
      <c r="L144" s="67" t="s">
        <v>347</v>
      </c>
      <c r="M144" s="67"/>
      <c r="N144" s="67" t="s">
        <v>348</v>
      </c>
      <c r="O144" s="67"/>
      <c r="P144" s="57" t="s">
        <v>212</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59" t="n">
        <f aca="false">Q144-T7EarlyD*24/24</f>
        <v>46289.0451388889</v>
      </c>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IF(N144="N/A – rule","N/A – RULE",IF(TRIM(U144)="N/A",IF(AT144=0,"INVALID – N/A not permitted for this mandatory check",IF(AND(TRIM(AC144)&lt;&gt;"",TRIM(AE144)&lt;&gt;"",TRIM(T144)&lt;&gt;"",TRIM(AE144)&lt;&gt;TRIM(T144)),"N/A – JUSTIFIED","INVALID – N/A needs justification, PIC and a different verifier")),IF(OR(TRIM(U144)="Pass",TRIM(U144)="Pass after CA"),IF(NOT(ISNUMBER(AD144)),"INVALID – completion time missing",IF(TRIM(T144)="","INVALID – PIC missing",IF(TRIM(V144)="","INVALID – result / assessment missing",IF(TRIM(Z144)="","INVALID – evidence missing",IF(TRIM(AE144)="","INVALID – verifier missing",IF(TRIM(AE144)=TRIM(T144),"INVALID – verifier must be someone other than the PIC",IF(AND(AQ144=1,TRIM(W144)=""),"INVALID – batch ID missing",IF(AND(AR144=1,OR(NOT(ISNUMBER(X144)),NOT(ISNUMBER(Y144)))),"INVALID – expected/actual qty missing",IF(IF(AND(TRIM(U144)="Pass",ISNUMBER(AF144)),IF(AF144&lt;&gt;0,"INVALID – qty variance: use Fail or Pass after CA",""),"")&amp;IF(AND(TRIM(U144)="Pass",TRIM(AB144)&lt;&gt;"",TRIM(AB144)&lt;&gt;"Closed"),"INVALID – corrective action not closed: use Fail, then Pass after CA","")&amp;IF(AND(TRIM(AA144)&lt;&gt;"",TRIM(AB144)=""),"INVALID – CA status missing for the recorded corrective action","")&amp;IF(AND(TRIM(U144)="Pass after CA",OR(TRIM(AA144)="",TRIM(AB144)&lt;&gt;"Closed")),"INVALID – corrective action not recorded/closed","")&lt;&gt;"",IF(AND(TRIM(U144)="Pass",ISNUMBER(AF144)),IF(AF144&lt;&gt;0,"INVALID – qty variance: use Fail or Pass after CA",""),"")&amp;IF(AND(TRIM(U144)="Pass",TRIM(AB144)&lt;&gt;"",TRIM(AB144)&lt;&gt;"Closed"),"INVALID – corrective action not closed: use Fail, then Pass after CA","")&amp;IF(AND(TRIM(AA144)&lt;&gt;"",TRIM(AB144)=""),"INVALID – CA status missing for the recorded corrective action","")&amp;IF(AND(TRIM(U144)="Pass after CA",OR(TRIM(AA144)="",TRIM(AB144)&lt;&gt;"Closed")),"INVALID – corrective action not recorded/closed",""),IF(AND(AS144=1,Documents!$J$9&lt;&gt;"ON FILE"),"INVALID – GLD not on file (Documents sheet)",IF(AND(AS144=2,Documents!$O$9&lt;&gt;"ON FILE"),"INVALID – menu checklist not on file (Documents sheet)",IF(AND(AS144=3,NOT(ISNUMBER(Flights!$AX$9))),"INVALID – enter carrying flight KUL departure (Flights AX)",IF(AND(AS144=3,OR(Flights!$AX$9&gt;=Flights!$AA$9,Flights!$AX$9&lt;Flights!$AA$9-3)),"INVALID – Flights AX must be before this leg's STD (within 3 days)",IF(AG144&gt;AsOfUTC,"INVALID – completion time is in the future",IF(AND(ISNUMBER(S144),AG144&lt;S144),IF(H144="Physical uplift","INVALID – before uplift window (cannot confirm loading)","INVALID – before valid window"),IF(AG144&gt;Flights!$AA$9,"INVALID – completed after departure (cannot establish readiness)",IF(AND(H144="Physical uplift",AG144&gt;Q144),"INVALID – recorded after the loading flight departed",IF(AG144&gt;Q144,"COMPLETE – LATE","COMPLETE")))))))))))))))))),IF(TRIM(U144)="Fail","FAIL – DISCREPANCY",IF(AND(TRIM(U144)&lt;&gt;"",TRIM(U144)&lt;&gt;"Not started",TRIM(U144)&lt;&gt;"In progress"),"INVALID – unrecognised status (use the list)",IF(AsOfUTC&gt;Q144,"OVERDUE",IF(N144="Clarification required","OPEN – CLARIFICATION","OPEN")))))))</f>
        <v>OPEN</v>
      </c>
      <c r="AI144" s="61" t="n">
        <f aca="false">IF(OR(AH144="N/A – RULE",AH144="N/A – JUSTIFIED"),0,1)</f>
        <v>1</v>
      </c>
      <c r="AJ144" s="61" t="n">
        <f aca="false">IF(LEFT(AH144,8)="COMPLETE",1,0)</f>
        <v>0</v>
      </c>
      <c r="AK144" s="61" t="n">
        <f aca="false">IF(AND(AI144=1,AJ144=0,AsOfUTC&gt;Q144),1,0)</f>
        <v>0</v>
      </c>
      <c r="AL144" s="61" t="n">
        <f aca="false">IF(AND(AI144=1,OR(TRIM(U144)="Fail",AND(TRIM(AB144)&lt;&gt;"",TRIM(AB144)&lt;&gt;"Closed"),AND(ISNUMBER(AF144),AF144&lt;&gt;0,TRIM(U144)&lt;&gt;"Pass after CA"))),1,0)</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row>
    <row r="145" customFormat="false" ht="39.75" hidden="false" customHeight="true" outlineLevel="0" collapsed="false">
      <c r="A145" s="57" t="s">
        <v>634</v>
      </c>
      <c r="B145" s="57" t="s">
        <v>220</v>
      </c>
      <c r="C145" s="57" t="str">
        <f aca="false">Flights!$F$9</f>
        <v>MH0089</v>
      </c>
      <c r="D145" s="58" t="n">
        <f aca="false">Flights!$D$9</f>
        <v>46310</v>
      </c>
      <c r="E145" s="57" t="str">
        <f aca="false">Flights!$G$9&amp;"-"&amp;Flights!$H$9</f>
        <v>NRT-KUL</v>
      </c>
      <c r="F145" s="57" t="str">
        <f aca="false">Flights!$K$9</f>
        <v>EY</v>
      </c>
      <c r="G145" s="57" t="s">
        <v>76</v>
      </c>
      <c r="H145" s="57" t="s">
        <v>343</v>
      </c>
      <c r="I145" s="57" t="s">
        <v>376</v>
      </c>
      <c r="J145" s="57" t="s">
        <v>377</v>
      </c>
      <c r="K145" s="67" t="s">
        <v>635</v>
      </c>
      <c r="L145" s="67" t="s">
        <v>556</v>
      </c>
      <c r="M145" s="67"/>
      <c r="N145" s="67" t="s">
        <v>348</v>
      </c>
      <c r="O145" s="67"/>
      <c r="P145" s="57" t="s">
        <v>212</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59" t="n">
        <f aca="false">Q145-T7EarlyD*24/24</f>
        <v>46289.0451388889</v>
      </c>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IF(N145="N/A – rule","N/A – RULE",IF(TRIM(U145)="N/A",IF(AT145=0,"INVALID – N/A not permitted for this mandatory check",IF(AND(TRIM(AC145)&lt;&gt;"",TRIM(AE145)&lt;&gt;"",TRIM(T145)&lt;&gt;"",TRIM(AE145)&lt;&gt;TRIM(T145)),"N/A – JUSTIFIED","INVALID – N/A needs justification, PIC and a different verifier")),IF(OR(TRIM(U145)="Pass",TRIM(U145)="Pass after CA"),IF(NOT(ISNUMBER(AD145)),"INVALID – completion time missing",IF(TRIM(T145)="","INVALID – PIC missing",IF(TRIM(V145)="","INVALID – result / assessment missing",IF(TRIM(Z145)="","INVALID – evidence missing",IF(TRIM(AE145)="","INVALID – verifier missing",IF(TRIM(AE145)=TRIM(T145),"INVALID – verifier must be someone other than the PIC",IF(AND(AQ145=1,TRIM(W145)=""),"INVALID – batch ID missing",IF(AND(AR145=1,OR(NOT(ISNUMBER(X145)),NOT(ISNUMBER(Y145)))),"INVALID – expected/actual qty missing",IF(IF(AND(TRIM(U145)="Pass",ISNUMBER(AF145)),IF(AF145&lt;&gt;0,"INVALID – qty variance: use Fail or Pass after CA",""),"")&amp;IF(AND(TRIM(U145)="Pass",TRIM(AB145)&lt;&gt;"",TRIM(AB145)&lt;&gt;"Closed"),"INVALID – corrective action not closed: use Fail, then Pass after CA","")&amp;IF(AND(TRIM(AA145)&lt;&gt;"",TRIM(AB145)=""),"INVALID – CA status missing for the recorded corrective action","")&amp;IF(AND(TRIM(U145)="Pass after CA",OR(TRIM(AA145)="",TRIM(AB145)&lt;&gt;"Closed")),"INVALID – corrective action not recorded/closed","")&lt;&gt;"",IF(AND(TRIM(U145)="Pass",ISNUMBER(AF145)),IF(AF145&lt;&gt;0,"INVALID – qty variance: use Fail or Pass after CA",""),"")&amp;IF(AND(TRIM(U145)="Pass",TRIM(AB145)&lt;&gt;"",TRIM(AB145)&lt;&gt;"Closed"),"INVALID – corrective action not closed: use Fail, then Pass after CA","")&amp;IF(AND(TRIM(AA145)&lt;&gt;"",TRIM(AB145)=""),"INVALID – CA status missing for the recorded corrective action","")&amp;IF(AND(TRIM(U145)="Pass after CA",OR(TRIM(AA145)="",TRIM(AB145)&lt;&gt;"Closed")),"INVALID – corrective action not recorded/closed",""),IF(AND(AS145=1,Documents!$J$9&lt;&gt;"ON FILE"),"INVALID – GLD not on file (Documents sheet)",IF(AND(AS145=2,Documents!$O$9&lt;&gt;"ON FILE"),"INVALID – menu checklist not on file (Documents sheet)",IF(AND(AS145=3,NOT(ISNUMBER(Flights!$AX$9))),"INVALID – enter carrying flight KUL departure (Flights AX)",IF(AND(AS145=3,OR(Flights!$AX$9&gt;=Flights!$AA$9,Flights!$AX$9&lt;Flights!$AA$9-3)),"INVALID – Flights AX must be before this leg's STD (within 3 days)",IF(AG145&gt;AsOfUTC,"INVALID – completion time is in the future",IF(AND(ISNUMBER(S145),AG145&lt;S145),IF(H145="Physical uplift","INVALID – before uplift window (cannot confirm loading)","INVALID – before valid window"),IF(AG145&gt;Flights!$AA$9,"INVALID – completed after departure (cannot establish readiness)",IF(AND(H145="Physical uplift",AG145&gt;Q145),"INVALID – recorded after the loading flight departed",IF(AG145&gt;Q145,"COMPLETE – LATE","COMPLETE")))))))))))))))))),IF(TRIM(U145)="Fail","FAIL – DISCREPANCY",IF(AND(TRIM(U145)&lt;&gt;"",TRIM(U145)&lt;&gt;"Not started",TRIM(U145)&lt;&gt;"In progress"),"INVALID – unrecognised status (use the list)",IF(AsOfUTC&gt;Q145,"OVERDUE",IF(N145="Clarification required","OPEN – CLARIFICATION","OPEN")))))))</f>
        <v>OPEN</v>
      </c>
      <c r="AI145" s="61" t="n">
        <f aca="false">IF(OR(AH145="N/A – RULE",AH145="N/A – JUSTIFIED"),0,1)</f>
        <v>1</v>
      </c>
      <c r="AJ145" s="61" t="n">
        <f aca="false">IF(LEFT(AH145,8)="COMPLETE",1,0)</f>
        <v>0</v>
      </c>
      <c r="AK145" s="61" t="n">
        <f aca="false">IF(AND(AI145=1,AJ145=0,AsOfUTC&gt;Q145),1,0)</f>
        <v>0</v>
      </c>
      <c r="AL145" s="61" t="n">
        <f aca="false">IF(AND(AI145=1,OR(TRIM(U145)="Fail",AND(TRIM(AB145)&lt;&gt;"",TRIM(AB145)&lt;&gt;"Closed"),AND(ISNUMBER(AF145),AF145&lt;&gt;0,TRIM(U145)&lt;&gt;"Pass after CA"))),1,0)</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row>
    <row r="146" customFormat="false" ht="91.5" hidden="false" customHeight="true" outlineLevel="0" collapsed="false">
      <c r="A146" s="57" t="s">
        <v>636</v>
      </c>
      <c r="B146" s="57" t="s">
        <v>220</v>
      </c>
      <c r="C146" s="57" t="str">
        <f aca="false">Flights!$F$9</f>
        <v>MH0089</v>
      </c>
      <c r="D146" s="58" t="n">
        <f aca="false">Flights!$D$9</f>
        <v>46310</v>
      </c>
      <c r="E146" s="57" t="str">
        <f aca="false">Flights!$G$9&amp;"-"&amp;Flights!$H$9</f>
        <v>NRT-KUL</v>
      </c>
      <c r="F146" s="57" t="str">
        <f aca="false">Flights!$K$9</f>
        <v>EY</v>
      </c>
      <c r="G146" s="57" t="s">
        <v>76</v>
      </c>
      <c r="H146" s="57" t="s">
        <v>343</v>
      </c>
      <c r="I146" s="57" t="s">
        <v>376</v>
      </c>
      <c r="J146" s="57" t="s">
        <v>637</v>
      </c>
      <c r="K146" s="67" t="s">
        <v>638</v>
      </c>
      <c r="L146" s="67" t="s">
        <v>639</v>
      </c>
      <c r="M146" s="67"/>
      <c r="N146" s="67" t="s">
        <v>409</v>
      </c>
      <c r="O146" s="67" t="s">
        <v>640</v>
      </c>
      <c r="P146" s="57" t="s">
        <v>179</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59" t="n">
        <f aca="false">Q146-T7EarlyD*24/24</f>
        <v>46289.0451388889</v>
      </c>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IF(N146="N/A – rule","N/A – RULE",IF(TRIM(U146)="N/A",IF(AT146=0,"INVALID – N/A not permitted for this mandatory check",IF(AND(TRIM(AC146)&lt;&gt;"",TRIM(AE146)&lt;&gt;"",TRIM(T146)&lt;&gt;"",TRIM(AE146)&lt;&gt;TRIM(T146)),"N/A – JUSTIFIED","INVALID – N/A needs justification, PIC and a different verifier")),IF(OR(TRIM(U146)="Pass",TRIM(U146)="Pass after CA"),IF(NOT(ISNUMBER(AD146)),"INVALID – completion time missing",IF(TRIM(T146)="","INVALID – PIC missing",IF(TRIM(V146)="","INVALID – result / assessment missing",IF(TRIM(Z146)="","INVALID – evidence missing",IF(TRIM(AE146)="","INVALID – verifier missing",IF(TRIM(AE146)=TRIM(T146),"INVALID – verifier must be someone other than the PIC",IF(AND(AQ146=1,TRIM(W146)=""),"INVALID – batch ID missing",IF(AND(AR146=1,OR(NOT(ISNUMBER(X146)),NOT(ISNUMBER(Y146)))),"INVALID – expected/actual qty missing",IF(IF(AND(TRIM(U146)="Pass",ISNUMBER(AF146)),IF(AF146&lt;&gt;0,"INVALID – qty variance: use Fail or Pass after CA",""),"")&amp;IF(AND(TRIM(U146)="Pass",TRIM(AB146)&lt;&gt;"",TRIM(AB146)&lt;&gt;"Closed"),"INVALID – corrective action not closed: use Fail, then Pass after CA","")&amp;IF(AND(TRIM(AA146)&lt;&gt;"",TRIM(AB146)=""),"INVALID – CA status missing for the recorded corrective action","")&amp;IF(AND(TRIM(U146)="Pass after CA",OR(TRIM(AA146)="",TRIM(AB146)&lt;&gt;"Closed")),"INVALID – corrective action not recorded/closed","")&lt;&gt;"",IF(AND(TRIM(U146)="Pass",ISNUMBER(AF146)),IF(AF146&lt;&gt;0,"INVALID – qty variance: use Fail or Pass after CA",""),"")&amp;IF(AND(TRIM(U146)="Pass",TRIM(AB146)&lt;&gt;"",TRIM(AB146)&lt;&gt;"Closed"),"INVALID – corrective action not closed: use Fail, then Pass after CA","")&amp;IF(AND(TRIM(AA146)&lt;&gt;"",TRIM(AB146)=""),"INVALID – CA status missing for the recorded corrective action","")&amp;IF(AND(TRIM(U146)="Pass after CA",OR(TRIM(AA146)="",TRIM(AB146)&lt;&gt;"Closed")),"INVALID – corrective action not recorded/closed",""),IF(AND(AS146=1,Documents!$J$9&lt;&gt;"ON FILE"),"INVALID – GLD not on file (Documents sheet)",IF(AND(AS146=2,Documents!$O$9&lt;&gt;"ON FILE"),"INVALID – menu checklist not on file (Documents sheet)",IF(AND(AS146=3,NOT(ISNUMBER(Flights!$AX$9))),"INVALID – enter carrying flight KUL departure (Flights AX)",IF(AND(AS146=3,OR(Flights!$AX$9&gt;=Flights!$AA$9,Flights!$AX$9&lt;Flights!$AA$9-3)),"INVALID – Flights AX must be before this leg's STD (within 3 days)",IF(AG146&gt;AsOfUTC,"INVALID – completion time is in the future",IF(AND(ISNUMBER(S146),AG146&lt;S146),IF(H146="Physical uplift","INVALID – before uplift window (cannot confirm loading)","INVALID – before valid window"),IF(AG146&gt;Flights!$AA$9,"INVALID – completed after departure (cannot establish readiness)",IF(AND(H146="Physical uplift",AG146&gt;Q146),"INVALID – recorded after the loading flight departed",IF(AG146&gt;Q146,"COMPLETE – LATE","COMPLETE")))))))))))))))))),IF(TRIM(U146)="Fail","FAIL – DISCREPANCY",IF(AND(TRIM(U146)&lt;&gt;"",TRIM(U146)&lt;&gt;"Not started",TRIM(U146)&lt;&gt;"In progress"),"INVALID – unrecognised status (use the list)",IF(AsOfUTC&gt;Q146,"OVERDUE",IF(N146="Clarification required","OPEN – CLARIFICATION","OPEN")))))))</f>
        <v>OPEN – CLARIFICATION</v>
      </c>
      <c r="AI146" s="61" t="n">
        <f aca="false">IF(OR(AH146="N/A – RULE",AH146="N/A – JUSTIFIED"),0,1)</f>
        <v>1</v>
      </c>
      <c r="AJ146" s="61" t="n">
        <f aca="false">IF(LEFT(AH146,8)="COMPLETE",1,0)</f>
        <v>0</v>
      </c>
      <c r="AK146" s="61" t="n">
        <f aca="false">IF(AND(AI146=1,AJ146=0,AsOfUTC&gt;Q146),1,0)</f>
        <v>0</v>
      </c>
      <c r="AL146" s="61" t="n">
        <f aca="false">IF(AND(AI146=1,OR(TRIM(U146)="Fail",AND(TRIM(AB146)&lt;&gt;"",TRIM(AB146)&lt;&gt;"Closed"),AND(ISNUMBER(AF146),AF146&lt;&gt;0,TRIM(U146)&lt;&gt;"Pass after CA"))),1,0)</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8" t="b">
        <f aca="false">FALSE()</f>
        <v>0</v>
      </c>
    </row>
    <row r="147" customFormat="false" ht="39.75" hidden="false" customHeight="true" outlineLevel="0" collapsed="false">
      <c r="A147" s="57" t="s">
        <v>641</v>
      </c>
      <c r="B147" s="57" t="s">
        <v>220</v>
      </c>
      <c r="C147" s="57" t="str">
        <f aca="false">Flights!$F$9</f>
        <v>MH0089</v>
      </c>
      <c r="D147" s="58" t="n">
        <f aca="false">Flights!$D$9</f>
        <v>46310</v>
      </c>
      <c r="E147" s="57" t="str">
        <f aca="false">Flights!$G$9&amp;"-"&amp;Flights!$H$9</f>
        <v>NRT-KUL</v>
      </c>
      <c r="F147" s="57" t="str">
        <f aca="false">Flights!$K$9</f>
        <v>EY</v>
      </c>
      <c r="G147" s="57" t="s">
        <v>78</v>
      </c>
      <c r="H147" s="57" t="s">
        <v>343</v>
      </c>
      <c r="I147" s="57" t="s">
        <v>344</v>
      </c>
      <c r="J147" s="57" t="s">
        <v>381</v>
      </c>
      <c r="K147" s="67" t="s">
        <v>382</v>
      </c>
      <c r="L147" s="67" t="s">
        <v>383</v>
      </c>
      <c r="M147" s="67"/>
      <c r="N147" s="67" t="s">
        <v>348</v>
      </c>
      <c r="O147" s="67"/>
      <c r="P147" s="57" t="s">
        <v>212</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59" t="n">
        <f aca="false">Q147-T24EarlyH/24</f>
        <v>46308.0451388889</v>
      </c>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IF(N147="N/A – rule","N/A – RULE",IF(TRIM(U147)="N/A",IF(AT147=0,"INVALID – N/A not permitted for this mandatory check",IF(AND(TRIM(AC147)&lt;&gt;"",TRIM(AE147)&lt;&gt;"",TRIM(T147)&lt;&gt;"",TRIM(AE147)&lt;&gt;TRIM(T147)),"N/A – JUSTIFIED","INVALID – N/A needs justification, PIC and a different verifier")),IF(OR(TRIM(U147)="Pass",TRIM(U147)="Pass after CA"),IF(NOT(ISNUMBER(AD147)),"INVALID – completion time missing",IF(TRIM(T147)="","INVALID – PIC missing",IF(TRIM(V147)="","INVALID – result / assessment missing",IF(TRIM(Z147)="","INVALID – evidence missing",IF(TRIM(AE147)="","INVALID – verifier missing",IF(TRIM(AE147)=TRIM(T147),"INVALID – verifier must be someone other than the PIC",IF(AND(AQ147=1,TRIM(W147)=""),"INVALID – batch ID missing",IF(AND(AR147=1,OR(NOT(ISNUMBER(X147)),NOT(ISNUMBER(Y147)))),"INVALID – expected/actual qty missing",IF(IF(AND(TRIM(U147)="Pass",ISNUMBER(AF147)),IF(AF147&lt;&gt;0,"INVALID – qty variance: use Fail or Pass after CA",""),"")&amp;IF(AND(TRIM(U147)="Pass",TRIM(AB147)&lt;&gt;"",TRIM(AB147)&lt;&gt;"Closed"),"INVALID – corrective action not closed: use Fail, then Pass after CA","")&amp;IF(AND(TRIM(AA147)&lt;&gt;"",TRIM(AB147)=""),"INVALID – CA status missing for the recorded corrective action","")&amp;IF(AND(TRIM(U147)="Pass after CA",OR(TRIM(AA147)="",TRIM(AB147)&lt;&gt;"Closed")),"INVALID – corrective action not recorded/closed","")&lt;&gt;"",IF(AND(TRIM(U147)="Pass",ISNUMBER(AF147)),IF(AF147&lt;&gt;0,"INVALID – qty variance: use Fail or Pass after CA",""),"")&amp;IF(AND(TRIM(U147)="Pass",TRIM(AB147)&lt;&gt;"",TRIM(AB147)&lt;&gt;"Closed"),"INVALID – corrective action not closed: use Fail, then Pass after CA","")&amp;IF(AND(TRIM(AA147)&lt;&gt;"",TRIM(AB147)=""),"INVALID – CA status missing for the recorded corrective action","")&amp;IF(AND(TRIM(U147)="Pass after CA",OR(TRIM(AA147)="",TRIM(AB147)&lt;&gt;"Closed")),"INVALID – corrective action not recorded/closed",""),IF(AND(AS147=1,Documents!$J$9&lt;&gt;"ON FILE"),"INVALID – GLD not on file (Documents sheet)",IF(AND(AS147=2,Documents!$O$9&lt;&gt;"ON FILE"),"INVALID – menu checklist not on file (Documents sheet)",IF(AND(AS147=3,NOT(ISNUMBER(Flights!$AX$9))),"INVALID – enter carrying flight KUL departure (Flights AX)",IF(AND(AS147=3,OR(Flights!$AX$9&gt;=Flights!$AA$9,Flights!$AX$9&lt;Flights!$AA$9-3)),"INVALID – Flights AX must be before this leg's STD (within 3 days)",IF(AG147&gt;AsOfUTC,"INVALID – completion time is in the future",IF(AND(ISNUMBER(S147),AG147&lt;S147),IF(H147="Physical uplift","INVALID – before uplift window (cannot confirm loading)","INVALID – before valid window"),IF(AG147&gt;Flights!$AA$9,"INVALID – completed after departure (cannot establish readiness)",IF(AND(H147="Physical uplift",AG147&gt;Q147),"INVALID – recorded after the loading flight departed",IF(AG147&gt;Q147,"COMPLETE – LATE","COMPLETE")))))))))))))))))),IF(TRIM(U147)="Fail","FAIL – DISCREPANCY",IF(AND(TRIM(U147)&lt;&gt;"",TRIM(U147)&lt;&gt;"Not started",TRIM(U147)&lt;&gt;"In progress"),"INVALID – unrecognised status (use the list)",IF(AsOfUTC&gt;Q147,"OVERDUE",IF(N147="Clarification required","OPEN – CLARIFICATION","OPEN")))))))</f>
        <v>OPEN</v>
      </c>
      <c r="AI147" s="61" t="n">
        <f aca="false">IF(OR(AH147="N/A – RULE",AH147="N/A – JUSTIFIED"),0,1)</f>
        <v>1</v>
      </c>
      <c r="AJ147" s="61" t="n">
        <f aca="false">IF(LEFT(AH147,8)="COMPLETE",1,0)</f>
        <v>0</v>
      </c>
      <c r="AK147" s="61" t="n">
        <f aca="false">IF(AND(AI147=1,AJ147=0,AsOfUTC&gt;Q147),1,0)</f>
        <v>0</v>
      </c>
      <c r="AL147" s="61" t="n">
        <f aca="false">IF(AND(AI147=1,OR(TRIM(U147)="Fail",AND(TRIM(AB147)&lt;&gt;"",TRIM(AB147)&lt;&gt;"Closed"),AND(ISNUMBER(AF147),AF147&lt;&gt;0,TRIM(U147)&lt;&gt;"Pass after CA"))),1,0)</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row>
    <row r="148" customFormat="false" ht="39.75" hidden="false" customHeight="true" outlineLevel="0" collapsed="false">
      <c r="A148" s="57" t="s">
        <v>642</v>
      </c>
      <c r="B148" s="57" t="s">
        <v>220</v>
      </c>
      <c r="C148" s="57" t="str">
        <f aca="false">Flights!$F$9</f>
        <v>MH0089</v>
      </c>
      <c r="D148" s="58" t="n">
        <f aca="false">Flights!$D$9</f>
        <v>46310</v>
      </c>
      <c r="E148" s="57" t="str">
        <f aca="false">Flights!$G$9&amp;"-"&amp;Flights!$H$9</f>
        <v>NRT-KUL</v>
      </c>
      <c r="F148" s="57" t="str">
        <f aca="false">Flights!$K$9</f>
        <v>EY</v>
      </c>
      <c r="G148" s="57" t="s">
        <v>385</v>
      </c>
      <c r="H148" s="57" t="s">
        <v>343</v>
      </c>
      <c r="I148" s="57" t="s">
        <v>344</v>
      </c>
      <c r="J148" s="57" t="s">
        <v>386</v>
      </c>
      <c r="K148" s="67"/>
      <c r="L148" s="67" t="s">
        <v>387</v>
      </c>
      <c r="M148" s="67"/>
      <c r="N148" s="67" t="s">
        <v>348</v>
      </c>
      <c r="O148" s="67" t="s">
        <v>388</v>
      </c>
      <c r="P148" s="57" t="s">
        <v>212</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59" t="n">
        <f aca="false">Q148-T12EarlyH/24</f>
        <v>46309.0451388889</v>
      </c>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IF(N148="N/A – rule","N/A – RULE",IF(TRIM(U148)="N/A",IF(AT148=0,"INVALID – N/A not permitted for this mandatory check",IF(AND(TRIM(AC148)&lt;&gt;"",TRIM(AE148)&lt;&gt;"",TRIM(T148)&lt;&gt;"",TRIM(AE148)&lt;&gt;TRIM(T148)),"N/A – JUSTIFIED","INVALID – N/A needs justification, PIC and a different verifier")),IF(OR(TRIM(U148)="Pass",TRIM(U148)="Pass after CA"),IF(NOT(ISNUMBER(AD148)),"INVALID – completion time missing",IF(TRIM(T148)="","INVALID – PIC missing",IF(TRIM(V148)="","INVALID – result / assessment missing",IF(TRIM(Z148)="","INVALID – evidence missing",IF(TRIM(AE148)="","INVALID – verifier missing",IF(TRIM(AE148)=TRIM(T148),"INVALID – verifier must be someone other than the PIC",IF(AND(AQ148=1,TRIM(W148)=""),"INVALID – batch ID missing",IF(AND(AR148=1,OR(NOT(ISNUMBER(X148)),NOT(ISNUMBER(Y148)))),"INVALID – expected/actual qty missing",IF(IF(AND(TRIM(U148)="Pass",ISNUMBER(AF148)),IF(AF148&lt;&gt;0,"INVALID – qty variance: use Fail or Pass after CA",""),"")&amp;IF(AND(TRIM(U148)="Pass",TRIM(AB148)&lt;&gt;"",TRIM(AB148)&lt;&gt;"Closed"),"INVALID – corrective action not closed: use Fail, then Pass after CA","")&amp;IF(AND(TRIM(AA148)&lt;&gt;"",TRIM(AB148)=""),"INVALID – CA status missing for the recorded corrective action","")&amp;IF(AND(TRIM(U148)="Pass after CA",OR(TRIM(AA148)="",TRIM(AB148)&lt;&gt;"Closed")),"INVALID – corrective action not recorded/closed","")&lt;&gt;"",IF(AND(TRIM(U148)="Pass",ISNUMBER(AF148)),IF(AF148&lt;&gt;0,"INVALID – qty variance: use Fail or Pass after CA",""),"")&amp;IF(AND(TRIM(U148)="Pass",TRIM(AB148)&lt;&gt;"",TRIM(AB148)&lt;&gt;"Closed"),"INVALID – corrective action not closed: use Fail, then Pass after CA","")&amp;IF(AND(TRIM(AA148)&lt;&gt;"",TRIM(AB148)=""),"INVALID – CA status missing for the recorded corrective action","")&amp;IF(AND(TRIM(U148)="Pass after CA",OR(TRIM(AA148)="",TRIM(AB148)&lt;&gt;"Closed")),"INVALID – corrective action not recorded/closed",""),IF(AND(AS148=1,Documents!$J$9&lt;&gt;"ON FILE"),"INVALID – GLD not on file (Documents sheet)",IF(AND(AS148=2,Documents!$O$9&lt;&gt;"ON FILE"),"INVALID – menu checklist not on file (Documents sheet)",IF(AND(AS148=3,NOT(ISNUMBER(Flights!$AX$9))),"INVALID – enter carrying flight KUL departure (Flights AX)",IF(AND(AS148=3,OR(Flights!$AX$9&gt;=Flights!$AA$9,Flights!$AX$9&lt;Flights!$AA$9-3)),"INVALID – Flights AX must be before this leg's STD (within 3 days)",IF(AG148&gt;AsOfUTC,"INVALID – completion time is in the future",IF(AND(ISNUMBER(S148),AG148&lt;S148),IF(H148="Physical uplift","INVALID – before uplift window (cannot confirm loading)","INVALID – before valid window"),IF(AG148&gt;Flights!$AA$9,"INVALID – completed after departure (cannot establish readiness)",IF(AND(H148="Physical uplift",AG148&gt;Q148),"INVALID – recorded after the loading flight departed",IF(AG148&gt;Q148,"COMPLETE – LATE","COMPLETE")))))))))))))))))),IF(TRIM(U148)="Fail","FAIL – DISCREPANCY",IF(AND(TRIM(U148)&lt;&gt;"",TRIM(U148)&lt;&gt;"Not started",TRIM(U148)&lt;&gt;"In progress"),"INVALID – unrecognised status (use the list)",IF(AsOfUTC&gt;Q148,"OVERDUE",IF(N148="Clarification required","OPEN – CLARIFICATION","OPEN")))))))</f>
        <v>OPEN</v>
      </c>
      <c r="AI148" s="61" t="n">
        <f aca="false">IF(OR(AH148="N/A – RULE",AH148="N/A – JUSTIFIED"),0,1)</f>
        <v>1</v>
      </c>
      <c r="AJ148" s="61" t="n">
        <f aca="false">IF(LEFT(AH148,8)="COMPLETE",1,0)</f>
        <v>0</v>
      </c>
      <c r="AK148" s="61" t="n">
        <f aca="false">IF(AND(AI148=1,AJ148=0,AsOfUTC&gt;Q148),1,0)</f>
        <v>0</v>
      </c>
      <c r="AL148" s="61" t="n">
        <f aca="false">IF(AND(AI148=1,OR(TRIM(U148)="Fail",AND(TRIM(AB148)&lt;&gt;"",TRIM(AB148)&lt;&gt;"Closed"),AND(ISNUMBER(AF148),AF148&lt;&gt;0,TRIM(U148)&lt;&gt;"Pass after CA"))),1,0)</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row>
    <row r="149" customFormat="false" ht="39.75" hidden="false" customHeight="true" outlineLevel="0" collapsed="false">
      <c r="A149" s="57" t="s">
        <v>643</v>
      </c>
      <c r="B149" s="57" t="s">
        <v>220</v>
      </c>
      <c r="C149" s="57" t="str">
        <f aca="false">Flights!$F$9</f>
        <v>MH0089</v>
      </c>
      <c r="D149" s="58" t="n">
        <f aca="false">Flights!$D$9</f>
        <v>46310</v>
      </c>
      <c r="E149" s="57" t="str">
        <f aca="false">Flights!$G$9&amp;"-"&amp;Flights!$H$9</f>
        <v>NRT-KUL</v>
      </c>
      <c r="F149" s="57" t="str">
        <f aca="false">Flights!$K$9</f>
        <v>EY</v>
      </c>
      <c r="G149" s="57" t="s">
        <v>385</v>
      </c>
      <c r="H149" s="57" t="s">
        <v>343</v>
      </c>
      <c r="I149" s="57" t="s">
        <v>344</v>
      </c>
      <c r="J149" s="57" t="s">
        <v>390</v>
      </c>
      <c r="K149" s="67" t="s">
        <v>391</v>
      </c>
      <c r="L149" s="67" t="s">
        <v>387</v>
      </c>
      <c r="M149" s="67"/>
      <c r="N149" s="67" t="s">
        <v>348</v>
      </c>
      <c r="O149" s="67" t="s">
        <v>388</v>
      </c>
      <c r="P149" s="57" t="s">
        <v>212</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59" t="n">
        <f aca="false">Q149-T12EarlyH/24</f>
        <v>46309.0451388889</v>
      </c>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IF(N149="N/A – rule","N/A – RULE",IF(TRIM(U149)="N/A",IF(AT149=0,"INVALID – N/A not permitted for this mandatory check",IF(AND(TRIM(AC149)&lt;&gt;"",TRIM(AE149)&lt;&gt;"",TRIM(T149)&lt;&gt;"",TRIM(AE149)&lt;&gt;TRIM(T149)),"N/A – JUSTIFIED","INVALID – N/A needs justification, PIC and a different verifier")),IF(OR(TRIM(U149)="Pass",TRIM(U149)="Pass after CA"),IF(NOT(ISNUMBER(AD149)),"INVALID – completion time missing",IF(TRIM(T149)="","INVALID – PIC missing",IF(TRIM(V149)="","INVALID – result / assessment missing",IF(TRIM(Z149)="","INVALID – evidence missing",IF(TRIM(AE149)="","INVALID – verifier missing",IF(TRIM(AE149)=TRIM(T149),"INVALID – verifier must be someone other than the PIC",IF(AND(AQ149=1,TRIM(W149)=""),"INVALID – batch ID missing",IF(AND(AR149=1,OR(NOT(ISNUMBER(X149)),NOT(ISNUMBER(Y149)))),"INVALID – expected/actual qty missing",IF(IF(AND(TRIM(U149)="Pass",ISNUMBER(AF149)),IF(AF149&lt;&gt;0,"INVALID – qty variance: use Fail or Pass after CA",""),"")&amp;IF(AND(TRIM(U149)="Pass",TRIM(AB149)&lt;&gt;"",TRIM(AB149)&lt;&gt;"Closed"),"INVALID – corrective action not closed: use Fail, then Pass after CA","")&amp;IF(AND(TRIM(AA149)&lt;&gt;"",TRIM(AB149)=""),"INVALID – CA status missing for the recorded corrective action","")&amp;IF(AND(TRIM(U149)="Pass after CA",OR(TRIM(AA149)="",TRIM(AB149)&lt;&gt;"Closed")),"INVALID – corrective action not recorded/closed","")&lt;&gt;"",IF(AND(TRIM(U149)="Pass",ISNUMBER(AF149)),IF(AF149&lt;&gt;0,"INVALID – qty variance: use Fail or Pass after CA",""),"")&amp;IF(AND(TRIM(U149)="Pass",TRIM(AB149)&lt;&gt;"",TRIM(AB149)&lt;&gt;"Closed"),"INVALID – corrective action not closed: use Fail, then Pass after CA","")&amp;IF(AND(TRIM(AA149)&lt;&gt;"",TRIM(AB149)=""),"INVALID – CA status missing for the recorded corrective action","")&amp;IF(AND(TRIM(U149)="Pass after CA",OR(TRIM(AA149)="",TRIM(AB149)&lt;&gt;"Closed")),"INVALID – corrective action not recorded/closed",""),IF(AND(AS149=1,Documents!$J$9&lt;&gt;"ON FILE"),"INVALID – GLD not on file (Documents sheet)",IF(AND(AS149=2,Documents!$O$9&lt;&gt;"ON FILE"),"INVALID – menu checklist not on file (Documents sheet)",IF(AND(AS149=3,NOT(ISNUMBER(Flights!$AX$9))),"INVALID – enter carrying flight KUL departure (Flights AX)",IF(AND(AS149=3,OR(Flights!$AX$9&gt;=Flights!$AA$9,Flights!$AX$9&lt;Flights!$AA$9-3)),"INVALID – Flights AX must be before this leg's STD (within 3 days)",IF(AG149&gt;AsOfUTC,"INVALID – completion time is in the future",IF(AND(ISNUMBER(S149),AG149&lt;S149),IF(H149="Physical uplift","INVALID – before uplift window (cannot confirm loading)","INVALID – before valid window"),IF(AG149&gt;Flights!$AA$9,"INVALID – completed after departure (cannot establish readiness)",IF(AND(H149="Physical uplift",AG149&gt;Q149),"INVALID – recorded after the loading flight departed",IF(AG149&gt;Q149,"COMPLETE – LATE","COMPLETE")))))))))))))))))),IF(TRIM(U149)="Fail","FAIL – DISCREPANCY",IF(AND(TRIM(U149)&lt;&gt;"",TRIM(U149)&lt;&gt;"Not started",TRIM(U149)&lt;&gt;"In progress"),"INVALID – unrecognised status (use the list)",IF(AsOfUTC&gt;Q149,"OVERDUE",IF(N149="Clarification required","OPEN – CLARIFICATION","OPEN")))))))</f>
        <v>OPEN</v>
      </c>
      <c r="AI149" s="61" t="n">
        <f aca="false">IF(OR(AH149="N/A – RULE",AH149="N/A – JUSTIFIED"),0,1)</f>
        <v>1</v>
      </c>
      <c r="AJ149" s="61" t="n">
        <f aca="false">IF(LEFT(AH149,8)="COMPLETE",1,0)</f>
        <v>0</v>
      </c>
      <c r="AK149" s="61" t="n">
        <f aca="false">IF(AND(AI149=1,AJ149=0,AsOfUTC&gt;Q149),1,0)</f>
        <v>0</v>
      </c>
      <c r="AL149" s="61" t="n">
        <f aca="false">IF(AND(AI149=1,OR(TRIM(U149)="Fail",AND(TRIM(AB149)&lt;&gt;"",TRIM(AB149)&lt;&gt;"Closed"),AND(ISNUMBER(AF149),AF149&lt;&gt;0,TRIM(U149)&lt;&gt;"Pass after CA"))),1,0)</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row>
    <row r="150" customFormat="false" ht="39.75" hidden="false" customHeight="true" outlineLevel="0" collapsed="false">
      <c r="A150" s="57" t="s">
        <v>644</v>
      </c>
      <c r="B150" s="57" t="s">
        <v>220</v>
      </c>
      <c r="C150" s="57" t="str">
        <f aca="false">Flights!$F$9</f>
        <v>MH0089</v>
      </c>
      <c r="D150" s="58" t="n">
        <f aca="false">Flights!$D$9</f>
        <v>46310</v>
      </c>
      <c r="E150" s="57" t="str">
        <f aca="false">Flights!$G$9&amp;"-"&amp;Flights!$H$9</f>
        <v>NRT-KUL</v>
      </c>
      <c r="F150" s="57" t="str">
        <f aca="false">Flights!$K$9</f>
        <v>EY</v>
      </c>
      <c r="G150" s="57" t="s">
        <v>385</v>
      </c>
      <c r="H150" s="57" t="s">
        <v>343</v>
      </c>
      <c r="I150" s="57" t="s">
        <v>393</v>
      </c>
      <c r="J150" s="57" t="s">
        <v>394</v>
      </c>
      <c r="K150" s="67"/>
      <c r="L150" s="67" t="s">
        <v>387</v>
      </c>
      <c r="M150" s="67"/>
      <c r="N150" s="67" t="s">
        <v>348</v>
      </c>
      <c r="O150" s="67" t="s">
        <v>388</v>
      </c>
      <c r="P150" s="57" t="s">
        <v>212</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59" t="n">
        <f aca="false">Q150-T12EarlyH/24</f>
        <v>46309.0451388889</v>
      </c>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IF(N150="N/A – rule","N/A – RULE",IF(TRIM(U150)="N/A",IF(AT150=0,"INVALID – N/A not permitted for this mandatory check",IF(AND(TRIM(AC150)&lt;&gt;"",TRIM(AE150)&lt;&gt;"",TRIM(T150)&lt;&gt;"",TRIM(AE150)&lt;&gt;TRIM(T150)),"N/A – JUSTIFIED","INVALID – N/A needs justification, PIC and a different verifier")),IF(OR(TRIM(U150)="Pass",TRIM(U150)="Pass after CA"),IF(NOT(ISNUMBER(AD150)),"INVALID – completion time missing",IF(TRIM(T150)="","INVALID – PIC missing",IF(TRIM(V150)="","INVALID – result / assessment missing",IF(TRIM(Z150)="","INVALID – evidence missing",IF(TRIM(AE150)="","INVALID – verifier missing",IF(TRIM(AE150)=TRIM(T150),"INVALID – verifier must be someone other than the PIC",IF(AND(AQ150=1,TRIM(W150)=""),"INVALID – batch ID missing",IF(AND(AR150=1,OR(NOT(ISNUMBER(X150)),NOT(ISNUMBER(Y150)))),"INVALID – expected/actual qty missing",IF(IF(AND(TRIM(U150)="Pass",ISNUMBER(AF150)),IF(AF150&lt;&gt;0,"INVALID – qty variance: use Fail or Pass after CA",""),"")&amp;IF(AND(TRIM(U150)="Pass",TRIM(AB150)&lt;&gt;"",TRIM(AB150)&lt;&gt;"Closed"),"INVALID – corrective action not closed: use Fail, then Pass after CA","")&amp;IF(AND(TRIM(AA150)&lt;&gt;"",TRIM(AB150)=""),"INVALID – CA status missing for the recorded corrective action","")&amp;IF(AND(TRIM(U150)="Pass after CA",OR(TRIM(AA150)="",TRIM(AB150)&lt;&gt;"Closed")),"INVALID – corrective action not recorded/closed","")&lt;&gt;"",IF(AND(TRIM(U150)="Pass",ISNUMBER(AF150)),IF(AF150&lt;&gt;0,"INVALID – qty variance: use Fail or Pass after CA",""),"")&amp;IF(AND(TRIM(U150)="Pass",TRIM(AB150)&lt;&gt;"",TRIM(AB150)&lt;&gt;"Closed"),"INVALID – corrective action not closed: use Fail, then Pass after CA","")&amp;IF(AND(TRIM(AA150)&lt;&gt;"",TRIM(AB150)=""),"INVALID – CA status missing for the recorded corrective action","")&amp;IF(AND(TRIM(U150)="Pass after CA",OR(TRIM(AA150)="",TRIM(AB150)&lt;&gt;"Closed")),"INVALID – corrective action not recorded/closed",""),IF(AND(AS150=1,Documents!$J$9&lt;&gt;"ON FILE"),"INVALID – GLD not on file (Documents sheet)",IF(AND(AS150=2,Documents!$O$9&lt;&gt;"ON FILE"),"INVALID – menu checklist not on file (Documents sheet)",IF(AND(AS150=3,NOT(ISNUMBER(Flights!$AX$9))),"INVALID – enter carrying flight KUL departure (Flights AX)",IF(AND(AS150=3,OR(Flights!$AX$9&gt;=Flights!$AA$9,Flights!$AX$9&lt;Flights!$AA$9-3)),"INVALID – Flights AX must be before this leg's STD (within 3 days)",IF(AG150&gt;AsOfUTC,"INVALID – completion time is in the future",IF(AND(ISNUMBER(S150),AG150&lt;S150),IF(H150="Physical uplift","INVALID – before uplift window (cannot confirm loading)","INVALID – before valid window"),IF(AG150&gt;Flights!$AA$9,"INVALID – completed after departure (cannot establish readiness)",IF(AND(H150="Physical uplift",AG150&gt;Q150),"INVALID – recorded after the loading flight departed",IF(AG150&gt;Q150,"COMPLETE – LATE","COMPLETE")))))))))))))))))),IF(TRIM(U150)="Fail","FAIL – DISCREPANCY",IF(AND(TRIM(U150)&lt;&gt;"",TRIM(U150)&lt;&gt;"Not started",TRIM(U150)&lt;&gt;"In progress"),"INVALID – unrecognised status (use the list)",IF(AsOfUTC&gt;Q150,"OVERDUE",IF(N150="Clarification required","OPEN – CLARIFICATION","OPEN")))))))</f>
        <v>OPEN</v>
      </c>
      <c r="AI150" s="61" t="n">
        <f aca="false">IF(OR(AH150="N/A – RULE",AH150="N/A – JUSTIFIED"),0,1)</f>
        <v>1</v>
      </c>
      <c r="AJ150" s="61" t="n">
        <f aca="false">IF(LEFT(AH150,8)="COMPLETE",1,0)</f>
        <v>0</v>
      </c>
      <c r="AK150" s="61" t="n">
        <f aca="false">IF(AND(AI150=1,AJ150=0,AsOfUTC&gt;Q150),1,0)</f>
        <v>0</v>
      </c>
      <c r="AL150" s="61" t="n">
        <f aca="false">IF(AND(AI150=1,OR(TRIM(U150)="Fail",AND(TRIM(AB150)&lt;&gt;"",TRIM(AB150)&lt;&gt;"Closed"),AND(ISNUMBER(AF150),AF150&lt;&gt;0,TRIM(U150)&lt;&gt;"Pass after CA"))),1,0)</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row>
    <row r="151" customFormat="false" ht="39.75" hidden="false" customHeight="true" outlineLevel="0" collapsed="false">
      <c r="A151" s="57" t="s">
        <v>645</v>
      </c>
      <c r="B151" s="57" t="s">
        <v>220</v>
      </c>
      <c r="C151" s="57" t="str">
        <f aca="false">Flights!$F$9</f>
        <v>MH0089</v>
      </c>
      <c r="D151" s="58" t="n">
        <f aca="false">Flights!$D$9</f>
        <v>46310</v>
      </c>
      <c r="E151" s="57" t="str">
        <f aca="false">Flights!$G$9&amp;"-"&amp;Flights!$H$9</f>
        <v>NRT-KUL</v>
      </c>
      <c r="F151" s="57" t="str">
        <f aca="false">Flights!$K$9</f>
        <v>EY</v>
      </c>
      <c r="G151" s="57" t="s">
        <v>385</v>
      </c>
      <c r="H151" s="57" t="s">
        <v>343</v>
      </c>
      <c r="I151" s="57" t="s">
        <v>393</v>
      </c>
      <c r="J151" s="57" t="s">
        <v>396</v>
      </c>
      <c r="K151" s="67"/>
      <c r="L151" s="67" t="s">
        <v>387</v>
      </c>
      <c r="M151" s="67"/>
      <c r="N151" s="67" t="s">
        <v>348</v>
      </c>
      <c r="O151" s="67" t="s">
        <v>388</v>
      </c>
      <c r="P151" s="57" t="s">
        <v>212</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59" t="n">
        <f aca="false">Q151-T12EarlyH/24</f>
        <v>46309.0451388889</v>
      </c>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IF(N151="N/A – rule","N/A – RULE",IF(TRIM(U151)="N/A",IF(AT151=0,"INVALID – N/A not permitted for this mandatory check",IF(AND(TRIM(AC151)&lt;&gt;"",TRIM(AE151)&lt;&gt;"",TRIM(T151)&lt;&gt;"",TRIM(AE151)&lt;&gt;TRIM(T151)),"N/A – JUSTIFIED","INVALID – N/A needs justification, PIC and a different verifier")),IF(OR(TRIM(U151)="Pass",TRIM(U151)="Pass after CA"),IF(NOT(ISNUMBER(AD151)),"INVALID – completion time missing",IF(TRIM(T151)="","INVALID – PIC missing",IF(TRIM(V151)="","INVALID – result / assessment missing",IF(TRIM(Z151)="","INVALID – evidence missing",IF(TRIM(AE151)="","INVALID – verifier missing",IF(TRIM(AE151)=TRIM(T151),"INVALID – verifier must be someone other than the PIC",IF(AND(AQ151=1,TRIM(W151)=""),"INVALID – batch ID missing",IF(AND(AR151=1,OR(NOT(ISNUMBER(X151)),NOT(ISNUMBER(Y151)))),"INVALID – expected/actual qty missing",IF(IF(AND(TRIM(U151)="Pass",ISNUMBER(AF151)),IF(AF151&lt;&gt;0,"INVALID – qty variance: use Fail or Pass after CA",""),"")&amp;IF(AND(TRIM(U151)="Pass",TRIM(AB151)&lt;&gt;"",TRIM(AB151)&lt;&gt;"Closed"),"INVALID – corrective action not closed: use Fail, then Pass after CA","")&amp;IF(AND(TRIM(AA151)&lt;&gt;"",TRIM(AB151)=""),"INVALID – CA status missing for the recorded corrective action","")&amp;IF(AND(TRIM(U151)="Pass after CA",OR(TRIM(AA151)="",TRIM(AB151)&lt;&gt;"Closed")),"INVALID – corrective action not recorded/closed","")&lt;&gt;"",IF(AND(TRIM(U151)="Pass",ISNUMBER(AF151)),IF(AF151&lt;&gt;0,"INVALID – qty variance: use Fail or Pass after CA",""),"")&amp;IF(AND(TRIM(U151)="Pass",TRIM(AB151)&lt;&gt;"",TRIM(AB151)&lt;&gt;"Closed"),"INVALID – corrective action not closed: use Fail, then Pass after CA","")&amp;IF(AND(TRIM(AA151)&lt;&gt;"",TRIM(AB151)=""),"INVALID – CA status missing for the recorded corrective action","")&amp;IF(AND(TRIM(U151)="Pass after CA",OR(TRIM(AA151)="",TRIM(AB151)&lt;&gt;"Closed")),"INVALID – corrective action not recorded/closed",""),IF(AND(AS151=1,Documents!$J$9&lt;&gt;"ON FILE"),"INVALID – GLD not on file (Documents sheet)",IF(AND(AS151=2,Documents!$O$9&lt;&gt;"ON FILE"),"INVALID – menu checklist not on file (Documents sheet)",IF(AND(AS151=3,NOT(ISNUMBER(Flights!$AX$9))),"INVALID – enter carrying flight KUL departure (Flights AX)",IF(AND(AS151=3,OR(Flights!$AX$9&gt;=Flights!$AA$9,Flights!$AX$9&lt;Flights!$AA$9-3)),"INVALID – Flights AX must be before this leg's STD (within 3 days)",IF(AG151&gt;AsOfUTC,"INVALID – completion time is in the future",IF(AND(ISNUMBER(S151),AG151&lt;S151),IF(H151="Physical uplift","INVALID – before uplift window (cannot confirm loading)","INVALID – before valid window"),IF(AG151&gt;Flights!$AA$9,"INVALID – completed after departure (cannot establish readiness)",IF(AND(H151="Physical uplift",AG151&gt;Q151),"INVALID – recorded after the loading flight departed",IF(AG151&gt;Q151,"COMPLETE – LATE","COMPLETE")))))))))))))))))),IF(TRIM(U151)="Fail","FAIL – DISCREPANCY",IF(AND(TRIM(U151)&lt;&gt;"",TRIM(U151)&lt;&gt;"Not started",TRIM(U151)&lt;&gt;"In progress"),"INVALID – unrecognised status (use the list)",IF(AsOfUTC&gt;Q151,"OVERDUE",IF(N151="Clarification required","OPEN – CLARIFICATION","OPEN")))))))</f>
        <v>OPEN</v>
      </c>
      <c r="AI151" s="61" t="n">
        <f aca="false">IF(OR(AH151="N/A – RULE",AH151="N/A – JUSTIFIED"),0,1)</f>
        <v>1</v>
      </c>
      <c r="AJ151" s="61" t="n">
        <f aca="false">IF(LEFT(AH151,8)="COMPLETE",1,0)</f>
        <v>0</v>
      </c>
      <c r="AK151" s="61" t="n">
        <f aca="false">IF(AND(AI151=1,AJ151=0,AsOfUTC&gt;Q151),1,0)</f>
        <v>0</v>
      </c>
      <c r="AL151" s="61" t="n">
        <f aca="false">IF(AND(AI151=1,OR(TRIM(U151)="Fail",AND(TRIM(AB151)&lt;&gt;"",TRIM(AB151)&lt;&gt;"Closed"),AND(ISNUMBER(AF151),AF151&lt;&gt;0,TRIM(U151)&lt;&gt;"Pass after CA"))),1,0)</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row>
    <row r="152" customFormat="false" ht="39.75" hidden="false" customHeight="true" outlineLevel="0" collapsed="false">
      <c r="A152" s="57" t="s">
        <v>646</v>
      </c>
      <c r="B152" s="57" t="s">
        <v>220</v>
      </c>
      <c r="C152" s="57" t="str">
        <f aca="false">Flights!$F$9</f>
        <v>MH0089</v>
      </c>
      <c r="D152" s="58" t="n">
        <f aca="false">Flights!$D$9</f>
        <v>46310</v>
      </c>
      <c r="E152" s="57" t="str">
        <f aca="false">Flights!$G$9&amp;"-"&amp;Flights!$H$9</f>
        <v>NRT-KUL</v>
      </c>
      <c r="F152" s="57" t="str">
        <f aca="false">Flights!$K$9</f>
        <v>EY</v>
      </c>
      <c r="G152" s="57" t="s">
        <v>385</v>
      </c>
      <c r="H152" s="57" t="s">
        <v>343</v>
      </c>
      <c r="I152" s="57" t="s">
        <v>393</v>
      </c>
      <c r="J152" s="57" t="s">
        <v>398</v>
      </c>
      <c r="K152" s="67"/>
      <c r="L152" s="67" t="s">
        <v>387</v>
      </c>
      <c r="M152" s="67"/>
      <c r="N152" s="67" t="s">
        <v>348</v>
      </c>
      <c r="O152" s="67" t="s">
        <v>388</v>
      </c>
      <c r="P152" s="57" t="s">
        <v>212</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59" t="n">
        <f aca="false">Q152-T12EarlyH/24</f>
        <v>46309.0451388889</v>
      </c>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IF(N152="N/A – rule","N/A – RULE",IF(TRIM(U152)="N/A",IF(AT152=0,"INVALID – N/A not permitted for this mandatory check",IF(AND(TRIM(AC152)&lt;&gt;"",TRIM(AE152)&lt;&gt;"",TRIM(T152)&lt;&gt;"",TRIM(AE152)&lt;&gt;TRIM(T152)),"N/A – JUSTIFIED","INVALID – N/A needs justification, PIC and a different verifier")),IF(OR(TRIM(U152)="Pass",TRIM(U152)="Pass after CA"),IF(NOT(ISNUMBER(AD152)),"INVALID – completion time missing",IF(TRIM(T152)="","INVALID – PIC missing",IF(TRIM(V152)="","INVALID – result / assessment missing",IF(TRIM(Z152)="","INVALID – evidence missing",IF(TRIM(AE152)="","INVALID – verifier missing",IF(TRIM(AE152)=TRIM(T152),"INVALID – verifier must be someone other than the PIC",IF(AND(AQ152=1,TRIM(W152)=""),"INVALID – batch ID missing",IF(AND(AR152=1,OR(NOT(ISNUMBER(X152)),NOT(ISNUMBER(Y152)))),"INVALID – expected/actual qty missing",IF(IF(AND(TRIM(U152)="Pass",ISNUMBER(AF152)),IF(AF152&lt;&gt;0,"INVALID – qty variance: use Fail or Pass after CA",""),"")&amp;IF(AND(TRIM(U152)="Pass",TRIM(AB152)&lt;&gt;"",TRIM(AB152)&lt;&gt;"Closed"),"INVALID – corrective action not closed: use Fail, then Pass after CA","")&amp;IF(AND(TRIM(AA152)&lt;&gt;"",TRIM(AB152)=""),"INVALID – CA status missing for the recorded corrective action","")&amp;IF(AND(TRIM(U152)="Pass after CA",OR(TRIM(AA152)="",TRIM(AB152)&lt;&gt;"Closed")),"INVALID – corrective action not recorded/closed","")&lt;&gt;"",IF(AND(TRIM(U152)="Pass",ISNUMBER(AF152)),IF(AF152&lt;&gt;0,"INVALID – qty variance: use Fail or Pass after CA",""),"")&amp;IF(AND(TRIM(U152)="Pass",TRIM(AB152)&lt;&gt;"",TRIM(AB152)&lt;&gt;"Closed"),"INVALID – corrective action not closed: use Fail, then Pass after CA","")&amp;IF(AND(TRIM(AA152)&lt;&gt;"",TRIM(AB152)=""),"INVALID – CA status missing for the recorded corrective action","")&amp;IF(AND(TRIM(U152)="Pass after CA",OR(TRIM(AA152)="",TRIM(AB152)&lt;&gt;"Closed")),"INVALID – corrective action not recorded/closed",""),IF(AND(AS152=1,Documents!$J$9&lt;&gt;"ON FILE"),"INVALID – GLD not on file (Documents sheet)",IF(AND(AS152=2,Documents!$O$9&lt;&gt;"ON FILE"),"INVALID – menu checklist not on file (Documents sheet)",IF(AND(AS152=3,NOT(ISNUMBER(Flights!$AX$9))),"INVALID – enter carrying flight KUL departure (Flights AX)",IF(AND(AS152=3,OR(Flights!$AX$9&gt;=Flights!$AA$9,Flights!$AX$9&lt;Flights!$AA$9-3)),"INVALID – Flights AX must be before this leg's STD (within 3 days)",IF(AG152&gt;AsOfUTC,"INVALID – completion time is in the future",IF(AND(ISNUMBER(S152),AG152&lt;S152),IF(H152="Physical uplift","INVALID – before uplift window (cannot confirm loading)","INVALID – before valid window"),IF(AG152&gt;Flights!$AA$9,"INVALID – completed after departure (cannot establish readiness)",IF(AND(H152="Physical uplift",AG152&gt;Q152),"INVALID – recorded after the loading flight departed",IF(AG152&gt;Q152,"COMPLETE – LATE","COMPLETE")))))))))))))))))),IF(TRIM(U152)="Fail","FAIL – DISCREPANCY",IF(AND(TRIM(U152)&lt;&gt;"",TRIM(U152)&lt;&gt;"Not started",TRIM(U152)&lt;&gt;"In progress"),"INVALID – unrecognised status (use the list)",IF(AsOfUTC&gt;Q152,"OVERDUE",IF(N152="Clarification required","OPEN – CLARIFICATION","OPEN")))))))</f>
        <v>OPEN</v>
      </c>
      <c r="AI152" s="61" t="n">
        <f aca="false">IF(OR(AH152="N/A – RULE",AH152="N/A – JUSTIFIED"),0,1)</f>
        <v>1</v>
      </c>
      <c r="AJ152" s="61" t="n">
        <f aca="false">IF(LEFT(AH152,8)="COMPLETE",1,0)</f>
        <v>0</v>
      </c>
      <c r="AK152" s="61" t="n">
        <f aca="false">IF(AND(AI152=1,AJ152=0,AsOfUTC&gt;Q152),1,0)</f>
        <v>0</v>
      </c>
      <c r="AL152" s="61" t="n">
        <f aca="false">IF(AND(AI152=1,OR(TRIM(U152)="Fail",AND(TRIM(AB152)&lt;&gt;"",TRIM(AB152)&lt;&gt;"Closed"),AND(ISNUMBER(AF152),AF152&lt;&gt;0,TRIM(U152)&lt;&gt;"Pass after CA"))),1,0)</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row>
    <row r="153" customFormat="false" ht="141" hidden="false" customHeight="true" outlineLevel="0" collapsed="false">
      <c r="A153" s="57" t="s">
        <v>647</v>
      </c>
      <c r="B153" s="57" t="s">
        <v>220</v>
      </c>
      <c r="C153" s="57" t="str">
        <f aca="false">Flights!$F$9</f>
        <v>MH0089</v>
      </c>
      <c r="D153" s="58" t="n">
        <f aca="false">Flights!$D$9</f>
        <v>46310</v>
      </c>
      <c r="E153" s="57" t="str">
        <f aca="false">Flights!$G$9&amp;"-"&amp;Flights!$H$9</f>
        <v>NRT-KUL</v>
      </c>
      <c r="F153" s="57" t="str">
        <f aca="false">Flights!$K$9</f>
        <v>EY</v>
      </c>
      <c r="G153" s="57" t="s">
        <v>385</v>
      </c>
      <c r="H153" s="57" t="s">
        <v>343</v>
      </c>
      <c r="I153" s="57" t="s">
        <v>393</v>
      </c>
      <c r="J153" s="57" t="s">
        <v>400</v>
      </c>
      <c r="K153" s="67" t="s">
        <v>401</v>
      </c>
      <c r="L153" s="67" t="s">
        <v>387</v>
      </c>
      <c r="M153" s="67"/>
      <c r="N153" s="67" t="s">
        <v>348</v>
      </c>
      <c r="O153" s="67" t="s">
        <v>388</v>
      </c>
      <c r="P153" s="57" t="s">
        <v>212</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59" t="n">
        <f aca="false">Q153-T12EarlyH/24</f>
        <v>46309.0451388889</v>
      </c>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IF(N153="N/A – rule","N/A – RULE",IF(TRIM(U153)="N/A",IF(AT153=0,"INVALID – N/A not permitted for this mandatory check",IF(AND(TRIM(AC153)&lt;&gt;"",TRIM(AE153)&lt;&gt;"",TRIM(T153)&lt;&gt;"",TRIM(AE153)&lt;&gt;TRIM(T153)),"N/A – JUSTIFIED","INVALID – N/A needs justification, PIC and a different verifier")),IF(OR(TRIM(U153)="Pass",TRIM(U153)="Pass after CA"),IF(NOT(ISNUMBER(AD153)),"INVALID – completion time missing",IF(TRIM(T153)="","INVALID – PIC missing",IF(TRIM(V153)="","INVALID – result / assessment missing",IF(TRIM(Z153)="","INVALID – evidence missing",IF(TRIM(AE153)="","INVALID – verifier missing",IF(TRIM(AE153)=TRIM(T153),"INVALID – verifier must be someone other than the PIC",IF(AND(AQ153=1,TRIM(W153)=""),"INVALID – batch ID missing",IF(AND(AR153=1,OR(NOT(ISNUMBER(X153)),NOT(ISNUMBER(Y153)))),"INVALID – expected/actual qty missing",IF(IF(AND(TRIM(U153)="Pass",ISNUMBER(AF153)),IF(AF153&lt;&gt;0,"INVALID – qty variance: use Fail or Pass after CA",""),"")&amp;IF(AND(TRIM(U153)="Pass",TRIM(AB153)&lt;&gt;"",TRIM(AB153)&lt;&gt;"Closed"),"INVALID – corrective action not closed: use Fail, then Pass after CA","")&amp;IF(AND(TRIM(AA153)&lt;&gt;"",TRIM(AB153)=""),"INVALID – CA status missing for the recorded corrective action","")&amp;IF(AND(TRIM(U153)="Pass after CA",OR(TRIM(AA153)="",TRIM(AB153)&lt;&gt;"Closed")),"INVALID – corrective action not recorded/closed","")&lt;&gt;"",IF(AND(TRIM(U153)="Pass",ISNUMBER(AF153)),IF(AF153&lt;&gt;0,"INVALID – qty variance: use Fail or Pass after CA",""),"")&amp;IF(AND(TRIM(U153)="Pass",TRIM(AB153)&lt;&gt;"",TRIM(AB153)&lt;&gt;"Closed"),"INVALID – corrective action not closed: use Fail, then Pass after CA","")&amp;IF(AND(TRIM(AA153)&lt;&gt;"",TRIM(AB153)=""),"INVALID – CA status missing for the recorded corrective action","")&amp;IF(AND(TRIM(U153)="Pass after CA",OR(TRIM(AA153)="",TRIM(AB153)&lt;&gt;"Closed")),"INVALID – corrective action not recorded/closed",""),IF(AND(AS153=1,Documents!$J$9&lt;&gt;"ON FILE"),"INVALID – GLD not on file (Documents sheet)",IF(AND(AS153=2,Documents!$O$9&lt;&gt;"ON FILE"),"INVALID – menu checklist not on file (Documents sheet)",IF(AND(AS153=3,NOT(ISNUMBER(Flights!$AX$9))),"INVALID – enter carrying flight KUL departure (Flights AX)",IF(AND(AS153=3,OR(Flights!$AX$9&gt;=Flights!$AA$9,Flights!$AX$9&lt;Flights!$AA$9-3)),"INVALID – Flights AX must be before this leg's STD (within 3 days)",IF(AG153&gt;AsOfUTC,"INVALID – completion time is in the future",IF(AND(ISNUMBER(S153),AG153&lt;S153),IF(H153="Physical uplift","INVALID – before uplift window (cannot confirm loading)","INVALID – before valid window"),IF(AG153&gt;Flights!$AA$9,"INVALID – completed after departure (cannot establish readiness)",IF(AND(H153="Physical uplift",AG153&gt;Q153),"INVALID – recorded after the loading flight departed",IF(AG153&gt;Q153,"COMPLETE – LATE","COMPLETE")))))))))))))))))),IF(TRIM(U153)="Fail","FAIL – DISCREPANCY",IF(AND(TRIM(U153)&lt;&gt;"",TRIM(U153)&lt;&gt;"Not started",TRIM(U153)&lt;&gt;"In progress"),"INVALID – unrecognised status (use the list)",IF(AsOfUTC&gt;Q153,"OVERDUE",IF(N153="Clarification required","OPEN – CLARIFICATION","OPEN")))))))</f>
        <v>OPEN</v>
      </c>
      <c r="AI153" s="61" t="n">
        <f aca="false">IF(OR(AH153="N/A – RULE",AH153="N/A – JUSTIFIED"),0,1)</f>
        <v>1</v>
      </c>
      <c r="AJ153" s="61" t="n">
        <f aca="false">IF(LEFT(AH153,8)="COMPLETE",1,0)</f>
        <v>0</v>
      </c>
      <c r="AK153" s="61" t="n">
        <f aca="false">IF(AND(AI153=1,AJ153=0,AsOfUTC&gt;Q153),1,0)</f>
        <v>0</v>
      </c>
      <c r="AL153" s="61" t="n">
        <f aca="false">IF(AND(AI153=1,OR(TRIM(U153)="Fail",AND(TRIM(AB153)&lt;&gt;"",TRIM(AB153)&lt;&gt;"Closed"),AND(ISNUMBER(AF153),AF153&lt;&gt;0,TRIM(U153)&lt;&gt;"Pass after CA"))),1,0)</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row>
    <row r="154" customFormat="false" ht="39.75" hidden="false" customHeight="true" outlineLevel="0" collapsed="false">
      <c r="A154" s="57" t="s">
        <v>648</v>
      </c>
      <c r="B154" s="57" t="s">
        <v>220</v>
      </c>
      <c r="C154" s="57" t="str">
        <f aca="false">Flights!$F$9</f>
        <v>MH0089</v>
      </c>
      <c r="D154" s="58" t="n">
        <f aca="false">Flights!$D$9</f>
        <v>46310</v>
      </c>
      <c r="E154" s="57" t="str">
        <f aca="false">Flights!$G$9&amp;"-"&amp;Flights!$H$9</f>
        <v>NRT-KUL</v>
      </c>
      <c r="F154" s="57" t="str">
        <f aca="false">Flights!$K$9</f>
        <v>EY</v>
      </c>
      <c r="G154" s="57" t="s">
        <v>385</v>
      </c>
      <c r="H154" s="57" t="s">
        <v>343</v>
      </c>
      <c r="I154" s="57" t="s">
        <v>393</v>
      </c>
      <c r="J154" s="57" t="s">
        <v>403</v>
      </c>
      <c r="K154" s="67"/>
      <c r="L154" s="67" t="s">
        <v>387</v>
      </c>
      <c r="M154" s="67"/>
      <c r="N154" s="67" t="s">
        <v>348</v>
      </c>
      <c r="O154" s="67" t="s">
        <v>388</v>
      </c>
      <c r="P154" s="57" t="s">
        <v>212</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59" t="n">
        <f aca="false">Q154-T12EarlyH/24</f>
        <v>46309.0451388889</v>
      </c>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IF(N154="N/A – rule","N/A – RULE",IF(TRIM(U154)="N/A",IF(AT154=0,"INVALID – N/A not permitted for this mandatory check",IF(AND(TRIM(AC154)&lt;&gt;"",TRIM(AE154)&lt;&gt;"",TRIM(T154)&lt;&gt;"",TRIM(AE154)&lt;&gt;TRIM(T154)),"N/A – JUSTIFIED","INVALID – N/A needs justification, PIC and a different verifier")),IF(OR(TRIM(U154)="Pass",TRIM(U154)="Pass after CA"),IF(NOT(ISNUMBER(AD154)),"INVALID – completion time missing",IF(TRIM(T154)="","INVALID – PIC missing",IF(TRIM(V154)="","INVALID – result / assessment missing",IF(TRIM(Z154)="","INVALID – evidence missing",IF(TRIM(AE154)="","INVALID – verifier missing",IF(TRIM(AE154)=TRIM(T154),"INVALID – verifier must be someone other than the PIC",IF(AND(AQ154=1,TRIM(W154)=""),"INVALID – batch ID missing",IF(AND(AR154=1,OR(NOT(ISNUMBER(X154)),NOT(ISNUMBER(Y154)))),"INVALID – expected/actual qty missing",IF(IF(AND(TRIM(U154)="Pass",ISNUMBER(AF154)),IF(AF154&lt;&gt;0,"INVALID – qty variance: use Fail or Pass after CA",""),"")&amp;IF(AND(TRIM(U154)="Pass",TRIM(AB154)&lt;&gt;"",TRIM(AB154)&lt;&gt;"Closed"),"INVALID – corrective action not closed: use Fail, then Pass after CA","")&amp;IF(AND(TRIM(AA154)&lt;&gt;"",TRIM(AB154)=""),"INVALID – CA status missing for the recorded corrective action","")&amp;IF(AND(TRIM(U154)="Pass after CA",OR(TRIM(AA154)="",TRIM(AB154)&lt;&gt;"Closed")),"INVALID – corrective action not recorded/closed","")&lt;&gt;"",IF(AND(TRIM(U154)="Pass",ISNUMBER(AF154)),IF(AF154&lt;&gt;0,"INVALID – qty variance: use Fail or Pass after CA",""),"")&amp;IF(AND(TRIM(U154)="Pass",TRIM(AB154)&lt;&gt;"",TRIM(AB154)&lt;&gt;"Closed"),"INVALID – corrective action not closed: use Fail, then Pass after CA","")&amp;IF(AND(TRIM(AA154)&lt;&gt;"",TRIM(AB154)=""),"INVALID – CA status missing for the recorded corrective action","")&amp;IF(AND(TRIM(U154)="Pass after CA",OR(TRIM(AA154)="",TRIM(AB154)&lt;&gt;"Closed")),"INVALID – corrective action not recorded/closed",""),IF(AND(AS154=1,Documents!$J$9&lt;&gt;"ON FILE"),"INVALID – GLD not on file (Documents sheet)",IF(AND(AS154=2,Documents!$O$9&lt;&gt;"ON FILE"),"INVALID – menu checklist not on file (Documents sheet)",IF(AND(AS154=3,NOT(ISNUMBER(Flights!$AX$9))),"INVALID – enter carrying flight KUL departure (Flights AX)",IF(AND(AS154=3,OR(Flights!$AX$9&gt;=Flights!$AA$9,Flights!$AX$9&lt;Flights!$AA$9-3)),"INVALID – Flights AX must be before this leg's STD (within 3 days)",IF(AG154&gt;AsOfUTC,"INVALID – completion time is in the future",IF(AND(ISNUMBER(S154),AG154&lt;S154),IF(H154="Physical uplift","INVALID – before uplift window (cannot confirm loading)","INVALID – before valid window"),IF(AG154&gt;Flights!$AA$9,"INVALID – completed after departure (cannot establish readiness)",IF(AND(H154="Physical uplift",AG154&gt;Q154),"INVALID – recorded after the loading flight departed",IF(AG154&gt;Q154,"COMPLETE – LATE","COMPLETE")))))))))))))))))),IF(TRIM(U154)="Fail","FAIL – DISCREPANCY",IF(AND(TRIM(U154)&lt;&gt;"",TRIM(U154)&lt;&gt;"Not started",TRIM(U154)&lt;&gt;"In progress"),"INVALID – unrecognised status (use the list)",IF(AsOfUTC&gt;Q154,"OVERDUE",IF(N154="Clarification required","OPEN – CLARIFICATION","OPEN")))))))</f>
        <v>OPEN</v>
      </c>
      <c r="AI154" s="61" t="n">
        <f aca="false">IF(OR(AH154="N/A – RULE",AH154="N/A – JUSTIFIED"),0,1)</f>
        <v>1</v>
      </c>
      <c r="AJ154" s="61" t="n">
        <f aca="false">IF(LEFT(AH154,8)="COMPLETE",1,0)</f>
        <v>0</v>
      </c>
      <c r="AK154" s="61" t="n">
        <f aca="false">IF(AND(AI154=1,AJ154=0,AsOfUTC&gt;Q154),1,0)</f>
        <v>0</v>
      </c>
      <c r="AL154" s="61" t="n">
        <f aca="false">IF(AND(AI154=1,OR(TRIM(U154)="Fail",AND(TRIM(AB154)&lt;&gt;"",TRIM(AB154)&lt;&gt;"Closed"),AND(ISNUMBER(AF154),AF154&lt;&gt;0,TRIM(U154)&lt;&gt;"Pass after CA"))),1,0)</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row>
    <row r="155" customFormat="false" ht="78.75" hidden="false" customHeight="true" outlineLevel="0" collapsed="false">
      <c r="A155" s="57" t="s">
        <v>649</v>
      </c>
      <c r="B155" s="57" t="s">
        <v>220</v>
      </c>
      <c r="C155" s="57" t="str">
        <f aca="false">Flights!$F$9</f>
        <v>MH0089</v>
      </c>
      <c r="D155" s="58" t="n">
        <f aca="false">Flights!$D$9</f>
        <v>46310</v>
      </c>
      <c r="E155" s="57" t="str">
        <f aca="false">Flights!$G$9&amp;"-"&amp;Flights!$H$9</f>
        <v>NRT-KUL</v>
      </c>
      <c r="F155" s="57" t="str">
        <f aca="false">Flights!$K$9</f>
        <v>EY</v>
      </c>
      <c r="G155" s="57" t="s">
        <v>385</v>
      </c>
      <c r="H155" s="57" t="s">
        <v>343</v>
      </c>
      <c r="I155" s="57" t="s">
        <v>405</v>
      </c>
      <c r="J155" s="57" t="s">
        <v>406</v>
      </c>
      <c r="K155" s="67" t="s">
        <v>407</v>
      </c>
      <c r="L155" s="67" t="s">
        <v>566</v>
      </c>
      <c r="M155" s="67" t="s">
        <v>179</v>
      </c>
      <c r="N155" s="67" t="s">
        <v>409</v>
      </c>
      <c r="O155" s="67" t="s">
        <v>650</v>
      </c>
      <c r="P155" s="57" t="s">
        <v>179</v>
      </c>
      <c r="Q155" s="59" t="n">
        <f aca="false">ROUND((MIN(Flights!$AE$9,Flights!$AY$9))*1440,0)/1440</f>
        <v>46305.3958333333</v>
      </c>
      <c r="R155" s="59" t="n">
        <f aca="false">Q155+(IF(AND(INDEX(TZ_DSTS,MATCH(P155,TZ_STN,0))&lt;&gt;"",Q155&gt;=INDEX(TZ_DSTS,MATCH(P155,TZ_STN,0)),Q155&lt;INDEX(TZ_DSTE,MATCH(P155,TZ_STN,0))),INDEX(TZ_DST,MATCH(P155,TZ_STN,0)),INDEX(TZ_STD,MATCH(P155,TZ_STN,0))))/24</f>
        <v>46305.7291666667</v>
      </c>
      <c r="S155" s="59" t="n">
        <f aca="false">Q155-T12EarlyH/24</f>
        <v>46304.8958333333</v>
      </c>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IF(N155="N/A – rule","N/A – RULE",IF(TRIM(U155)="N/A",IF(AT155=0,"INVALID – N/A not permitted for this mandatory check",IF(AND(TRIM(AC155)&lt;&gt;"",TRIM(AE155)&lt;&gt;"",TRIM(T155)&lt;&gt;"",TRIM(AE155)&lt;&gt;TRIM(T155)),"N/A – JUSTIFIED","INVALID – N/A needs justification, PIC and a different verifier")),IF(OR(TRIM(U155)="Pass",TRIM(U155)="Pass after CA"),IF(NOT(ISNUMBER(AD155)),"INVALID – completion time missing",IF(TRIM(T155)="","INVALID – PIC missing",IF(TRIM(V155)="","INVALID – result / assessment missing",IF(TRIM(Z155)="","INVALID – evidence missing",IF(TRIM(AE155)="","INVALID – verifier missing",IF(TRIM(AE155)=TRIM(T155),"INVALID – verifier must be someone other than the PIC",IF(AND(AQ155=1,TRIM(W155)=""),"INVALID – batch ID missing",IF(AND(AR155=1,OR(NOT(ISNUMBER(X155)),NOT(ISNUMBER(Y155)))),"INVALID – expected/actual qty missing",IF(IF(AND(TRIM(U155)="Pass",ISNUMBER(AF155)),IF(AF155&lt;&gt;0,"INVALID – qty variance: use Fail or Pass after CA",""),"")&amp;IF(AND(TRIM(U155)="Pass",TRIM(AB155)&lt;&gt;"",TRIM(AB155)&lt;&gt;"Closed"),"INVALID – corrective action not closed: use Fail, then Pass after CA","")&amp;IF(AND(TRIM(AA155)&lt;&gt;"",TRIM(AB155)=""),"INVALID – CA status missing for the recorded corrective action","")&amp;IF(AND(TRIM(U155)="Pass after CA",OR(TRIM(AA155)="",TRIM(AB155)&lt;&gt;"Closed")),"INVALID – corrective action not recorded/closed","")&lt;&gt;"",IF(AND(TRIM(U155)="Pass",ISNUMBER(AF155)),IF(AF155&lt;&gt;0,"INVALID – qty variance: use Fail or Pass after CA",""),"")&amp;IF(AND(TRIM(U155)="Pass",TRIM(AB155)&lt;&gt;"",TRIM(AB155)&lt;&gt;"Closed"),"INVALID – corrective action not closed: use Fail, then Pass after CA","")&amp;IF(AND(TRIM(AA155)&lt;&gt;"",TRIM(AB155)=""),"INVALID – CA status missing for the recorded corrective action","")&amp;IF(AND(TRIM(U155)="Pass after CA",OR(TRIM(AA155)="",TRIM(AB155)&lt;&gt;"Closed")),"INVALID – corrective action not recorded/closed",""),IF(AND(AS155=1,Documents!$J$9&lt;&gt;"ON FILE"),"INVALID – GLD not on file (Documents sheet)",IF(AND(AS155=2,Documents!$O$9&lt;&gt;"ON FILE"),"INVALID – menu checklist not on file (Documents sheet)",IF(AND(AS155=3,NOT(ISNUMBER(Flights!$AX$9))),"INVALID – enter carrying flight KUL departure (Flights AX)",IF(AND(AS155=3,OR(Flights!$AX$9&gt;=Flights!$AA$9,Flights!$AX$9&lt;Flights!$AA$9-3)),"INVALID – Flights AX must be before this leg's STD (within 3 days)",IF(AG155&gt;AsOfUTC,"INVALID – completion time is in the future",IF(AND(ISNUMBER(S155),AG155&lt;S155),IF(H155="Physical uplift","INVALID – before uplift window (cannot confirm loading)","INVALID – before valid window"),IF(AG155&gt;Flights!$AA$9,"INVALID – completed after departure (cannot establish readiness)",IF(AND(H155="Physical uplift",AG155&gt;Q155),"INVALID – recorded after the loading flight departed",IF(AG155&gt;Q155,"COMPLETE – LATE","COMPLETE")))))))))))))))))),IF(TRIM(U155)="Fail","FAIL – DISCREPANCY",IF(AND(TRIM(U155)&lt;&gt;"",TRIM(U155)&lt;&gt;"Not started",TRIM(U155)&lt;&gt;"In progress"),"INVALID – unrecognised status (use the list)",IF(AsOfUTC&gt;Q155,"OVERDUE",IF(N155="Clarification required","OPEN – CLARIFICATION","OPEN")))))))</f>
        <v>OPEN – CLARIFICATION</v>
      </c>
      <c r="AI155" s="61" t="n">
        <f aca="false">IF(OR(AH155="N/A – RULE",AH155="N/A – JUSTIFIED"),0,1)</f>
        <v>1</v>
      </c>
      <c r="AJ155" s="61" t="n">
        <f aca="false">IF(LEFT(AH155,8)="COMPLETE",1,0)</f>
        <v>0</v>
      </c>
      <c r="AK155" s="61" t="n">
        <f aca="false">IF(AND(AI155=1,AJ155=0,AsOfUTC&gt;Q155),1,0)</f>
        <v>0</v>
      </c>
      <c r="AL155" s="61" t="n">
        <f aca="false">IF(AND(AI155=1,OR(TRIM(U155)="Fail",AND(TRIM(AB155)&lt;&gt;"",TRIM(AB155)&lt;&gt;"Closed"),AND(ISNUMBER(AF155),AF155&lt;&gt;0,TRIM(U155)&lt;&gt;"Pass after CA"))),1,0)</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8" t="b">
        <f aca="false">TRUE()</f>
        <v>1</v>
      </c>
    </row>
    <row r="156" customFormat="false" ht="41.25" hidden="false" customHeight="true" outlineLevel="0" collapsed="false">
      <c r="A156" s="57" t="s">
        <v>651</v>
      </c>
      <c r="B156" s="57" t="s">
        <v>220</v>
      </c>
      <c r="C156" s="57" t="str">
        <f aca="false">Flights!$F$9</f>
        <v>MH0089</v>
      </c>
      <c r="D156" s="58" t="n">
        <f aca="false">Flights!$D$9</f>
        <v>46310</v>
      </c>
      <c r="E156" s="57" t="str">
        <f aca="false">Flights!$G$9&amp;"-"&amp;Flights!$H$9</f>
        <v>NRT-KUL</v>
      </c>
      <c r="F156" s="57" t="str">
        <f aca="false">Flights!$K$9</f>
        <v>EY</v>
      </c>
      <c r="G156" s="57" t="s">
        <v>385</v>
      </c>
      <c r="H156" s="57" t="s">
        <v>343</v>
      </c>
      <c r="I156" s="57" t="s">
        <v>412</v>
      </c>
      <c r="J156" s="57" t="s">
        <v>413</v>
      </c>
      <c r="K156" s="67" t="s">
        <v>414</v>
      </c>
      <c r="L156" s="67" t="s">
        <v>652</v>
      </c>
      <c r="M156" s="67" t="s">
        <v>416</v>
      </c>
      <c r="N156" s="67" t="s">
        <v>348</v>
      </c>
      <c r="O156" s="67" t="s">
        <v>653</v>
      </c>
      <c r="P156" s="57" t="s">
        <v>212</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59" t="n">
        <f aca="false">Q156-T12EarlyH/24</f>
        <v>46309.0451388889</v>
      </c>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IF(N156="N/A – rule","N/A – RULE",IF(TRIM(U156)="N/A",IF(AT156=0,"INVALID – N/A not permitted for this mandatory check",IF(AND(TRIM(AC156)&lt;&gt;"",TRIM(AE156)&lt;&gt;"",TRIM(T156)&lt;&gt;"",TRIM(AE156)&lt;&gt;TRIM(T156)),"N/A – JUSTIFIED","INVALID – N/A needs justification, PIC and a different verifier")),IF(OR(TRIM(U156)="Pass",TRIM(U156)="Pass after CA"),IF(NOT(ISNUMBER(AD156)),"INVALID – completion time missing",IF(TRIM(T156)="","INVALID – PIC missing",IF(TRIM(V156)="","INVALID – result / assessment missing",IF(TRIM(Z156)="","INVALID – evidence missing",IF(TRIM(AE156)="","INVALID – verifier missing",IF(TRIM(AE156)=TRIM(T156),"INVALID – verifier must be someone other than the PIC",IF(AND(AQ156=1,TRIM(W156)=""),"INVALID – batch ID missing",IF(AND(AR156=1,OR(NOT(ISNUMBER(X156)),NOT(ISNUMBER(Y156)))),"INVALID – expected/actual qty missing",IF(IF(AND(TRIM(U156)="Pass",ISNUMBER(AF156)),IF(AF156&lt;&gt;0,"INVALID – qty variance: use Fail or Pass after CA",""),"")&amp;IF(AND(TRIM(U156)="Pass",TRIM(AB156)&lt;&gt;"",TRIM(AB156)&lt;&gt;"Closed"),"INVALID – corrective action not closed: use Fail, then Pass after CA","")&amp;IF(AND(TRIM(AA156)&lt;&gt;"",TRIM(AB156)=""),"INVALID – CA status missing for the recorded corrective action","")&amp;IF(AND(TRIM(U156)="Pass after CA",OR(TRIM(AA156)="",TRIM(AB156)&lt;&gt;"Closed")),"INVALID – corrective action not recorded/closed","")&lt;&gt;"",IF(AND(TRIM(U156)="Pass",ISNUMBER(AF156)),IF(AF156&lt;&gt;0,"INVALID – qty variance: use Fail or Pass after CA",""),"")&amp;IF(AND(TRIM(U156)="Pass",TRIM(AB156)&lt;&gt;"",TRIM(AB156)&lt;&gt;"Closed"),"INVALID – corrective action not closed: use Fail, then Pass after CA","")&amp;IF(AND(TRIM(AA156)&lt;&gt;"",TRIM(AB156)=""),"INVALID – CA status missing for the recorded corrective action","")&amp;IF(AND(TRIM(U156)="Pass after CA",OR(TRIM(AA156)="",TRIM(AB156)&lt;&gt;"Closed")),"INVALID – corrective action not recorded/closed",""),IF(AND(AS156=1,Documents!$J$9&lt;&gt;"ON FILE"),"INVALID – GLD not on file (Documents sheet)",IF(AND(AS156=2,Documents!$O$9&lt;&gt;"ON FILE"),"INVALID – menu checklist not on file (Documents sheet)",IF(AND(AS156=3,NOT(ISNUMBER(Flights!$AX$9))),"INVALID – enter carrying flight KUL departure (Flights AX)",IF(AND(AS156=3,OR(Flights!$AX$9&gt;=Flights!$AA$9,Flights!$AX$9&lt;Flights!$AA$9-3)),"INVALID – Flights AX must be before this leg's STD (within 3 days)",IF(AG156&gt;AsOfUTC,"INVALID – completion time is in the future",IF(AND(ISNUMBER(S156),AG156&lt;S156),IF(H156="Physical uplift","INVALID – before uplift window (cannot confirm loading)","INVALID – before valid window"),IF(AG156&gt;Flights!$AA$9,"INVALID – completed after departure (cannot establish readiness)",IF(AND(H156="Physical uplift",AG156&gt;Q156),"INVALID – recorded after the loading flight departed",IF(AG156&gt;Q156,"COMPLETE – LATE","COMPLETE")))))))))))))))))),IF(TRIM(U156)="Fail","FAIL – DISCREPANCY",IF(AND(TRIM(U156)&lt;&gt;"",TRIM(U156)&lt;&gt;"Not started",TRIM(U156)&lt;&gt;"In progress"),"INVALID – unrecognised status (use the list)",IF(AsOfUTC&gt;Q156,"OVERDUE",IF(N156="Clarification required","OPEN – CLARIFICATION","OPEN")))))))</f>
        <v>OPEN</v>
      </c>
      <c r="AI156" s="61" t="n">
        <f aca="false">IF(OR(AH156="N/A – RULE",AH156="N/A – JUSTIFIED"),0,1)</f>
        <v>1</v>
      </c>
      <c r="AJ156" s="61" t="n">
        <f aca="false">IF(LEFT(AH156,8)="COMPLETE",1,0)</f>
        <v>0</v>
      </c>
      <c r="AK156" s="61" t="n">
        <f aca="false">IF(AND(AI156=1,AJ156=0,AsOfUTC&gt;Q156),1,0)</f>
        <v>0</v>
      </c>
      <c r="AL156" s="61" t="n">
        <f aca="false">IF(AND(AI156=1,OR(TRIM(U156)="Fail",AND(TRIM(AB156)&lt;&gt;"",TRIM(AB156)&lt;&gt;"Closed"),AND(ISNUMBER(AF156),AF156&lt;&gt;0,TRIM(U156)&lt;&gt;"Pass after CA"))),1,0)</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8" t="b">
        <f aca="false">TRUE()</f>
        <v>1</v>
      </c>
    </row>
    <row r="157" customFormat="false" ht="91.5" hidden="false" customHeight="true" outlineLevel="0" collapsed="false">
      <c r="A157" s="57" t="s">
        <v>654</v>
      </c>
      <c r="B157" s="57" t="s">
        <v>220</v>
      </c>
      <c r="C157" s="57" t="str">
        <f aca="false">Flights!$F$9</f>
        <v>MH0089</v>
      </c>
      <c r="D157" s="58" t="n">
        <f aca="false">Flights!$D$9</f>
        <v>46310</v>
      </c>
      <c r="E157" s="57" t="str">
        <f aca="false">Flights!$G$9&amp;"-"&amp;Flights!$H$9</f>
        <v>NRT-KUL</v>
      </c>
      <c r="F157" s="57" t="str">
        <f aca="false">Flights!$K$9</f>
        <v>EY</v>
      </c>
      <c r="G157" s="57" t="s">
        <v>385</v>
      </c>
      <c r="H157" s="57" t="s">
        <v>343</v>
      </c>
      <c r="I157" s="57" t="s">
        <v>412</v>
      </c>
      <c r="J157" s="57" t="s">
        <v>419</v>
      </c>
      <c r="K157" s="67" t="s">
        <v>420</v>
      </c>
      <c r="L157" s="67" t="s">
        <v>655</v>
      </c>
      <c r="M157" s="67" t="s">
        <v>416</v>
      </c>
      <c r="N157" s="67" t="s">
        <v>348</v>
      </c>
      <c r="O157" s="67" t="s">
        <v>656</v>
      </c>
      <c r="P157" s="57" t="s">
        <v>212</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59" t="n">
        <f aca="false">Q157-T12EarlyH/24</f>
        <v>46309.0451388889</v>
      </c>
      <c r="T157" s="60"/>
      <c r="U157" s="60"/>
      <c r="V157" s="60"/>
      <c r="W157" s="61"/>
      <c r="X157" s="69"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IF(N157="N/A – rule","N/A – RULE",IF(TRIM(U157)="N/A",IF(AT157=0,"INVALID – N/A not permitted for this mandatory check",IF(AND(TRIM(AC157)&lt;&gt;"",TRIM(AE157)&lt;&gt;"",TRIM(T157)&lt;&gt;"",TRIM(AE157)&lt;&gt;TRIM(T157)),"N/A – JUSTIFIED","INVALID – N/A needs justification, PIC and a different verifier")),IF(OR(TRIM(U157)="Pass",TRIM(U157)="Pass after CA"),IF(NOT(ISNUMBER(AD157)),"INVALID – completion time missing",IF(TRIM(T157)="","INVALID – PIC missing",IF(TRIM(V157)="","INVALID – result / assessment missing",IF(TRIM(Z157)="","INVALID – evidence missing",IF(TRIM(AE157)="","INVALID – verifier missing",IF(TRIM(AE157)=TRIM(T157),"INVALID – verifier must be someone other than the PIC",IF(AND(AQ157=1,TRIM(W157)=""),"INVALID – batch ID missing",IF(AND(AR157=1,OR(NOT(ISNUMBER(X157)),NOT(ISNUMBER(Y157)))),"INVALID – expected/actual qty missing",IF(IF(AND(TRIM(U157)="Pass",ISNUMBER(AF157)),IF(AF157&lt;&gt;0,"INVALID – qty variance: use Fail or Pass after CA",""),"")&amp;IF(AND(TRIM(U157)="Pass",TRIM(AB157)&lt;&gt;"",TRIM(AB157)&lt;&gt;"Closed"),"INVALID – corrective action not closed: use Fail, then Pass after CA","")&amp;IF(AND(TRIM(AA157)&lt;&gt;"",TRIM(AB157)=""),"INVALID – CA status missing for the recorded corrective action","")&amp;IF(AND(TRIM(U157)="Pass after CA",OR(TRIM(AA157)="",TRIM(AB157)&lt;&gt;"Closed")),"INVALID – corrective action not recorded/closed","")&lt;&gt;"",IF(AND(TRIM(U157)="Pass",ISNUMBER(AF157)),IF(AF157&lt;&gt;0,"INVALID – qty variance: use Fail or Pass after CA",""),"")&amp;IF(AND(TRIM(U157)="Pass",TRIM(AB157)&lt;&gt;"",TRIM(AB157)&lt;&gt;"Closed"),"INVALID – corrective action not closed: use Fail, then Pass after CA","")&amp;IF(AND(TRIM(AA157)&lt;&gt;"",TRIM(AB157)=""),"INVALID – CA status missing for the recorded corrective action","")&amp;IF(AND(TRIM(U157)="Pass after CA",OR(TRIM(AA157)="",TRIM(AB157)&lt;&gt;"Closed")),"INVALID – corrective action not recorded/closed",""),IF(AND(AS157=1,Documents!$J$9&lt;&gt;"ON FILE"),"INVALID – GLD not on file (Documents sheet)",IF(AND(AS157=2,Documents!$O$9&lt;&gt;"ON FILE"),"INVALID – menu checklist not on file (Documents sheet)",IF(AND(AS157=3,NOT(ISNUMBER(Flights!$AX$9))),"INVALID – enter carrying flight KUL departure (Flights AX)",IF(AND(AS157=3,OR(Flights!$AX$9&gt;=Flights!$AA$9,Flights!$AX$9&lt;Flights!$AA$9-3)),"INVALID – Flights AX must be before this leg's STD (within 3 days)",IF(AG157&gt;AsOfUTC,"INVALID – completion time is in the future",IF(AND(ISNUMBER(S157),AG157&lt;S157),IF(H157="Physical uplift","INVALID – before uplift window (cannot confirm loading)","INVALID – before valid window"),IF(AG157&gt;Flights!$AA$9,"INVALID – completed after departure (cannot establish readiness)",IF(AND(H157="Physical uplift",AG157&gt;Q157),"INVALID – recorded after the loading flight departed",IF(AG157&gt;Q157,"COMPLETE – LATE","COMPLETE")))))))))))))))))),IF(TRIM(U157)="Fail","FAIL – DISCREPANCY",IF(AND(TRIM(U157)&lt;&gt;"",TRIM(U157)&lt;&gt;"Not started",TRIM(U157)&lt;&gt;"In progress"),"INVALID – unrecognised status (use the list)",IF(AsOfUTC&gt;Q157,"OVERDUE",IF(N157="Clarification required","OPEN – CLARIFICATION","OPEN")))))))</f>
        <v>OPEN</v>
      </c>
      <c r="AI157" s="61" t="n">
        <f aca="false">IF(OR(AH157="N/A – RULE",AH157="N/A – JUSTIFIED"),0,1)</f>
        <v>1</v>
      </c>
      <c r="AJ157" s="61" t="n">
        <f aca="false">IF(LEFT(AH157,8)="COMPLETE",1,0)</f>
        <v>0</v>
      </c>
      <c r="AK157" s="61" t="n">
        <f aca="false">IF(AND(AI157=1,AJ157=0,AsOfUTC&gt;Q157),1,0)</f>
        <v>0</v>
      </c>
      <c r="AL157" s="61" t="n">
        <f aca="false">IF(AND(AI157=1,OR(TRIM(U157)="Fail",AND(TRIM(AB157)&lt;&gt;"",TRIM(AB157)&lt;&gt;"Closed"),AND(ISNUMBER(AF157),AF157&lt;&gt;0,TRIM(U157)&lt;&gt;"Pass after CA"))),1,0)</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8" t="b">
        <f aca="false">TRUE()</f>
        <v>1</v>
      </c>
    </row>
    <row r="158" customFormat="false" ht="103.5" hidden="false" customHeight="true" outlineLevel="0" collapsed="false">
      <c r="A158" s="57" t="s">
        <v>657</v>
      </c>
      <c r="B158" s="57" t="s">
        <v>220</v>
      </c>
      <c r="C158" s="57" t="str">
        <f aca="false">Flights!$F$9</f>
        <v>MH0089</v>
      </c>
      <c r="D158" s="58" t="n">
        <f aca="false">Flights!$D$9</f>
        <v>46310</v>
      </c>
      <c r="E158" s="57" t="str">
        <f aca="false">Flights!$G$9&amp;"-"&amp;Flights!$H$9</f>
        <v>NRT-KUL</v>
      </c>
      <c r="F158" s="57" t="str">
        <f aca="false">Flights!$K$9</f>
        <v>EY</v>
      </c>
      <c r="G158" s="57" t="s">
        <v>385</v>
      </c>
      <c r="H158" s="57" t="s">
        <v>343</v>
      </c>
      <c r="I158" s="57" t="s">
        <v>599</v>
      </c>
      <c r="J158" s="57" t="s">
        <v>600</v>
      </c>
      <c r="K158" s="67" t="s">
        <v>601</v>
      </c>
      <c r="L158" s="67" t="s">
        <v>602</v>
      </c>
      <c r="M158" s="67" t="s">
        <v>416</v>
      </c>
      <c r="N158" s="67" t="s">
        <v>409</v>
      </c>
      <c r="O158" s="67" t="s">
        <v>658</v>
      </c>
      <c r="P158" s="57" t="s">
        <v>212</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59" t="n">
        <f aca="false">Q158-T12EarlyH/24</f>
        <v>46309.0451388889</v>
      </c>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IF(N158="N/A – rule","N/A – RULE",IF(TRIM(U158)="N/A",IF(AT158=0,"INVALID – N/A not permitted for this mandatory check",IF(AND(TRIM(AC158)&lt;&gt;"",TRIM(AE158)&lt;&gt;"",TRIM(T158)&lt;&gt;"",TRIM(AE158)&lt;&gt;TRIM(T158)),"N/A – JUSTIFIED","INVALID – N/A needs justification, PIC and a different verifier")),IF(OR(TRIM(U158)="Pass",TRIM(U158)="Pass after CA"),IF(NOT(ISNUMBER(AD158)),"INVALID – completion time missing",IF(TRIM(T158)="","INVALID – PIC missing",IF(TRIM(V158)="","INVALID – result / assessment missing",IF(TRIM(Z158)="","INVALID – evidence missing",IF(TRIM(AE158)="","INVALID – verifier missing",IF(TRIM(AE158)=TRIM(T158),"INVALID – verifier must be someone other than the PIC",IF(AND(AQ158=1,TRIM(W158)=""),"INVALID – batch ID missing",IF(AND(AR158=1,OR(NOT(ISNUMBER(X158)),NOT(ISNUMBER(Y158)))),"INVALID – expected/actual qty missing",IF(IF(AND(TRIM(U158)="Pass",ISNUMBER(AF158)),IF(AF158&lt;&gt;0,"INVALID – qty variance: use Fail or Pass after CA",""),"")&amp;IF(AND(TRIM(U158)="Pass",TRIM(AB158)&lt;&gt;"",TRIM(AB158)&lt;&gt;"Closed"),"INVALID – corrective action not closed: use Fail, then Pass after CA","")&amp;IF(AND(TRIM(AA158)&lt;&gt;"",TRIM(AB158)=""),"INVALID – CA status missing for the recorded corrective action","")&amp;IF(AND(TRIM(U158)="Pass after CA",OR(TRIM(AA158)="",TRIM(AB158)&lt;&gt;"Closed")),"INVALID – corrective action not recorded/closed","")&lt;&gt;"",IF(AND(TRIM(U158)="Pass",ISNUMBER(AF158)),IF(AF158&lt;&gt;0,"INVALID – qty variance: use Fail or Pass after CA",""),"")&amp;IF(AND(TRIM(U158)="Pass",TRIM(AB158)&lt;&gt;"",TRIM(AB158)&lt;&gt;"Closed"),"INVALID – corrective action not closed: use Fail, then Pass after CA","")&amp;IF(AND(TRIM(AA158)&lt;&gt;"",TRIM(AB158)=""),"INVALID – CA status missing for the recorded corrective action","")&amp;IF(AND(TRIM(U158)="Pass after CA",OR(TRIM(AA158)="",TRIM(AB158)&lt;&gt;"Closed")),"INVALID – corrective action not recorded/closed",""),IF(AND(AS158=1,Documents!$J$9&lt;&gt;"ON FILE"),"INVALID – GLD not on file (Documents sheet)",IF(AND(AS158=2,Documents!$O$9&lt;&gt;"ON FILE"),"INVALID – menu checklist not on file (Documents sheet)",IF(AND(AS158=3,NOT(ISNUMBER(Flights!$AX$9))),"INVALID – enter carrying flight KUL departure (Flights AX)",IF(AND(AS158=3,OR(Flights!$AX$9&gt;=Flights!$AA$9,Flights!$AX$9&lt;Flights!$AA$9-3)),"INVALID – Flights AX must be before this leg's STD (within 3 days)",IF(AG158&gt;AsOfUTC,"INVALID – completion time is in the future",IF(AND(ISNUMBER(S158),AG158&lt;S158),IF(H158="Physical uplift","INVALID – before uplift window (cannot confirm loading)","INVALID – before valid window"),IF(AG158&gt;Flights!$AA$9,"INVALID – completed after departure (cannot establish readiness)",IF(AND(H158="Physical uplift",AG158&gt;Q158),"INVALID – recorded after the loading flight departed",IF(AG158&gt;Q158,"COMPLETE – LATE","COMPLETE")))))))))))))))))),IF(TRIM(U158)="Fail","FAIL – DISCREPANCY",IF(AND(TRIM(U158)&lt;&gt;"",TRIM(U158)&lt;&gt;"Not started",TRIM(U158)&lt;&gt;"In progress"),"INVALID – unrecognised status (use the list)",IF(AsOfUTC&gt;Q158,"OVERDUE",IF(N158="Clarification required","OPEN – CLARIFICATION","OPEN")))))))</f>
        <v>OPEN – CLARIFICATION</v>
      </c>
      <c r="AI158" s="61" t="n">
        <f aca="false">IF(OR(AH158="N/A – RULE",AH158="N/A – JUSTIFIED"),0,1)</f>
        <v>1</v>
      </c>
      <c r="AJ158" s="61" t="n">
        <f aca="false">IF(LEFT(AH158,8)="COMPLETE",1,0)</f>
        <v>0</v>
      </c>
      <c r="AK158" s="61" t="n">
        <f aca="false">IF(AND(AI158=1,AJ158=0,AsOfUTC&gt;Q158),1,0)</f>
        <v>0</v>
      </c>
      <c r="AL158" s="61" t="n">
        <f aca="false">IF(AND(AI158=1,OR(TRIM(U158)="Fail",AND(TRIM(AB158)&lt;&gt;"",TRIM(AB158)&lt;&gt;"Closed"),AND(ISNUMBER(AF158),AF158&lt;&gt;0,TRIM(U158)&lt;&gt;"Pass after CA"))),1,0)</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8" t="b">
        <f aca="false">TRUE()</f>
        <v>1</v>
      </c>
    </row>
    <row r="159" customFormat="false" ht="39.75" hidden="false" customHeight="true" outlineLevel="0" collapsed="false">
      <c r="A159" s="57" t="s">
        <v>659</v>
      </c>
      <c r="B159" s="57" t="s">
        <v>220</v>
      </c>
      <c r="C159" s="57" t="str">
        <f aca="false">Flights!$F$9</f>
        <v>MH0089</v>
      </c>
      <c r="D159" s="58" t="n">
        <f aca="false">Flights!$D$9</f>
        <v>46310</v>
      </c>
      <c r="E159" s="57" t="str">
        <f aca="false">Flights!$G$9&amp;"-"&amp;Flights!$H$9</f>
        <v>NRT-KUL</v>
      </c>
      <c r="F159" s="57" t="str">
        <f aca="false">Flights!$K$9</f>
        <v>EY</v>
      </c>
      <c r="G159" s="57" t="s">
        <v>424</v>
      </c>
      <c r="H159" s="57" t="s">
        <v>425</v>
      </c>
      <c r="I159" s="57" t="s">
        <v>344</v>
      </c>
      <c r="J159" s="57" t="s">
        <v>426</v>
      </c>
      <c r="K159" s="67" t="s">
        <v>391</v>
      </c>
      <c r="L159" s="67" t="s">
        <v>427</v>
      </c>
      <c r="M159" s="67"/>
      <c r="N159" s="67" t="s">
        <v>348</v>
      </c>
      <c r="O159" s="67" t="s">
        <v>428</v>
      </c>
      <c r="P159" s="57" t="s">
        <v>212</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59" t="n">
        <f aca="false">IF(ISNUMBER(Flights!$AY$9),MAX(Q159-UpliftWindowH/24,Flights!$AY$9+UpliftWindowH/24),Q159-UpliftWindowH/24)</f>
        <v>46309.7951388889</v>
      </c>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IF(N159="N/A – rule","N/A – RULE",IF(TRIM(U159)="N/A",IF(AT159=0,"INVALID – N/A not permitted for this mandatory check",IF(AND(TRIM(AC159)&lt;&gt;"",TRIM(AE159)&lt;&gt;"",TRIM(T159)&lt;&gt;"",TRIM(AE159)&lt;&gt;TRIM(T159)),"N/A – JUSTIFIED","INVALID – N/A needs justification, PIC and a different verifier")),IF(OR(TRIM(U159)="Pass",TRIM(U159)="Pass after CA"),IF(NOT(ISNUMBER(AD159)),"INVALID – completion time missing",IF(TRIM(T159)="","INVALID – PIC missing",IF(TRIM(V159)="","INVALID – result / assessment missing",IF(TRIM(Z159)="","INVALID – evidence missing",IF(TRIM(AE159)="","INVALID – verifier missing",IF(TRIM(AE159)=TRIM(T159),"INVALID – verifier must be someone other than the PIC",IF(AND(AQ159=1,TRIM(W159)=""),"INVALID – batch ID missing",IF(AND(AR159=1,OR(NOT(ISNUMBER(X159)),NOT(ISNUMBER(Y159)))),"INVALID – expected/actual qty missing",IF(IF(AND(TRIM(U159)="Pass",ISNUMBER(AF159)),IF(AF159&lt;&gt;0,"INVALID – qty variance: use Fail or Pass after CA",""),"")&amp;IF(AND(TRIM(U159)="Pass",TRIM(AB159)&lt;&gt;"",TRIM(AB159)&lt;&gt;"Closed"),"INVALID – corrective action not closed: use Fail, then Pass after CA","")&amp;IF(AND(TRIM(AA159)&lt;&gt;"",TRIM(AB159)=""),"INVALID – CA status missing for the recorded corrective action","")&amp;IF(AND(TRIM(U159)="Pass after CA",OR(TRIM(AA159)="",TRIM(AB159)&lt;&gt;"Closed")),"INVALID – corrective action not recorded/closed","")&lt;&gt;"",IF(AND(TRIM(U159)="Pass",ISNUMBER(AF159)),IF(AF159&lt;&gt;0,"INVALID – qty variance: use Fail or Pass after CA",""),"")&amp;IF(AND(TRIM(U159)="Pass",TRIM(AB159)&lt;&gt;"",TRIM(AB159)&lt;&gt;"Closed"),"INVALID – corrective action not closed: use Fail, then Pass after CA","")&amp;IF(AND(TRIM(AA159)&lt;&gt;"",TRIM(AB159)=""),"INVALID – CA status missing for the recorded corrective action","")&amp;IF(AND(TRIM(U159)="Pass after CA",OR(TRIM(AA159)="",TRIM(AB159)&lt;&gt;"Closed")),"INVALID – corrective action not recorded/closed",""),IF(AND(AS159=1,Documents!$J$9&lt;&gt;"ON FILE"),"INVALID – GLD not on file (Documents sheet)",IF(AND(AS159=2,Documents!$O$9&lt;&gt;"ON FILE"),"INVALID – menu checklist not on file (Documents sheet)",IF(AND(AS159=3,NOT(ISNUMBER(Flights!$AX$9))),"INVALID – enter carrying flight KUL departure (Flights AX)",IF(AND(AS159=3,OR(Flights!$AX$9&gt;=Flights!$AA$9,Flights!$AX$9&lt;Flights!$AA$9-3)),"INVALID – Flights AX must be before this leg's STD (within 3 days)",IF(AG159&gt;AsOfUTC,"INVALID – completion time is in the future",IF(AND(ISNUMBER(S159),AG159&lt;S159),IF(H159="Physical uplift","INVALID – before uplift window (cannot confirm loading)","INVALID – before valid window"),IF(AG159&gt;Flights!$AA$9,"INVALID – completed after departure (cannot establish readiness)",IF(AND(H159="Physical uplift",AG159&gt;Q159),"INVALID – recorded after the loading flight departed",IF(AG159&gt;Q159,"COMPLETE – LATE","COMPLETE")))))))))))))))))),IF(TRIM(U159)="Fail","FAIL – DISCREPANCY",IF(AND(TRIM(U159)&lt;&gt;"",TRIM(U159)&lt;&gt;"Not started",TRIM(U159)&lt;&gt;"In progress"),"INVALID – unrecognised status (use the list)",IF(AsOfUTC&gt;Q159,"OVERDUE",IF(N159="Clarification required","OPEN – CLARIFICATION","OPEN")))))))</f>
        <v>OPEN</v>
      </c>
      <c r="AI159" s="61" t="n">
        <f aca="false">IF(OR(AH159="N/A – RULE",AH159="N/A – JUSTIFIED"),0,1)</f>
        <v>1</v>
      </c>
      <c r="AJ159" s="61" t="n">
        <f aca="false">IF(LEFT(AH159,8)="COMPLETE",1,0)</f>
        <v>0</v>
      </c>
      <c r="AK159" s="61" t="n">
        <f aca="false">IF(AND(AI159=1,AJ159=0,AsOfUTC&gt;Q159),1,0)</f>
        <v>0</v>
      </c>
      <c r="AL159" s="61" t="n">
        <f aca="false">IF(AND(AI159=1,OR(TRIM(U159)="Fail",AND(TRIM(AB159)&lt;&gt;"",TRIM(AB159)&lt;&gt;"Closed"),AND(ISNUMBER(AF159),AF159&lt;&gt;0,TRIM(U159)&lt;&gt;"Pass after CA"))),1,0)</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row>
    <row r="160" customFormat="false" ht="39.75" hidden="false" customHeight="true" outlineLevel="0" collapsed="false">
      <c r="A160" s="57" t="s">
        <v>660</v>
      </c>
      <c r="B160" s="57" t="s">
        <v>220</v>
      </c>
      <c r="C160" s="57" t="str">
        <f aca="false">Flights!$F$9</f>
        <v>MH0089</v>
      </c>
      <c r="D160" s="58" t="n">
        <f aca="false">Flights!$D$9</f>
        <v>46310</v>
      </c>
      <c r="E160" s="57" t="str">
        <f aca="false">Flights!$G$9&amp;"-"&amp;Flights!$H$9</f>
        <v>NRT-KUL</v>
      </c>
      <c r="F160" s="57" t="str">
        <f aca="false">Flights!$K$9</f>
        <v>EY</v>
      </c>
      <c r="G160" s="57" t="s">
        <v>424</v>
      </c>
      <c r="H160" s="57" t="s">
        <v>425</v>
      </c>
      <c r="I160" s="57" t="s">
        <v>393</v>
      </c>
      <c r="J160" s="57" t="s">
        <v>430</v>
      </c>
      <c r="K160" s="67" t="s">
        <v>391</v>
      </c>
      <c r="L160" s="67" t="s">
        <v>427</v>
      </c>
      <c r="M160" s="67"/>
      <c r="N160" s="67" t="s">
        <v>348</v>
      </c>
      <c r="O160" s="67" t="s">
        <v>428</v>
      </c>
      <c r="P160" s="57" t="s">
        <v>212</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59" t="n">
        <f aca="false">IF(ISNUMBER(Flights!$AY$9),MAX(Q160-UpliftWindowH/24,Flights!$AY$9+UpliftWindowH/24),Q160-UpliftWindowH/24)</f>
        <v>46309.7951388889</v>
      </c>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IF(N160="N/A – rule","N/A – RULE",IF(TRIM(U160)="N/A",IF(AT160=0,"INVALID – N/A not permitted for this mandatory check",IF(AND(TRIM(AC160)&lt;&gt;"",TRIM(AE160)&lt;&gt;"",TRIM(T160)&lt;&gt;"",TRIM(AE160)&lt;&gt;TRIM(T160)),"N/A – JUSTIFIED","INVALID – N/A needs justification, PIC and a different verifier")),IF(OR(TRIM(U160)="Pass",TRIM(U160)="Pass after CA"),IF(NOT(ISNUMBER(AD160)),"INVALID – completion time missing",IF(TRIM(T160)="","INVALID – PIC missing",IF(TRIM(V160)="","INVALID – result / assessment missing",IF(TRIM(Z160)="","INVALID – evidence missing",IF(TRIM(AE160)="","INVALID – verifier missing",IF(TRIM(AE160)=TRIM(T160),"INVALID – verifier must be someone other than the PIC",IF(AND(AQ160=1,TRIM(W160)=""),"INVALID – batch ID missing",IF(AND(AR160=1,OR(NOT(ISNUMBER(X160)),NOT(ISNUMBER(Y160)))),"INVALID – expected/actual qty missing",IF(IF(AND(TRIM(U160)="Pass",ISNUMBER(AF160)),IF(AF160&lt;&gt;0,"INVALID – qty variance: use Fail or Pass after CA",""),"")&amp;IF(AND(TRIM(U160)="Pass",TRIM(AB160)&lt;&gt;"",TRIM(AB160)&lt;&gt;"Closed"),"INVALID – corrective action not closed: use Fail, then Pass after CA","")&amp;IF(AND(TRIM(AA160)&lt;&gt;"",TRIM(AB160)=""),"INVALID – CA status missing for the recorded corrective action","")&amp;IF(AND(TRIM(U160)="Pass after CA",OR(TRIM(AA160)="",TRIM(AB160)&lt;&gt;"Closed")),"INVALID – corrective action not recorded/closed","")&lt;&gt;"",IF(AND(TRIM(U160)="Pass",ISNUMBER(AF160)),IF(AF160&lt;&gt;0,"INVALID – qty variance: use Fail or Pass after CA",""),"")&amp;IF(AND(TRIM(U160)="Pass",TRIM(AB160)&lt;&gt;"",TRIM(AB160)&lt;&gt;"Closed"),"INVALID – corrective action not closed: use Fail, then Pass after CA","")&amp;IF(AND(TRIM(AA160)&lt;&gt;"",TRIM(AB160)=""),"INVALID – CA status missing for the recorded corrective action","")&amp;IF(AND(TRIM(U160)="Pass after CA",OR(TRIM(AA160)="",TRIM(AB160)&lt;&gt;"Closed")),"INVALID – corrective action not recorded/closed",""),IF(AND(AS160=1,Documents!$J$9&lt;&gt;"ON FILE"),"INVALID – GLD not on file (Documents sheet)",IF(AND(AS160=2,Documents!$O$9&lt;&gt;"ON FILE"),"INVALID – menu checklist not on file (Documents sheet)",IF(AND(AS160=3,NOT(ISNUMBER(Flights!$AX$9))),"INVALID – enter carrying flight KUL departure (Flights AX)",IF(AND(AS160=3,OR(Flights!$AX$9&gt;=Flights!$AA$9,Flights!$AX$9&lt;Flights!$AA$9-3)),"INVALID – Flights AX must be before this leg's STD (within 3 days)",IF(AG160&gt;AsOfUTC,"INVALID – completion time is in the future",IF(AND(ISNUMBER(S160),AG160&lt;S160),IF(H160="Physical uplift","INVALID – before uplift window (cannot confirm loading)","INVALID – before valid window"),IF(AG160&gt;Flights!$AA$9,"INVALID – completed after departure (cannot establish readiness)",IF(AND(H160="Physical uplift",AG160&gt;Q160),"INVALID – recorded after the loading flight departed",IF(AG160&gt;Q160,"COMPLETE – LATE","COMPLETE")))))))))))))))))),IF(TRIM(U160)="Fail","FAIL – DISCREPANCY",IF(AND(TRIM(U160)&lt;&gt;"",TRIM(U160)&lt;&gt;"Not started",TRIM(U160)&lt;&gt;"In progress"),"INVALID – unrecognised status (use the list)",IF(AsOfUTC&gt;Q160,"OVERDUE",IF(N160="Clarification required","OPEN – CLARIFICATION","OPEN")))))))</f>
        <v>OPEN</v>
      </c>
      <c r="AI160" s="61" t="n">
        <f aca="false">IF(OR(AH160="N/A – RULE",AH160="N/A – JUSTIFIED"),0,1)</f>
        <v>1</v>
      </c>
      <c r="AJ160" s="61" t="n">
        <f aca="false">IF(LEFT(AH160,8)="COMPLETE",1,0)</f>
        <v>0</v>
      </c>
      <c r="AK160" s="61" t="n">
        <f aca="false">IF(AND(AI160=1,AJ160=0,AsOfUTC&gt;Q160),1,0)</f>
        <v>0</v>
      </c>
      <c r="AL160" s="61" t="n">
        <f aca="false">IF(AND(AI160=1,OR(TRIM(U160)="Fail",AND(TRIM(AB160)&lt;&gt;"",TRIM(AB160)&lt;&gt;"Closed"),AND(ISNUMBER(AF160),AF160&lt;&gt;0,TRIM(U160)&lt;&gt;"Pass after CA"))),1,0)</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row>
    <row r="161" customFormat="false" ht="41.25" hidden="false" customHeight="true" outlineLevel="0" collapsed="false">
      <c r="A161" s="57" t="s">
        <v>661</v>
      </c>
      <c r="B161" s="57" t="s">
        <v>220</v>
      </c>
      <c r="C161" s="57" t="str">
        <f aca="false">Flights!$F$9</f>
        <v>MH0089</v>
      </c>
      <c r="D161" s="58" t="n">
        <f aca="false">Flights!$D$9</f>
        <v>46310</v>
      </c>
      <c r="E161" s="57" t="str">
        <f aca="false">Flights!$G$9&amp;"-"&amp;Flights!$H$9</f>
        <v>NRT-KUL</v>
      </c>
      <c r="F161" s="57" t="str">
        <f aca="false">Flights!$K$9</f>
        <v>EY</v>
      </c>
      <c r="G161" s="57" t="s">
        <v>424</v>
      </c>
      <c r="H161" s="57" t="s">
        <v>425</v>
      </c>
      <c r="I161" s="57" t="s">
        <v>376</v>
      </c>
      <c r="J161" s="57" t="s">
        <v>662</v>
      </c>
      <c r="K161" s="67" t="s">
        <v>663</v>
      </c>
      <c r="L161" s="67" t="s">
        <v>664</v>
      </c>
      <c r="M161" s="67"/>
      <c r="N161" s="67" t="s">
        <v>348</v>
      </c>
      <c r="O161" s="67" t="s">
        <v>665</v>
      </c>
      <c r="P161" s="57" t="s">
        <v>179</v>
      </c>
      <c r="Q161" s="59" t="n">
        <f aca="false">ROUND((Flights!$AY$9+UpliftWindowH/24)*1440,0)/1440</f>
        <v>46305.6458333333</v>
      </c>
      <c r="R161" s="59" t="n">
        <f aca="false">Q161+(IF(AND(INDEX(TZ_DSTS,MATCH(P161,TZ_STN,0))&lt;&gt;"",Q161&gt;=INDEX(TZ_DSTS,MATCH(P161,TZ_STN,0)),Q161&lt;INDEX(TZ_DSTE,MATCH(P161,TZ_STN,0))),INDEX(TZ_DST,MATCH(P161,TZ_STN,0)),INDEX(TZ_STD,MATCH(P161,TZ_STN,0))))/24</f>
        <v>46305.9791666667</v>
      </c>
      <c r="S161" s="59" t="n">
        <f aca="false">Q161-UpliftWindowH/24</f>
        <v>46305.3958333333</v>
      </c>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IF(N161="N/A – rule","N/A – RULE",IF(TRIM(U161)="N/A",IF(AT161=0,"INVALID – N/A not permitted for this mandatory check",IF(AND(TRIM(AC161)&lt;&gt;"",TRIM(AE161)&lt;&gt;"",TRIM(T161)&lt;&gt;"",TRIM(AE161)&lt;&gt;TRIM(T161)),"N/A – JUSTIFIED","INVALID – N/A needs justification, PIC and a different verifier")),IF(OR(TRIM(U161)="Pass",TRIM(U161)="Pass after CA"),IF(NOT(ISNUMBER(AD161)),"INVALID – completion time missing",IF(TRIM(T161)="","INVALID – PIC missing",IF(TRIM(V161)="","INVALID – result / assessment missing",IF(TRIM(Z161)="","INVALID – evidence missing",IF(TRIM(AE161)="","INVALID – verifier missing",IF(TRIM(AE161)=TRIM(T161),"INVALID – verifier must be someone other than the PIC",IF(AND(AQ161=1,TRIM(W161)=""),"INVALID – batch ID missing",IF(AND(AR161=1,OR(NOT(ISNUMBER(X161)),NOT(ISNUMBER(Y161)))),"INVALID – expected/actual qty missing",IF(IF(AND(TRIM(U161)="Pass",ISNUMBER(AF161)),IF(AF161&lt;&gt;0,"INVALID – qty variance: use Fail or Pass after CA",""),"")&amp;IF(AND(TRIM(U161)="Pass",TRIM(AB161)&lt;&gt;"",TRIM(AB161)&lt;&gt;"Closed"),"INVALID – corrective action not closed: use Fail, then Pass after CA","")&amp;IF(AND(TRIM(AA161)&lt;&gt;"",TRIM(AB161)=""),"INVALID – CA status missing for the recorded corrective action","")&amp;IF(AND(TRIM(U161)="Pass after CA",OR(TRIM(AA161)="",TRIM(AB161)&lt;&gt;"Closed")),"INVALID – corrective action not recorded/closed","")&lt;&gt;"",IF(AND(TRIM(U161)="Pass",ISNUMBER(AF161)),IF(AF161&lt;&gt;0,"INVALID – qty variance: use Fail or Pass after CA",""),"")&amp;IF(AND(TRIM(U161)="Pass",TRIM(AB161)&lt;&gt;"",TRIM(AB161)&lt;&gt;"Closed"),"INVALID – corrective action not closed: use Fail, then Pass after CA","")&amp;IF(AND(TRIM(AA161)&lt;&gt;"",TRIM(AB161)=""),"INVALID – CA status missing for the recorded corrective action","")&amp;IF(AND(TRIM(U161)="Pass after CA",OR(TRIM(AA161)="",TRIM(AB161)&lt;&gt;"Closed")),"INVALID – corrective action not recorded/closed",""),IF(AND(AS161=1,Documents!$J$9&lt;&gt;"ON FILE"),"INVALID – GLD not on file (Documents sheet)",IF(AND(AS161=2,Documents!$O$9&lt;&gt;"ON FILE"),"INVALID – menu checklist not on file (Documents sheet)",IF(AND(AS161=3,NOT(ISNUMBER(Flights!$AX$9))),"INVALID – enter carrying flight KUL departure (Flights AX)",IF(AND(AS161=3,OR(Flights!$AX$9&gt;=Flights!$AA$9,Flights!$AX$9&lt;Flights!$AA$9-3)),"INVALID – Flights AX must be before this leg's STD (within 3 days)",IF(AG161&gt;AsOfUTC,"INVALID – completion time is in the future",IF(AND(ISNUMBER(S161),AG161&lt;S161),IF(H161="Physical uplift","INVALID – before uplift window (cannot confirm loading)","INVALID – before valid window"),IF(AG161&gt;Flights!$AA$9,"INVALID – completed after departure (cannot establish readiness)",IF(AND(H161="Physical uplift",AG161&gt;Q161),"INVALID – recorded after the loading flight departed",IF(AG161&gt;Q161,"COMPLETE – LATE","COMPLETE")))))))))))))))))),IF(TRIM(U161)="Fail","FAIL – DISCREPANCY",IF(AND(TRIM(U161)&lt;&gt;"",TRIM(U161)&lt;&gt;"Not started",TRIM(U161)&lt;&gt;"In progress"),"INVALID – unrecognised status (use the list)",IF(AsOfUTC&gt;Q161,"OVERDUE",IF(N161="Clarification required","OPEN – CLARIFICATION","OPEN")))))))</f>
        <v>OPEN</v>
      </c>
      <c r="AI161" s="61" t="n">
        <f aca="false">IF(OR(AH161="N/A – RULE",AH161="N/A – JUSTIFIED"),0,1)</f>
        <v>1</v>
      </c>
      <c r="AJ161" s="61" t="n">
        <f aca="false">IF(LEFT(AH161,8)="COMPLETE",1,0)</f>
        <v>0</v>
      </c>
      <c r="AK161" s="61" t="n">
        <f aca="false">IF(AND(AI161=1,AJ161=0,AsOfUTC&gt;Q161),1,0)</f>
        <v>0</v>
      </c>
      <c r="AL161" s="61" t="n">
        <f aca="false">IF(AND(AI161=1,OR(TRIM(U161)="Fail",AND(TRIM(AB161)&lt;&gt;"",TRIM(AB161)&lt;&gt;"Closed"),AND(ISNUMBER(AF161),AF161&lt;&gt;0,TRIM(U161)&lt;&gt;"Pass after CA"))),1,0)</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row>
    <row r="162" customFormat="false" ht="54" hidden="false" customHeight="true" outlineLevel="0" collapsed="false">
      <c r="A162" s="57" t="s">
        <v>666</v>
      </c>
      <c r="B162" s="57" t="s">
        <v>220</v>
      </c>
      <c r="C162" s="57" t="str">
        <f aca="false">Flights!$F$9</f>
        <v>MH0089</v>
      </c>
      <c r="D162" s="58" t="n">
        <f aca="false">Flights!$D$9</f>
        <v>46310</v>
      </c>
      <c r="E162" s="57" t="str">
        <f aca="false">Flights!$G$9&amp;"-"&amp;Flights!$H$9</f>
        <v>NRT-KUL</v>
      </c>
      <c r="F162" s="57" t="str">
        <f aca="false">Flights!$K$9</f>
        <v>EY</v>
      </c>
      <c r="G162" s="57" t="s">
        <v>424</v>
      </c>
      <c r="H162" s="57" t="s">
        <v>425</v>
      </c>
      <c r="I162" s="57" t="s">
        <v>405</v>
      </c>
      <c r="J162" s="57" t="s">
        <v>432</v>
      </c>
      <c r="K162" s="67" t="s">
        <v>407</v>
      </c>
      <c r="L162" s="67" t="s">
        <v>566</v>
      </c>
      <c r="M162" s="67" t="s">
        <v>179</v>
      </c>
      <c r="N162" s="67" t="s">
        <v>409</v>
      </c>
      <c r="O162" s="67" t="s">
        <v>410</v>
      </c>
      <c r="P162" s="57" t="s">
        <v>212</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59" t="n">
        <f aca="false">IF(ISNUMBER(Flights!$AY$9),MAX(Q162-UpliftWindowH/24,Flights!$AY$9+UpliftWindowH/24),Q162-UpliftWindowH/24)</f>
        <v>46309.7951388889</v>
      </c>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IF(N162="N/A – rule","N/A – RULE",IF(TRIM(U162)="N/A",IF(AT162=0,"INVALID – N/A not permitted for this mandatory check",IF(AND(TRIM(AC162)&lt;&gt;"",TRIM(AE162)&lt;&gt;"",TRIM(T162)&lt;&gt;"",TRIM(AE162)&lt;&gt;TRIM(T162)),"N/A – JUSTIFIED","INVALID – N/A needs justification, PIC and a different verifier")),IF(OR(TRIM(U162)="Pass",TRIM(U162)="Pass after CA"),IF(NOT(ISNUMBER(AD162)),"INVALID – completion time missing",IF(TRIM(T162)="","INVALID – PIC missing",IF(TRIM(V162)="","INVALID – result / assessment missing",IF(TRIM(Z162)="","INVALID – evidence missing",IF(TRIM(AE162)="","INVALID – verifier missing",IF(TRIM(AE162)=TRIM(T162),"INVALID – verifier must be someone other than the PIC",IF(AND(AQ162=1,TRIM(W162)=""),"INVALID – batch ID missing",IF(AND(AR162=1,OR(NOT(ISNUMBER(X162)),NOT(ISNUMBER(Y162)))),"INVALID – expected/actual qty missing",IF(IF(AND(TRIM(U162)="Pass",ISNUMBER(AF162)),IF(AF162&lt;&gt;0,"INVALID – qty variance: use Fail or Pass after CA",""),"")&amp;IF(AND(TRIM(U162)="Pass",TRIM(AB162)&lt;&gt;"",TRIM(AB162)&lt;&gt;"Closed"),"INVALID – corrective action not closed: use Fail, then Pass after CA","")&amp;IF(AND(TRIM(AA162)&lt;&gt;"",TRIM(AB162)=""),"INVALID – CA status missing for the recorded corrective action","")&amp;IF(AND(TRIM(U162)="Pass after CA",OR(TRIM(AA162)="",TRIM(AB162)&lt;&gt;"Closed")),"INVALID – corrective action not recorded/closed","")&lt;&gt;"",IF(AND(TRIM(U162)="Pass",ISNUMBER(AF162)),IF(AF162&lt;&gt;0,"INVALID – qty variance: use Fail or Pass after CA",""),"")&amp;IF(AND(TRIM(U162)="Pass",TRIM(AB162)&lt;&gt;"",TRIM(AB162)&lt;&gt;"Closed"),"INVALID – corrective action not closed: use Fail, then Pass after CA","")&amp;IF(AND(TRIM(AA162)&lt;&gt;"",TRIM(AB162)=""),"INVALID – CA status missing for the recorded corrective action","")&amp;IF(AND(TRIM(U162)="Pass after CA",OR(TRIM(AA162)="",TRIM(AB162)&lt;&gt;"Closed")),"INVALID – corrective action not recorded/closed",""),IF(AND(AS162=1,Documents!$J$9&lt;&gt;"ON FILE"),"INVALID – GLD not on file (Documents sheet)",IF(AND(AS162=2,Documents!$O$9&lt;&gt;"ON FILE"),"INVALID – menu checklist not on file (Documents sheet)",IF(AND(AS162=3,NOT(ISNUMBER(Flights!$AX$9))),"INVALID – enter carrying flight KUL departure (Flights AX)",IF(AND(AS162=3,OR(Flights!$AX$9&gt;=Flights!$AA$9,Flights!$AX$9&lt;Flights!$AA$9-3)),"INVALID – Flights AX must be before this leg's STD (within 3 days)",IF(AG162&gt;AsOfUTC,"INVALID – completion time is in the future",IF(AND(ISNUMBER(S162),AG162&lt;S162),IF(H162="Physical uplift","INVALID – before uplift window (cannot confirm loading)","INVALID – before valid window"),IF(AG162&gt;Flights!$AA$9,"INVALID – completed after departure (cannot establish readiness)",IF(AND(H162="Physical uplift",AG162&gt;Q162),"INVALID – recorded after the loading flight departed",IF(AG162&gt;Q162,"COMPLETE – LATE","COMPLETE")))))))))))))))))),IF(TRIM(U162)="Fail","FAIL – DISCREPANCY",IF(AND(TRIM(U162)&lt;&gt;"",TRIM(U162)&lt;&gt;"Not started",TRIM(U162)&lt;&gt;"In progress"),"INVALID – unrecognised status (use the list)",IF(AsOfUTC&gt;Q162,"OVERDUE",IF(N162="Clarification required","OPEN – CLARIFICATION","OPEN")))))))</f>
        <v>OPEN – CLARIFICATION</v>
      </c>
      <c r="AI162" s="61" t="n">
        <f aca="false">IF(OR(AH162="N/A – RULE",AH162="N/A – JUSTIFIED"),0,1)</f>
        <v>1</v>
      </c>
      <c r="AJ162" s="61" t="n">
        <f aca="false">IF(LEFT(AH162,8)="COMPLETE",1,0)</f>
        <v>0</v>
      </c>
      <c r="AK162" s="61" t="n">
        <f aca="false">IF(AND(AI162=1,AJ162=0,AsOfUTC&gt;Q162),1,0)</f>
        <v>0</v>
      </c>
      <c r="AL162" s="61" t="n">
        <f aca="false">IF(AND(AI162=1,OR(TRIM(U162)="Fail",AND(TRIM(AB162)&lt;&gt;"",TRIM(AB162)&lt;&gt;"Closed"),AND(ISNUMBER(AF162),AF162&lt;&gt;0,TRIM(U162)&lt;&gt;"Pass after CA"))),1,0)</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8" t="b">
        <f aca="false">TRUE()</f>
        <v>1</v>
      </c>
    </row>
    <row r="163" customFormat="false" ht="39.75" hidden="false" customHeight="true" outlineLevel="0" collapsed="false">
      <c r="A163" s="57" t="s">
        <v>667</v>
      </c>
      <c r="B163" s="57" t="s">
        <v>220</v>
      </c>
      <c r="C163" s="57" t="str">
        <f aca="false">Flights!$F$9</f>
        <v>MH0089</v>
      </c>
      <c r="D163" s="58" t="n">
        <f aca="false">Flights!$D$9</f>
        <v>46310</v>
      </c>
      <c r="E163" s="57" t="str">
        <f aca="false">Flights!$G$9&amp;"-"&amp;Flights!$H$9</f>
        <v>NRT-KUL</v>
      </c>
      <c r="F163" s="57" t="str">
        <f aca="false">Flights!$K$9</f>
        <v>EY</v>
      </c>
      <c r="G163" s="57" t="s">
        <v>424</v>
      </c>
      <c r="H163" s="57" t="s">
        <v>425</v>
      </c>
      <c r="I163" s="57" t="s">
        <v>412</v>
      </c>
      <c r="J163" s="57" t="s">
        <v>434</v>
      </c>
      <c r="K163" s="67" t="s">
        <v>414</v>
      </c>
      <c r="L163" s="67" t="s">
        <v>652</v>
      </c>
      <c r="M163" s="67" t="s">
        <v>416</v>
      </c>
      <c r="N163" s="67" t="s">
        <v>348</v>
      </c>
      <c r="O163" s="67"/>
      <c r="P163" s="57" t="s">
        <v>212</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59" t="n">
        <f aca="false">IF(ISNUMBER(Flights!$AY$9),MAX(Q163-UpliftWindowH/24,Flights!$AY$9+UpliftWindowH/24),Q163-UpliftWindowH/24)</f>
        <v>46309.7951388889</v>
      </c>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IF(N163="N/A – rule","N/A – RULE",IF(TRIM(U163)="N/A",IF(AT163=0,"INVALID – N/A not permitted for this mandatory check",IF(AND(TRIM(AC163)&lt;&gt;"",TRIM(AE163)&lt;&gt;"",TRIM(T163)&lt;&gt;"",TRIM(AE163)&lt;&gt;TRIM(T163)),"N/A – JUSTIFIED","INVALID – N/A needs justification, PIC and a different verifier")),IF(OR(TRIM(U163)="Pass",TRIM(U163)="Pass after CA"),IF(NOT(ISNUMBER(AD163)),"INVALID – completion time missing",IF(TRIM(T163)="","INVALID – PIC missing",IF(TRIM(V163)="","INVALID – result / assessment missing",IF(TRIM(Z163)="","INVALID – evidence missing",IF(TRIM(AE163)="","INVALID – verifier missing",IF(TRIM(AE163)=TRIM(T163),"INVALID – verifier must be someone other than the PIC",IF(AND(AQ163=1,TRIM(W163)=""),"INVALID – batch ID missing",IF(AND(AR163=1,OR(NOT(ISNUMBER(X163)),NOT(ISNUMBER(Y163)))),"INVALID – expected/actual qty missing",IF(IF(AND(TRIM(U163)="Pass",ISNUMBER(AF163)),IF(AF163&lt;&gt;0,"INVALID – qty variance: use Fail or Pass after CA",""),"")&amp;IF(AND(TRIM(U163)="Pass",TRIM(AB163)&lt;&gt;"",TRIM(AB163)&lt;&gt;"Closed"),"INVALID – corrective action not closed: use Fail, then Pass after CA","")&amp;IF(AND(TRIM(AA163)&lt;&gt;"",TRIM(AB163)=""),"INVALID – CA status missing for the recorded corrective action","")&amp;IF(AND(TRIM(U163)="Pass after CA",OR(TRIM(AA163)="",TRIM(AB163)&lt;&gt;"Closed")),"INVALID – corrective action not recorded/closed","")&lt;&gt;"",IF(AND(TRIM(U163)="Pass",ISNUMBER(AF163)),IF(AF163&lt;&gt;0,"INVALID – qty variance: use Fail or Pass after CA",""),"")&amp;IF(AND(TRIM(U163)="Pass",TRIM(AB163)&lt;&gt;"",TRIM(AB163)&lt;&gt;"Closed"),"INVALID – corrective action not closed: use Fail, then Pass after CA","")&amp;IF(AND(TRIM(AA163)&lt;&gt;"",TRIM(AB163)=""),"INVALID – CA status missing for the recorded corrective action","")&amp;IF(AND(TRIM(U163)="Pass after CA",OR(TRIM(AA163)="",TRIM(AB163)&lt;&gt;"Closed")),"INVALID – corrective action not recorded/closed",""),IF(AND(AS163=1,Documents!$J$9&lt;&gt;"ON FILE"),"INVALID – GLD not on file (Documents sheet)",IF(AND(AS163=2,Documents!$O$9&lt;&gt;"ON FILE"),"INVALID – menu checklist not on file (Documents sheet)",IF(AND(AS163=3,NOT(ISNUMBER(Flights!$AX$9))),"INVALID – enter carrying flight KUL departure (Flights AX)",IF(AND(AS163=3,OR(Flights!$AX$9&gt;=Flights!$AA$9,Flights!$AX$9&lt;Flights!$AA$9-3)),"INVALID – Flights AX must be before this leg's STD (within 3 days)",IF(AG163&gt;AsOfUTC,"INVALID – completion time is in the future",IF(AND(ISNUMBER(S163),AG163&lt;S163),IF(H163="Physical uplift","INVALID – before uplift window (cannot confirm loading)","INVALID – before valid window"),IF(AG163&gt;Flights!$AA$9,"INVALID – completed after departure (cannot establish readiness)",IF(AND(H163="Physical uplift",AG163&gt;Q163),"INVALID – recorded after the loading flight departed",IF(AG163&gt;Q163,"COMPLETE – LATE","COMPLETE")))))))))))))))))),IF(TRIM(U163)="Fail","FAIL – DISCREPANCY",IF(AND(TRIM(U163)&lt;&gt;"",TRIM(U163)&lt;&gt;"Not started",TRIM(U163)&lt;&gt;"In progress"),"INVALID – unrecognised status (use the list)",IF(AsOfUTC&gt;Q163,"OVERDUE",IF(N163="Clarification required","OPEN – CLARIFICATION","OPEN")))))))</f>
        <v>OPEN</v>
      </c>
      <c r="AI163" s="61" t="n">
        <f aca="false">IF(OR(AH163="N/A – RULE",AH163="N/A – JUSTIFIED"),0,1)</f>
        <v>1</v>
      </c>
      <c r="AJ163" s="61" t="n">
        <f aca="false">IF(LEFT(AH163,8)="COMPLETE",1,0)</f>
        <v>0</v>
      </c>
      <c r="AK163" s="61" t="n">
        <f aca="false">IF(AND(AI163=1,AJ163=0,AsOfUTC&gt;Q163),1,0)</f>
        <v>0</v>
      </c>
      <c r="AL163" s="61" t="n">
        <f aca="false">IF(AND(AI163=1,OR(TRIM(U163)="Fail",AND(TRIM(AB163)&lt;&gt;"",TRIM(AB163)&lt;&gt;"Closed"),AND(ISNUMBER(AF163),AF163&lt;&gt;0,TRIM(U163)&lt;&gt;"Pass after CA"))),1,0)</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8" t="b">
        <f aca="false">TRUE()</f>
        <v>1</v>
      </c>
    </row>
    <row r="164" customFormat="false" ht="54" hidden="false" customHeight="true" outlineLevel="0" collapsed="false">
      <c r="A164" s="57" t="s">
        <v>668</v>
      </c>
      <c r="B164" s="57" t="s">
        <v>220</v>
      </c>
      <c r="C164" s="57" t="str">
        <f aca="false">Flights!$F$9</f>
        <v>MH0089</v>
      </c>
      <c r="D164" s="58" t="n">
        <f aca="false">Flights!$D$9</f>
        <v>46310</v>
      </c>
      <c r="E164" s="57" t="str">
        <f aca="false">Flights!$G$9&amp;"-"&amp;Flights!$H$9</f>
        <v>NRT-KUL</v>
      </c>
      <c r="F164" s="57" t="str">
        <f aca="false">Flights!$K$9</f>
        <v>EY</v>
      </c>
      <c r="G164" s="57" t="s">
        <v>424</v>
      </c>
      <c r="H164" s="57" t="s">
        <v>425</v>
      </c>
      <c r="I164" s="57" t="s">
        <v>412</v>
      </c>
      <c r="J164" s="57" t="s">
        <v>436</v>
      </c>
      <c r="K164" s="67" t="s">
        <v>420</v>
      </c>
      <c r="L164" s="67" t="s">
        <v>655</v>
      </c>
      <c r="M164" s="67" t="s">
        <v>416</v>
      </c>
      <c r="N164" s="67" t="s">
        <v>348</v>
      </c>
      <c r="O164" s="67" t="s">
        <v>669</v>
      </c>
      <c r="P164" s="57" t="s">
        <v>212</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59" t="n">
        <f aca="false">IF(ISNUMBER(Flights!$AY$9),MAX(Q164-UpliftWindowH/24,Flights!$AY$9+UpliftWindowH/24),Q164-UpliftWindowH/24)</f>
        <v>46309.7951388889</v>
      </c>
      <c r="T164" s="60"/>
      <c r="U164" s="60"/>
      <c r="V164" s="60"/>
      <c r="W164" s="61"/>
      <c r="X164" s="69"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IF(N164="N/A – rule","N/A – RULE",IF(TRIM(U164)="N/A",IF(AT164=0,"INVALID – N/A not permitted for this mandatory check",IF(AND(TRIM(AC164)&lt;&gt;"",TRIM(AE164)&lt;&gt;"",TRIM(T164)&lt;&gt;"",TRIM(AE164)&lt;&gt;TRIM(T164)),"N/A – JUSTIFIED","INVALID – N/A needs justification, PIC and a different verifier")),IF(OR(TRIM(U164)="Pass",TRIM(U164)="Pass after CA"),IF(NOT(ISNUMBER(AD164)),"INVALID – completion time missing",IF(TRIM(T164)="","INVALID – PIC missing",IF(TRIM(V164)="","INVALID – result / assessment missing",IF(TRIM(Z164)="","INVALID – evidence missing",IF(TRIM(AE164)="","INVALID – verifier missing",IF(TRIM(AE164)=TRIM(T164),"INVALID – verifier must be someone other than the PIC",IF(AND(AQ164=1,TRIM(W164)=""),"INVALID – batch ID missing",IF(AND(AR164=1,OR(NOT(ISNUMBER(X164)),NOT(ISNUMBER(Y164)))),"INVALID – expected/actual qty missing",IF(IF(AND(TRIM(U164)="Pass",ISNUMBER(AF164)),IF(AF164&lt;&gt;0,"INVALID – qty variance: use Fail or Pass after CA",""),"")&amp;IF(AND(TRIM(U164)="Pass",TRIM(AB164)&lt;&gt;"",TRIM(AB164)&lt;&gt;"Closed"),"INVALID – corrective action not closed: use Fail, then Pass after CA","")&amp;IF(AND(TRIM(AA164)&lt;&gt;"",TRIM(AB164)=""),"INVALID – CA status missing for the recorded corrective action","")&amp;IF(AND(TRIM(U164)="Pass after CA",OR(TRIM(AA164)="",TRIM(AB164)&lt;&gt;"Closed")),"INVALID – corrective action not recorded/closed","")&lt;&gt;"",IF(AND(TRIM(U164)="Pass",ISNUMBER(AF164)),IF(AF164&lt;&gt;0,"INVALID – qty variance: use Fail or Pass after CA",""),"")&amp;IF(AND(TRIM(U164)="Pass",TRIM(AB164)&lt;&gt;"",TRIM(AB164)&lt;&gt;"Closed"),"INVALID – corrective action not closed: use Fail, then Pass after CA","")&amp;IF(AND(TRIM(AA164)&lt;&gt;"",TRIM(AB164)=""),"INVALID – CA status missing for the recorded corrective action","")&amp;IF(AND(TRIM(U164)="Pass after CA",OR(TRIM(AA164)="",TRIM(AB164)&lt;&gt;"Closed")),"INVALID – corrective action not recorded/closed",""),IF(AND(AS164=1,Documents!$J$9&lt;&gt;"ON FILE"),"INVALID – GLD not on file (Documents sheet)",IF(AND(AS164=2,Documents!$O$9&lt;&gt;"ON FILE"),"INVALID – menu checklist not on file (Documents sheet)",IF(AND(AS164=3,NOT(ISNUMBER(Flights!$AX$9))),"INVALID – enter carrying flight KUL departure (Flights AX)",IF(AND(AS164=3,OR(Flights!$AX$9&gt;=Flights!$AA$9,Flights!$AX$9&lt;Flights!$AA$9-3)),"INVALID – Flights AX must be before this leg's STD (within 3 days)",IF(AG164&gt;AsOfUTC,"INVALID – completion time is in the future",IF(AND(ISNUMBER(S164),AG164&lt;S164),IF(H164="Physical uplift","INVALID – before uplift window (cannot confirm loading)","INVALID – before valid window"),IF(AG164&gt;Flights!$AA$9,"INVALID – completed after departure (cannot establish readiness)",IF(AND(H164="Physical uplift",AG164&gt;Q164),"INVALID – recorded after the loading flight departed",IF(AG164&gt;Q164,"COMPLETE – LATE","COMPLETE")))))))))))))))))),IF(TRIM(U164)="Fail","FAIL – DISCREPANCY",IF(AND(TRIM(U164)&lt;&gt;"",TRIM(U164)&lt;&gt;"Not started",TRIM(U164)&lt;&gt;"In progress"),"INVALID – unrecognised status (use the list)",IF(AsOfUTC&gt;Q164,"OVERDUE",IF(N164="Clarification required","OPEN – CLARIFICATION","OPEN")))))))</f>
        <v>OPEN</v>
      </c>
      <c r="AI164" s="61" t="n">
        <f aca="false">IF(OR(AH164="N/A – RULE",AH164="N/A – JUSTIFIED"),0,1)</f>
        <v>1</v>
      </c>
      <c r="AJ164" s="61" t="n">
        <f aca="false">IF(LEFT(AH164,8)="COMPLETE",1,0)</f>
        <v>0</v>
      </c>
      <c r="AK164" s="61" t="n">
        <f aca="false">IF(AND(AI164=1,AJ164=0,AsOfUTC&gt;Q164),1,0)</f>
        <v>0</v>
      </c>
      <c r="AL164" s="61" t="n">
        <f aca="false">IF(AND(AI164=1,OR(TRIM(U164)="Fail",AND(TRIM(AB164)&lt;&gt;"",TRIM(AB164)&lt;&gt;"Closed"),AND(ISNUMBER(AF164),AF164&lt;&gt;0,TRIM(U164)&lt;&gt;"Pass after CA"))),1,0)</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8" t="b">
        <f aca="false">TRUE()</f>
        <v>1</v>
      </c>
    </row>
    <row r="165" customFormat="false" ht="66" hidden="false" customHeight="true" outlineLevel="0" collapsed="false">
      <c r="A165" s="57" t="s">
        <v>670</v>
      </c>
      <c r="B165" s="57" t="s">
        <v>220</v>
      </c>
      <c r="C165" s="57" t="str">
        <f aca="false">Flights!$F$9</f>
        <v>MH0089</v>
      </c>
      <c r="D165" s="58" t="n">
        <f aca="false">Flights!$D$9</f>
        <v>46310</v>
      </c>
      <c r="E165" s="57" t="str">
        <f aca="false">Flights!$G$9&amp;"-"&amp;Flights!$H$9</f>
        <v>NRT-KUL</v>
      </c>
      <c r="F165" s="57" t="str">
        <f aca="false">Flights!$K$9</f>
        <v>EY</v>
      </c>
      <c r="G165" s="57" t="s">
        <v>424</v>
      </c>
      <c r="H165" s="57" t="s">
        <v>425</v>
      </c>
      <c r="I165" s="57" t="s">
        <v>599</v>
      </c>
      <c r="J165" s="57" t="s">
        <v>624</v>
      </c>
      <c r="K165" s="67" t="s">
        <v>601</v>
      </c>
      <c r="L165" s="67" t="s">
        <v>602</v>
      </c>
      <c r="M165" s="67" t="s">
        <v>416</v>
      </c>
      <c r="N165" s="67" t="s">
        <v>409</v>
      </c>
      <c r="O165" s="67" t="s">
        <v>671</v>
      </c>
      <c r="P165" s="57" t="s">
        <v>212</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59" t="n">
        <f aca="false">IF(ISNUMBER(Flights!$AY$9),MAX(Q165-UpliftWindowH/24,Flights!$AY$9+UpliftWindowH/24),Q165-UpliftWindowH/24)</f>
        <v>46309.7951388889</v>
      </c>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IF(N165="N/A – rule","N/A – RULE",IF(TRIM(U165)="N/A",IF(AT165=0,"INVALID – N/A not permitted for this mandatory check",IF(AND(TRIM(AC165)&lt;&gt;"",TRIM(AE165)&lt;&gt;"",TRIM(T165)&lt;&gt;"",TRIM(AE165)&lt;&gt;TRIM(T165)),"N/A – JUSTIFIED","INVALID – N/A needs justification, PIC and a different verifier")),IF(OR(TRIM(U165)="Pass",TRIM(U165)="Pass after CA"),IF(NOT(ISNUMBER(AD165)),"INVALID – completion time missing",IF(TRIM(T165)="","INVALID – PIC missing",IF(TRIM(V165)="","INVALID – result / assessment missing",IF(TRIM(Z165)="","INVALID – evidence missing",IF(TRIM(AE165)="","INVALID – verifier missing",IF(TRIM(AE165)=TRIM(T165),"INVALID – verifier must be someone other than the PIC",IF(AND(AQ165=1,TRIM(W165)=""),"INVALID – batch ID missing",IF(AND(AR165=1,OR(NOT(ISNUMBER(X165)),NOT(ISNUMBER(Y165)))),"INVALID – expected/actual qty missing",IF(IF(AND(TRIM(U165)="Pass",ISNUMBER(AF165)),IF(AF165&lt;&gt;0,"INVALID – qty variance: use Fail or Pass after CA",""),"")&amp;IF(AND(TRIM(U165)="Pass",TRIM(AB165)&lt;&gt;"",TRIM(AB165)&lt;&gt;"Closed"),"INVALID – corrective action not closed: use Fail, then Pass after CA","")&amp;IF(AND(TRIM(AA165)&lt;&gt;"",TRIM(AB165)=""),"INVALID – CA status missing for the recorded corrective action","")&amp;IF(AND(TRIM(U165)="Pass after CA",OR(TRIM(AA165)="",TRIM(AB165)&lt;&gt;"Closed")),"INVALID – corrective action not recorded/closed","")&lt;&gt;"",IF(AND(TRIM(U165)="Pass",ISNUMBER(AF165)),IF(AF165&lt;&gt;0,"INVALID – qty variance: use Fail or Pass after CA",""),"")&amp;IF(AND(TRIM(U165)="Pass",TRIM(AB165)&lt;&gt;"",TRIM(AB165)&lt;&gt;"Closed"),"INVALID – corrective action not closed: use Fail, then Pass after CA","")&amp;IF(AND(TRIM(AA165)&lt;&gt;"",TRIM(AB165)=""),"INVALID – CA status missing for the recorded corrective action","")&amp;IF(AND(TRIM(U165)="Pass after CA",OR(TRIM(AA165)="",TRIM(AB165)&lt;&gt;"Closed")),"INVALID – corrective action not recorded/closed",""),IF(AND(AS165=1,Documents!$J$9&lt;&gt;"ON FILE"),"INVALID – GLD not on file (Documents sheet)",IF(AND(AS165=2,Documents!$O$9&lt;&gt;"ON FILE"),"INVALID – menu checklist not on file (Documents sheet)",IF(AND(AS165=3,NOT(ISNUMBER(Flights!$AX$9))),"INVALID – enter carrying flight KUL departure (Flights AX)",IF(AND(AS165=3,OR(Flights!$AX$9&gt;=Flights!$AA$9,Flights!$AX$9&lt;Flights!$AA$9-3)),"INVALID – Flights AX must be before this leg's STD (within 3 days)",IF(AG165&gt;AsOfUTC,"INVALID – completion time is in the future",IF(AND(ISNUMBER(S165),AG165&lt;S165),IF(H165="Physical uplift","INVALID – before uplift window (cannot confirm loading)","INVALID – before valid window"),IF(AG165&gt;Flights!$AA$9,"INVALID – completed after departure (cannot establish readiness)",IF(AND(H165="Physical uplift",AG165&gt;Q165),"INVALID – recorded after the loading flight departed",IF(AG165&gt;Q165,"COMPLETE – LATE","COMPLETE")))))))))))))))))),IF(TRIM(U165)="Fail","FAIL – DISCREPANCY",IF(AND(TRIM(U165)&lt;&gt;"",TRIM(U165)&lt;&gt;"Not started",TRIM(U165)&lt;&gt;"In progress"),"INVALID – unrecognised status (use the list)",IF(AsOfUTC&gt;Q165,"OVERDUE",IF(N165="Clarification required","OPEN – CLARIFICATION","OPEN")))))))</f>
        <v>OPEN – CLARIFICATION</v>
      </c>
      <c r="AI165" s="61" t="n">
        <f aca="false">IF(OR(AH165="N/A – RULE",AH165="N/A – JUSTIFIED"),0,1)</f>
        <v>1</v>
      </c>
      <c r="AJ165" s="61" t="n">
        <f aca="false">IF(LEFT(AH165,8)="COMPLETE",1,0)</f>
        <v>0</v>
      </c>
      <c r="AK165" s="61" t="n">
        <f aca="false">IF(AND(AI165=1,AJ165=0,AsOfUTC&gt;Q165),1,0)</f>
        <v>0</v>
      </c>
      <c r="AL165" s="61" t="n">
        <f aca="false">IF(AND(AI165=1,OR(TRIM(U165)="Fail",AND(TRIM(AB165)&lt;&gt;"",TRIM(AB165)&lt;&gt;"Closed"),AND(ISNUMBER(AF165),AF165&lt;&gt;0,TRIM(U165)&lt;&gt;"Pass after CA"))),1,0)</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8" t="b">
        <f aca="false">TRUE()</f>
        <v>1</v>
      </c>
    </row>
    <row r="166" customFormat="false" ht="39.75" hidden="false" customHeight="true" outlineLevel="0" collapsed="false">
      <c r="A166" s="57" t="s">
        <v>672</v>
      </c>
      <c r="B166" s="57" t="s">
        <v>223</v>
      </c>
      <c r="C166" s="57" t="str">
        <f aca="false">Flights!$F$10</f>
        <v>MH0002</v>
      </c>
      <c r="D166" s="58" t="n">
        <f aca="false">Flights!$D$10</f>
        <v>46310</v>
      </c>
      <c r="E166" s="57" t="str">
        <f aca="false">Flights!$G$10&amp;"-"&amp;Flights!$H$10</f>
        <v>KUL-LHR</v>
      </c>
      <c r="F166" s="57" t="str">
        <f aca="false">Flights!$K$10</f>
        <v>BC</v>
      </c>
      <c r="G166" s="57" t="s">
        <v>76</v>
      </c>
      <c r="H166" s="57" t="s">
        <v>343</v>
      </c>
      <c r="I166" s="57" t="s">
        <v>344</v>
      </c>
      <c r="J166" s="57" t="s">
        <v>345</v>
      </c>
      <c r="K166" s="67" t="s">
        <v>346</v>
      </c>
      <c r="L166" s="67" t="s">
        <v>347</v>
      </c>
      <c r="M166" s="67"/>
      <c r="N166" s="67" t="s">
        <v>348</v>
      </c>
      <c r="O166" s="67"/>
      <c r="P166" s="57" t="s">
        <v>179</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59" t="n">
        <f aca="false">Q166-T7EarlyD*24/24</f>
        <v>46289.6388888889</v>
      </c>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IF(N166="N/A – rule","N/A – RULE",IF(TRIM(U166)="N/A",IF(AT166=0,"INVALID – N/A not permitted for this mandatory check",IF(AND(TRIM(AC166)&lt;&gt;"",TRIM(AE166)&lt;&gt;"",TRIM(T166)&lt;&gt;"",TRIM(AE166)&lt;&gt;TRIM(T166)),"N/A – JUSTIFIED","INVALID – N/A needs justification, PIC and a different verifier")),IF(OR(TRIM(U166)="Pass",TRIM(U166)="Pass after CA"),IF(NOT(ISNUMBER(AD166)),"INVALID – completion time missing",IF(TRIM(T166)="","INVALID – PIC missing",IF(TRIM(V166)="","INVALID – result / assessment missing",IF(TRIM(Z166)="","INVALID – evidence missing",IF(TRIM(AE166)="","INVALID – verifier missing",IF(TRIM(AE166)=TRIM(T166),"INVALID – verifier must be someone other than the PIC",IF(AND(AQ166=1,TRIM(W166)=""),"INVALID – batch ID missing",IF(AND(AR166=1,OR(NOT(ISNUMBER(X166)),NOT(ISNUMBER(Y166)))),"INVALID – expected/actual qty missing",IF(IF(AND(TRIM(U166)="Pass",ISNUMBER(AF166)),IF(AF166&lt;&gt;0,"INVALID – qty variance: use Fail or Pass after CA",""),"")&amp;IF(AND(TRIM(U166)="Pass",TRIM(AB166)&lt;&gt;"",TRIM(AB166)&lt;&gt;"Closed"),"INVALID – corrective action not closed: use Fail, then Pass after CA","")&amp;IF(AND(TRIM(AA166)&lt;&gt;"",TRIM(AB166)=""),"INVALID – CA status missing for the recorded corrective action","")&amp;IF(AND(TRIM(U166)="Pass after CA",OR(TRIM(AA166)="",TRIM(AB166)&lt;&gt;"Closed")),"INVALID – corrective action not recorded/closed","")&lt;&gt;"",IF(AND(TRIM(U166)="Pass",ISNUMBER(AF166)),IF(AF166&lt;&gt;0,"INVALID – qty variance: use Fail or Pass after CA",""),"")&amp;IF(AND(TRIM(U166)="Pass",TRIM(AB166)&lt;&gt;"",TRIM(AB166)&lt;&gt;"Closed"),"INVALID – corrective action not closed: use Fail, then Pass after CA","")&amp;IF(AND(TRIM(AA166)&lt;&gt;"",TRIM(AB166)=""),"INVALID – CA status missing for the recorded corrective action","")&amp;IF(AND(TRIM(U166)="Pass after CA",OR(TRIM(AA166)="",TRIM(AB166)&lt;&gt;"Closed")),"INVALID – corrective action not recorded/closed",""),IF(AND(AS166=1,Documents!$J$10&lt;&gt;"ON FILE"),"INVALID – GLD not on file (Documents sheet)",IF(AND(AS166=2,Documents!$O$10&lt;&gt;"ON FILE"),"INVALID – menu checklist not on file (Documents sheet)",IF(AND(AS166=3,NOT(ISNUMBER(Flights!$AX$10))),"INVALID – enter carrying flight KUL departure (Flights AX)",IF(AND(AS166=3,OR(Flights!$AX$10&gt;=Flights!$AA$10,Flights!$AX$10&lt;Flights!$AA$10-3)),"INVALID – Flights AX must be before this leg's STD (within 3 days)",IF(AG166&gt;AsOfUTC,"INVALID – completion time is in the future",IF(AND(ISNUMBER(S166),AG166&lt;S166),IF(H166="Physical uplift","INVALID – before uplift window (cannot confirm loading)","INVALID – before valid window"),IF(AG166&gt;Flights!$AA$10,"INVALID – completed after departure (cannot establish readiness)",IF(AND(H166="Physical uplift",AG166&gt;Q166),"INVALID – recorded after the loading flight departed",IF(AG166&gt;Q166,"COMPLETE – LATE","COMPLETE")))))))))))))))))),IF(TRIM(U166)="Fail","FAIL – DISCREPANCY",IF(AND(TRIM(U166)&lt;&gt;"",TRIM(U166)&lt;&gt;"Not started",TRIM(U166)&lt;&gt;"In progress"),"INVALID – unrecognised status (use the list)",IF(AsOfUTC&gt;Q166,"OVERDUE",IF(N166="Clarification required","OPEN – CLARIFICATION","OPEN")))))))</f>
        <v>OPEN</v>
      </c>
      <c r="AI166" s="61" t="n">
        <f aca="false">IF(OR(AH166="N/A – RULE",AH166="N/A – JUSTIFIED"),0,1)</f>
        <v>1</v>
      </c>
      <c r="AJ166" s="61" t="n">
        <f aca="false">IF(LEFT(AH166,8)="COMPLETE",1,0)</f>
        <v>0</v>
      </c>
      <c r="AK166" s="61" t="n">
        <f aca="false">IF(AND(AI166=1,AJ166=0,AsOfUTC&gt;Q166),1,0)</f>
        <v>0</v>
      </c>
      <c r="AL166" s="61" t="n">
        <f aca="false">IF(AND(AI166=1,OR(TRIM(U166)="Fail",AND(TRIM(AB166)&lt;&gt;"",TRIM(AB166)&lt;&gt;"Closed"),AND(ISNUMBER(AF166),AF166&lt;&gt;0,TRIM(U166)&lt;&gt;"Pass after CA"))),1,0)</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row>
    <row r="167" customFormat="false" ht="39.75" hidden="false" customHeight="true" outlineLevel="0" collapsed="false">
      <c r="A167" s="57" t="s">
        <v>673</v>
      </c>
      <c r="B167" s="57" t="s">
        <v>223</v>
      </c>
      <c r="C167" s="57" t="str">
        <f aca="false">Flights!$F$10</f>
        <v>MH0002</v>
      </c>
      <c r="D167" s="58" t="n">
        <f aca="false">Flights!$D$10</f>
        <v>46310</v>
      </c>
      <c r="E167" s="57" t="str">
        <f aca="false">Flights!$G$10&amp;"-"&amp;Flights!$H$10</f>
        <v>KUL-LHR</v>
      </c>
      <c r="F167" s="57" t="str">
        <f aca="false">Flights!$K$10</f>
        <v>BC</v>
      </c>
      <c r="G167" s="57" t="s">
        <v>76</v>
      </c>
      <c r="H167" s="57" t="s">
        <v>343</v>
      </c>
      <c r="I167" s="57" t="s">
        <v>350</v>
      </c>
      <c r="J167" s="57" t="s">
        <v>351</v>
      </c>
      <c r="K167" s="67" t="s">
        <v>352</v>
      </c>
      <c r="L167" s="67" t="s">
        <v>347</v>
      </c>
      <c r="M167" s="67"/>
      <c r="N167" s="67" t="s">
        <v>348</v>
      </c>
      <c r="O167" s="67"/>
      <c r="P167" s="57" t="s">
        <v>179</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59" t="n">
        <f aca="false">Q167-T7EarlyD*24/24</f>
        <v>46289.6388888889</v>
      </c>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IF(N167="N/A – rule","N/A – RULE",IF(TRIM(U167)="N/A",IF(AT167=0,"INVALID – N/A not permitted for this mandatory check",IF(AND(TRIM(AC167)&lt;&gt;"",TRIM(AE167)&lt;&gt;"",TRIM(T167)&lt;&gt;"",TRIM(AE167)&lt;&gt;TRIM(T167)),"N/A – JUSTIFIED","INVALID – N/A needs justification, PIC and a different verifier")),IF(OR(TRIM(U167)="Pass",TRIM(U167)="Pass after CA"),IF(NOT(ISNUMBER(AD167)),"INVALID – completion time missing",IF(TRIM(T167)="","INVALID – PIC missing",IF(TRIM(V167)="","INVALID – result / assessment missing",IF(TRIM(Z167)="","INVALID – evidence missing",IF(TRIM(AE167)="","INVALID – verifier missing",IF(TRIM(AE167)=TRIM(T167),"INVALID – verifier must be someone other than the PIC",IF(AND(AQ167=1,TRIM(W167)=""),"INVALID – batch ID missing",IF(AND(AR167=1,OR(NOT(ISNUMBER(X167)),NOT(ISNUMBER(Y167)))),"INVALID – expected/actual qty missing",IF(IF(AND(TRIM(U167)="Pass",ISNUMBER(AF167)),IF(AF167&lt;&gt;0,"INVALID – qty variance: use Fail or Pass after CA",""),"")&amp;IF(AND(TRIM(U167)="Pass",TRIM(AB167)&lt;&gt;"",TRIM(AB167)&lt;&gt;"Closed"),"INVALID – corrective action not closed: use Fail, then Pass after CA","")&amp;IF(AND(TRIM(AA167)&lt;&gt;"",TRIM(AB167)=""),"INVALID – CA status missing for the recorded corrective action","")&amp;IF(AND(TRIM(U167)="Pass after CA",OR(TRIM(AA167)="",TRIM(AB167)&lt;&gt;"Closed")),"INVALID – corrective action not recorded/closed","")&lt;&gt;"",IF(AND(TRIM(U167)="Pass",ISNUMBER(AF167)),IF(AF167&lt;&gt;0,"INVALID – qty variance: use Fail or Pass after CA",""),"")&amp;IF(AND(TRIM(U167)="Pass",TRIM(AB167)&lt;&gt;"",TRIM(AB167)&lt;&gt;"Closed"),"INVALID – corrective action not closed: use Fail, then Pass after CA","")&amp;IF(AND(TRIM(AA167)&lt;&gt;"",TRIM(AB167)=""),"INVALID – CA status missing for the recorded corrective action","")&amp;IF(AND(TRIM(U167)="Pass after CA",OR(TRIM(AA167)="",TRIM(AB167)&lt;&gt;"Closed")),"INVALID – corrective action not recorded/closed",""),IF(AND(AS167=1,Documents!$J$10&lt;&gt;"ON FILE"),"INVALID – GLD not on file (Documents sheet)",IF(AND(AS167=2,Documents!$O$10&lt;&gt;"ON FILE"),"INVALID – menu checklist not on file (Documents sheet)",IF(AND(AS167=3,NOT(ISNUMBER(Flights!$AX$10))),"INVALID – enter carrying flight KUL departure (Flights AX)",IF(AND(AS167=3,OR(Flights!$AX$10&gt;=Flights!$AA$10,Flights!$AX$10&lt;Flights!$AA$10-3)),"INVALID – Flights AX must be before this leg's STD (within 3 days)",IF(AG167&gt;AsOfUTC,"INVALID – completion time is in the future",IF(AND(ISNUMBER(S167),AG167&lt;S167),IF(H167="Physical uplift","INVALID – before uplift window (cannot confirm loading)","INVALID – before valid window"),IF(AG167&gt;Flights!$AA$10,"INVALID – completed after departure (cannot establish readiness)",IF(AND(H167="Physical uplift",AG167&gt;Q167),"INVALID – recorded after the loading flight departed",IF(AG167&gt;Q167,"COMPLETE – LATE","COMPLETE")))))))))))))))))),IF(TRIM(U167)="Fail","FAIL – DISCREPANCY",IF(AND(TRIM(U167)&lt;&gt;"",TRIM(U167)&lt;&gt;"Not started",TRIM(U167)&lt;&gt;"In progress"),"INVALID – unrecognised status (use the list)",IF(AsOfUTC&gt;Q167,"OVERDUE",IF(N167="Clarification required","OPEN – CLARIFICATION","OPEN")))))))</f>
        <v>OPEN</v>
      </c>
      <c r="AI167" s="61" t="n">
        <f aca="false">IF(OR(AH167="N/A – RULE",AH167="N/A – JUSTIFIED"),0,1)</f>
        <v>1</v>
      </c>
      <c r="AJ167" s="61" t="n">
        <f aca="false">IF(LEFT(AH167,8)="COMPLETE",1,0)</f>
        <v>0</v>
      </c>
      <c r="AK167" s="61" t="n">
        <f aca="false">IF(AND(AI167=1,AJ167=0,AsOfUTC&gt;Q167),1,0)</f>
        <v>0</v>
      </c>
      <c r="AL167" s="61" t="n">
        <f aca="false">IF(AND(AI167=1,OR(TRIM(U167)="Fail",AND(TRIM(AB167)&lt;&gt;"",TRIM(AB167)&lt;&gt;"Closed"),AND(ISNUMBER(AF167),AF167&lt;&gt;0,TRIM(U167)&lt;&gt;"Pass after CA"))),1,0)</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8" t="b">
        <f aca="false">TRUE()</f>
        <v>1</v>
      </c>
    </row>
    <row r="168" customFormat="false" ht="41.25" hidden="false" customHeight="true" outlineLevel="0" collapsed="false">
      <c r="A168" s="57" t="s">
        <v>674</v>
      </c>
      <c r="B168" s="57" t="s">
        <v>223</v>
      </c>
      <c r="C168" s="57" t="str">
        <f aca="false">Flights!$F$10</f>
        <v>MH0002</v>
      </c>
      <c r="D168" s="58" t="n">
        <f aca="false">Flights!$D$10</f>
        <v>46310</v>
      </c>
      <c r="E168" s="57" t="str">
        <f aca="false">Flights!$G$10&amp;"-"&amp;Flights!$H$10</f>
        <v>KUL-LHR</v>
      </c>
      <c r="F168" s="57" t="str">
        <f aca="false">Flights!$K$10</f>
        <v>BC</v>
      </c>
      <c r="G168" s="57" t="s">
        <v>76</v>
      </c>
      <c r="H168" s="57" t="s">
        <v>343</v>
      </c>
      <c r="I168" s="57" t="s">
        <v>354</v>
      </c>
      <c r="J168" s="57" t="s">
        <v>355</v>
      </c>
      <c r="K168" s="67" t="s">
        <v>356</v>
      </c>
      <c r="L168" s="67" t="s">
        <v>347</v>
      </c>
      <c r="M168" s="67"/>
      <c r="N168" s="67" t="str">
        <f aca="false">IF(TRIM(Flights!$L$10)="A339","Required","N/A – rule")</f>
        <v>N/A – rule</v>
      </c>
      <c r="O168" s="67" t="s">
        <v>357</v>
      </c>
      <c r="P168" s="57" t="s">
        <v>179</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59" t="n">
        <f aca="false">Q168-T7EarlyD*24/24</f>
        <v>46289.6388888889</v>
      </c>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IF(N168="N/A – rule","N/A – RULE",IF(TRIM(U168)="N/A",IF(AT168=0,"INVALID – N/A not permitted for this mandatory check",IF(AND(TRIM(AC168)&lt;&gt;"",TRIM(AE168)&lt;&gt;"",TRIM(T168)&lt;&gt;"",TRIM(AE168)&lt;&gt;TRIM(T168)),"N/A – JUSTIFIED","INVALID – N/A needs justification, PIC and a different verifier")),IF(OR(TRIM(U168)="Pass",TRIM(U168)="Pass after CA"),IF(NOT(ISNUMBER(AD168)),"INVALID – completion time missing",IF(TRIM(T168)="","INVALID – PIC missing",IF(TRIM(V168)="","INVALID – result / assessment missing",IF(TRIM(Z168)="","INVALID – evidence missing",IF(TRIM(AE168)="","INVALID – verifier missing",IF(TRIM(AE168)=TRIM(T168),"INVALID – verifier must be someone other than the PIC",IF(AND(AQ168=1,TRIM(W168)=""),"INVALID – batch ID missing",IF(AND(AR168=1,OR(NOT(ISNUMBER(X168)),NOT(ISNUMBER(Y168)))),"INVALID – expected/actual qty missing",IF(IF(AND(TRIM(U168)="Pass",ISNUMBER(AF168)),IF(AF168&lt;&gt;0,"INVALID – qty variance: use Fail or Pass after CA",""),"")&amp;IF(AND(TRIM(U168)="Pass",TRIM(AB168)&lt;&gt;"",TRIM(AB168)&lt;&gt;"Closed"),"INVALID – corrective action not closed: use Fail, then Pass after CA","")&amp;IF(AND(TRIM(AA168)&lt;&gt;"",TRIM(AB168)=""),"INVALID – CA status missing for the recorded corrective action","")&amp;IF(AND(TRIM(U168)="Pass after CA",OR(TRIM(AA168)="",TRIM(AB168)&lt;&gt;"Closed")),"INVALID – corrective action not recorded/closed","")&lt;&gt;"",IF(AND(TRIM(U168)="Pass",ISNUMBER(AF168)),IF(AF168&lt;&gt;0,"INVALID – qty variance: use Fail or Pass after CA",""),"")&amp;IF(AND(TRIM(U168)="Pass",TRIM(AB168)&lt;&gt;"",TRIM(AB168)&lt;&gt;"Closed"),"INVALID – corrective action not closed: use Fail, then Pass after CA","")&amp;IF(AND(TRIM(AA168)&lt;&gt;"",TRIM(AB168)=""),"INVALID – CA status missing for the recorded corrective action","")&amp;IF(AND(TRIM(U168)="Pass after CA",OR(TRIM(AA168)="",TRIM(AB168)&lt;&gt;"Closed")),"INVALID – corrective action not recorded/closed",""),IF(AND(AS168=1,Documents!$J$10&lt;&gt;"ON FILE"),"INVALID – GLD not on file (Documents sheet)",IF(AND(AS168=2,Documents!$O$10&lt;&gt;"ON FILE"),"INVALID – menu checklist not on file (Documents sheet)",IF(AND(AS168=3,NOT(ISNUMBER(Flights!$AX$10))),"INVALID – enter carrying flight KUL departure (Flights AX)",IF(AND(AS168=3,OR(Flights!$AX$10&gt;=Flights!$AA$10,Flights!$AX$10&lt;Flights!$AA$10-3)),"INVALID – Flights AX must be before this leg's STD (within 3 days)",IF(AG168&gt;AsOfUTC,"INVALID – completion time is in the future",IF(AND(ISNUMBER(S168),AG168&lt;S168),IF(H168="Physical uplift","INVALID – before uplift window (cannot confirm loading)","INVALID – before valid window"),IF(AG168&gt;Flights!$AA$10,"INVALID – completed after departure (cannot establish readiness)",IF(AND(H168="Physical uplift",AG168&gt;Q168),"INVALID – recorded after the loading flight departed",IF(AG168&gt;Q168,"COMPLETE – LATE","COMPLETE")))))))))))))))))),IF(TRIM(U168)="Fail","FAIL – DISCREPANCY",IF(AND(TRIM(U168)&lt;&gt;"",TRIM(U168)&lt;&gt;"Not started",TRIM(U168)&lt;&gt;"In progress"),"INVALID – unrecognised status (use the list)",IF(AsOfUTC&gt;Q168,"OVERDUE",IF(N168="Clarification required","OPEN – CLARIFICATION","OPEN")))))))</f>
        <v>N/A – RULE</v>
      </c>
      <c r="AI168" s="61" t="n">
        <f aca="false">IF(OR(AH168="N/A – RULE",AH168="N/A – JUSTIFIED"),0,1)</f>
        <v>0</v>
      </c>
      <c r="AJ168" s="61" t="n">
        <f aca="false">IF(LEFT(AH168,8)="COMPLETE",1,0)</f>
        <v>0</v>
      </c>
      <c r="AK168" s="61" t="n">
        <f aca="false">IF(AND(AI168=1,AJ168=0,AsOfUTC&gt;Q168),1,0)</f>
        <v>0</v>
      </c>
      <c r="AL168" s="61" t="n">
        <f aca="false">IF(AND(AI168=1,OR(TRIM(U168)="Fail",AND(TRIM(AB168)&lt;&gt;"",TRIM(AB168)&lt;&gt;"Closed"),AND(ISNUMBER(AF168),AF168&lt;&gt;0,TRIM(U168)&lt;&gt;"Pass after CA"))),1,0)</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row>
    <row r="169" customFormat="false" ht="39.75" hidden="false" customHeight="true" outlineLevel="0" collapsed="false">
      <c r="A169" s="57" t="s">
        <v>675</v>
      </c>
      <c r="B169" s="57" t="s">
        <v>223</v>
      </c>
      <c r="C169" s="57" t="str">
        <f aca="false">Flights!$F$10</f>
        <v>MH0002</v>
      </c>
      <c r="D169" s="58" t="n">
        <f aca="false">Flights!$D$10</f>
        <v>46310</v>
      </c>
      <c r="E169" s="57" t="str">
        <f aca="false">Flights!$G$10&amp;"-"&amp;Flights!$H$10</f>
        <v>KUL-LHR</v>
      </c>
      <c r="F169" s="57" t="str">
        <f aca="false">Flights!$K$10</f>
        <v>BC</v>
      </c>
      <c r="G169" s="57" t="s">
        <v>76</v>
      </c>
      <c r="H169" s="57" t="s">
        <v>343</v>
      </c>
      <c r="I169" s="57" t="s">
        <v>359</v>
      </c>
      <c r="J169" s="57" t="s">
        <v>360</v>
      </c>
      <c r="K169" s="67" t="s">
        <v>361</v>
      </c>
      <c r="L169" s="67" t="s">
        <v>347</v>
      </c>
      <c r="M169" s="67"/>
      <c r="N169" s="67" t="s">
        <v>348</v>
      </c>
      <c r="O169" s="67"/>
      <c r="P169" s="57" t="s">
        <v>179</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59" t="n">
        <f aca="false">Q169-T7EarlyD*24/24</f>
        <v>46289.6388888889</v>
      </c>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IF(N169="N/A – rule","N/A – RULE",IF(TRIM(U169)="N/A",IF(AT169=0,"INVALID – N/A not permitted for this mandatory check",IF(AND(TRIM(AC169)&lt;&gt;"",TRIM(AE169)&lt;&gt;"",TRIM(T169)&lt;&gt;"",TRIM(AE169)&lt;&gt;TRIM(T169)),"N/A – JUSTIFIED","INVALID – N/A needs justification, PIC and a different verifier")),IF(OR(TRIM(U169)="Pass",TRIM(U169)="Pass after CA"),IF(NOT(ISNUMBER(AD169)),"INVALID – completion time missing",IF(TRIM(T169)="","INVALID – PIC missing",IF(TRIM(V169)="","INVALID – result / assessment missing",IF(TRIM(Z169)="","INVALID – evidence missing",IF(TRIM(AE169)="","INVALID – verifier missing",IF(TRIM(AE169)=TRIM(T169),"INVALID – verifier must be someone other than the PIC",IF(AND(AQ169=1,TRIM(W169)=""),"INVALID – batch ID missing",IF(AND(AR169=1,OR(NOT(ISNUMBER(X169)),NOT(ISNUMBER(Y169)))),"INVALID – expected/actual qty missing",IF(IF(AND(TRIM(U169)="Pass",ISNUMBER(AF169)),IF(AF169&lt;&gt;0,"INVALID – qty variance: use Fail or Pass after CA",""),"")&amp;IF(AND(TRIM(U169)="Pass",TRIM(AB169)&lt;&gt;"",TRIM(AB169)&lt;&gt;"Closed"),"INVALID – corrective action not closed: use Fail, then Pass after CA","")&amp;IF(AND(TRIM(AA169)&lt;&gt;"",TRIM(AB169)=""),"INVALID – CA status missing for the recorded corrective action","")&amp;IF(AND(TRIM(U169)="Pass after CA",OR(TRIM(AA169)="",TRIM(AB169)&lt;&gt;"Closed")),"INVALID – corrective action not recorded/closed","")&lt;&gt;"",IF(AND(TRIM(U169)="Pass",ISNUMBER(AF169)),IF(AF169&lt;&gt;0,"INVALID – qty variance: use Fail or Pass after CA",""),"")&amp;IF(AND(TRIM(U169)="Pass",TRIM(AB169)&lt;&gt;"",TRIM(AB169)&lt;&gt;"Closed"),"INVALID – corrective action not closed: use Fail, then Pass after CA","")&amp;IF(AND(TRIM(AA169)&lt;&gt;"",TRIM(AB169)=""),"INVALID – CA status missing for the recorded corrective action","")&amp;IF(AND(TRIM(U169)="Pass after CA",OR(TRIM(AA169)="",TRIM(AB169)&lt;&gt;"Closed")),"INVALID – corrective action not recorded/closed",""),IF(AND(AS169=1,Documents!$J$10&lt;&gt;"ON FILE"),"INVALID – GLD not on file (Documents sheet)",IF(AND(AS169=2,Documents!$O$10&lt;&gt;"ON FILE"),"INVALID – menu checklist not on file (Documents sheet)",IF(AND(AS169=3,NOT(ISNUMBER(Flights!$AX$10))),"INVALID – enter carrying flight KUL departure (Flights AX)",IF(AND(AS169=3,OR(Flights!$AX$10&gt;=Flights!$AA$10,Flights!$AX$10&lt;Flights!$AA$10-3)),"INVALID – Flights AX must be before this leg's STD (within 3 days)",IF(AG169&gt;AsOfUTC,"INVALID – completion time is in the future",IF(AND(ISNUMBER(S169),AG169&lt;S169),IF(H169="Physical uplift","INVALID – before uplift window (cannot confirm loading)","INVALID – before valid window"),IF(AG169&gt;Flights!$AA$10,"INVALID – completed after departure (cannot establish readiness)",IF(AND(H169="Physical uplift",AG169&gt;Q169),"INVALID – recorded after the loading flight departed",IF(AG169&gt;Q169,"COMPLETE – LATE","COMPLETE")))))))))))))))))),IF(TRIM(U169)="Fail","FAIL – DISCREPANCY",IF(AND(TRIM(U169)&lt;&gt;"",TRIM(U169)&lt;&gt;"Not started",TRIM(U169)&lt;&gt;"In progress"),"INVALID – unrecognised status (use the list)",IF(AsOfUTC&gt;Q169,"OVERDUE",IF(N169="Clarification required","OPEN – CLARIFICATION","OPEN")))))))</f>
        <v>OPEN</v>
      </c>
      <c r="AI169" s="61" t="n">
        <f aca="false">IF(OR(AH169="N/A – RULE",AH169="N/A – JUSTIFIED"),0,1)</f>
        <v>1</v>
      </c>
      <c r="AJ169" s="61" t="n">
        <f aca="false">IF(LEFT(AH169,8)="COMPLETE",1,0)</f>
        <v>0</v>
      </c>
      <c r="AK169" s="61" t="n">
        <f aca="false">IF(AND(AI169=1,AJ169=0,AsOfUTC&gt;Q169),1,0)</f>
        <v>0</v>
      </c>
      <c r="AL169" s="61" t="n">
        <f aca="false">IF(AND(AI169=1,OR(TRIM(U169)="Fail",AND(TRIM(AB169)&lt;&gt;"",TRIM(AB169)&lt;&gt;"Closed"),AND(ISNUMBER(AF169),AF169&lt;&gt;0,TRIM(U169)&lt;&gt;"Pass after CA"))),1,0)</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row>
    <row r="170" customFormat="false" ht="39.75" hidden="false" customHeight="true" outlineLevel="0" collapsed="false">
      <c r="A170" s="57" t="s">
        <v>676</v>
      </c>
      <c r="B170" s="57" t="s">
        <v>223</v>
      </c>
      <c r="C170" s="57" t="str">
        <f aca="false">Flights!$F$10</f>
        <v>MH0002</v>
      </c>
      <c r="D170" s="58" t="n">
        <f aca="false">Flights!$D$10</f>
        <v>46310</v>
      </c>
      <c r="E170" s="57" t="str">
        <f aca="false">Flights!$G$10&amp;"-"&amp;Flights!$H$10</f>
        <v>KUL-LHR</v>
      </c>
      <c r="F170" s="57" t="str">
        <f aca="false">Flights!$K$10</f>
        <v>BC</v>
      </c>
      <c r="G170" s="57" t="s">
        <v>76</v>
      </c>
      <c r="H170" s="57" t="s">
        <v>343</v>
      </c>
      <c r="I170" s="57" t="s">
        <v>363</v>
      </c>
      <c r="J170" s="57" t="s">
        <v>364</v>
      </c>
      <c r="K170" s="67" t="s">
        <v>365</v>
      </c>
      <c r="L170" s="67" t="s">
        <v>347</v>
      </c>
      <c r="M170" s="67"/>
      <c r="N170" s="67" t="s">
        <v>348</v>
      </c>
      <c r="O170" s="67"/>
      <c r="P170" s="57" t="s">
        <v>179</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59" t="n">
        <f aca="false">Q170-T7EarlyD*24/24</f>
        <v>46289.6388888889</v>
      </c>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IF(N170="N/A – rule","N/A – RULE",IF(TRIM(U170)="N/A",IF(AT170=0,"INVALID – N/A not permitted for this mandatory check",IF(AND(TRIM(AC170)&lt;&gt;"",TRIM(AE170)&lt;&gt;"",TRIM(T170)&lt;&gt;"",TRIM(AE170)&lt;&gt;TRIM(T170)),"N/A – JUSTIFIED","INVALID – N/A needs justification, PIC and a different verifier")),IF(OR(TRIM(U170)="Pass",TRIM(U170)="Pass after CA"),IF(NOT(ISNUMBER(AD170)),"INVALID – completion time missing",IF(TRIM(T170)="","INVALID – PIC missing",IF(TRIM(V170)="","INVALID – result / assessment missing",IF(TRIM(Z170)="","INVALID – evidence missing",IF(TRIM(AE170)="","INVALID – verifier missing",IF(TRIM(AE170)=TRIM(T170),"INVALID – verifier must be someone other than the PIC",IF(AND(AQ170=1,TRIM(W170)=""),"INVALID – batch ID missing",IF(AND(AR170=1,OR(NOT(ISNUMBER(X170)),NOT(ISNUMBER(Y170)))),"INVALID – expected/actual qty missing",IF(IF(AND(TRIM(U170)="Pass",ISNUMBER(AF170)),IF(AF170&lt;&gt;0,"INVALID – qty variance: use Fail or Pass after CA",""),"")&amp;IF(AND(TRIM(U170)="Pass",TRIM(AB170)&lt;&gt;"",TRIM(AB170)&lt;&gt;"Closed"),"INVALID – corrective action not closed: use Fail, then Pass after CA","")&amp;IF(AND(TRIM(AA170)&lt;&gt;"",TRIM(AB170)=""),"INVALID – CA status missing for the recorded corrective action","")&amp;IF(AND(TRIM(U170)="Pass after CA",OR(TRIM(AA170)="",TRIM(AB170)&lt;&gt;"Closed")),"INVALID – corrective action not recorded/closed","")&lt;&gt;"",IF(AND(TRIM(U170)="Pass",ISNUMBER(AF170)),IF(AF170&lt;&gt;0,"INVALID – qty variance: use Fail or Pass after CA",""),"")&amp;IF(AND(TRIM(U170)="Pass",TRIM(AB170)&lt;&gt;"",TRIM(AB170)&lt;&gt;"Closed"),"INVALID – corrective action not closed: use Fail, then Pass after CA","")&amp;IF(AND(TRIM(AA170)&lt;&gt;"",TRIM(AB170)=""),"INVALID – CA status missing for the recorded corrective action","")&amp;IF(AND(TRIM(U170)="Pass after CA",OR(TRIM(AA170)="",TRIM(AB170)&lt;&gt;"Closed")),"INVALID – corrective action not recorded/closed",""),IF(AND(AS170=1,Documents!$J$10&lt;&gt;"ON FILE"),"INVALID – GLD not on file (Documents sheet)",IF(AND(AS170=2,Documents!$O$10&lt;&gt;"ON FILE"),"INVALID – menu checklist not on file (Documents sheet)",IF(AND(AS170=3,NOT(ISNUMBER(Flights!$AX$10))),"INVALID – enter carrying flight KUL departure (Flights AX)",IF(AND(AS170=3,OR(Flights!$AX$10&gt;=Flights!$AA$10,Flights!$AX$10&lt;Flights!$AA$10-3)),"INVALID – Flights AX must be before this leg's STD (within 3 days)",IF(AG170&gt;AsOfUTC,"INVALID – completion time is in the future",IF(AND(ISNUMBER(S170),AG170&lt;S170),IF(H170="Physical uplift","INVALID – before uplift window (cannot confirm loading)","INVALID – before valid window"),IF(AG170&gt;Flights!$AA$10,"INVALID – completed after departure (cannot establish readiness)",IF(AND(H170="Physical uplift",AG170&gt;Q170),"INVALID – recorded after the loading flight departed",IF(AG170&gt;Q170,"COMPLETE – LATE","COMPLETE")))))))))))))))))),IF(TRIM(U170)="Fail","FAIL – DISCREPANCY",IF(AND(TRIM(U170)&lt;&gt;"",TRIM(U170)&lt;&gt;"Not started",TRIM(U170)&lt;&gt;"In progress"),"INVALID – unrecognised status (use the list)",IF(AsOfUTC&gt;Q170,"OVERDUE",IF(N170="Clarification required","OPEN – CLARIFICATION","OPEN")))))))</f>
        <v>OPEN</v>
      </c>
      <c r="AI170" s="61" t="n">
        <f aca="false">IF(OR(AH170="N/A – RULE",AH170="N/A – JUSTIFIED"),0,1)</f>
        <v>1</v>
      </c>
      <c r="AJ170" s="61" t="n">
        <f aca="false">IF(LEFT(AH170,8)="COMPLETE",1,0)</f>
        <v>0</v>
      </c>
      <c r="AK170" s="61" t="n">
        <f aca="false">IF(AND(AI170=1,AJ170=0,AsOfUTC&gt;Q170),1,0)</f>
        <v>0</v>
      </c>
      <c r="AL170" s="61" t="n">
        <f aca="false">IF(AND(AI170=1,OR(TRIM(U170)="Fail",AND(TRIM(AB170)&lt;&gt;"",TRIM(AB170)&lt;&gt;"Closed"),AND(ISNUMBER(AF170),AF170&lt;&gt;0,TRIM(U170)&lt;&gt;"Pass after CA"))),1,0)</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row>
    <row r="171" customFormat="false" ht="39.75" hidden="false" customHeight="true" outlineLevel="0" collapsed="false">
      <c r="A171" s="57" t="s">
        <v>677</v>
      </c>
      <c r="B171" s="57" t="s">
        <v>223</v>
      </c>
      <c r="C171" s="57" t="str">
        <f aca="false">Flights!$F$10</f>
        <v>MH0002</v>
      </c>
      <c r="D171" s="58" t="n">
        <f aca="false">Flights!$D$10</f>
        <v>46310</v>
      </c>
      <c r="E171" s="57" t="str">
        <f aca="false">Flights!$G$10&amp;"-"&amp;Flights!$H$10</f>
        <v>KUL-LHR</v>
      </c>
      <c r="F171" s="57" t="str">
        <f aca="false">Flights!$K$10</f>
        <v>BC</v>
      </c>
      <c r="G171" s="57" t="s">
        <v>76</v>
      </c>
      <c r="H171" s="57" t="s">
        <v>343</v>
      </c>
      <c r="I171" s="57" t="s">
        <v>363</v>
      </c>
      <c r="J171" s="57" t="s">
        <v>367</v>
      </c>
      <c r="K171" s="67" t="s">
        <v>368</v>
      </c>
      <c r="L171" s="67" t="s">
        <v>347</v>
      </c>
      <c r="M171" s="67"/>
      <c r="N171" s="67" t="s">
        <v>348</v>
      </c>
      <c r="O171" s="67"/>
      <c r="P171" s="57" t="s">
        <v>179</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59" t="n">
        <f aca="false">Q171-T7EarlyD*24/24</f>
        <v>46289.6388888889</v>
      </c>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IF(N171="N/A – rule","N/A – RULE",IF(TRIM(U171)="N/A",IF(AT171=0,"INVALID – N/A not permitted for this mandatory check",IF(AND(TRIM(AC171)&lt;&gt;"",TRIM(AE171)&lt;&gt;"",TRIM(T171)&lt;&gt;"",TRIM(AE171)&lt;&gt;TRIM(T171)),"N/A – JUSTIFIED","INVALID – N/A needs justification, PIC and a different verifier")),IF(OR(TRIM(U171)="Pass",TRIM(U171)="Pass after CA"),IF(NOT(ISNUMBER(AD171)),"INVALID – completion time missing",IF(TRIM(T171)="","INVALID – PIC missing",IF(TRIM(V171)="","INVALID – result / assessment missing",IF(TRIM(Z171)="","INVALID – evidence missing",IF(TRIM(AE171)="","INVALID – verifier missing",IF(TRIM(AE171)=TRIM(T171),"INVALID – verifier must be someone other than the PIC",IF(AND(AQ171=1,TRIM(W171)=""),"INVALID – batch ID missing",IF(AND(AR171=1,OR(NOT(ISNUMBER(X171)),NOT(ISNUMBER(Y171)))),"INVALID – expected/actual qty missing",IF(IF(AND(TRIM(U171)="Pass",ISNUMBER(AF171)),IF(AF171&lt;&gt;0,"INVALID – qty variance: use Fail or Pass after CA",""),"")&amp;IF(AND(TRIM(U171)="Pass",TRIM(AB171)&lt;&gt;"",TRIM(AB171)&lt;&gt;"Closed"),"INVALID – corrective action not closed: use Fail, then Pass after CA","")&amp;IF(AND(TRIM(AA171)&lt;&gt;"",TRIM(AB171)=""),"INVALID – CA status missing for the recorded corrective action","")&amp;IF(AND(TRIM(U171)="Pass after CA",OR(TRIM(AA171)="",TRIM(AB171)&lt;&gt;"Closed")),"INVALID – corrective action not recorded/closed","")&lt;&gt;"",IF(AND(TRIM(U171)="Pass",ISNUMBER(AF171)),IF(AF171&lt;&gt;0,"INVALID – qty variance: use Fail or Pass after CA",""),"")&amp;IF(AND(TRIM(U171)="Pass",TRIM(AB171)&lt;&gt;"",TRIM(AB171)&lt;&gt;"Closed"),"INVALID – corrective action not closed: use Fail, then Pass after CA","")&amp;IF(AND(TRIM(AA171)&lt;&gt;"",TRIM(AB171)=""),"INVALID – CA status missing for the recorded corrective action","")&amp;IF(AND(TRIM(U171)="Pass after CA",OR(TRIM(AA171)="",TRIM(AB171)&lt;&gt;"Closed")),"INVALID – corrective action not recorded/closed",""),IF(AND(AS171=1,Documents!$J$10&lt;&gt;"ON FILE"),"INVALID – GLD not on file (Documents sheet)",IF(AND(AS171=2,Documents!$O$10&lt;&gt;"ON FILE"),"INVALID – menu checklist not on file (Documents sheet)",IF(AND(AS171=3,NOT(ISNUMBER(Flights!$AX$10))),"INVALID – enter carrying flight KUL departure (Flights AX)",IF(AND(AS171=3,OR(Flights!$AX$10&gt;=Flights!$AA$10,Flights!$AX$10&lt;Flights!$AA$10-3)),"INVALID – Flights AX must be before this leg's STD (within 3 days)",IF(AG171&gt;AsOfUTC,"INVALID – completion time is in the future",IF(AND(ISNUMBER(S171),AG171&lt;S171),IF(H171="Physical uplift","INVALID – before uplift window (cannot confirm loading)","INVALID – before valid window"),IF(AG171&gt;Flights!$AA$10,"INVALID – completed after departure (cannot establish readiness)",IF(AND(H171="Physical uplift",AG171&gt;Q171),"INVALID – recorded after the loading flight departed",IF(AG171&gt;Q171,"COMPLETE – LATE","COMPLETE")))))))))))))))))),IF(TRIM(U171)="Fail","FAIL – DISCREPANCY",IF(AND(TRIM(U171)&lt;&gt;"",TRIM(U171)&lt;&gt;"Not started",TRIM(U171)&lt;&gt;"In progress"),"INVALID – unrecognised status (use the list)",IF(AsOfUTC&gt;Q171,"OVERDUE",IF(N171="Clarification required","OPEN – CLARIFICATION","OPEN")))))))</f>
        <v>OPEN</v>
      </c>
      <c r="AI171" s="61" t="n">
        <f aca="false">IF(OR(AH171="N/A – RULE",AH171="N/A – JUSTIFIED"),0,1)</f>
        <v>1</v>
      </c>
      <c r="AJ171" s="61" t="n">
        <f aca="false">IF(LEFT(AH171,8)="COMPLETE",1,0)</f>
        <v>0</v>
      </c>
      <c r="AK171" s="61" t="n">
        <f aca="false">IF(AND(AI171=1,AJ171=0,AsOfUTC&gt;Q171),1,0)</f>
        <v>0</v>
      </c>
      <c r="AL171" s="61" t="n">
        <f aca="false">IF(AND(AI171=1,OR(TRIM(U171)="Fail",AND(TRIM(AB171)&lt;&gt;"",TRIM(AB171)&lt;&gt;"Closed"),AND(ISNUMBER(AF171),AF171&lt;&gt;0,TRIM(U171)&lt;&gt;"Pass after CA"))),1,0)</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row>
    <row r="172" customFormat="false" ht="39.75" hidden="false" customHeight="true" outlineLevel="0" collapsed="false">
      <c r="A172" s="57" t="s">
        <v>678</v>
      </c>
      <c r="B172" s="57" t="s">
        <v>223</v>
      </c>
      <c r="C172" s="57" t="str">
        <f aca="false">Flights!$F$10</f>
        <v>MH0002</v>
      </c>
      <c r="D172" s="58" t="n">
        <f aca="false">Flights!$D$10</f>
        <v>46310</v>
      </c>
      <c r="E172" s="57" t="str">
        <f aca="false">Flights!$G$10&amp;"-"&amp;Flights!$H$10</f>
        <v>KUL-LHR</v>
      </c>
      <c r="F172" s="57" t="str">
        <f aca="false">Flights!$K$10</f>
        <v>BC</v>
      </c>
      <c r="G172" s="57" t="s">
        <v>76</v>
      </c>
      <c r="H172" s="57" t="s">
        <v>343</v>
      </c>
      <c r="I172" s="57" t="s">
        <v>370</v>
      </c>
      <c r="J172" s="57" t="s">
        <v>371</v>
      </c>
      <c r="K172" s="67" t="s">
        <v>372</v>
      </c>
      <c r="L172" s="67" t="s">
        <v>347</v>
      </c>
      <c r="M172" s="67"/>
      <c r="N172" s="67" t="s">
        <v>348</v>
      </c>
      <c r="O172" s="67"/>
      <c r="P172" s="57" t="s">
        <v>179</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59" t="n">
        <f aca="false">Q172-T7EarlyD*24/24</f>
        <v>46289.6388888889</v>
      </c>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IF(N172="N/A – rule","N/A – RULE",IF(TRIM(U172)="N/A",IF(AT172=0,"INVALID – N/A not permitted for this mandatory check",IF(AND(TRIM(AC172)&lt;&gt;"",TRIM(AE172)&lt;&gt;"",TRIM(T172)&lt;&gt;"",TRIM(AE172)&lt;&gt;TRIM(T172)),"N/A – JUSTIFIED","INVALID – N/A needs justification, PIC and a different verifier")),IF(OR(TRIM(U172)="Pass",TRIM(U172)="Pass after CA"),IF(NOT(ISNUMBER(AD172)),"INVALID – completion time missing",IF(TRIM(T172)="","INVALID – PIC missing",IF(TRIM(V172)="","INVALID – result / assessment missing",IF(TRIM(Z172)="","INVALID – evidence missing",IF(TRIM(AE172)="","INVALID – verifier missing",IF(TRIM(AE172)=TRIM(T172),"INVALID – verifier must be someone other than the PIC",IF(AND(AQ172=1,TRIM(W172)=""),"INVALID – batch ID missing",IF(AND(AR172=1,OR(NOT(ISNUMBER(X172)),NOT(ISNUMBER(Y172)))),"INVALID – expected/actual qty missing",IF(IF(AND(TRIM(U172)="Pass",ISNUMBER(AF172)),IF(AF172&lt;&gt;0,"INVALID – qty variance: use Fail or Pass after CA",""),"")&amp;IF(AND(TRIM(U172)="Pass",TRIM(AB172)&lt;&gt;"",TRIM(AB172)&lt;&gt;"Closed"),"INVALID – corrective action not closed: use Fail, then Pass after CA","")&amp;IF(AND(TRIM(AA172)&lt;&gt;"",TRIM(AB172)=""),"INVALID – CA status missing for the recorded corrective action","")&amp;IF(AND(TRIM(U172)="Pass after CA",OR(TRIM(AA172)="",TRIM(AB172)&lt;&gt;"Closed")),"INVALID – corrective action not recorded/closed","")&lt;&gt;"",IF(AND(TRIM(U172)="Pass",ISNUMBER(AF172)),IF(AF172&lt;&gt;0,"INVALID – qty variance: use Fail or Pass after CA",""),"")&amp;IF(AND(TRIM(U172)="Pass",TRIM(AB172)&lt;&gt;"",TRIM(AB172)&lt;&gt;"Closed"),"INVALID – corrective action not closed: use Fail, then Pass after CA","")&amp;IF(AND(TRIM(AA172)&lt;&gt;"",TRIM(AB172)=""),"INVALID – CA status missing for the recorded corrective action","")&amp;IF(AND(TRIM(U172)="Pass after CA",OR(TRIM(AA172)="",TRIM(AB172)&lt;&gt;"Closed")),"INVALID – corrective action not recorded/closed",""),IF(AND(AS172=1,Documents!$J$10&lt;&gt;"ON FILE"),"INVALID – GLD not on file (Documents sheet)",IF(AND(AS172=2,Documents!$O$10&lt;&gt;"ON FILE"),"INVALID – menu checklist not on file (Documents sheet)",IF(AND(AS172=3,NOT(ISNUMBER(Flights!$AX$10))),"INVALID – enter carrying flight KUL departure (Flights AX)",IF(AND(AS172=3,OR(Flights!$AX$10&gt;=Flights!$AA$10,Flights!$AX$10&lt;Flights!$AA$10-3)),"INVALID – Flights AX must be before this leg's STD (within 3 days)",IF(AG172&gt;AsOfUTC,"INVALID – completion time is in the future",IF(AND(ISNUMBER(S172),AG172&lt;S172),IF(H172="Physical uplift","INVALID – before uplift window (cannot confirm loading)","INVALID – before valid window"),IF(AG172&gt;Flights!$AA$10,"INVALID – completed after departure (cannot establish readiness)",IF(AND(H172="Physical uplift",AG172&gt;Q172),"INVALID – recorded after the loading flight departed",IF(AG172&gt;Q172,"COMPLETE – LATE","COMPLETE")))))))))))))))))),IF(TRIM(U172)="Fail","FAIL – DISCREPANCY",IF(AND(TRIM(U172)&lt;&gt;"",TRIM(U172)&lt;&gt;"Not started",TRIM(U172)&lt;&gt;"In progress"),"INVALID – unrecognised status (use the list)",IF(AsOfUTC&gt;Q172,"OVERDUE",IF(N172="Clarification required","OPEN – CLARIFICATION","OPEN")))))))</f>
        <v>OPEN</v>
      </c>
      <c r="AI172" s="61" t="n">
        <f aca="false">IF(OR(AH172="N/A – RULE",AH172="N/A – JUSTIFIED"),0,1)</f>
        <v>1</v>
      </c>
      <c r="AJ172" s="61" t="n">
        <f aca="false">IF(LEFT(AH172,8)="COMPLETE",1,0)</f>
        <v>0</v>
      </c>
      <c r="AK172" s="61" t="n">
        <f aca="false">IF(AND(AI172=1,AJ172=0,AsOfUTC&gt;Q172),1,0)</f>
        <v>0</v>
      </c>
      <c r="AL172" s="61" t="n">
        <f aca="false">IF(AND(AI172=1,OR(TRIM(U172)="Fail",AND(TRIM(AB172)&lt;&gt;"",TRIM(AB172)&lt;&gt;"Closed"),AND(ISNUMBER(AF172),AF172&lt;&gt;0,TRIM(U172)&lt;&gt;"Pass after CA"))),1,0)</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row>
    <row r="173" customFormat="false" ht="39.75" hidden="false" customHeight="true" outlineLevel="0" collapsed="false">
      <c r="A173" s="57" t="s">
        <v>679</v>
      </c>
      <c r="B173" s="57" t="s">
        <v>223</v>
      </c>
      <c r="C173" s="57" t="str">
        <f aca="false">Flights!$F$10</f>
        <v>MH0002</v>
      </c>
      <c r="D173" s="58" t="n">
        <f aca="false">Flights!$D$10</f>
        <v>46310</v>
      </c>
      <c r="E173" s="57" t="str">
        <f aca="false">Flights!$G$10&amp;"-"&amp;Flights!$H$10</f>
        <v>KUL-LHR</v>
      </c>
      <c r="F173" s="57" t="str">
        <f aca="false">Flights!$K$10</f>
        <v>BC</v>
      </c>
      <c r="G173" s="57" t="s">
        <v>76</v>
      </c>
      <c r="H173" s="57" t="s">
        <v>343</v>
      </c>
      <c r="I173" s="57" t="s">
        <v>370</v>
      </c>
      <c r="J173" s="57" t="s">
        <v>374</v>
      </c>
      <c r="K173" s="67" t="s">
        <v>372</v>
      </c>
      <c r="L173" s="67" t="s">
        <v>347</v>
      </c>
      <c r="M173" s="67"/>
      <c r="N173" s="67" t="s">
        <v>348</v>
      </c>
      <c r="O173" s="67"/>
      <c r="P173" s="57" t="s">
        <v>179</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59" t="n">
        <f aca="false">Q173-T7EarlyD*24/24</f>
        <v>46289.6388888889</v>
      </c>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IF(N173="N/A – rule","N/A – RULE",IF(TRIM(U173)="N/A",IF(AT173=0,"INVALID – N/A not permitted for this mandatory check",IF(AND(TRIM(AC173)&lt;&gt;"",TRIM(AE173)&lt;&gt;"",TRIM(T173)&lt;&gt;"",TRIM(AE173)&lt;&gt;TRIM(T173)),"N/A – JUSTIFIED","INVALID – N/A needs justification, PIC and a different verifier")),IF(OR(TRIM(U173)="Pass",TRIM(U173)="Pass after CA"),IF(NOT(ISNUMBER(AD173)),"INVALID – completion time missing",IF(TRIM(T173)="","INVALID – PIC missing",IF(TRIM(V173)="","INVALID – result / assessment missing",IF(TRIM(Z173)="","INVALID – evidence missing",IF(TRIM(AE173)="","INVALID – verifier missing",IF(TRIM(AE173)=TRIM(T173),"INVALID – verifier must be someone other than the PIC",IF(AND(AQ173=1,TRIM(W173)=""),"INVALID – batch ID missing",IF(AND(AR173=1,OR(NOT(ISNUMBER(X173)),NOT(ISNUMBER(Y173)))),"INVALID – expected/actual qty missing",IF(IF(AND(TRIM(U173)="Pass",ISNUMBER(AF173)),IF(AF173&lt;&gt;0,"INVALID – qty variance: use Fail or Pass after CA",""),"")&amp;IF(AND(TRIM(U173)="Pass",TRIM(AB173)&lt;&gt;"",TRIM(AB173)&lt;&gt;"Closed"),"INVALID – corrective action not closed: use Fail, then Pass after CA","")&amp;IF(AND(TRIM(AA173)&lt;&gt;"",TRIM(AB173)=""),"INVALID – CA status missing for the recorded corrective action","")&amp;IF(AND(TRIM(U173)="Pass after CA",OR(TRIM(AA173)="",TRIM(AB173)&lt;&gt;"Closed")),"INVALID – corrective action not recorded/closed","")&lt;&gt;"",IF(AND(TRIM(U173)="Pass",ISNUMBER(AF173)),IF(AF173&lt;&gt;0,"INVALID – qty variance: use Fail or Pass after CA",""),"")&amp;IF(AND(TRIM(U173)="Pass",TRIM(AB173)&lt;&gt;"",TRIM(AB173)&lt;&gt;"Closed"),"INVALID – corrective action not closed: use Fail, then Pass after CA","")&amp;IF(AND(TRIM(AA173)&lt;&gt;"",TRIM(AB173)=""),"INVALID – CA status missing for the recorded corrective action","")&amp;IF(AND(TRIM(U173)="Pass after CA",OR(TRIM(AA173)="",TRIM(AB173)&lt;&gt;"Closed")),"INVALID – corrective action not recorded/closed",""),IF(AND(AS173=1,Documents!$J$10&lt;&gt;"ON FILE"),"INVALID – GLD not on file (Documents sheet)",IF(AND(AS173=2,Documents!$O$10&lt;&gt;"ON FILE"),"INVALID – menu checklist not on file (Documents sheet)",IF(AND(AS173=3,NOT(ISNUMBER(Flights!$AX$10))),"INVALID – enter carrying flight KUL departure (Flights AX)",IF(AND(AS173=3,OR(Flights!$AX$10&gt;=Flights!$AA$10,Flights!$AX$10&lt;Flights!$AA$10-3)),"INVALID – Flights AX must be before this leg's STD (within 3 days)",IF(AG173&gt;AsOfUTC,"INVALID – completion time is in the future",IF(AND(ISNUMBER(S173),AG173&lt;S173),IF(H173="Physical uplift","INVALID – before uplift window (cannot confirm loading)","INVALID – before valid window"),IF(AG173&gt;Flights!$AA$10,"INVALID – completed after departure (cannot establish readiness)",IF(AND(H173="Physical uplift",AG173&gt;Q173),"INVALID – recorded after the loading flight departed",IF(AG173&gt;Q173,"COMPLETE – LATE","COMPLETE")))))))))))))))))),IF(TRIM(U173)="Fail","FAIL – DISCREPANCY",IF(AND(TRIM(U173)&lt;&gt;"",TRIM(U173)&lt;&gt;"Not started",TRIM(U173)&lt;&gt;"In progress"),"INVALID – unrecognised status (use the list)",IF(AsOfUTC&gt;Q173,"OVERDUE",IF(N173="Clarification required","OPEN – CLARIFICATION","OPEN")))))))</f>
        <v>OPEN</v>
      </c>
      <c r="AI173" s="61" t="n">
        <f aca="false">IF(OR(AH173="N/A – RULE",AH173="N/A – JUSTIFIED"),0,1)</f>
        <v>1</v>
      </c>
      <c r="AJ173" s="61" t="n">
        <f aca="false">IF(LEFT(AH173,8)="COMPLETE",1,0)</f>
        <v>0</v>
      </c>
      <c r="AK173" s="61" t="n">
        <f aca="false">IF(AND(AI173=1,AJ173=0,AsOfUTC&gt;Q173),1,0)</f>
        <v>0</v>
      </c>
      <c r="AL173" s="61" t="n">
        <f aca="false">IF(AND(AI173=1,OR(TRIM(U173)="Fail",AND(TRIM(AB173)&lt;&gt;"",TRIM(AB173)&lt;&gt;"Closed"),AND(ISNUMBER(AF173),AF173&lt;&gt;0,TRIM(U173)&lt;&gt;"Pass after CA"))),1,0)</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row>
    <row r="174" customFormat="false" ht="39.75" hidden="false" customHeight="true" outlineLevel="0" collapsed="false">
      <c r="A174" s="57" t="s">
        <v>680</v>
      </c>
      <c r="B174" s="57" t="s">
        <v>223</v>
      </c>
      <c r="C174" s="57" t="str">
        <f aca="false">Flights!$F$10</f>
        <v>MH0002</v>
      </c>
      <c r="D174" s="58" t="n">
        <f aca="false">Flights!$D$10</f>
        <v>46310</v>
      </c>
      <c r="E174" s="57" t="str">
        <f aca="false">Flights!$G$10&amp;"-"&amp;Flights!$H$10</f>
        <v>KUL-LHR</v>
      </c>
      <c r="F174" s="57" t="str">
        <f aca="false">Flights!$K$10</f>
        <v>BC</v>
      </c>
      <c r="G174" s="57" t="s">
        <v>76</v>
      </c>
      <c r="H174" s="57" t="s">
        <v>343</v>
      </c>
      <c r="I174" s="57" t="s">
        <v>376</v>
      </c>
      <c r="J174" s="57" t="s">
        <v>377</v>
      </c>
      <c r="K174" s="67" t="s">
        <v>681</v>
      </c>
      <c r="L174" s="67" t="s">
        <v>379</v>
      </c>
      <c r="M174" s="67"/>
      <c r="N174" s="67" t="s">
        <v>348</v>
      </c>
      <c r="O174" s="67"/>
      <c r="P174" s="57" t="s">
        <v>179</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59" t="n">
        <f aca="false">Q174-T7EarlyD*24/24</f>
        <v>46289.6388888889</v>
      </c>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IF(N174="N/A – rule","N/A – RULE",IF(TRIM(U174)="N/A",IF(AT174=0,"INVALID – N/A not permitted for this mandatory check",IF(AND(TRIM(AC174)&lt;&gt;"",TRIM(AE174)&lt;&gt;"",TRIM(T174)&lt;&gt;"",TRIM(AE174)&lt;&gt;TRIM(T174)),"N/A – JUSTIFIED","INVALID – N/A needs justification, PIC and a different verifier")),IF(OR(TRIM(U174)="Pass",TRIM(U174)="Pass after CA"),IF(NOT(ISNUMBER(AD174)),"INVALID – completion time missing",IF(TRIM(T174)="","INVALID – PIC missing",IF(TRIM(V174)="","INVALID – result / assessment missing",IF(TRIM(Z174)="","INVALID – evidence missing",IF(TRIM(AE174)="","INVALID – verifier missing",IF(TRIM(AE174)=TRIM(T174),"INVALID – verifier must be someone other than the PIC",IF(AND(AQ174=1,TRIM(W174)=""),"INVALID – batch ID missing",IF(AND(AR174=1,OR(NOT(ISNUMBER(X174)),NOT(ISNUMBER(Y174)))),"INVALID – expected/actual qty missing",IF(IF(AND(TRIM(U174)="Pass",ISNUMBER(AF174)),IF(AF174&lt;&gt;0,"INVALID – qty variance: use Fail or Pass after CA",""),"")&amp;IF(AND(TRIM(U174)="Pass",TRIM(AB174)&lt;&gt;"",TRIM(AB174)&lt;&gt;"Closed"),"INVALID – corrective action not closed: use Fail, then Pass after CA","")&amp;IF(AND(TRIM(AA174)&lt;&gt;"",TRIM(AB174)=""),"INVALID – CA status missing for the recorded corrective action","")&amp;IF(AND(TRIM(U174)="Pass after CA",OR(TRIM(AA174)="",TRIM(AB174)&lt;&gt;"Closed")),"INVALID – corrective action not recorded/closed","")&lt;&gt;"",IF(AND(TRIM(U174)="Pass",ISNUMBER(AF174)),IF(AF174&lt;&gt;0,"INVALID – qty variance: use Fail or Pass after CA",""),"")&amp;IF(AND(TRIM(U174)="Pass",TRIM(AB174)&lt;&gt;"",TRIM(AB174)&lt;&gt;"Closed"),"INVALID – corrective action not closed: use Fail, then Pass after CA","")&amp;IF(AND(TRIM(AA174)&lt;&gt;"",TRIM(AB174)=""),"INVALID – CA status missing for the recorded corrective action","")&amp;IF(AND(TRIM(U174)="Pass after CA",OR(TRIM(AA174)="",TRIM(AB174)&lt;&gt;"Closed")),"INVALID – corrective action not recorded/closed",""),IF(AND(AS174=1,Documents!$J$10&lt;&gt;"ON FILE"),"INVALID – GLD not on file (Documents sheet)",IF(AND(AS174=2,Documents!$O$10&lt;&gt;"ON FILE"),"INVALID – menu checklist not on file (Documents sheet)",IF(AND(AS174=3,NOT(ISNUMBER(Flights!$AX$10))),"INVALID – enter carrying flight KUL departure (Flights AX)",IF(AND(AS174=3,OR(Flights!$AX$10&gt;=Flights!$AA$10,Flights!$AX$10&lt;Flights!$AA$10-3)),"INVALID – Flights AX must be before this leg's STD (within 3 days)",IF(AG174&gt;AsOfUTC,"INVALID – completion time is in the future",IF(AND(ISNUMBER(S174),AG174&lt;S174),IF(H174="Physical uplift","INVALID – before uplift window (cannot confirm loading)","INVALID – before valid window"),IF(AG174&gt;Flights!$AA$10,"INVALID – completed after departure (cannot establish readiness)",IF(AND(H174="Physical uplift",AG174&gt;Q174),"INVALID – recorded after the loading flight departed",IF(AG174&gt;Q174,"COMPLETE – LATE","COMPLETE")))))))))))))))))),IF(TRIM(U174)="Fail","FAIL – DISCREPANCY",IF(AND(TRIM(U174)&lt;&gt;"",TRIM(U174)&lt;&gt;"Not started",TRIM(U174)&lt;&gt;"In progress"),"INVALID – unrecognised status (use the list)",IF(AsOfUTC&gt;Q174,"OVERDUE",IF(N174="Clarification required","OPEN – CLARIFICATION","OPEN")))))))</f>
        <v>OPEN</v>
      </c>
      <c r="AI174" s="61" t="n">
        <f aca="false">IF(OR(AH174="N/A – RULE",AH174="N/A – JUSTIFIED"),0,1)</f>
        <v>1</v>
      </c>
      <c r="AJ174" s="61" t="n">
        <f aca="false">IF(LEFT(AH174,8)="COMPLETE",1,0)</f>
        <v>0</v>
      </c>
      <c r="AK174" s="61" t="n">
        <f aca="false">IF(AND(AI174=1,AJ174=0,AsOfUTC&gt;Q174),1,0)</f>
        <v>0</v>
      </c>
      <c r="AL174" s="61" t="n">
        <f aca="false">IF(AND(AI174=1,OR(TRIM(U174)="Fail",AND(TRIM(AB174)&lt;&gt;"",TRIM(AB174)&lt;&gt;"Closed"),AND(ISNUMBER(AF174),AF174&lt;&gt;0,TRIM(U174)&lt;&gt;"Pass after CA"))),1,0)</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row>
    <row r="175" customFormat="false" ht="39.75" hidden="false" customHeight="true" outlineLevel="0" collapsed="false">
      <c r="A175" s="57" t="s">
        <v>682</v>
      </c>
      <c r="B175" s="57" t="s">
        <v>223</v>
      </c>
      <c r="C175" s="57" t="str">
        <f aca="false">Flights!$F$10</f>
        <v>MH0002</v>
      </c>
      <c r="D175" s="58" t="n">
        <f aca="false">Flights!$D$10</f>
        <v>46310</v>
      </c>
      <c r="E175" s="57" t="str">
        <f aca="false">Flights!$G$10&amp;"-"&amp;Flights!$H$10</f>
        <v>KUL-LHR</v>
      </c>
      <c r="F175" s="57" t="str">
        <f aca="false">Flights!$K$10</f>
        <v>BC</v>
      </c>
      <c r="G175" s="57" t="s">
        <v>78</v>
      </c>
      <c r="H175" s="57" t="s">
        <v>343</v>
      </c>
      <c r="I175" s="57" t="s">
        <v>344</v>
      </c>
      <c r="J175" s="57" t="s">
        <v>381</v>
      </c>
      <c r="K175" s="67" t="s">
        <v>382</v>
      </c>
      <c r="L175" s="67" t="s">
        <v>383</v>
      </c>
      <c r="M175" s="67"/>
      <c r="N175" s="67" t="s">
        <v>348</v>
      </c>
      <c r="O175" s="67"/>
      <c r="P175" s="57" t="s">
        <v>179</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59" t="n">
        <f aca="false">Q175-T24EarlyH/24</f>
        <v>46308.6388888889</v>
      </c>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IF(N175="N/A – rule","N/A – RULE",IF(TRIM(U175)="N/A",IF(AT175=0,"INVALID – N/A not permitted for this mandatory check",IF(AND(TRIM(AC175)&lt;&gt;"",TRIM(AE175)&lt;&gt;"",TRIM(T175)&lt;&gt;"",TRIM(AE175)&lt;&gt;TRIM(T175)),"N/A – JUSTIFIED","INVALID – N/A needs justification, PIC and a different verifier")),IF(OR(TRIM(U175)="Pass",TRIM(U175)="Pass after CA"),IF(NOT(ISNUMBER(AD175)),"INVALID – completion time missing",IF(TRIM(T175)="","INVALID – PIC missing",IF(TRIM(V175)="","INVALID – result / assessment missing",IF(TRIM(Z175)="","INVALID – evidence missing",IF(TRIM(AE175)="","INVALID – verifier missing",IF(TRIM(AE175)=TRIM(T175),"INVALID – verifier must be someone other than the PIC",IF(AND(AQ175=1,TRIM(W175)=""),"INVALID – batch ID missing",IF(AND(AR175=1,OR(NOT(ISNUMBER(X175)),NOT(ISNUMBER(Y175)))),"INVALID – expected/actual qty missing",IF(IF(AND(TRIM(U175)="Pass",ISNUMBER(AF175)),IF(AF175&lt;&gt;0,"INVALID – qty variance: use Fail or Pass after CA",""),"")&amp;IF(AND(TRIM(U175)="Pass",TRIM(AB175)&lt;&gt;"",TRIM(AB175)&lt;&gt;"Closed"),"INVALID – corrective action not closed: use Fail, then Pass after CA","")&amp;IF(AND(TRIM(AA175)&lt;&gt;"",TRIM(AB175)=""),"INVALID – CA status missing for the recorded corrective action","")&amp;IF(AND(TRIM(U175)="Pass after CA",OR(TRIM(AA175)="",TRIM(AB175)&lt;&gt;"Closed")),"INVALID – corrective action not recorded/closed","")&lt;&gt;"",IF(AND(TRIM(U175)="Pass",ISNUMBER(AF175)),IF(AF175&lt;&gt;0,"INVALID – qty variance: use Fail or Pass after CA",""),"")&amp;IF(AND(TRIM(U175)="Pass",TRIM(AB175)&lt;&gt;"",TRIM(AB175)&lt;&gt;"Closed"),"INVALID – corrective action not closed: use Fail, then Pass after CA","")&amp;IF(AND(TRIM(AA175)&lt;&gt;"",TRIM(AB175)=""),"INVALID – CA status missing for the recorded corrective action","")&amp;IF(AND(TRIM(U175)="Pass after CA",OR(TRIM(AA175)="",TRIM(AB175)&lt;&gt;"Closed")),"INVALID – corrective action not recorded/closed",""),IF(AND(AS175=1,Documents!$J$10&lt;&gt;"ON FILE"),"INVALID – GLD not on file (Documents sheet)",IF(AND(AS175=2,Documents!$O$10&lt;&gt;"ON FILE"),"INVALID – menu checklist not on file (Documents sheet)",IF(AND(AS175=3,NOT(ISNUMBER(Flights!$AX$10))),"INVALID – enter carrying flight KUL departure (Flights AX)",IF(AND(AS175=3,OR(Flights!$AX$10&gt;=Flights!$AA$10,Flights!$AX$10&lt;Flights!$AA$10-3)),"INVALID – Flights AX must be before this leg's STD (within 3 days)",IF(AG175&gt;AsOfUTC,"INVALID – completion time is in the future",IF(AND(ISNUMBER(S175),AG175&lt;S175),IF(H175="Physical uplift","INVALID – before uplift window (cannot confirm loading)","INVALID – before valid window"),IF(AG175&gt;Flights!$AA$10,"INVALID – completed after departure (cannot establish readiness)",IF(AND(H175="Physical uplift",AG175&gt;Q175),"INVALID – recorded after the loading flight departed",IF(AG175&gt;Q175,"COMPLETE – LATE","COMPLETE")))))))))))))))))),IF(TRIM(U175)="Fail","FAIL – DISCREPANCY",IF(AND(TRIM(U175)&lt;&gt;"",TRIM(U175)&lt;&gt;"Not started",TRIM(U175)&lt;&gt;"In progress"),"INVALID – unrecognised status (use the list)",IF(AsOfUTC&gt;Q175,"OVERDUE",IF(N175="Clarification required","OPEN – CLARIFICATION","OPEN")))))))</f>
        <v>OPEN</v>
      </c>
      <c r="AI175" s="61" t="n">
        <f aca="false">IF(OR(AH175="N/A – RULE",AH175="N/A – JUSTIFIED"),0,1)</f>
        <v>1</v>
      </c>
      <c r="AJ175" s="61" t="n">
        <f aca="false">IF(LEFT(AH175,8)="COMPLETE",1,0)</f>
        <v>0</v>
      </c>
      <c r="AK175" s="61" t="n">
        <f aca="false">IF(AND(AI175=1,AJ175=0,AsOfUTC&gt;Q175),1,0)</f>
        <v>0</v>
      </c>
      <c r="AL175" s="61" t="n">
        <f aca="false">IF(AND(AI175=1,OR(TRIM(U175)="Fail",AND(TRIM(AB175)&lt;&gt;"",TRIM(AB175)&lt;&gt;"Closed"),AND(ISNUMBER(AF175),AF175&lt;&gt;0,TRIM(U175)&lt;&gt;"Pass after CA"))),1,0)</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row>
    <row r="176" customFormat="false" ht="39.75" hidden="false" customHeight="true" outlineLevel="0" collapsed="false">
      <c r="A176" s="57" t="s">
        <v>683</v>
      </c>
      <c r="B176" s="57" t="s">
        <v>223</v>
      </c>
      <c r="C176" s="57" t="str">
        <f aca="false">Flights!$F$10</f>
        <v>MH0002</v>
      </c>
      <c r="D176" s="58" t="n">
        <f aca="false">Flights!$D$10</f>
        <v>46310</v>
      </c>
      <c r="E176" s="57" t="str">
        <f aca="false">Flights!$G$10&amp;"-"&amp;Flights!$H$10</f>
        <v>KUL-LHR</v>
      </c>
      <c r="F176" s="57" t="str">
        <f aca="false">Flights!$K$10</f>
        <v>BC</v>
      </c>
      <c r="G176" s="57" t="s">
        <v>385</v>
      </c>
      <c r="H176" s="57" t="s">
        <v>343</v>
      </c>
      <c r="I176" s="57" t="s">
        <v>344</v>
      </c>
      <c r="J176" s="57" t="s">
        <v>386</v>
      </c>
      <c r="K176" s="67"/>
      <c r="L176" s="67" t="s">
        <v>387</v>
      </c>
      <c r="M176" s="67"/>
      <c r="N176" s="67" t="s">
        <v>348</v>
      </c>
      <c r="O176" s="67" t="s">
        <v>388</v>
      </c>
      <c r="P176" s="57" t="s">
        <v>179</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59" t="n">
        <f aca="false">Q176-T12EarlyH/24</f>
        <v>46309.6388888889</v>
      </c>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IF(N176="N/A – rule","N/A – RULE",IF(TRIM(U176)="N/A",IF(AT176=0,"INVALID – N/A not permitted for this mandatory check",IF(AND(TRIM(AC176)&lt;&gt;"",TRIM(AE176)&lt;&gt;"",TRIM(T176)&lt;&gt;"",TRIM(AE176)&lt;&gt;TRIM(T176)),"N/A – JUSTIFIED","INVALID – N/A needs justification, PIC and a different verifier")),IF(OR(TRIM(U176)="Pass",TRIM(U176)="Pass after CA"),IF(NOT(ISNUMBER(AD176)),"INVALID – completion time missing",IF(TRIM(T176)="","INVALID – PIC missing",IF(TRIM(V176)="","INVALID – result / assessment missing",IF(TRIM(Z176)="","INVALID – evidence missing",IF(TRIM(AE176)="","INVALID – verifier missing",IF(TRIM(AE176)=TRIM(T176),"INVALID – verifier must be someone other than the PIC",IF(AND(AQ176=1,TRIM(W176)=""),"INVALID – batch ID missing",IF(AND(AR176=1,OR(NOT(ISNUMBER(X176)),NOT(ISNUMBER(Y176)))),"INVALID – expected/actual qty missing",IF(IF(AND(TRIM(U176)="Pass",ISNUMBER(AF176)),IF(AF176&lt;&gt;0,"INVALID – qty variance: use Fail or Pass after CA",""),"")&amp;IF(AND(TRIM(U176)="Pass",TRIM(AB176)&lt;&gt;"",TRIM(AB176)&lt;&gt;"Closed"),"INVALID – corrective action not closed: use Fail, then Pass after CA","")&amp;IF(AND(TRIM(AA176)&lt;&gt;"",TRIM(AB176)=""),"INVALID – CA status missing for the recorded corrective action","")&amp;IF(AND(TRIM(U176)="Pass after CA",OR(TRIM(AA176)="",TRIM(AB176)&lt;&gt;"Closed")),"INVALID – corrective action not recorded/closed","")&lt;&gt;"",IF(AND(TRIM(U176)="Pass",ISNUMBER(AF176)),IF(AF176&lt;&gt;0,"INVALID – qty variance: use Fail or Pass after CA",""),"")&amp;IF(AND(TRIM(U176)="Pass",TRIM(AB176)&lt;&gt;"",TRIM(AB176)&lt;&gt;"Closed"),"INVALID – corrective action not closed: use Fail, then Pass after CA","")&amp;IF(AND(TRIM(AA176)&lt;&gt;"",TRIM(AB176)=""),"INVALID – CA status missing for the recorded corrective action","")&amp;IF(AND(TRIM(U176)="Pass after CA",OR(TRIM(AA176)="",TRIM(AB176)&lt;&gt;"Closed")),"INVALID – corrective action not recorded/closed",""),IF(AND(AS176=1,Documents!$J$10&lt;&gt;"ON FILE"),"INVALID – GLD not on file (Documents sheet)",IF(AND(AS176=2,Documents!$O$10&lt;&gt;"ON FILE"),"INVALID – menu checklist not on file (Documents sheet)",IF(AND(AS176=3,NOT(ISNUMBER(Flights!$AX$10))),"INVALID – enter carrying flight KUL departure (Flights AX)",IF(AND(AS176=3,OR(Flights!$AX$10&gt;=Flights!$AA$10,Flights!$AX$10&lt;Flights!$AA$10-3)),"INVALID – Flights AX must be before this leg's STD (within 3 days)",IF(AG176&gt;AsOfUTC,"INVALID – completion time is in the future",IF(AND(ISNUMBER(S176),AG176&lt;S176),IF(H176="Physical uplift","INVALID – before uplift window (cannot confirm loading)","INVALID – before valid window"),IF(AG176&gt;Flights!$AA$10,"INVALID – completed after departure (cannot establish readiness)",IF(AND(H176="Physical uplift",AG176&gt;Q176),"INVALID – recorded after the loading flight departed",IF(AG176&gt;Q176,"COMPLETE – LATE","COMPLETE")))))))))))))))))),IF(TRIM(U176)="Fail","FAIL – DISCREPANCY",IF(AND(TRIM(U176)&lt;&gt;"",TRIM(U176)&lt;&gt;"Not started",TRIM(U176)&lt;&gt;"In progress"),"INVALID – unrecognised status (use the list)",IF(AsOfUTC&gt;Q176,"OVERDUE",IF(N176="Clarification required","OPEN – CLARIFICATION","OPEN")))))))</f>
        <v>OPEN</v>
      </c>
      <c r="AI176" s="61" t="n">
        <f aca="false">IF(OR(AH176="N/A – RULE",AH176="N/A – JUSTIFIED"),0,1)</f>
        <v>1</v>
      </c>
      <c r="AJ176" s="61" t="n">
        <f aca="false">IF(LEFT(AH176,8)="COMPLETE",1,0)</f>
        <v>0</v>
      </c>
      <c r="AK176" s="61" t="n">
        <f aca="false">IF(AND(AI176=1,AJ176=0,AsOfUTC&gt;Q176),1,0)</f>
        <v>0</v>
      </c>
      <c r="AL176" s="61" t="n">
        <f aca="false">IF(AND(AI176=1,OR(TRIM(U176)="Fail",AND(TRIM(AB176)&lt;&gt;"",TRIM(AB176)&lt;&gt;"Closed"),AND(ISNUMBER(AF176),AF176&lt;&gt;0,TRIM(U176)&lt;&gt;"Pass after CA"))),1,0)</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row>
    <row r="177" customFormat="false" ht="39.75" hidden="false" customHeight="true" outlineLevel="0" collapsed="false">
      <c r="A177" s="57" t="s">
        <v>684</v>
      </c>
      <c r="B177" s="57" t="s">
        <v>223</v>
      </c>
      <c r="C177" s="57" t="str">
        <f aca="false">Flights!$F$10</f>
        <v>MH0002</v>
      </c>
      <c r="D177" s="58" t="n">
        <f aca="false">Flights!$D$10</f>
        <v>46310</v>
      </c>
      <c r="E177" s="57" t="str">
        <f aca="false">Flights!$G$10&amp;"-"&amp;Flights!$H$10</f>
        <v>KUL-LHR</v>
      </c>
      <c r="F177" s="57" t="str">
        <f aca="false">Flights!$K$10</f>
        <v>BC</v>
      </c>
      <c r="G177" s="57" t="s">
        <v>385</v>
      </c>
      <c r="H177" s="57" t="s">
        <v>343</v>
      </c>
      <c r="I177" s="57" t="s">
        <v>344</v>
      </c>
      <c r="J177" s="57" t="s">
        <v>390</v>
      </c>
      <c r="K177" s="67" t="s">
        <v>391</v>
      </c>
      <c r="L177" s="67" t="s">
        <v>387</v>
      </c>
      <c r="M177" s="67"/>
      <c r="N177" s="67" t="s">
        <v>348</v>
      </c>
      <c r="O177" s="67" t="s">
        <v>388</v>
      </c>
      <c r="P177" s="57" t="s">
        <v>179</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59" t="n">
        <f aca="false">Q177-T12EarlyH/24</f>
        <v>46309.6388888889</v>
      </c>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IF(N177="N/A – rule","N/A – RULE",IF(TRIM(U177)="N/A",IF(AT177=0,"INVALID – N/A not permitted for this mandatory check",IF(AND(TRIM(AC177)&lt;&gt;"",TRIM(AE177)&lt;&gt;"",TRIM(T177)&lt;&gt;"",TRIM(AE177)&lt;&gt;TRIM(T177)),"N/A – JUSTIFIED","INVALID – N/A needs justification, PIC and a different verifier")),IF(OR(TRIM(U177)="Pass",TRIM(U177)="Pass after CA"),IF(NOT(ISNUMBER(AD177)),"INVALID – completion time missing",IF(TRIM(T177)="","INVALID – PIC missing",IF(TRIM(V177)="","INVALID – result / assessment missing",IF(TRIM(Z177)="","INVALID – evidence missing",IF(TRIM(AE177)="","INVALID – verifier missing",IF(TRIM(AE177)=TRIM(T177),"INVALID – verifier must be someone other than the PIC",IF(AND(AQ177=1,TRIM(W177)=""),"INVALID – batch ID missing",IF(AND(AR177=1,OR(NOT(ISNUMBER(X177)),NOT(ISNUMBER(Y177)))),"INVALID – expected/actual qty missing",IF(IF(AND(TRIM(U177)="Pass",ISNUMBER(AF177)),IF(AF177&lt;&gt;0,"INVALID – qty variance: use Fail or Pass after CA",""),"")&amp;IF(AND(TRIM(U177)="Pass",TRIM(AB177)&lt;&gt;"",TRIM(AB177)&lt;&gt;"Closed"),"INVALID – corrective action not closed: use Fail, then Pass after CA","")&amp;IF(AND(TRIM(AA177)&lt;&gt;"",TRIM(AB177)=""),"INVALID – CA status missing for the recorded corrective action","")&amp;IF(AND(TRIM(U177)="Pass after CA",OR(TRIM(AA177)="",TRIM(AB177)&lt;&gt;"Closed")),"INVALID – corrective action not recorded/closed","")&lt;&gt;"",IF(AND(TRIM(U177)="Pass",ISNUMBER(AF177)),IF(AF177&lt;&gt;0,"INVALID – qty variance: use Fail or Pass after CA",""),"")&amp;IF(AND(TRIM(U177)="Pass",TRIM(AB177)&lt;&gt;"",TRIM(AB177)&lt;&gt;"Closed"),"INVALID – corrective action not closed: use Fail, then Pass after CA","")&amp;IF(AND(TRIM(AA177)&lt;&gt;"",TRIM(AB177)=""),"INVALID – CA status missing for the recorded corrective action","")&amp;IF(AND(TRIM(U177)="Pass after CA",OR(TRIM(AA177)="",TRIM(AB177)&lt;&gt;"Closed")),"INVALID – corrective action not recorded/closed",""),IF(AND(AS177=1,Documents!$J$10&lt;&gt;"ON FILE"),"INVALID – GLD not on file (Documents sheet)",IF(AND(AS177=2,Documents!$O$10&lt;&gt;"ON FILE"),"INVALID – menu checklist not on file (Documents sheet)",IF(AND(AS177=3,NOT(ISNUMBER(Flights!$AX$10))),"INVALID – enter carrying flight KUL departure (Flights AX)",IF(AND(AS177=3,OR(Flights!$AX$10&gt;=Flights!$AA$10,Flights!$AX$10&lt;Flights!$AA$10-3)),"INVALID – Flights AX must be before this leg's STD (within 3 days)",IF(AG177&gt;AsOfUTC,"INVALID – completion time is in the future",IF(AND(ISNUMBER(S177),AG177&lt;S177),IF(H177="Physical uplift","INVALID – before uplift window (cannot confirm loading)","INVALID – before valid window"),IF(AG177&gt;Flights!$AA$10,"INVALID – completed after departure (cannot establish readiness)",IF(AND(H177="Physical uplift",AG177&gt;Q177),"INVALID – recorded after the loading flight departed",IF(AG177&gt;Q177,"COMPLETE – LATE","COMPLETE")))))))))))))))))),IF(TRIM(U177)="Fail","FAIL – DISCREPANCY",IF(AND(TRIM(U177)&lt;&gt;"",TRIM(U177)&lt;&gt;"Not started",TRIM(U177)&lt;&gt;"In progress"),"INVALID – unrecognised status (use the list)",IF(AsOfUTC&gt;Q177,"OVERDUE",IF(N177="Clarification required","OPEN – CLARIFICATION","OPEN")))))))</f>
        <v>OPEN</v>
      </c>
      <c r="AI177" s="61" t="n">
        <f aca="false">IF(OR(AH177="N/A – RULE",AH177="N/A – JUSTIFIED"),0,1)</f>
        <v>1</v>
      </c>
      <c r="AJ177" s="61" t="n">
        <f aca="false">IF(LEFT(AH177,8)="COMPLETE",1,0)</f>
        <v>0</v>
      </c>
      <c r="AK177" s="61" t="n">
        <f aca="false">IF(AND(AI177=1,AJ177=0,AsOfUTC&gt;Q177),1,0)</f>
        <v>0</v>
      </c>
      <c r="AL177" s="61" t="n">
        <f aca="false">IF(AND(AI177=1,OR(TRIM(U177)="Fail",AND(TRIM(AB177)&lt;&gt;"",TRIM(AB177)&lt;&gt;"Closed"),AND(ISNUMBER(AF177),AF177&lt;&gt;0,TRIM(U177)&lt;&gt;"Pass after CA"))),1,0)</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row>
    <row r="178" customFormat="false" ht="39.75" hidden="false" customHeight="true" outlineLevel="0" collapsed="false">
      <c r="A178" s="57" t="s">
        <v>685</v>
      </c>
      <c r="B178" s="57" t="s">
        <v>223</v>
      </c>
      <c r="C178" s="57" t="str">
        <f aca="false">Flights!$F$10</f>
        <v>MH0002</v>
      </c>
      <c r="D178" s="58" t="n">
        <f aca="false">Flights!$D$10</f>
        <v>46310</v>
      </c>
      <c r="E178" s="57" t="str">
        <f aca="false">Flights!$G$10&amp;"-"&amp;Flights!$H$10</f>
        <v>KUL-LHR</v>
      </c>
      <c r="F178" s="57" t="str">
        <f aca="false">Flights!$K$10</f>
        <v>BC</v>
      </c>
      <c r="G178" s="57" t="s">
        <v>385</v>
      </c>
      <c r="H178" s="57" t="s">
        <v>343</v>
      </c>
      <c r="I178" s="57" t="s">
        <v>393</v>
      </c>
      <c r="J178" s="57" t="s">
        <v>394</v>
      </c>
      <c r="K178" s="67"/>
      <c r="L178" s="67" t="s">
        <v>387</v>
      </c>
      <c r="M178" s="67"/>
      <c r="N178" s="67" t="s">
        <v>348</v>
      </c>
      <c r="O178" s="67" t="s">
        <v>388</v>
      </c>
      <c r="P178" s="57" t="s">
        <v>179</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59" t="n">
        <f aca="false">Q178-T12EarlyH/24</f>
        <v>46309.6388888889</v>
      </c>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IF(N178="N/A – rule","N/A – RULE",IF(TRIM(U178)="N/A",IF(AT178=0,"INVALID – N/A not permitted for this mandatory check",IF(AND(TRIM(AC178)&lt;&gt;"",TRIM(AE178)&lt;&gt;"",TRIM(T178)&lt;&gt;"",TRIM(AE178)&lt;&gt;TRIM(T178)),"N/A – JUSTIFIED","INVALID – N/A needs justification, PIC and a different verifier")),IF(OR(TRIM(U178)="Pass",TRIM(U178)="Pass after CA"),IF(NOT(ISNUMBER(AD178)),"INVALID – completion time missing",IF(TRIM(T178)="","INVALID – PIC missing",IF(TRIM(V178)="","INVALID – result / assessment missing",IF(TRIM(Z178)="","INVALID – evidence missing",IF(TRIM(AE178)="","INVALID – verifier missing",IF(TRIM(AE178)=TRIM(T178),"INVALID – verifier must be someone other than the PIC",IF(AND(AQ178=1,TRIM(W178)=""),"INVALID – batch ID missing",IF(AND(AR178=1,OR(NOT(ISNUMBER(X178)),NOT(ISNUMBER(Y178)))),"INVALID – expected/actual qty missing",IF(IF(AND(TRIM(U178)="Pass",ISNUMBER(AF178)),IF(AF178&lt;&gt;0,"INVALID – qty variance: use Fail or Pass after CA",""),"")&amp;IF(AND(TRIM(U178)="Pass",TRIM(AB178)&lt;&gt;"",TRIM(AB178)&lt;&gt;"Closed"),"INVALID – corrective action not closed: use Fail, then Pass after CA","")&amp;IF(AND(TRIM(AA178)&lt;&gt;"",TRIM(AB178)=""),"INVALID – CA status missing for the recorded corrective action","")&amp;IF(AND(TRIM(U178)="Pass after CA",OR(TRIM(AA178)="",TRIM(AB178)&lt;&gt;"Closed")),"INVALID – corrective action not recorded/closed","")&lt;&gt;"",IF(AND(TRIM(U178)="Pass",ISNUMBER(AF178)),IF(AF178&lt;&gt;0,"INVALID – qty variance: use Fail or Pass after CA",""),"")&amp;IF(AND(TRIM(U178)="Pass",TRIM(AB178)&lt;&gt;"",TRIM(AB178)&lt;&gt;"Closed"),"INVALID – corrective action not closed: use Fail, then Pass after CA","")&amp;IF(AND(TRIM(AA178)&lt;&gt;"",TRIM(AB178)=""),"INVALID – CA status missing for the recorded corrective action","")&amp;IF(AND(TRIM(U178)="Pass after CA",OR(TRIM(AA178)="",TRIM(AB178)&lt;&gt;"Closed")),"INVALID – corrective action not recorded/closed",""),IF(AND(AS178=1,Documents!$J$10&lt;&gt;"ON FILE"),"INVALID – GLD not on file (Documents sheet)",IF(AND(AS178=2,Documents!$O$10&lt;&gt;"ON FILE"),"INVALID – menu checklist not on file (Documents sheet)",IF(AND(AS178=3,NOT(ISNUMBER(Flights!$AX$10))),"INVALID – enter carrying flight KUL departure (Flights AX)",IF(AND(AS178=3,OR(Flights!$AX$10&gt;=Flights!$AA$10,Flights!$AX$10&lt;Flights!$AA$10-3)),"INVALID – Flights AX must be before this leg's STD (within 3 days)",IF(AG178&gt;AsOfUTC,"INVALID – completion time is in the future",IF(AND(ISNUMBER(S178),AG178&lt;S178),IF(H178="Physical uplift","INVALID – before uplift window (cannot confirm loading)","INVALID – before valid window"),IF(AG178&gt;Flights!$AA$10,"INVALID – completed after departure (cannot establish readiness)",IF(AND(H178="Physical uplift",AG178&gt;Q178),"INVALID – recorded after the loading flight departed",IF(AG178&gt;Q178,"COMPLETE – LATE","COMPLETE")))))))))))))))))),IF(TRIM(U178)="Fail","FAIL – DISCREPANCY",IF(AND(TRIM(U178)&lt;&gt;"",TRIM(U178)&lt;&gt;"Not started",TRIM(U178)&lt;&gt;"In progress"),"INVALID – unrecognised status (use the list)",IF(AsOfUTC&gt;Q178,"OVERDUE",IF(N178="Clarification required","OPEN – CLARIFICATION","OPEN")))))))</f>
        <v>OPEN</v>
      </c>
      <c r="AI178" s="61" t="n">
        <f aca="false">IF(OR(AH178="N/A – RULE",AH178="N/A – JUSTIFIED"),0,1)</f>
        <v>1</v>
      </c>
      <c r="AJ178" s="61" t="n">
        <f aca="false">IF(LEFT(AH178,8)="COMPLETE",1,0)</f>
        <v>0</v>
      </c>
      <c r="AK178" s="61" t="n">
        <f aca="false">IF(AND(AI178=1,AJ178=0,AsOfUTC&gt;Q178),1,0)</f>
        <v>0</v>
      </c>
      <c r="AL178" s="61" t="n">
        <f aca="false">IF(AND(AI178=1,OR(TRIM(U178)="Fail",AND(TRIM(AB178)&lt;&gt;"",TRIM(AB178)&lt;&gt;"Closed"),AND(ISNUMBER(AF178),AF178&lt;&gt;0,TRIM(U178)&lt;&gt;"Pass after CA"))),1,0)</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row>
    <row r="179" customFormat="false" ht="39.75" hidden="false" customHeight="true" outlineLevel="0" collapsed="false">
      <c r="A179" s="57" t="s">
        <v>686</v>
      </c>
      <c r="B179" s="57" t="s">
        <v>223</v>
      </c>
      <c r="C179" s="57" t="str">
        <f aca="false">Flights!$F$10</f>
        <v>MH0002</v>
      </c>
      <c r="D179" s="58" t="n">
        <f aca="false">Flights!$D$10</f>
        <v>46310</v>
      </c>
      <c r="E179" s="57" t="str">
        <f aca="false">Flights!$G$10&amp;"-"&amp;Flights!$H$10</f>
        <v>KUL-LHR</v>
      </c>
      <c r="F179" s="57" t="str">
        <f aca="false">Flights!$K$10</f>
        <v>BC</v>
      </c>
      <c r="G179" s="57" t="s">
        <v>385</v>
      </c>
      <c r="H179" s="57" t="s">
        <v>343</v>
      </c>
      <c r="I179" s="57" t="s">
        <v>393</v>
      </c>
      <c r="J179" s="57" t="s">
        <v>396</v>
      </c>
      <c r="K179" s="67"/>
      <c r="L179" s="67" t="s">
        <v>387</v>
      </c>
      <c r="M179" s="67"/>
      <c r="N179" s="67" t="s">
        <v>348</v>
      </c>
      <c r="O179" s="67" t="s">
        <v>388</v>
      </c>
      <c r="P179" s="57" t="s">
        <v>179</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59" t="n">
        <f aca="false">Q179-T12EarlyH/24</f>
        <v>46309.6388888889</v>
      </c>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IF(N179="N/A – rule","N/A – RULE",IF(TRIM(U179)="N/A",IF(AT179=0,"INVALID – N/A not permitted for this mandatory check",IF(AND(TRIM(AC179)&lt;&gt;"",TRIM(AE179)&lt;&gt;"",TRIM(T179)&lt;&gt;"",TRIM(AE179)&lt;&gt;TRIM(T179)),"N/A – JUSTIFIED","INVALID – N/A needs justification, PIC and a different verifier")),IF(OR(TRIM(U179)="Pass",TRIM(U179)="Pass after CA"),IF(NOT(ISNUMBER(AD179)),"INVALID – completion time missing",IF(TRIM(T179)="","INVALID – PIC missing",IF(TRIM(V179)="","INVALID – result / assessment missing",IF(TRIM(Z179)="","INVALID – evidence missing",IF(TRIM(AE179)="","INVALID – verifier missing",IF(TRIM(AE179)=TRIM(T179),"INVALID – verifier must be someone other than the PIC",IF(AND(AQ179=1,TRIM(W179)=""),"INVALID – batch ID missing",IF(AND(AR179=1,OR(NOT(ISNUMBER(X179)),NOT(ISNUMBER(Y179)))),"INVALID – expected/actual qty missing",IF(IF(AND(TRIM(U179)="Pass",ISNUMBER(AF179)),IF(AF179&lt;&gt;0,"INVALID – qty variance: use Fail or Pass after CA",""),"")&amp;IF(AND(TRIM(U179)="Pass",TRIM(AB179)&lt;&gt;"",TRIM(AB179)&lt;&gt;"Closed"),"INVALID – corrective action not closed: use Fail, then Pass after CA","")&amp;IF(AND(TRIM(AA179)&lt;&gt;"",TRIM(AB179)=""),"INVALID – CA status missing for the recorded corrective action","")&amp;IF(AND(TRIM(U179)="Pass after CA",OR(TRIM(AA179)="",TRIM(AB179)&lt;&gt;"Closed")),"INVALID – corrective action not recorded/closed","")&lt;&gt;"",IF(AND(TRIM(U179)="Pass",ISNUMBER(AF179)),IF(AF179&lt;&gt;0,"INVALID – qty variance: use Fail or Pass after CA",""),"")&amp;IF(AND(TRIM(U179)="Pass",TRIM(AB179)&lt;&gt;"",TRIM(AB179)&lt;&gt;"Closed"),"INVALID – corrective action not closed: use Fail, then Pass after CA","")&amp;IF(AND(TRIM(AA179)&lt;&gt;"",TRIM(AB179)=""),"INVALID – CA status missing for the recorded corrective action","")&amp;IF(AND(TRIM(U179)="Pass after CA",OR(TRIM(AA179)="",TRIM(AB179)&lt;&gt;"Closed")),"INVALID – corrective action not recorded/closed",""),IF(AND(AS179=1,Documents!$J$10&lt;&gt;"ON FILE"),"INVALID – GLD not on file (Documents sheet)",IF(AND(AS179=2,Documents!$O$10&lt;&gt;"ON FILE"),"INVALID – menu checklist not on file (Documents sheet)",IF(AND(AS179=3,NOT(ISNUMBER(Flights!$AX$10))),"INVALID – enter carrying flight KUL departure (Flights AX)",IF(AND(AS179=3,OR(Flights!$AX$10&gt;=Flights!$AA$10,Flights!$AX$10&lt;Flights!$AA$10-3)),"INVALID – Flights AX must be before this leg's STD (within 3 days)",IF(AG179&gt;AsOfUTC,"INVALID – completion time is in the future",IF(AND(ISNUMBER(S179),AG179&lt;S179),IF(H179="Physical uplift","INVALID – before uplift window (cannot confirm loading)","INVALID – before valid window"),IF(AG179&gt;Flights!$AA$10,"INVALID – completed after departure (cannot establish readiness)",IF(AND(H179="Physical uplift",AG179&gt;Q179),"INVALID – recorded after the loading flight departed",IF(AG179&gt;Q179,"COMPLETE – LATE","COMPLETE")))))))))))))))))),IF(TRIM(U179)="Fail","FAIL – DISCREPANCY",IF(AND(TRIM(U179)&lt;&gt;"",TRIM(U179)&lt;&gt;"Not started",TRIM(U179)&lt;&gt;"In progress"),"INVALID – unrecognised status (use the list)",IF(AsOfUTC&gt;Q179,"OVERDUE",IF(N179="Clarification required","OPEN – CLARIFICATION","OPEN")))))))</f>
        <v>OPEN</v>
      </c>
      <c r="AI179" s="61" t="n">
        <f aca="false">IF(OR(AH179="N/A – RULE",AH179="N/A – JUSTIFIED"),0,1)</f>
        <v>1</v>
      </c>
      <c r="AJ179" s="61" t="n">
        <f aca="false">IF(LEFT(AH179,8)="COMPLETE",1,0)</f>
        <v>0</v>
      </c>
      <c r="AK179" s="61" t="n">
        <f aca="false">IF(AND(AI179=1,AJ179=0,AsOfUTC&gt;Q179),1,0)</f>
        <v>0</v>
      </c>
      <c r="AL179" s="61" t="n">
        <f aca="false">IF(AND(AI179=1,OR(TRIM(U179)="Fail",AND(TRIM(AB179)&lt;&gt;"",TRIM(AB179)&lt;&gt;"Closed"),AND(ISNUMBER(AF179),AF179&lt;&gt;0,TRIM(U179)&lt;&gt;"Pass after CA"))),1,0)</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row>
    <row r="180" customFormat="false" ht="39.75" hidden="false" customHeight="true" outlineLevel="0" collapsed="false">
      <c r="A180" s="57" t="s">
        <v>687</v>
      </c>
      <c r="B180" s="57" t="s">
        <v>223</v>
      </c>
      <c r="C180" s="57" t="str">
        <f aca="false">Flights!$F$10</f>
        <v>MH0002</v>
      </c>
      <c r="D180" s="58" t="n">
        <f aca="false">Flights!$D$10</f>
        <v>46310</v>
      </c>
      <c r="E180" s="57" t="str">
        <f aca="false">Flights!$G$10&amp;"-"&amp;Flights!$H$10</f>
        <v>KUL-LHR</v>
      </c>
      <c r="F180" s="57" t="str">
        <f aca="false">Flights!$K$10</f>
        <v>BC</v>
      </c>
      <c r="G180" s="57" t="s">
        <v>385</v>
      </c>
      <c r="H180" s="57" t="s">
        <v>343</v>
      </c>
      <c r="I180" s="57" t="s">
        <v>393</v>
      </c>
      <c r="J180" s="57" t="s">
        <v>398</v>
      </c>
      <c r="K180" s="67"/>
      <c r="L180" s="67" t="s">
        <v>387</v>
      </c>
      <c r="M180" s="67"/>
      <c r="N180" s="67" t="s">
        <v>348</v>
      </c>
      <c r="O180" s="67" t="s">
        <v>388</v>
      </c>
      <c r="P180" s="57" t="s">
        <v>179</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59" t="n">
        <f aca="false">Q180-T12EarlyH/24</f>
        <v>46309.6388888889</v>
      </c>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IF(N180="N/A – rule","N/A – RULE",IF(TRIM(U180)="N/A",IF(AT180=0,"INVALID – N/A not permitted for this mandatory check",IF(AND(TRIM(AC180)&lt;&gt;"",TRIM(AE180)&lt;&gt;"",TRIM(T180)&lt;&gt;"",TRIM(AE180)&lt;&gt;TRIM(T180)),"N/A – JUSTIFIED","INVALID – N/A needs justification, PIC and a different verifier")),IF(OR(TRIM(U180)="Pass",TRIM(U180)="Pass after CA"),IF(NOT(ISNUMBER(AD180)),"INVALID – completion time missing",IF(TRIM(T180)="","INVALID – PIC missing",IF(TRIM(V180)="","INVALID – result / assessment missing",IF(TRIM(Z180)="","INVALID – evidence missing",IF(TRIM(AE180)="","INVALID – verifier missing",IF(TRIM(AE180)=TRIM(T180),"INVALID – verifier must be someone other than the PIC",IF(AND(AQ180=1,TRIM(W180)=""),"INVALID – batch ID missing",IF(AND(AR180=1,OR(NOT(ISNUMBER(X180)),NOT(ISNUMBER(Y180)))),"INVALID – expected/actual qty missing",IF(IF(AND(TRIM(U180)="Pass",ISNUMBER(AF180)),IF(AF180&lt;&gt;0,"INVALID – qty variance: use Fail or Pass after CA",""),"")&amp;IF(AND(TRIM(U180)="Pass",TRIM(AB180)&lt;&gt;"",TRIM(AB180)&lt;&gt;"Closed"),"INVALID – corrective action not closed: use Fail, then Pass after CA","")&amp;IF(AND(TRIM(AA180)&lt;&gt;"",TRIM(AB180)=""),"INVALID – CA status missing for the recorded corrective action","")&amp;IF(AND(TRIM(U180)="Pass after CA",OR(TRIM(AA180)="",TRIM(AB180)&lt;&gt;"Closed")),"INVALID – corrective action not recorded/closed","")&lt;&gt;"",IF(AND(TRIM(U180)="Pass",ISNUMBER(AF180)),IF(AF180&lt;&gt;0,"INVALID – qty variance: use Fail or Pass after CA",""),"")&amp;IF(AND(TRIM(U180)="Pass",TRIM(AB180)&lt;&gt;"",TRIM(AB180)&lt;&gt;"Closed"),"INVALID – corrective action not closed: use Fail, then Pass after CA","")&amp;IF(AND(TRIM(AA180)&lt;&gt;"",TRIM(AB180)=""),"INVALID – CA status missing for the recorded corrective action","")&amp;IF(AND(TRIM(U180)="Pass after CA",OR(TRIM(AA180)="",TRIM(AB180)&lt;&gt;"Closed")),"INVALID – corrective action not recorded/closed",""),IF(AND(AS180=1,Documents!$J$10&lt;&gt;"ON FILE"),"INVALID – GLD not on file (Documents sheet)",IF(AND(AS180=2,Documents!$O$10&lt;&gt;"ON FILE"),"INVALID – menu checklist not on file (Documents sheet)",IF(AND(AS180=3,NOT(ISNUMBER(Flights!$AX$10))),"INVALID – enter carrying flight KUL departure (Flights AX)",IF(AND(AS180=3,OR(Flights!$AX$10&gt;=Flights!$AA$10,Flights!$AX$10&lt;Flights!$AA$10-3)),"INVALID – Flights AX must be before this leg's STD (within 3 days)",IF(AG180&gt;AsOfUTC,"INVALID – completion time is in the future",IF(AND(ISNUMBER(S180),AG180&lt;S180),IF(H180="Physical uplift","INVALID – before uplift window (cannot confirm loading)","INVALID – before valid window"),IF(AG180&gt;Flights!$AA$10,"INVALID – completed after departure (cannot establish readiness)",IF(AND(H180="Physical uplift",AG180&gt;Q180),"INVALID – recorded after the loading flight departed",IF(AG180&gt;Q180,"COMPLETE – LATE","COMPLETE")))))))))))))))))),IF(TRIM(U180)="Fail","FAIL – DISCREPANCY",IF(AND(TRIM(U180)&lt;&gt;"",TRIM(U180)&lt;&gt;"Not started",TRIM(U180)&lt;&gt;"In progress"),"INVALID – unrecognised status (use the list)",IF(AsOfUTC&gt;Q180,"OVERDUE",IF(N180="Clarification required","OPEN – CLARIFICATION","OPEN")))))))</f>
        <v>OPEN</v>
      </c>
      <c r="AI180" s="61" t="n">
        <f aca="false">IF(OR(AH180="N/A – RULE",AH180="N/A – JUSTIFIED"),0,1)</f>
        <v>1</v>
      </c>
      <c r="AJ180" s="61" t="n">
        <f aca="false">IF(LEFT(AH180,8)="COMPLETE",1,0)</f>
        <v>0</v>
      </c>
      <c r="AK180" s="61" t="n">
        <f aca="false">IF(AND(AI180=1,AJ180=0,AsOfUTC&gt;Q180),1,0)</f>
        <v>0</v>
      </c>
      <c r="AL180" s="61" t="n">
        <f aca="false">IF(AND(AI180=1,OR(TRIM(U180)="Fail",AND(TRIM(AB180)&lt;&gt;"",TRIM(AB180)&lt;&gt;"Closed"),AND(ISNUMBER(AF180),AF180&lt;&gt;0,TRIM(U180)&lt;&gt;"Pass after CA"))),1,0)</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row>
    <row r="181" customFormat="false" ht="141" hidden="false" customHeight="true" outlineLevel="0" collapsed="false">
      <c r="A181" s="57" t="s">
        <v>688</v>
      </c>
      <c r="B181" s="57" t="s">
        <v>223</v>
      </c>
      <c r="C181" s="57" t="str">
        <f aca="false">Flights!$F$10</f>
        <v>MH0002</v>
      </c>
      <c r="D181" s="58" t="n">
        <f aca="false">Flights!$D$10</f>
        <v>46310</v>
      </c>
      <c r="E181" s="57" t="str">
        <f aca="false">Flights!$G$10&amp;"-"&amp;Flights!$H$10</f>
        <v>KUL-LHR</v>
      </c>
      <c r="F181" s="57" t="str">
        <f aca="false">Flights!$K$10</f>
        <v>BC</v>
      </c>
      <c r="G181" s="57" t="s">
        <v>385</v>
      </c>
      <c r="H181" s="57" t="s">
        <v>343</v>
      </c>
      <c r="I181" s="57" t="s">
        <v>393</v>
      </c>
      <c r="J181" s="57" t="s">
        <v>400</v>
      </c>
      <c r="K181" s="67" t="s">
        <v>401</v>
      </c>
      <c r="L181" s="67" t="s">
        <v>387</v>
      </c>
      <c r="M181" s="67"/>
      <c r="N181" s="67" t="s">
        <v>348</v>
      </c>
      <c r="O181" s="67" t="s">
        <v>388</v>
      </c>
      <c r="P181" s="57" t="s">
        <v>179</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59" t="n">
        <f aca="false">Q181-T12EarlyH/24</f>
        <v>46309.6388888889</v>
      </c>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IF(N181="N/A – rule","N/A – RULE",IF(TRIM(U181)="N/A",IF(AT181=0,"INVALID – N/A not permitted for this mandatory check",IF(AND(TRIM(AC181)&lt;&gt;"",TRIM(AE181)&lt;&gt;"",TRIM(T181)&lt;&gt;"",TRIM(AE181)&lt;&gt;TRIM(T181)),"N/A – JUSTIFIED","INVALID – N/A needs justification, PIC and a different verifier")),IF(OR(TRIM(U181)="Pass",TRIM(U181)="Pass after CA"),IF(NOT(ISNUMBER(AD181)),"INVALID – completion time missing",IF(TRIM(T181)="","INVALID – PIC missing",IF(TRIM(V181)="","INVALID – result / assessment missing",IF(TRIM(Z181)="","INVALID – evidence missing",IF(TRIM(AE181)="","INVALID – verifier missing",IF(TRIM(AE181)=TRIM(T181),"INVALID – verifier must be someone other than the PIC",IF(AND(AQ181=1,TRIM(W181)=""),"INVALID – batch ID missing",IF(AND(AR181=1,OR(NOT(ISNUMBER(X181)),NOT(ISNUMBER(Y181)))),"INVALID – expected/actual qty missing",IF(IF(AND(TRIM(U181)="Pass",ISNUMBER(AF181)),IF(AF181&lt;&gt;0,"INVALID – qty variance: use Fail or Pass after CA",""),"")&amp;IF(AND(TRIM(U181)="Pass",TRIM(AB181)&lt;&gt;"",TRIM(AB181)&lt;&gt;"Closed"),"INVALID – corrective action not closed: use Fail, then Pass after CA","")&amp;IF(AND(TRIM(AA181)&lt;&gt;"",TRIM(AB181)=""),"INVALID – CA status missing for the recorded corrective action","")&amp;IF(AND(TRIM(U181)="Pass after CA",OR(TRIM(AA181)="",TRIM(AB181)&lt;&gt;"Closed")),"INVALID – corrective action not recorded/closed","")&lt;&gt;"",IF(AND(TRIM(U181)="Pass",ISNUMBER(AF181)),IF(AF181&lt;&gt;0,"INVALID – qty variance: use Fail or Pass after CA",""),"")&amp;IF(AND(TRIM(U181)="Pass",TRIM(AB181)&lt;&gt;"",TRIM(AB181)&lt;&gt;"Closed"),"INVALID – corrective action not closed: use Fail, then Pass after CA","")&amp;IF(AND(TRIM(AA181)&lt;&gt;"",TRIM(AB181)=""),"INVALID – CA status missing for the recorded corrective action","")&amp;IF(AND(TRIM(U181)="Pass after CA",OR(TRIM(AA181)="",TRIM(AB181)&lt;&gt;"Closed")),"INVALID – corrective action not recorded/closed",""),IF(AND(AS181=1,Documents!$J$10&lt;&gt;"ON FILE"),"INVALID – GLD not on file (Documents sheet)",IF(AND(AS181=2,Documents!$O$10&lt;&gt;"ON FILE"),"INVALID – menu checklist not on file (Documents sheet)",IF(AND(AS181=3,NOT(ISNUMBER(Flights!$AX$10))),"INVALID – enter carrying flight KUL departure (Flights AX)",IF(AND(AS181=3,OR(Flights!$AX$10&gt;=Flights!$AA$10,Flights!$AX$10&lt;Flights!$AA$10-3)),"INVALID – Flights AX must be before this leg's STD (within 3 days)",IF(AG181&gt;AsOfUTC,"INVALID – completion time is in the future",IF(AND(ISNUMBER(S181),AG181&lt;S181),IF(H181="Physical uplift","INVALID – before uplift window (cannot confirm loading)","INVALID – before valid window"),IF(AG181&gt;Flights!$AA$10,"INVALID – completed after departure (cannot establish readiness)",IF(AND(H181="Physical uplift",AG181&gt;Q181),"INVALID – recorded after the loading flight departed",IF(AG181&gt;Q181,"COMPLETE – LATE","COMPLETE")))))))))))))))))),IF(TRIM(U181)="Fail","FAIL – DISCREPANCY",IF(AND(TRIM(U181)&lt;&gt;"",TRIM(U181)&lt;&gt;"Not started",TRIM(U181)&lt;&gt;"In progress"),"INVALID – unrecognised status (use the list)",IF(AsOfUTC&gt;Q181,"OVERDUE",IF(N181="Clarification required","OPEN – CLARIFICATION","OPEN")))))))</f>
        <v>OPEN</v>
      </c>
      <c r="AI181" s="61" t="n">
        <f aca="false">IF(OR(AH181="N/A – RULE",AH181="N/A – JUSTIFIED"),0,1)</f>
        <v>1</v>
      </c>
      <c r="AJ181" s="61" t="n">
        <f aca="false">IF(LEFT(AH181,8)="COMPLETE",1,0)</f>
        <v>0</v>
      </c>
      <c r="AK181" s="61" t="n">
        <f aca="false">IF(AND(AI181=1,AJ181=0,AsOfUTC&gt;Q181),1,0)</f>
        <v>0</v>
      </c>
      <c r="AL181" s="61" t="n">
        <f aca="false">IF(AND(AI181=1,OR(TRIM(U181)="Fail",AND(TRIM(AB181)&lt;&gt;"",TRIM(AB181)&lt;&gt;"Closed"),AND(ISNUMBER(AF181),AF181&lt;&gt;0,TRIM(U181)&lt;&gt;"Pass after CA"))),1,0)</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row>
    <row r="182" customFormat="false" ht="39.75" hidden="false" customHeight="true" outlineLevel="0" collapsed="false">
      <c r="A182" s="57" t="s">
        <v>689</v>
      </c>
      <c r="B182" s="57" t="s">
        <v>223</v>
      </c>
      <c r="C182" s="57" t="str">
        <f aca="false">Flights!$F$10</f>
        <v>MH0002</v>
      </c>
      <c r="D182" s="58" t="n">
        <f aca="false">Flights!$D$10</f>
        <v>46310</v>
      </c>
      <c r="E182" s="57" t="str">
        <f aca="false">Flights!$G$10&amp;"-"&amp;Flights!$H$10</f>
        <v>KUL-LHR</v>
      </c>
      <c r="F182" s="57" t="str">
        <f aca="false">Flights!$K$10</f>
        <v>BC</v>
      </c>
      <c r="G182" s="57" t="s">
        <v>385</v>
      </c>
      <c r="H182" s="57" t="s">
        <v>343</v>
      </c>
      <c r="I182" s="57" t="s">
        <v>393</v>
      </c>
      <c r="J182" s="57" t="s">
        <v>403</v>
      </c>
      <c r="K182" s="67"/>
      <c r="L182" s="67" t="s">
        <v>387</v>
      </c>
      <c r="M182" s="67"/>
      <c r="N182" s="67" t="s">
        <v>348</v>
      </c>
      <c r="O182" s="67" t="s">
        <v>388</v>
      </c>
      <c r="P182" s="57" t="s">
        <v>179</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59" t="n">
        <f aca="false">Q182-T12EarlyH/24</f>
        <v>46309.6388888889</v>
      </c>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IF(N182="N/A – rule","N/A – RULE",IF(TRIM(U182)="N/A",IF(AT182=0,"INVALID – N/A not permitted for this mandatory check",IF(AND(TRIM(AC182)&lt;&gt;"",TRIM(AE182)&lt;&gt;"",TRIM(T182)&lt;&gt;"",TRIM(AE182)&lt;&gt;TRIM(T182)),"N/A – JUSTIFIED","INVALID – N/A needs justification, PIC and a different verifier")),IF(OR(TRIM(U182)="Pass",TRIM(U182)="Pass after CA"),IF(NOT(ISNUMBER(AD182)),"INVALID – completion time missing",IF(TRIM(T182)="","INVALID – PIC missing",IF(TRIM(V182)="","INVALID – result / assessment missing",IF(TRIM(Z182)="","INVALID – evidence missing",IF(TRIM(AE182)="","INVALID – verifier missing",IF(TRIM(AE182)=TRIM(T182),"INVALID – verifier must be someone other than the PIC",IF(AND(AQ182=1,TRIM(W182)=""),"INVALID – batch ID missing",IF(AND(AR182=1,OR(NOT(ISNUMBER(X182)),NOT(ISNUMBER(Y182)))),"INVALID – expected/actual qty missing",IF(IF(AND(TRIM(U182)="Pass",ISNUMBER(AF182)),IF(AF182&lt;&gt;0,"INVALID – qty variance: use Fail or Pass after CA",""),"")&amp;IF(AND(TRIM(U182)="Pass",TRIM(AB182)&lt;&gt;"",TRIM(AB182)&lt;&gt;"Closed"),"INVALID – corrective action not closed: use Fail, then Pass after CA","")&amp;IF(AND(TRIM(AA182)&lt;&gt;"",TRIM(AB182)=""),"INVALID – CA status missing for the recorded corrective action","")&amp;IF(AND(TRIM(U182)="Pass after CA",OR(TRIM(AA182)="",TRIM(AB182)&lt;&gt;"Closed")),"INVALID – corrective action not recorded/closed","")&lt;&gt;"",IF(AND(TRIM(U182)="Pass",ISNUMBER(AF182)),IF(AF182&lt;&gt;0,"INVALID – qty variance: use Fail or Pass after CA",""),"")&amp;IF(AND(TRIM(U182)="Pass",TRIM(AB182)&lt;&gt;"",TRIM(AB182)&lt;&gt;"Closed"),"INVALID – corrective action not closed: use Fail, then Pass after CA","")&amp;IF(AND(TRIM(AA182)&lt;&gt;"",TRIM(AB182)=""),"INVALID – CA status missing for the recorded corrective action","")&amp;IF(AND(TRIM(U182)="Pass after CA",OR(TRIM(AA182)="",TRIM(AB182)&lt;&gt;"Closed")),"INVALID – corrective action not recorded/closed",""),IF(AND(AS182=1,Documents!$J$10&lt;&gt;"ON FILE"),"INVALID – GLD not on file (Documents sheet)",IF(AND(AS182=2,Documents!$O$10&lt;&gt;"ON FILE"),"INVALID – menu checklist not on file (Documents sheet)",IF(AND(AS182=3,NOT(ISNUMBER(Flights!$AX$10))),"INVALID – enter carrying flight KUL departure (Flights AX)",IF(AND(AS182=3,OR(Flights!$AX$10&gt;=Flights!$AA$10,Flights!$AX$10&lt;Flights!$AA$10-3)),"INVALID – Flights AX must be before this leg's STD (within 3 days)",IF(AG182&gt;AsOfUTC,"INVALID – completion time is in the future",IF(AND(ISNUMBER(S182),AG182&lt;S182),IF(H182="Physical uplift","INVALID – before uplift window (cannot confirm loading)","INVALID – before valid window"),IF(AG182&gt;Flights!$AA$10,"INVALID – completed after departure (cannot establish readiness)",IF(AND(H182="Physical uplift",AG182&gt;Q182),"INVALID – recorded after the loading flight departed",IF(AG182&gt;Q182,"COMPLETE – LATE","COMPLETE")))))))))))))))))),IF(TRIM(U182)="Fail","FAIL – DISCREPANCY",IF(AND(TRIM(U182)&lt;&gt;"",TRIM(U182)&lt;&gt;"Not started",TRIM(U182)&lt;&gt;"In progress"),"INVALID – unrecognised status (use the list)",IF(AsOfUTC&gt;Q182,"OVERDUE",IF(N182="Clarification required","OPEN – CLARIFICATION","OPEN")))))))</f>
        <v>OPEN</v>
      </c>
      <c r="AI182" s="61" t="n">
        <f aca="false">IF(OR(AH182="N/A – RULE",AH182="N/A – JUSTIFIED"),0,1)</f>
        <v>1</v>
      </c>
      <c r="AJ182" s="61" t="n">
        <f aca="false">IF(LEFT(AH182,8)="COMPLETE",1,0)</f>
        <v>0</v>
      </c>
      <c r="AK182" s="61" t="n">
        <f aca="false">IF(AND(AI182=1,AJ182=0,AsOfUTC&gt;Q182),1,0)</f>
        <v>0</v>
      </c>
      <c r="AL182" s="61" t="n">
        <f aca="false">IF(AND(AI182=1,OR(TRIM(U182)="Fail",AND(TRIM(AB182)&lt;&gt;"",TRIM(AB182)&lt;&gt;"Closed"),AND(ISNUMBER(AF182),AF182&lt;&gt;0,TRIM(U182)&lt;&gt;"Pass after CA"))),1,0)</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row>
    <row r="183" customFormat="false" ht="91.5" hidden="false" customHeight="true" outlineLevel="0" collapsed="false">
      <c r="A183" s="57" t="s">
        <v>690</v>
      </c>
      <c r="B183" s="57" t="s">
        <v>223</v>
      </c>
      <c r="C183" s="57" t="str">
        <f aca="false">Flights!$F$10</f>
        <v>MH0002</v>
      </c>
      <c r="D183" s="58" t="n">
        <f aca="false">Flights!$D$10</f>
        <v>46310</v>
      </c>
      <c r="E183" s="57" t="str">
        <f aca="false">Flights!$G$10&amp;"-"&amp;Flights!$H$10</f>
        <v>KUL-LHR</v>
      </c>
      <c r="F183" s="57" t="str">
        <f aca="false">Flights!$K$10</f>
        <v>BC</v>
      </c>
      <c r="G183" s="57" t="s">
        <v>385</v>
      </c>
      <c r="H183" s="57" t="s">
        <v>343</v>
      </c>
      <c r="I183" s="57" t="s">
        <v>405</v>
      </c>
      <c r="J183" s="57" t="s">
        <v>406</v>
      </c>
      <c r="K183" s="67" t="s">
        <v>466</v>
      </c>
      <c r="L183" s="67" t="s">
        <v>408</v>
      </c>
      <c r="M183" s="67" t="s">
        <v>691</v>
      </c>
      <c r="N183" s="67" t="s">
        <v>409</v>
      </c>
      <c r="O183" s="67" t="s">
        <v>692</v>
      </c>
      <c r="P183" s="57" t="s">
        <v>179</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59" t="n">
        <f aca="false">Q183-T12EarlyH/24</f>
        <v>46309.6388888889</v>
      </c>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IF(N183="N/A – rule","N/A – RULE",IF(TRIM(U183)="N/A",IF(AT183=0,"INVALID – N/A not permitted for this mandatory check",IF(AND(TRIM(AC183)&lt;&gt;"",TRIM(AE183)&lt;&gt;"",TRIM(T183)&lt;&gt;"",TRIM(AE183)&lt;&gt;TRIM(T183)),"N/A – JUSTIFIED","INVALID – N/A needs justification, PIC and a different verifier")),IF(OR(TRIM(U183)="Pass",TRIM(U183)="Pass after CA"),IF(NOT(ISNUMBER(AD183)),"INVALID – completion time missing",IF(TRIM(T183)="","INVALID – PIC missing",IF(TRIM(V183)="","INVALID – result / assessment missing",IF(TRIM(Z183)="","INVALID – evidence missing",IF(TRIM(AE183)="","INVALID – verifier missing",IF(TRIM(AE183)=TRIM(T183),"INVALID – verifier must be someone other than the PIC",IF(AND(AQ183=1,TRIM(W183)=""),"INVALID – batch ID missing",IF(AND(AR183=1,OR(NOT(ISNUMBER(X183)),NOT(ISNUMBER(Y183)))),"INVALID – expected/actual qty missing",IF(IF(AND(TRIM(U183)="Pass",ISNUMBER(AF183)),IF(AF183&lt;&gt;0,"INVALID – qty variance: use Fail or Pass after CA",""),"")&amp;IF(AND(TRIM(U183)="Pass",TRIM(AB183)&lt;&gt;"",TRIM(AB183)&lt;&gt;"Closed"),"INVALID – corrective action not closed: use Fail, then Pass after CA","")&amp;IF(AND(TRIM(AA183)&lt;&gt;"",TRIM(AB183)=""),"INVALID – CA status missing for the recorded corrective action","")&amp;IF(AND(TRIM(U183)="Pass after CA",OR(TRIM(AA183)="",TRIM(AB183)&lt;&gt;"Closed")),"INVALID – corrective action not recorded/closed","")&lt;&gt;"",IF(AND(TRIM(U183)="Pass",ISNUMBER(AF183)),IF(AF183&lt;&gt;0,"INVALID – qty variance: use Fail or Pass after CA",""),"")&amp;IF(AND(TRIM(U183)="Pass",TRIM(AB183)&lt;&gt;"",TRIM(AB183)&lt;&gt;"Closed"),"INVALID – corrective action not closed: use Fail, then Pass after CA","")&amp;IF(AND(TRIM(AA183)&lt;&gt;"",TRIM(AB183)=""),"INVALID – CA status missing for the recorded corrective action","")&amp;IF(AND(TRIM(U183)="Pass after CA",OR(TRIM(AA183)="",TRIM(AB183)&lt;&gt;"Closed")),"INVALID – corrective action not recorded/closed",""),IF(AND(AS183=1,Documents!$J$10&lt;&gt;"ON FILE"),"INVALID – GLD not on file (Documents sheet)",IF(AND(AS183=2,Documents!$O$10&lt;&gt;"ON FILE"),"INVALID – menu checklist not on file (Documents sheet)",IF(AND(AS183=3,NOT(ISNUMBER(Flights!$AX$10))),"INVALID – enter carrying flight KUL departure (Flights AX)",IF(AND(AS183=3,OR(Flights!$AX$10&gt;=Flights!$AA$10,Flights!$AX$10&lt;Flights!$AA$10-3)),"INVALID – Flights AX must be before this leg's STD (within 3 days)",IF(AG183&gt;AsOfUTC,"INVALID – completion time is in the future",IF(AND(ISNUMBER(S183),AG183&lt;S183),IF(H183="Physical uplift","INVALID – before uplift window (cannot confirm loading)","INVALID – before valid window"),IF(AG183&gt;Flights!$AA$10,"INVALID – completed after departure (cannot establish readiness)",IF(AND(H183="Physical uplift",AG183&gt;Q183),"INVALID – recorded after the loading flight departed",IF(AG183&gt;Q183,"COMPLETE – LATE","COMPLETE")))))))))))))))))),IF(TRIM(U183)="Fail","FAIL – DISCREPANCY",IF(AND(TRIM(U183)&lt;&gt;"",TRIM(U183)&lt;&gt;"Not started",TRIM(U183)&lt;&gt;"In progress"),"INVALID – unrecognised status (use the list)",IF(AsOfUTC&gt;Q183,"OVERDUE",IF(N183="Clarification required","OPEN – CLARIFICATION","OPEN")))))))</f>
        <v>OPEN – CLARIFICATION</v>
      </c>
      <c r="AI183" s="61" t="n">
        <f aca="false">IF(OR(AH183="N/A – RULE",AH183="N/A – JUSTIFIED"),0,1)</f>
        <v>1</v>
      </c>
      <c r="AJ183" s="61" t="n">
        <f aca="false">IF(LEFT(AH183,8)="COMPLETE",1,0)</f>
        <v>0</v>
      </c>
      <c r="AK183" s="61" t="n">
        <f aca="false">IF(AND(AI183=1,AJ183=0,AsOfUTC&gt;Q183),1,0)</f>
        <v>0</v>
      </c>
      <c r="AL183" s="61" t="n">
        <f aca="false">IF(AND(AI183=1,OR(TRIM(U183)="Fail",AND(TRIM(AB183)&lt;&gt;"",TRIM(AB183)&lt;&gt;"Closed"),AND(ISNUMBER(AF183),AF183&lt;&gt;0,TRIM(U183)&lt;&gt;"Pass after CA"))),1,0)</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8" t="b">
        <f aca="false">TRUE()</f>
        <v>1</v>
      </c>
    </row>
    <row r="184" customFormat="false" ht="39.75" hidden="false" customHeight="true" outlineLevel="0" collapsed="false">
      <c r="A184" s="57" t="s">
        <v>693</v>
      </c>
      <c r="B184" s="57" t="s">
        <v>223</v>
      </c>
      <c r="C184" s="57" t="str">
        <f aca="false">Flights!$F$10</f>
        <v>MH0002</v>
      </c>
      <c r="D184" s="58" t="n">
        <f aca="false">Flights!$D$10</f>
        <v>46310</v>
      </c>
      <c r="E184" s="57" t="str">
        <f aca="false">Flights!$G$10&amp;"-"&amp;Flights!$H$10</f>
        <v>KUL-LHR</v>
      </c>
      <c r="F184" s="57" t="str">
        <f aca="false">Flights!$K$10</f>
        <v>BC</v>
      </c>
      <c r="G184" s="57" t="s">
        <v>385</v>
      </c>
      <c r="H184" s="57" t="s">
        <v>343</v>
      </c>
      <c r="I184" s="57" t="s">
        <v>405</v>
      </c>
      <c r="J184" s="57" t="s">
        <v>694</v>
      </c>
      <c r="K184" s="67" t="s">
        <v>695</v>
      </c>
      <c r="L184" s="67" t="s">
        <v>696</v>
      </c>
      <c r="M184" s="67" t="s">
        <v>179</v>
      </c>
      <c r="N184" s="67" t="s">
        <v>348</v>
      </c>
      <c r="O184" s="67" t="s">
        <v>697</v>
      </c>
      <c r="P184" s="57" t="s">
        <v>179</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59" t="n">
        <f aca="false">Q184-T12EarlyH/24</f>
        <v>46309.6388888889</v>
      </c>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IF(N184="N/A – rule","N/A – RULE",IF(TRIM(U184)="N/A",IF(AT184=0,"INVALID – N/A not permitted for this mandatory check",IF(AND(TRIM(AC184)&lt;&gt;"",TRIM(AE184)&lt;&gt;"",TRIM(T184)&lt;&gt;"",TRIM(AE184)&lt;&gt;TRIM(T184)),"N/A – JUSTIFIED","INVALID – N/A needs justification, PIC and a different verifier")),IF(OR(TRIM(U184)="Pass",TRIM(U184)="Pass after CA"),IF(NOT(ISNUMBER(AD184)),"INVALID – completion time missing",IF(TRIM(T184)="","INVALID – PIC missing",IF(TRIM(V184)="","INVALID – result / assessment missing",IF(TRIM(Z184)="","INVALID – evidence missing",IF(TRIM(AE184)="","INVALID – verifier missing",IF(TRIM(AE184)=TRIM(T184),"INVALID – verifier must be someone other than the PIC",IF(AND(AQ184=1,TRIM(W184)=""),"INVALID – batch ID missing",IF(AND(AR184=1,OR(NOT(ISNUMBER(X184)),NOT(ISNUMBER(Y184)))),"INVALID – expected/actual qty missing",IF(IF(AND(TRIM(U184)="Pass",ISNUMBER(AF184)),IF(AF184&lt;&gt;0,"INVALID – qty variance: use Fail or Pass after CA",""),"")&amp;IF(AND(TRIM(U184)="Pass",TRIM(AB184)&lt;&gt;"",TRIM(AB184)&lt;&gt;"Closed"),"INVALID – corrective action not closed: use Fail, then Pass after CA","")&amp;IF(AND(TRIM(AA184)&lt;&gt;"",TRIM(AB184)=""),"INVALID – CA status missing for the recorded corrective action","")&amp;IF(AND(TRIM(U184)="Pass after CA",OR(TRIM(AA184)="",TRIM(AB184)&lt;&gt;"Closed")),"INVALID – corrective action not recorded/closed","")&lt;&gt;"",IF(AND(TRIM(U184)="Pass",ISNUMBER(AF184)),IF(AF184&lt;&gt;0,"INVALID – qty variance: use Fail or Pass after CA",""),"")&amp;IF(AND(TRIM(U184)="Pass",TRIM(AB184)&lt;&gt;"",TRIM(AB184)&lt;&gt;"Closed"),"INVALID – corrective action not closed: use Fail, then Pass after CA","")&amp;IF(AND(TRIM(AA184)&lt;&gt;"",TRIM(AB184)=""),"INVALID – CA status missing for the recorded corrective action","")&amp;IF(AND(TRIM(U184)="Pass after CA",OR(TRIM(AA184)="",TRIM(AB184)&lt;&gt;"Closed")),"INVALID – corrective action not recorded/closed",""),IF(AND(AS184=1,Documents!$J$10&lt;&gt;"ON FILE"),"INVALID – GLD not on file (Documents sheet)",IF(AND(AS184=2,Documents!$O$10&lt;&gt;"ON FILE"),"INVALID – menu checklist not on file (Documents sheet)",IF(AND(AS184=3,NOT(ISNUMBER(Flights!$AX$10))),"INVALID – enter carrying flight KUL departure (Flights AX)",IF(AND(AS184=3,OR(Flights!$AX$10&gt;=Flights!$AA$10,Flights!$AX$10&lt;Flights!$AA$10-3)),"INVALID – Flights AX must be before this leg's STD (within 3 days)",IF(AG184&gt;AsOfUTC,"INVALID – completion time is in the future",IF(AND(ISNUMBER(S184),AG184&lt;S184),IF(H184="Physical uplift","INVALID – before uplift window (cannot confirm loading)","INVALID – before valid window"),IF(AG184&gt;Flights!$AA$10,"INVALID – completed after departure (cannot establish readiness)",IF(AND(H184="Physical uplift",AG184&gt;Q184),"INVALID – recorded after the loading flight departed",IF(AG184&gt;Q184,"COMPLETE – LATE","COMPLETE")))))))))))))))))),IF(TRIM(U184)="Fail","FAIL – DISCREPANCY",IF(AND(TRIM(U184)&lt;&gt;"",TRIM(U184)&lt;&gt;"Not started",TRIM(U184)&lt;&gt;"In progress"),"INVALID – unrecognised status (use the list)",IF(AsOfUTC&gt;Q184,"OVERDUE",IF(N184="Clarification required","OPEN – CLARIFICATION","OPEN")))))))</f>
        <v>OPEN</v>
      </c>
      <c r="AI184" s="61" t="n">
        <f aca="false">IF(OR(AH184="N/A – RULE",AH184="N/A – JUSTIFIED"),0,1)</f>
        <v>1</v>
      </c>
      <c r="AJ184" s="61" t="n">
        <f aca="false">IF(LEFT(AH184,8)="COMPLETE",1,0)</f>
        <v>0</v>
      </c>
      <c r="AK184" s="61" t="n">
        <f aca="false">IF(AND(AI184=1,AJ184=0,AsOfUTC&gt;Q184),1,0)</f>
        <v>0</v>
      </c>
      <c r="AL184" s="61" t="n">
        <f aca="false">IF(AND(AI184=1,OR(TRIM(U184)="Fail",AND(TRIM(AB184)&lt;&gt;"",TRIM(AB184)&lt;&gt;"Closed"),AND(ISNUMBER(AF184),AF184&lt;&gt;0,TRIM(U184)&lt;&gt;"Pass after CA"))),1,0)</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8" t="b">
        <f aca="false">TRUE()</f>
        <v>1</v>
      </c>
    </row>
    <row r="185" customFormat="false" ht="39.75" hidden="false" customHeight="true" outlineLevel="0" collapsed="false">
      <c r="A185" s="57" t="s">
        <v>698</v>
      </c>
      <c r="B185" s="57" t="s">
        <v>223</v>
      </c>
      <c r="C185" s="57" t="str">
        <f aca="false">Flights!$F$10</f>
        <v>MH0002</v>
      </c>
      <c r="D185" s="58" t="n">
        <f aca="false">Flights!$D$10</f>
        <v>46310</v>
      </c>
      <c r="E185" s="57" t="str">
        <f aca="false">Flights!$G$10&amp;"-"&amp;Flights!$H$10</f>
        <v>KUL-LHR</v>
      </c>
      <c r="F185" s="57" t="str">
        <f aca="false">Flights!$K$10</f>
        <v>BC</v>
      </c>
      <c r="G185" s="57" t="s">
        <v>385</v>
      </c>
      <c r="H185" s="57" t="s">
        <v>343</v>
      </c>
      <c r="I185" s="57" t="s">
        <v>405</v>
      </c>
      <c r="J185" s="57" t="s">
        <v>568</v>
      </c>
      <c r="K185" s="67" t="s">
        <v>466</v>
      </c>
      <c r="L185" s="67" t="s">
        <v>699</v>
      </c>
      <c r="M185" s="67" t="s">
        <v>179</v>
      </c>
      <c r="N185" s="67" t="s">
        <v>348</v>
      </c>
      <c r="O185" s="67"/>
      <c r="P185" s="57" t="s">
        <v>179</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59" t="n">
        <f aca="false">Q185-T12EarlyH/24</f>
        <v>46309.6388888889</v>
      </c>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IF(N185="N/A – rule","N/A – RULE",IF(TRIM(U185)="N/A",IF(AT185=0,"INVALID – N/A not permitted for this mandatory check",IF(AND(TRIM(AC185)&lt;&gt;"",TRIM(AE185)&lt;&gt;"",TRIM(T185)&lt;&gt;"",TRIM(AE185)&lt;&gt;TRIM(T185)),"N/A – JUSTIFIED","INVALID – N/A needs justification, PIC and a different verifier")),IF(OR(TRIM(U185)="Pass",TRIM(U185)="Pass after CA"),IF(NOT(ISNUMBER(AD185)),"INVALID – completion time missing",IF(TRIM(T185)="","INVALID – PIC missing",IF(TRIM(V185)="","INVALID – result / assessment missing",IF(TRIM(Z185)="","INVALID – evidence missing",IF(TRIM(AE185)="","INVALID – verifier missing",IF(TRIM(AE185)=TRIM(T185),"INVALID – verifier must be someone other than the PIC",IF(AND(AQ185=1,TRIM(W185)=""),"INVALID – batch ID missing",IF(AND(AR185=1,OR(NOT(ISNUMBER(X185)),NOT(ISNUMBER(Y185)))),"INVALID – expected/actual qty missing",IF(IF(AND(TRIM(U185)="Pass",ISNUMBER(AF185)),IF(AF185&lt;&gt;0,"INVALID – qty variance: use Fail or Pass after CA",""),"")&amp;IF(AND(TRIM(U185)="Pass",TRIM(AB185)&lt;&gt;"",TRIM(AB185)&lt;&gt;"Closed"),"INVALID – corrective action not closed: use Fail, then Pass after CA","")&amp;IF(AND(TRIM(AA185)&lt;&gt;"",TRIM(AB185)=""),"INVALID – CA status missing for the recorded corrective action","")&amp;IF(AND(TRIM(U185)="Pass after CA",OR(TRIM(AA185)="",TRIM(AB185)&lt;&gt;"Closed")),"INVALID – corrective action not recorded/closed","")&lt;&gt;"",IF(AND(TRIM(U185)="Pass",ISNUMBER(AF185)),IF(AF185&lt;&gt;0,"INVALID – qty variance: use Fail or Pass after CA",""),"")&amp;IF(AND(TRIM(U185)="Pass",TRIM(AB185)&lt;&gt;"",TRIM(AB185)&lt;&gt;"Closed"),"INVALID – corrective action not closed: use Fail, then Pass after CA","")&amp;IF(AND(TRIM(AA185)&lt;&gt;"",TRIM(AB185)=""),"INVALID – CA status missing for the recorded corrective action","")&amp;IF(AND(TRIM(U185)="Pass after CA",OR(TRIM(AA185)="",TRIM(AB185)&lt;&gt;"Closed")),"INVALID – corrective action not recorded/closed",""),IF(AND(AS185=1,Documents!$J$10&lt;&gt;"ON FILE"),"INVALID – GLD not on file (Documents sheet)",IF(AND(AS185=2,Documents!$O$10&lt;&gt;"ON FILE"),"INVALID – menu checklist not on file (Documents sheet)",IF(AND(AS185=3,NOT(ISNUMBER(Flights!$AX$10))),"INVALID – enter carrying flight KUL departure (Flights AX)",IF(AND(AS185=3,OR(Flights!$AX$10&gt;=Flights!$AA$10,Flights!$AX$10&lt;Flights!$AA$10-3)),"INVALID – Flights AX must be before this leg's STD (within 3 days)",IF(AG185&gt;AsOfUTC,"INVALID – completion time is in the future",IF(AND(ISNUMBER(S185),AG185&lt;S185),IF(H185="Physical uplift","INVALID – before uplift window (cannot confirm loading)","INVALID – before valid window"),IF(AG185&gt;Flights!$AA$10,"INVALID – completed after departure (cannot establish readiness)",IF(AND(H185="Physical uplift",AG185&gt;Q185),"INVALID – recorded after the loading flight departed",IF(AG185&gt;Q185,"COMPLETE – LATE","COMPLETE")))))))))))))))))),IF(TRIM(U185)="Fail","FAIL – DISCREPANCY",IF(AND(TRIM(U185)&lt;&gt;"",TRIM(U185)&lt;&gt;"Not started",TRIM(U185)&lt;&gt;"In progress"),"INVALID – unrecognised status (use the list)",IF(AsOfUTC&gt;Q185,"OVERDUE",IF(N185="Clarification required","OPEN – CLARIFICATION","OPEN")))))))</f>
        <v>OPEN</v>
      </c>
      <c r="AI185" s="61" t="n">
        <f aca="false">IF(OR(AH185="N/A – RULE",AH185="N/A – JUSTIFIED"),0,1)</f>
        <v>1</v>
      </c>
      <c r="AJ185" s="61" t="n">
        <f aca="false">IF(LEFT(AH185,8)="COMPLETE",1,0)</f>
        <v>0</v>
      </c>
      <c r="AK185" s="61" t="n">
        <f aca="false">IF(AND(AI185=1,AJ185=0,AsOfUTC&gt;Q185),1,0)</f>
        <v>0</v>
      </c>
      <c r="AL185" s="61" t="n">
        <f aca="false">IF(AND(AI185=1,OR(TRIM(U185)="Fail",AND(TRIM(AB185)&lt;&gt;"",TRIM(AB185)&lt;&gt;"Closed"),AND(ISNUMBER(AF185),AF185&lt;&gt;0,TRIM(U185)&lt;&gt;"Pass after CA"))),1,0)</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8" t="b">
        <f aca="false">TRUE()</f>
        <v>1</v>
      </c>
    </row>
    <row r="186" customFormat="false" ht="41.25" hidden="false" customHeight="true" outlineLevel="0" collapsed="false">
      <c r="A186" s="57" t="s">
        <v>700</v>
      </c>
      <c r="B186" s="57" t="s">
        <v>223</v>
      </c>
      <c r="C186" s="57" t="str">
        <f aca="false">Flights!$F$10</f>
        <v>MH0002</v>
      </c>
      <c r="D186" s="58" t="n">
        <f aca="false">Flights!$D$10</f>
        <v>46310</v>
      </c>
      <c r="E186" s="57" t="str">
        <f aca="false">Flights!$G$10&amp;"-"&amp;Flights!$H$10</f>
        <v>KUL-LHR</v>
      </c>
      <c r="F186" s="57" t="str">
        <f aca="false">Flights!$K$10</f>
        <v>BC</v>
      </c>
      <c r="G186" s="57" t="s">
        <v>385</v>
      </c>
      <c r="H186" s="57" t="s">
        <v>343</v>
      </c>
      <c r="I186" s="57" t="s">
        <v>464</v>
      </c>
      <c r="J186" s="57" t="s">
        <v>465</v>
      </c>
      <c r="K186" s="67" t="s">
        <v>466</v>
      </c>
      <c r="L186" s="67" t="s">
        <v>701</v>
      </c>
      <c r="M186" s="67" t="s">
        <v>416</v>
      </c>
      <c r="N186" s="67" t="s">
        <v>348</v>
      </c>
      <c r="O186" s="67" t="s">
        <v>468</v>
      </c>
      <c r="P186" s="57" t="s">
        <v>179</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59" t="n">
        <f aca="false">Q186-T12EarlyH/24</f>
        <v>46309.6388888889</v>
      </c>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IF(N186="N/A – rule","N/A – RULE",IF(TRIM(U186)="N/A",IF(AT186=0,"INVALID – N/A not permitted for this mandatory check",IF(AND(TRIM(AC186)&lt;&gt;"",TRIM(AE186)&lt;&gt;"",TRIM(T186)&lt;&gt;"",TRIM(AE186)&lt;&gt;TRIM(T186)),"N/A – JUSTIFIED","INVALID – N/A needs justification, PIC and a different verifier")),IF(OR(TRIM(U186)="Pass",TRIM(U186)="Pass after CA"),IF(NOT(ISNUMBER(AD186)),"INVALID – completion time missing",IF(TRIM(T186)="","INVALID – PIC missing",IF(TRIM(V186)="","INVALID – result / assessment missing",IF(TRIM(Z186)="","INVALID – evidence missing",IF(TRIM(AE186)="","INVALID – verifier missing",IF(TRIM(AE186)=TRIM(T186),"INVALID – verifier must be someone other than the PIC",IF(AND(AQ186=1,TRIM(W186)=""),"INVALID – batch ID missing",IF(AND(AR186=1,OR(NOT(ISNUMBER(X186)),NOT(ISNUMBER(Y186)))),"INVALID – expected/actual qty missing",IF(IF(AND(TRIM(U186)="Pass",ISNUMBER(AF186)),IF(AF186&lt;&gt;0,"INVALID – qty variance: use Fail or Pass after CA",""),"")&amp;IF(AND(TRIM(U186)="Pass",TRIM(AB186)&lt;&gt;"",TRIM(AB186)&lt;&gt;"Closed"),"INVALID – corrective action not closed: use Fail, then Pass after CA","")&amp;IF(AND(TRIM(AA186)&lt;&gt;"",TRIM(AB186)=""),"INVALID – CA status missing for the recorded corrective action","")&amp;IF(AND(TRIM(U186)="Pass after CA",OR(TRIM(AA186)="",TRIM(AB186)&lt;&gt;"Closed")),"INVALID – corrective action not recorded/closed","")&lt;&gt;"",IF(AND(TRIM(U186)="Pass",ISNUMBER(AF186)),IF(AF186&lt;&gt;0,"INVALID – qty variance: use Fail or Pass after CA",""),"")&amp;IF(AND(TRIM(U186)="Pass",TRIM(AB186)&lt;&gt;"",TRIM(AB186)&lt;&gt;"Closed"),"INVALID – corrective action not closed: use Fail, then Pass after CA","")&amp;IF(AND(TRIM(AA186)&lt;&gt;"",TRIM(AB186)=""),"INVALID – CA status missing for the recorded corrective action","")&amp;IF(AND(TRIM(U186)="Pass after CA",OR(TRIM(AA186)="",TRIM(AB186)&lt;&gt;"Closed")),"INVALID – corrective action not recorded/closed",""),IF(AND(AS186=1,Documents!$J$10&lt;&gt;"ON FILE"),"INVALID – GLD not on file (Documents sheet)",IF(AND(AS186=2,Documents!$O$10&lt;&gt;"ON FILE"),"INVALID – menu checklist not on file (Documents sheet)",IF(AND(AS186=3,NOT(ISNUMBER(Flights!$AX$10))),"INVALID – enter carrying flight KUL departure (Flights AX)",IF(AND(AS186=3,OR(Flights!$AX$10&gt;=Flights!$AA$10,Flights!$AX$10&lt;Flights!$AA$10-3)),"INVALID – Flights AX must be before this leg's STD (within 3 days)",IF(AG186&gt;AsOfUTC,"INVALID – completion time is in the future",IF(AND(ISNUMBER(S186),AG186&lt;S186),IF(H186="Physical uplift","INVALID – before uplift window (cannot confirm loading)","INVALID – before valid window"),IF(AG186&gt;Flights!$AA$10,"INVALID – completed after departure (cannot establish readiness)",IF(AND(H186="Physical uplift",AG186&gt;Q186),"INVALID – recorded after the loading flight departed",IF(AG186&gt;Q186,"COMPLETE – LATE","COMPLETE")))))))))))))))))),IF(TRIM(U186)="Fail","FAIL – DISCREPANCY",IF(AND(TRIM(U186)&lt;&gt;"",TRIM(U186)&lt;&gt;"Not started",TRIM(U186)&lt;&gt;"In progress"),"INVALID – unrecognised status (use the list)",IF(AsOfUTC&gt;Q186,"OVERDUE",IF(N186="Clarification required","OPEN – CLARIFICATION","OPEN")))))))</f>
        <v>OPEN</v>
      </c>
      <c r="AI186" s="61" t="n">
        <f aca="false">IF(OR(AH186="N/A – RULE",AH186="N/A – JUSTIFIED"),0,1)</f>
        <v>1</v>
      </c>
      <c r="AJ186" s="61" t="n">
        <f aca="false">IF(LEFT(AH186,8)="COMPLETE",1,0)</f>
        <v>0</v>
      </c>
      <c r="AK186" s="61" t="n">
        <f aca="false">IF(AND(AI186=1,AJ186=0,AsOfUTC&gt;Q186),1,0)</f>
        <v>0</v>
      </c>
      <c r="AL186" s="61" t="n">
        <f aca="false">IF(AND(AI186=1,OR(TRIM(U186)="Fail",AND(TRIM(AB186)&lt;&gt;"",TRIM(AB186)&lt;&gt;"Closed"),AND(ISNUMBER(AF186),AF186&lt;&gt;0,TRIM(U186)&lt;&gt;"Pass after CA"))),1,0)</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8" t="b">
        <f aca="false">TRUE()</f>
        <v>1</v>
      </c>
    </row>
    <row r="187" customFormat="false" ht="41.25" hidden="false" customHeight="true" outlineLevel="0" collapsed="false">
      <c r="A187" s="57" t="s">
        <v>702</v>
      </c>
      <c r="B187" s="57" t="s">
        <v>223</v>
      </c>
      <c r="C187" s="57" t="str">
        <f aca="false">Flights!$F$10</f>
        <v>MH0002</v>
      </c>
      <c r="D187" s="58" t="n">
        <f aca="false">Flights!$D$10</f>
        <v>46310</v>
      </c>
      <c r="E187" s="57" t="str">
        <f aca="false">Flights!$G$10&amp;"-"&amp;Flights!$H$10</f>
        <v>KUL-LHR</v>
      </c>
      <c r="F187" s="57" t="str">
        <f aca="false">Flights!$K$10</f>
        <v>BC</v>
      </c>
      <c r="G187" s="57" t="s">
        <v>385</v>
      </c>
      <c r="H187" s="57" t="s">
        <v>343</v>
      </c>
      <c r="I187" s="57" t="s">
        <v>464</v>
      </c>
      <c r="J187" s="57" t="s">
        <v>470</v>
      </c>
      <c r="K187" s="67" t="s">
        <v>466</v>
      </c>
      <c r="L187" s="67" t="s">
        <v>703</v>
      </c>
      <c r="M187" s="67" t="s">
        <v>416</v>
      </c>
      <c r="N187" s="67" t="s">
        <v>348</v>
      </c>
      <c r="O187" s="67" t="s">
        <v>468</v>
      </c>
      <c r="P187" s="57" t="s">
        <v>179</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59" t="n">
        <f aca="false">Q187-T12EarlyH/24</f>
        <v>46309.6388888889</v>
      </c>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IF(N187="N/A – rule","N/A – RULE",IF(TRIM(U187)="N/A",IF(AT187=0,"INVALID – N/A not permitted for this mandatory check",IF(AND(TRIM(AC187)&lt;&gt;"",TRIM(AE187)&lt;&gt;"",TRIM(T187)&lt;&gt;"",TRIM(AE187)&lt;&gt;TRIM(T187)),"N/A – JUSTIFIED","INVALID – N/A needs justification, PIC and a different verifier")),IF(OR(TRIM(U187)="Pass",TRIM(U187)="Pass after CA"),IF(NOT(ISNUMBER(AD187)),"INVALID – completion time missing",IF(TRIM(T187)="","INVALID – PIC missing",IF(TRIM(V187)="","INVALID – result / assessment missing",IF(TRIM(Z187)="","INVALID – evidence missing",IF(TRIM(AE187)="","INVALID – verifier missing",IF(TRIM(AE187)=TRIM(T187),"INVALID – verifier must be someone other than the PIC",IF(AND(AQ187=1,TRIM(W187)=""),"INVALID – batch ID missing",IF(AND(AR187=1,OR(NOT(ISNUMBER(X187)),NOT(ISNUMBER(Y187)))),"INVALID – expected/actual qty missing",IF(IF(AND(TRIM(U187)="Pass",ISNUMBER(AF187)),IF(AF187&lt;&gt;0,"INVALID – qty variance: use Fail or Pass after CA",""),"")&amp;IF(AND(TRIM(U187)="Pass",TRIM(AB187)&lt;&gt;"",TRIM(AB187)&lt;&gt;"Closed"),"INVALID – corrective action not closed: use Fail, then Pass after CA","")&amp;IF(AND(TRIM(AA187)&lt;&gt;"",TRIM(AB187)=""),"INVALID – CA status missing for the recorded corrective action","")&amp;IF(AND(TRIM(U187)="Pass after CA",OR(TRIM(AA187)="",TRIM(AB187)&lt;&gt;"Closed")),"INVALID – corrective action not recorded/closed","")&lt;&gt;"",IF(AND(TRIM(U187)="Pass",ISNUMBER(AF187)),IF(AF187&lt;&gt;0,"INVALID – qty variance: use Fail or Pass after CA",""),"")&amp;IF(AND(TRIM(U187)="Pass",TRIM(AB187)&lt;&gt;"",TRIM(AB187)&lt;&gt;"Closed"),"INVALID – corrective action not closed: use Fail, then Pass after CA","")&amp;IF(AND(TRIM(AA187)&lt;&gt;"",TRIM(AB187)=""),"INVALID – CA status missing for the recorded corrective action","")&amp;IF(AND(TRIM(U187)="Pass after CA",OR(TRIM(AA187)="",TRIM(AB187)&lt;&gt;"Closed")),"INVALID – corrective action not recorded/closed",""),IF(AND(AS187=1,Documents!$J$10&lt;&gt;"ON FILE"),"INVALID – GLD not on file (Documents sheet)",IF(AND(AS187=2,Documents!$O$10&lt;&gt;"ON FILE"),"INVALID – menu checklist not on file (Documents sheet)",IF(AND(AS187=3,NOT(ISNUMBER(Flights!$AX$10))),"INVALID – enter carrying flight KUL departure (Flights AX)",IF(AND(AS187=3,OR(Flights!$AX$10&gt;=Flights!$AA$10,Flights!$AX$10&lt;Flights!$AA$10-3)),"INVALID – Flights AX must be before this leg's STD (within 3 days)",IF(AG187&gt;AsOfUTC,"INVALID – completion time is in the future",IF(AND(ISNUMBER(S187),AG187&lt;S187),IF(H187="Physical uplift","INVALID – before uplift window (cannot confirm loading)","INVALID – before valid window"),IF(AG187&gt;Flights!$AA$10,"INVALID – completed after departure (cannot establish readiness)",IF(AND(H187="Physical uplift",AG187&gt;Q187),"INVALID – recorded after the loading flight departed",IF(AG187&gt;Q187,"COMPLETE – LATE","COMPLETE")))))))))))))))))),IF(TRIM(U187)="Fail","FAIL – DISCREPANCY",IF(AND(TRIM(U187)&lt;&gt;"",TRIM(U187)&lt;&gt;"Not started",TRIM(U187)&lt;&gt;"In progress"),"INVALID – unrecognised status (use the list)",IF(AsOfUTC&gt;Q187,"OVERDUE",IF(N187="Clarification required","OPEN – CLARIFICATION","OPEN")))))))</f>
        <v>OPEN</v>
      </c>
      <c r="AI187" s="61" t="n">
        <f aca="false">IF(OR(AH187="N/A – RULE",AH187="N/A – JUSTIFIED"),0,1)</f>
        <v>1</v>
      </c>
      <c r="AJ187" s="61" t="n">
        <f aca="false">IF(LEFT(AH187,8)="COMPLETE",1,0)</f>
        <v>0</v>
      </c>
      <c r="AK187" s="61" t="n">
        <f aca="false">IF(AND(AI187=1,AJ187=0,AsOfUTC&gt;Q187),1,0)</f>
        <v>0</v>
      </c>
      <c r="AL187" s="61" t="n">
        <f aca="false">IF(AND(AI187=1,OR(TRIM(U187)="Fail",AND(TRIM(AB187)&lt;&gt;"",TRIM(AB187)&lt;&gt;"Closed"),AND(ISNUMBER(AF187),AF187&lt;&gt;0,TRIM(U187)&lt;&gt;"Pass after CA"))),1,0)</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8" t="b">
        <f aca="false">TRUE()</f>
        <v>1</v>
      </c>
    </row>
    <row r="188" customFormat="false" ht="41.25" hidden="false" customHeight="true" outlineLevel="0" collapsed="false">
      <c r="A188" s="57" t="s">
        <v>704</v>
      </c>
      <c r="B188" s="57" t="s">
        <v>223</v>
      </c>
      <c r="C188" s="57" t="str">
        <f aca="false">Flights!$F$10</f>
        <v>MH0002</v>
      </c>
      <c r="D188" s="58" t="n">
        <f aca="false">Flights!$D$10</f>
        <v>46310</v>
      </c>
      <c r="E188" s="57" t="str">
        <f aca="false">Flights!$G$10&amp;"-"&amp;Flights!$H$10</f>
        <v>KUL-LHR</v>
      </c>
      <c r="F188" s="57" t="str">
        <f aca="false">Flights!$K$10</f>
        <v>BC</v>
      </c>
      <c r="G188" s="57" t="s">
        <v>385</v>
      </c>
      <c r="H188" s="57" t="s">
        <v>343</v>
      </c>
      <c r="I188" s="57" t="s">
        <v>464</v>
      </c>
      <c r="J188" s="57" t="s">
        <v>473</v>
      </c>
      <c r="K188" s="67" t="s">
        <v>466</v>
      </c>
      <c r="L188" s="67" t="s">
        <v>705</v>
      </c>
      <c r="M188" s="67" t="s">
        <v>416</v>
      </c>
      <c r="N188" s="67" t="s">
        <v>348</v>
      </c>
      <c r="O188" s="67" t="s">
        <v>468</v>
      </c>
      <c r="P188" s="57" t="s">
        <v>179</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59" t="n">
        <f aca="false">Q188-T12EarlyH/24</f>
        <v>46309.6388888889</v>
      </c>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IF(N188="N/A – rule","N/A – RULE",IF(TRIM(U188)="N/A",IF(AT188=0,"INVALID – N/A not permitted for this mandatory check",IF(AND(TRIM(AC188)&lt;&gt;"",TRIM(AE188)&lt;&gt;"",TRIM(T188)&lt;&gt;"",TRIM(AE188)&lt;&gt;TRIM(T188)),"N/A – JUSTIFIED","INVALID – N/A needs justification, PIC and a different verifier")),IF(OR(TRIM(U188)="Pass",TRIM(U188)="Pass after CA"),IF(NOT(ISNUMBER(AD188)),"INVALID – completion time missing",IF(TRIM(T188)="","INVALID – PIC missing",IF(TRIM(V188)="","INVALID – result / assessment missing",IF(TRIM(Z188)="","INVALID – evidence missing",IF(TRIM(AE188)="","INVALID – verifier missing",IF(TRIM(AE188)=TRIM(T188),"INVALID – verifier must be someone other than the PIC",IF(AND(AQ188=1,TRIM(W188)=""),"INVALID – batch ID missing",IF(AND(AR188=1,OR(NOT(ISNUMBER(X188)),NOT(ISNUMBER(Y188)))),"INVALID – expected/actual qty missing",IF(IF(AND(TRIM(U188)="Pass",ISNUMBER(AF188)),IF(AF188&lt;&gt;0,"INVALID – qty variance: use Fail or Pass after CA",""),"")&amp;IF(AND(TRIM(U188)="Pass",TRIM(AB188)&lt;&gt;"",TRIM(AB188)&lt;&gt;"Closed"),"INVALID – corrective action not closed: use Fail, then Pass after CA","")&amp;IF(AND(TRIM(AA188)&lt;&gt;"",TRIM(AB188)=""),"INVALID – CA status missing for the recorded corrective action","")&amp;IF(AND(TRIM(U188)="Pass after CA",OR(TRIM(AA188)="",TRIM(AB188)&lt;&gt;"Closed")),"INVALID – corrective action not recorded/closed","")&lt;&gt;"",IF(AND(TRIM(U188)="Pass",ISNUMBER(AF188)),IF(AF188&lt;&gt;0,"INVALID – qty variance: use Fail or Pass after CA",""),"")&amp;IF(AND(TRIM(U188)="Pass",TRIM(AB188)&lt;&gt;"",TRIM(AB188)&lt;&gt;"Closed"),"INVALID – corrective action not closed: use Fail, then Pass after CA","")&amp;IF(AND(TRIM(AA188)&lt;&gt;"",TRIM(AB188)=""),"INVALID – CA status missing for the recorded corrective action","")&amp;IF(AND(TRIM(U188)="Pass after CA",OR(TRIM(AA188)="",TRIM(AB188)&lt;&gt;"Closed")),"INVALID – corrective action not recorded/closed",""),IF(AND(AS188=1,Documents!$J$10&lt;&gt;"ON FILE"),"INVALID – GLD not on file (Documents sheet)",IF(AND(AS188=2,Documents!$O$10&lt;&gt;"ON FILE"),"INVALID – menu checklist not on file (Documents sheet)",IF(AND(AS188=3,NOT(ISNUMBER(Flights!$AX$10))),"INVALID – enter carrying flight KUL departure (Flights AX)",IF(AND(AS188=3,OR(Flights!$AX$10&gt;=Flights!$AA$10,Flights!$AX$10&lt;Flights!$AA$10-3)),"INVALID – Flights AX must be before this leg's STD (within 3 days)",IF(AG188&gt;AsOfUTC,"INVALID – completion time is in the future",IF(AND(ISNUMBER(S188),AG188&lt;S188),IF(H188="Physical uplift","INVALID – before uplift window (cannot confirm loading)","INVALID – before valid window"),IF(AG188&gt;Flights!$AA$10,"INVALID – completed after departure (cannot establish readiness)",IF(AND(H188="Physical uplift",AG188&gt;Q188),"INVALID – recorded after the loading flight departed",IF(AG188&gt;Q188,"COMPLETE – LATE","COMPLETE")))))))))))))))))),IF(TRIM(U188)="Fail","FAIL – DISCREPANCY",IF(AND(TRIM(U188)&lt;&gt;"",TRIM(U188)&lt;&gt;"Not started",TRIM(U188)&lt;&gt;"In progress"),"INVALID – unrecognised status (use the list)",IF(AsOfUTC&gt;Q188,"OVERDUE",IF(N188="Clarification required","OPEN – CLARIFICATION","OPEN")))))))</f>
        <v>OPEN</v>
      </c>
      <c r="AI188" s="61" t="n">
        <f aca="false">IF(OR(AH188="N/A – RULE",AH188="N/A – JUSTIFIED"),0,1)</f>
        <v>1</v>
      </c>
      <c r="AJ188" s="61" t="n">
        <f aca="false">IF(LEFT(AH188,8)="COMPLETE",1,0)</f>
        <v>0</v>
      </c>
      <c r="AK188" s="61" t="n">
        <f aca="false">IF(AND(AI188=1,AJ188=0,AsOfUTC&gt;Q188),1,0)</f>
        <v>0</v>
      </c>
      <c r="AL188" s="61" t="n">
        <f aca="false">IF(AND(AI188=1,OR(TRIM(U188)="Fail",AND(TRIM(AB188)&lt;&gt;"",TRIM(AB188)&lt;&gt;"Closed"),AND(ISNUMBER(AF188),AF188&lt;&gt;0,TRIM(U188)&lt;&gt;"Pass after CA"))),1,0)</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8" t="b">
        <f aca="false">TRUE()</f>
        <v>1</v>
      </c>
    </row>
    <row r="189" customFormat="false" ht="41.25" hidden="false" customHeight="true" outlineLevel="0" collapsed="false">
      <c r="A189" s="57" t="s">
        <v>706</v>
      </c>
      <c r="B189" s="57" t="s">
        <v>223</v>
      </c>
      <c r="C189" s="57" t="str">
        <f aca="false">Flights!$F$10</f>
        <v>MH0002</v>
      </c>
      <c r="D189" s="58" t="n">
        <f aca="false">Flights!$D$10</f>
        <v>46310</v>
      </c>
      <c r="E189" s="57" t="str">
        <f aca="false">Flights!$G$10&amp;"-"&amp;Flights!$H$10</f>
        <v>KUL-LHR</v>
      </c>
      <c r="F189" s="57" t="str">
        <f aca="false">Flights!$K$10</f>
        <v>BC</v>
      </c>
      <c r="G189" s="57" t="s">
        <v>385</v>
      </c>
      <c r="H189" s="57" t="s">
        <v>343</v>
      </c>
      <c r="I189" s="57" t="s">
        <v>464</v>
      </c>
      <c r="J189" s="57" t="s">
        <v>476</v>
      </c>
      <c r="K189" s="67" t="s">
        <v>466</v>
      </c>
      <c r="L189" s="67" t="s">
        <v>707</v>
      </c>
      <c r="M189" s="67" t="s">
        <v>416</v>
      </c>
      <c r="N189" s="67" t="s">
        <v>348</v>
      </c>
      <c r="O189" s="67" t="s">
        <v>468</v>
      </c>
      <c r="P189" s="57" t="s">
        <v>179</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59" t="n">
        <f aca="false">Q189-T12EarlyH/24</f>
        <v>46309.6388888889</v>
      </c>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IF(N189="N/A – rule","N/A – RULE",IF(TRIM(U189)="N/A",IF(AT189=0,"INVALID – N/A not permitted for this mandatory check",IF(AND(TRIM(AC189)&lt;&gt;"",TRIM(AE189)&lt;&gt;"",TRIM(T189)&lt;&gt;"",TRIM(AE189)&lt;&gt;TRIM(T189)),"N/A – JUSTIFIED","INVALID – N/A needs justification, PIC and a different verifier")),IF(OR(TRIM(U189)="Pass",TRIM(U189)="Pass after CA"),IF(NOT(ISNUMBER(AD189)),"INVALID – completion time missing",IF(TRIM(T189)="","INVALID – PIC missing",IF(TRIM(V189)="","INVALID – result / assessment missing",IF(TRIM(Z189)="","INVALID – evidence missing",IF(TRIM(AE189)="","INVALID – verifier missing",IF(TRIM(AE189)=TRIM(T189),"INVALID – verifier must be someone other than the PIC",IF(AND(AQ189=1,TRIM(W189)=""),"INVALID – batch ID missing",IF(AND(AR189=1,OR(NOT(ISNUMBER(X189)),NOT(ISNUMBER(Y189)))),"INVALID – expected/actual qty missing",IF(IF(AND(TRIM(U189)="Pass",ISNUMBER(AF189)),IF(AF189&lt;&gt;0,"INVALID – qty variance: use Fail or Pass after CA",""),"")&amp;IF(AND(TRIM(U189)="Pass",TRIM(AB189)&lt;&gt;"",TRIM(AB189)&lt;&gt;"Closed"),"INVALID – corrective action not closed: use Fail, then Pass after CA","")&amp;IF(AND(TRIM(AA189)&lt;&gt;"",TRIM(AB189)=""),"INVALID – CA status missing for the recorded corrective action","")&amp;IF(AND(TRIM(U189)="Pass after CA",OR(TRIM(AA189)="",TRIM(AB189)&lt;&gt;"Closed")),"INVALID – corrective action not recorded/closed","")&lt;&gt;"",IF(AND(TRIM(U189)="Pass",ISNUMBER(AF189)),IF(AF189&lt;&gt;0,"INVALID – qty variance: use Fail or Pass after CA",""),"")&amp;IF(AND(TRIM(U189)="Pass",TRIM(AB189)&lt;&gt;"",TRIM(AB189)&lt;&gt;"Closed"),"INVALID – corrective action not closed: use Fail, then Pass after CA","")&amp;IF(AND(TRIM(AA189)&lt;&gt;"",TRIM(AB189)=""),"INVALID – CA status missing for the recorded corrective action","")&amp;IF(AND(TRIM(U189)="Pass after CA",OR(TRIM(AA189)="",TRIM(AB189)&lt;&gt;"Closed")),"INVALID – corrective action not recorded/closed",""),IF(AND(AS189=1,Documents!$J$10&lt;&gt;"ON FILE"),"INVALID – GLD not on file (Documents sheet)",IF(AND(AS189=2,Documents!$O$10&lt;&gt;"ON FILE"),"INVALID – menu checklist not on file (Documents sheet)",IF(AND(AS189=3,NOT(ISNUMBER(Flights!$AX$10))),"INVALID – enter carrying flight KUL departure (Flights AX)",IF(AND(AS189=3,OR(Flights!$AX$10&gt;=Flights!$AA$10,Flights!$AX$10&lt;Flights!$AA$10-3)),"INVALID – Flights AX must be before this leg's STD (within 3 days)",IF(AG189&gt;AsOfUTC,"INVALID – completion time is in the future",IF(AND(ISNUMBER(S189),AG189&lt;S189),IF(H189="Physical uplift","INVALID – before uplift window (cannot confirm loading)","INVALID – before valid window"),IF(AG189&gt;Flights!$AA$10,"INVALID – completed after departure (cannot establish readiness)",IF(AND(H189="Physical uplift",AG189&gt;Q189),"INVALID – recorded after the loading flight departed",IF(AG189&gt;Q189,"COMPLETE – LATE","COMPLETE")))))))))))))))))),IF(TRIM(U189)="Fail","FAIL – DISCREPANCY",IF(AND(TRIM(U189)&lt;&gt;"",TRIM(U189)&lt;&gt;"Not started",TRIM(U189)&lt;&gt;"In progress"),"INVALID – unrecognised status (use the list)",IF(AsOfUTC&gt;Q189,"OVERDUE",IF(N189="Clarification required","OPEN – CLARIFICATION","OPEN")))))))</f>
        <v>OPEN</v>
      </c>
      <c r="AI189" s="61" t="n">
        <f aca="false">IF(OR(AH189="N/A – RULE",AH189="N/A – JUSTIFIED"),0,1)</f>
        <v>1</v>
      </c>
      <c r="AJ189" s="61" t="n">
        <f aca="false">IF(LEFT(AH189,8)="COMPLETE",1,0)</f>
        <v>0</v>
      </c>
      <c r="AK189" s="61" t="n">
        <f aca="false">IF(AND(AI189=1,AJ189=0,AsOfUTC&gt;Q189),1,0)</f>
        <v>0</v>
      </c>
      <c r="AL189" s="61" t="n">
        <f aca="false">IF(AND(AI189=1,OR(TRIM(U189)="Fail",AND(TRIM(AB189)&lt;&gt;"",TRIM(AB189)&lt;&gt;"Closed"),AND(ISNUMBER(AF189),AF189&lt;&gt;0,TRIM(U189)&lt;&gt;"Pass after CA"))),1,0)</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8" t="b">
        <f aca="false">TRUE()</f>
        <v>1</v>
      </c>
    </row>
    <row r="190" customFormat="false" ht="41.25" hidden="false" customHeight="true" outlineLevel="0" collapsed="false">
      <c r="A190" s="57" t="s">
        <v>708</v>
      </c>
      <c r="B190" s="57" t="s">
        <v>223</v>
      </c>
      <c r="C190" s="57" t="str">
        <f aca="false">Flights!$F$10</f>
        <v>MH0002</v>
      </c>
      <c r="D190" s="58" t="n">
        <f aca="false">Flights!$D$10</f>
        <v>46310</v>
      </c>
      <c r="E190" s="57" t="str">
        <f aca="false">Flights!$G$10&amp;"-"&amp;Flights!$H$10</f>
        <v>KUL-LHR</v>
      </c>
      <c r="F190" s="57" t="str">
        <f aca="false">Flights!$K$10</f>
        <v>BC</v>
      </c>
      <c r="G190" s="57" t="s">
        <v>385</v>
      </c>
      <c r="H190" s="57" t="s">
        <v>343</v>
      </c>
      <c r="I190" s="57" t="s">
        <v>464</v>
      </c>
      <c r="J190" s="57" t="s">
        <v>480</v>
      </c>
      <c r="K190" s="67" t="s">
        <v>466</v>
      </c>
      <c r="L190" s="67" t="s">
        <v>709</v>
      </c>
      <c r="M190" s="67" t="s">
        <v>416</v>
      </c>
      <c r="N190" s="67" t="s">
        <v>348</v>
      </c>
      <c r="O190" s="67" t="s">
        <v>468</v>
      </c>
      <c r="P190" s="57" t="s">
        <v>179</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59" t="n">
        <f aca="false">Q190-T12EarlyH/24</f>
        <v>46309.6388888889</v>
      </c>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IF(N190="N/A – rule","N/A – RULE",IF(TRIM(U190)="N/A",IF(AT190=0,"INVALID – N/A not permitted for this mandatory check",IF(AND(TRIM(AC190)&lt;&gt;"",TRIM(AE190)&lt;&gt;"",TRIM(T190)&lt;&gt;"",TRIM(AE190)&lt;&gt;TRIM(T190)),"N/A – JUSTIFIED","INVALID – N/A needs justification, PIC and a different verifier")),IF(OR(TRIM(U190)="Pass",TRIM(U190)="Pass after CA"),IF(NOT(ISNUMBER(AD190)),"INVALID – completion time missing",IF(TRIM(T190)="","INVALID – PIC missing",IF(TRIM(V190)="","INVALID – result / assessment missing",IF(TRIM(Z190)="","INVALID – evidence missing",IF(TRIM(AE190)="","INVALID – verifier missing",IF(TRIM(AE190)=TRIM(T190),"INVALID – verifier must be someone other than the PIC",IF(AND(AQ190=1,TRIM(W190)=""),"INVALID – batch ID missing",IF(AND(AR190=1,OR(NOT(ISNUMBER(X190)),NOT(ISNUMBER(Y190)))),"INVALID – expected/actual qty missing",IF(IF(AND(TRIM(U190)="Pass",ISNUMBER(AF190)),IF(AF190&lt;&gt;0,"INVALID – qty variance: use Fail or Pass after CA",""),"")&amp;IF(AND(TRIM(U190)="Pass",TRIM(AB190)&lt;&gt;"",TRIM(AB190)&lt;&gt;"Closed"),"INVALID – corrective action not closed: use Fail, then Pass after CA","")&amp;IF(AND(TRIM(AA190)&lt;&gt;"",TRIM(AB190)=""),"INVALID – CA status missing for the recorded corrective action","")&amp;IF(AND(TRIM(U190)="Pass after CA",OR(TRIM(AA190)="",TRIM(AB190)&lt;&gt;"Closed")),"INVALID – corrective action not recorded/closed","")&lt;&gt;"",IF(AND(TRIM(U190)="Pass",ISNUMBER(AF190)),IF(AF190&lt;&gt;0,"INVALID – qty variance: use Fail or Pass after CA",""),"")&amp;IF(AND(TRIM(U190)="Pass",TRIM(AB190)&lt;&gt;"",TRIM(AB190)&lt;&gt;"Closed"),"INVALID – corrective action not closed: use Fail, then Pass after CA","")&amp;IF(AND(TRIM(AA190)&lt;&gt;"",TRIM(AB190)=""),"INVALID – CA status missing for the recorded corrective action","")&amp;IF(AND(TRIM(U190)="Pass after CA",OR(TRIM(AA190)="",TRIM(AB190)&lt;&gt;"Closed")),"INVALID – corrective action not recorded/closed",""),IF(AND(AS190=1,Documents!$J$10&lt;&gt;"ON FILE"),"INVALID – GLD not on file (Documents sheet)",IF(AND(AS190=2,Documents!$O$10&lt;&gt;"ON FILE"),"INVALID – menu checklist not on file (Documents sheet)",IF(AND(AS190=3,NOT(ISNUMBER(Flights!$AX$10))),"INVALID – enter carrying flight KUL departure (Flights AX)",IF(AND(AS190=3,OR(Flights!$AX$10&gt;=Flights!$AA$10,Flights!$AX$10&lt;Flights!$AA$10-3)),"INVALID – Flights AX must be before this leg's STD (within 3 days)",IF(AG190&gt;AsOfUTC,"INVALID – completion time is in the future",IF(AND(ISNUMBER(S190),AG190&lt;S190),IF(H190="Physical uplift","INVALID – before uplift window (cannot confirm loading)","INVALID – before valid window"),IF(AG190&gt;Flights!$AA$10,"INVALID – completed after departure (cannot establish readiness)",IF(AND(H190="Physical uplift",AG190&gt;Q190),"INVALID – recorded after the loading flight departed",IF(AG190&gt;Q190,"COMPLETE – LATE","COMPLETE")))))))))))))))))),IF(TRIM(U190)="Fail","FAIL – DISCREPANCY",IF(AND(TRIM(U190)&lt;&gt;"",TRIM(U190)&lt;&gt;"Not started",TRIM(U190)&lt;&gt;"In progress"),"INVALID – unrecognised status (use the list)",IF(AsOfUTC&gt;Q190,"OVERDUE",IF(N190="Clarification required","OPEN – CLARIFICATION","OPEN")))))))</f>
        <v>OPEN</v>
      </c>
      <c r="AI190" s="61" t="n">
        <f aca="false">IF(OR(AH190="N/A – RULE",AH190="N/A – JUSTIFIED"),0,1)</f>
        <v>1</v>
      </c>
      <c r="AJ190" s="61" t="n">
        <f aca="false">IF(LEFT(AH190,8)="COMPLETE",1,0)</f>
        <v>0</v>
      </c>
      <c r="AK190" s="61" t="n">
        <f aca="false">IF(AND(AI190=1,AJ190=0,AsOfUTC&gt;Q190),1,0)</f>
        <v>0</v>
      </c>
      <c r="AL190" s="61" t="n">
        <f aca="false">IF(AND(AI190=1,OR(TRIM(U190)="Fail",AND(TRIM(AB190)&lt;&gt;"",TRIM(AB190)&lt;&gt;"Closed"),AND(ISNUMBER(AF190),AF190&lt;&gt;0,TRIM(U190)&lt;&gt;"Pass after CA"))),1,0)</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8" t="b">
        <f aca="false">TRUE()</f>
        <v>1</v>
      </c>
    </row>
    <row r="191" customFormat="false" ht="54" hidden="false" customHeight="true" outlineLevel="0" collapsed="false">
      <c r="A191" s="57" t="s">
        <v>710</v>
      </c>
      <c r="B191" s="57" t="s">
        <v>223</v>
      </c>
      <c r="C191" s="57" t="str">
        <f aca="false">Flights!$F$10</f>
        <v>MH0002</v>
      </c>
      <c r="D191" s="58" t="n">
        <f aca="false">Flights!$D$10</f>
        <v>46310</v>
      </c>
      <c r="E191" s="57" t="str">
        <f aca="false">Flights!$G$10&amp;"-"&amp;Flights!$H$10</f>
        <v>KUL-LHR</v>
      </c>
      <c r="F191" s="57" t="str">
        <f aca="false">Flights!$K$10</f>
        <v>BC</v>
      </c>
      <c r="G191" s="57" t="s">
        <v>385</v>
      </c>
      <c r="H191" s="57" t="s">
        <v>343</v>
      </c>
      <c r="I191" s="57" t="s">
        <v>464</v>
      </c>
      <c r="J191" s="57" t="s">
        <v>483</v>
      </c>
      <c r="K191" s="67" t="s">
        <v>581</v>
      </c>
      <c r="L191" s="67" t="s">
        <v>711</v>
      </c>
      <c r="M191" s="67" t="s">
        <v>416</v>
      </c>
      <c r="N191" s="67" t="s">
        <v>348</v>
      </c>
      <c r="O191" s="67" t="s">
        <v>486</v>
      </c>
      <c r="P191" s="57" t="s">
        <v>179</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59" t="n">
        <f aca="false">Q191-T12EarlyH/24</f>
        <v>46309.6388888889</v>
      </c>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IF(N191="N/A – rule","N/A – RULE",IF(TRIM(U191)="N/A",IF(AT191=0,"INVALID – N/A not permitted for this mandatory check",IF(AND(TRIM(AC191)&lt;&gt;"",TRIM(AE191)&lt;&gt;"",TRIM(T191)&lt;&gt;"",TRIM(AE191)&lt;&gt;TRIM(T191)),"N/A – JUSTIFIED","INVALID – N/A needs justification, PIC and a different verifier")),IF(OR(TRIM(U191)="Pass",TRIM(U191)="Pass after CA"),IF(NOT(ISNUMBER(AD191)),"INVALID – completion time missing",IF(TRIM(T191)="","INVALID – PIC missing",IF(TRIM(V191)="","INVALID – result / assessment missing",IF(TRIM(Z191)="","INVALID – evidence missing",IF(TRIM(AE191)="","INVALID – verifier missing",IF(TRIM(AE191)=TRIM(T191),"INVALID – verifier must be someone other than the PIC",IF(AND(AQ191=1,TRIM(W191)=""),"INVALID – batch ID missing",IF(AND(AR191=1,OR(NOT(ISNUMBER(X191)),NOT(ISNUMBER(Y191)))),"INVALID – expected/actual qty missing",IF(IF(AND(TRIM(U191)="Pass",ISNUMBER(AF191)),IF(AF191&lt;&gt;0,"INVALID – qty variance: use Fail or Pass after CA",""),"")&amp;IF(AND(TRIM(U191)="Pass",TRIM(AB191)&lt;&gt;"",TRIM(AB191)&lt;&gt;"Closed"),"INVALID – corrective action not closed: use Fail, then Pass after CA","")&amp;IF(AND(TRIM(AA191)&lt;&gt;"",TRIM(AB191)=""),"INVALID – CA status missing for the recorded corrective action","")&amp;IF(AND(TRIM(U191)="Pass after CA",OR(TRIM(AA191)="",TRIM(AB191)&lt;&gt;"Closed")),"INVALID – corrective action not recorded/closed","")&lt;&gt;"",IF(AND(TRIM(U191)="Pass",ISNUMBER(AF191)),IF(AF191&lt;&gt;0,"INVALID – qty variance: use Fail or Pass after CA",""),"")&amp;IF(AND(TRIM(U191)="Pass",TRIM(AB191)&lt;&gt;"",TRIM(AB191)&lt;&gt;"Closed"),"INVALID – corrective action not closed: use Fail, then Pass after CA","")&amp;IF(AND(TRIM(AA191)&lt;&gt;"",TRIM(AB191)=""),"INVALID – CA status missing for the recorded corrective action","")&amp;IF(AND(TRIM(U191)="Pass after CA",OR(TRIM(AA191)="",TRIM(AB191)&lt;&gt;"Closed")),"INVALID – corrective action not recorded/closed",""),IF(AND(AS191=1,Documents!$J$10&lt;&gt;"ON FILE"),"INVALID – GLD not on file (Documents sheet)",IF(AND(AS191=2,Documents!$O$10&lt;&gt;"ON FILE"),"INVALID – menu checklist not on file (Documents sheet)",IF(AND(AS191=3,NOT(ISNUMBER(Flights!$AX$10))),"INVALID – enter carrying flight KUL departure (Flights AX)",IF(AND(AS191=3,OR(Flights!$AX$10&gt;=Flights!$AA$10,Flights!$AX$10&lt;Flights!$AA$10-3)),"INVALID – Flights AX must be before this leg's STD (within 3 days)",IF(AG191&gt;AsOfUTC,"INVALID – completion time is in the future",IF(AND(ISNUMBER(S191),AG191&lt;S191),IF(H191="Physical uplift","INVALID – before uplift window (cannot confirm loading)","INVALID – before valid window"),IF(AG191&gt;Flights!$AA$10,"INVALID – completed after departure (cannot establish readiness)",IF(AND(H191="Physical uplift",AG191&gt;Q191),"INVALID – recorded after the loading flight departed",IF(AG191&gt;Q191,"COMPLETE – LATE","COMPLETE")))))))))))))))))),IF(TRIM(U191)="Fail","FAIL – DISCREPANCY",IF(AND(TRIM(U191)&lt;&gt;"",TRIM(U191)&lt;&gt;"Not started",TRIM(U191)&lt;&gt;"In progress"),"INVALID – unrecognised status (use the list)",IF(AsOfUTC&gt;Q191,"OVERDUE",IF(N191="Clarification required","OPEN – CLARIFICATION","OPEN")))))))</f>
        <v>OPEN</v>
      </c>
      <c r="AI191" s="61" t="n">
        <f aca="false">IF(OR(AH191="N/A – RULE",AH191="N/A – JUSTIFIED"),0,1)</f>
        <v>1</v>
      </c>
      <c r="AJ191" s="61" t="n">
        <f aca="false">IF(LEFT(AH191,8)="COMPLETE",1,0)</f>
        <v>0</v>
      </c>
      <c r="AK191" s="61" t="n">
        <f aca="false">IF(AND(AI191=1,AJ191=0,AsOfUTC&gt;Q191),1,0)</f>
        <v>0</v>
      </c>
      <c r="AL191" s="61" t="n">
        <f aca="false">IF(AND(AI191=1,OR(TRIM(U191)="Fail",AND(TRIM(AB191)&lt;&gt;"",TRIM(AB191)&lt;&gt;"Closed"),AND(ISNUMBER(AF191),AF191&lt;&gt;0,TRIM(U191)&lt;&gt;"Pass after CA"))),1,0)</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8" t="b">
        <f aca="false">TRUE()</f>
        <v>1</v>
      </c>
    </row>
    <row r="192" customFormat="false" ht="41.25" hidden="false" customHeight="true" outlineLevel="0" collapsed="false">
      <c r="A192" s="57" t="s">
        <v>712</v>
      </c>
      <c r="B192" s="57" t="s">
        <v>223</v>
      </c>
      <c r="C192" s="57" t="str">
        <f aca="false">Flights!$F$10</f>
        <v>MH0002</v>
      </c>
      <c r="D192" s="58" t="n">
        <f aca="false">Flights!$D$10</f>
        <v>46310</v>
      </c>
      <c r="E192" s="57" t="str">
        <f aca="false">Flights!$G$10&amp;"-"&amp;Flights!$H$10</f>
        <v>KUL-LHR</v>
      </c>
      <c r="F192" s="57" t="str">
        <f aca="false">Flights!$K$10</f>
        <v>BC</v>
      </c>
      <c r="G192" s="57" t="s">
        <v>385</v>
      </c>
      <c r="H192" s="57" t="s">
        <v>343</v>
      </c>
      <c r="I192" s="57" t="s">
        <v>464</v>
      </c>
      <c r="J192" s="57" t="s">
        <v>488</v>
      </c>
      <c r="K192" s="67" t="s">
        <v>466</v>
      </c>
      <c r="L192" s="67" t="s">
        <v>713</v>
      </c>
      <c r="M192" s="67" t="s">
        <v>416</v>
      </c>
      <c r="N192" s="67" t="s">
        <v>348</v>
      </c>
      <c r="O192" s="67" t="s">
        <v>468</v>
      </c>
      <c r="P192" s="57" t="s">
        <v>179</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59" t="n">
        <f aca="false">Q192-T12EarlyH/24</f>
        <v>46309.6388888889</v>
      </c>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IF(N192="N/A – rule","N/A – RULE",IF(TRIM(U192)="N/A",IF(AT192=0,"INVALID – N/A not permitted for this mandatory check",IF(AND(TRIM(AC192)&lt;&gt;"",TRIM(AE192)&lt;&gt;"",TRIM(T192)&lt;&gt;"",TRIM(AE192)&lt;&gt;TRIM(T192)),"N/A – JUSTIFIED","INVALID – N/A needs justification, PIC and a different verifier")),IF(OR(TRIM(U192)="Pass",TRIM(U192)="Pass after CA"),IF(NOT(ISNUMBER(AD192)),"INVALID – completion time missing",IF(TRIM(T192)="","INVALID – PIC missing",IF(TRIM(V192)="","INVALID – result / assessment missing",IF(TRIM(Z192)="","INVALID – evidence missing",IF(TRIM(AE192)="","INVALID – verifier missing",IF(TRIM(AE192)=TRIM(T192),"INVALID – verifier must be someone other than the PIC",IF(AND(AQ192=1,TRIM(W192)=""),"INVALID – batch ID missing",IF(AND(AR192=1,OR(NOT(ISNUMBER(X192)),NOT(ISNUMBER(Y192)))),"INVALID – expected/actual qty missing",IF(IF(AND(TRIM(U192)="Pass",ISNUMBER(AF192)),IF(AF192&lt;&gt;0,"INVALID – qty variance: use Fail or Pass after CA",""),"")&amp;IF(AND(TRIM(U192)="Pass",TRIM(AB192)&lt;&gt;"",TRIM(AB192)&lt;&gt;"Closed"),"INVALID – corrective action not closed: use Fail, then Pass after CA","")&amp;IF(AND(TRIM(AA192)&lt;&gt;"",TRIM(AB192)=""),"INVALID – CA status missing for the recorded corrective action","")&amp;IF(AND(TRIM(U192)="Pass after CA",OR(TRIM(AA192)="",TRIM(AB192)&lt;&gt;"Closed")),"INVALID – corrective action not recorded/closed","")&lt;&gt;"",IF(AND(TRIM(U192)="Pass",ISNUMBER(AF192)),IF(AF192&lt;&gt;0,"INVALID – qty variance: use Fail or Pass after CA",""),"")&amp;IF(AND(TRIM(U192)="Pass",TRIM(AB192)&lt;&gt;"",TRIM(AB192)&lt;&gt;"Closed"),"INVALID – corrective action not closed: use Fail, then Pass after CA","")&amp;IF(AND(TRIM(AA192)&lt;&gt;"",TRIM(AB192)=""),"INVALID – CA status missing for the recorded corrective action","")&amp;IF(AND(TRIM(U192)="Pass after CA",OR(TRIM(AA192)="",TRIM(AB192)&lt;&gt;"Closed")),"INVALID – corrective action not recorded/closed",""),IF(AND(AS192=1,Documents!$J$10&lt;&gt;"ON FILE"),"INVALID – GLD not on file (Documents sheet)",IF(AND(AS192=2,Documents!$O$10&lt;&gt;"ON FILE"),"INVALID – menu checklist not on file (Documents sheet)",IF(AND(AS192=3,NOT(ISNUMBER(Flights!$AX$10))),"INVALID – enter carrying flight KUL departure (Flights AX)",IF(AND(AS192=3,OR(Flights!$AX$10&gt;=Flights!$AA$10,Flights!$AX$10&lt;Flights!$AA$10-3)),"INVALID – Flights AX must be before this leg's STD (within 3 days)",IF(AG192&gt;AsOfUTC,"INVALID – completion time is in the future",IF(AND(ISNUMBER(S192),AG192&lt;S192),IF(H192="Physical uplift","INVALID – before uplift window (cannot confirm loading)","INVALID – before valid window"),IF(AG192&gt;Flights!$AA$10,"INVALID – completed after departure (cannot establish readiness)",IF(AND(H192="Physical uplift",AG192&gt;Q192),"INVALID – recorded after the loading flight departed",IF(AG192&gt;Q192,"COMPLETE – LATE","COMPLETE")))))))))))))))))),IF(TRIM(U192)="Fail","FAIL – DISCREPANCY",IF(AND(TRIM(U192)&lt;&gt;"",TRIM(U192)&lt;&gt;"Not started",TRIM(U192)&lt;&gt;"In progress"),"INVALID – unrecognised status (use the list)",IF(AsOfUTC&gt;Q192,"OVERDUE",IF(N192="Clarification required","OPEN – CLARIFICATION","OPEN")))))))</f>
        <v>OPEN</v>
      </c>
      <c r="AI192" s="61" t="n">
        <f aca="false">IF(OR(AH192="N/A – RULE",AH192="N/A – JUSTIFIED"),0,1)</f>
        <v>1</v>
      </c>
      <c r="AJ192" s="61" t="n">
        <f aca="false">IF(LEFT(AH192,8)="COMPLETE",1,0)</f>
        <v>0</v>
      </c>
      <c r="AK192" s="61" t="n">
        <f aca="false">IF(AND(AI192=1,AJ192=0,AsOfUTC&gt;Q192),1,0)</f>
        <v>0</v>
      </c>
      <c r="AL192" s="61" t="n">
        <f aca="false">IF(AND(AI192=1,OR(TRIM(U192)="Fail",AND(TRIM(AB192)&lt;&gt;"",TRIM(AB192)&lt;&gt;"Closed"),AND(ISNUMBER(AF192),AF192&lt;&gt;0,TRIM(U192)&lt;&gt;"Pass after CA"))),1,0)</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8" t="b">
        <f aca="false">TRUE()</f>
        <v>1</v>
      </c>
    </row>
    <row r="193" customFormat="false" ht="41.25" hidden="false" customHeight="true" outlineLevel="0" collapsed="false">
      <c r="A193" s="57" t="s">
        <v>714</v>
      </c>
      <c r="B193" s="57" t="s">
        <v>223</v>
      </c>
      <c r="C193" s="57" t="str">
        <f aca="false">Flights!$F$10</f>
        <v>MH0002</v>
      </c>
      <c r="D193" s="58" t="n">
        <f aca="false">Flights!$D$10</f>
        <v>46310</v>
      </c>
      <c r="E193" s="57" t="str">
        <f aca="false">Flights!$G$10&amp;"-"&amp;Flights!$H$10</f>
        <v>KUL-LHR</v>
      </c>
      <c r="F193" s="57" t="str">
        <f aca="false">Flights!$K$10</f>
        <v>BC</v>
      </c>
      <c r="G193" s="57" t="s">
        <v>385</v>
      </c>
      <c r="H193" s="57" t="s">
        <v>343</v>
      </c>
      <c r="I193" s="57" t="s">
        <v>412</v>
      </c>
      <c r="J193" s="57" t="s">
        <v>491</v>
      </c>
      <c r="K193" s="67" t="s">
        <v>414</v>
      </c>
      <c r="L193" s="67" t="s">
        <v>715</v>
      </c>
      <c r="M193" s="67" t="s">
        <v>416</v>
      </c>
      <c r="N193" s="67" t="s">
        <v>348</v>
      </c>
      <c r="O193" s="67" t="s">
        <v>468</v>
      </c>
      <c r="P193" s="57" t="s">
        <v>179</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59" t="n">
        <f aca="false">Q193-T12EarlyH/24</f>
        <v>46309.6388888889</v>
      </c>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IF(N193="N/A – rule","N/A – RULE",IF(TRIM(U193)="N/A",IF(AT193=0,"INVALID – N/A not permitted for this mandatory check",IF(AND(TRIM(AC193)&lt;&gt;"",TRIM(AE193)&lt;&gt;"",TRIM(T193)&lt;&gt;"",TRIM(AE193)&lt;&gt;TRIM(T193)),"N/A – JUSTIFIED","INVALID – N/A needs justification, PIC and a different verifier")),IF(OR(TRIM(U193)="Pass",TRIM(U193)="Pass after CA"),IF(NOT(ISNUMBER(AD193)),"INVALID – completion time missing",IF(TRIM(T193)="","INVALID – PIC missing",IF(TRIM(V193)="","INVALID – result / assessment missing",IF(TRIM(Z193)="","INVALID – evidence missing",IF(TRIM(AE193)="","INVALID – verifier missing",IF(TRIM(AE193)=TRIM(T193),"INVALID – verifier must be someone other than the PIC",IF(AND(AQ193=1,TRIM(W193)=""),"INVALID – batch ID missing",IF(AND(AR193=1,OR(NOT(ISNUMBER(X193)),NOT(ISNUMBER(Y193)))),"INVALID – expected/actual qty missing",IF(IF(AND(TRIM(U193)="Pass",ISNUMBER(AF193)),IF(AF193&lt;&gt;0,"INVALID – qty variance: use Fail or Pass after CA",""),"")&amp;IF(AND(TRIM(U193)="Pass",TRIM(AB193)&lt;&gt;"",TRIM(AB193)&lt;&gt;"Closed"),"INVALID – corrective action not closed: use Fail, then Pass after CA","")&amp;IF(AND(TRIM(AA193)&lt;&gt;"",TRIM(AB193)=""),"INVALID – CA status missing for the recorded corrective action","")&amp;IF(AND(TRIM(U193)="Pass after CA",OR(TRIM(AA193)="",TRIM(AB193)&lt;&gt;"Closed")),"INVALID – corrective action not recorded/closed","")&lt;&gt;"",IF(AND(TRIM(U193)="Pass",ISNUMBER(AF193)),IF(AF193&lt;&gt;0,"INVALID – qty variance: use Fail or Pass after CA",""),"")&amp;IF(AND(TRIM(U193)="Pass",TRIM(AB193)&lt;&gt;"",TRIM(AB193)&lt;&gt;"Closed"),"INVALID – corrective action not closed: use Fail, then Pass after CA","")&amp;IF(AND(TRIM(AA193)&lt;&gt;"",TRIM(AB193)=""),"INVALID – CA status missing for the recorded corrective action","")&amp;IF(AND(TRIM(U193)="Pass after CA",OR(TRIM(AA193)="",TRIM(AB193)&lt;&gt;"Closed")),"INVALID – corrective action not recorded/closed",""),IF(AND(AS193=1,Documents!$J$10&lt;&gt;"ON FILE"),"INVALID – GLD not on file (Documents sheet)",IF(AND(AS193=2,Documents!$O$10&lt;&gt;"ON FILE"),"INVALID – menu checklist not on file (Documents sheet)",IF(AND(AS193=3,NOT(ISNUMBER(Flights!$AX$10))),"INVALID – enter carrying flight KUL departure (Flights AX)",IF(AND(AS193=3,OR(Flights!$AX$10&gt;=Flights!$AA$10,Flights!$AX$10&lt;Flights!$AA$10-3)),"INVALID – Flights AX must be before this leg's STD (within 3 days)",IF(AG193&gt;AsOfUTC,"INVALID – completion time is in the future",IF(AND(ISNUMBER(S193),AG193&lt;S193),IF(H193="Physical uplift","INVALID – before uplift window (cannot confirm loading)","INVALID – before valid window"),IF(AG193&gt;Flights!$AA$10,"INVALID – completed after departure (cannot establish readiness)",IF(AND(H193="Physical uplift",AG193&gt;Q193),"INVALID – recorded after the loading flight departed",IF(AG193&gt;Q193,"COMPLETE – LATE","COMPLETE")))))))))))))))))),IF(TRIM(U193)="Fail","FAIL – DISCREPANCY",IF(AND(TRIM(U193)&lt;&gt;"",TRIM(U193)&lt;&gt;"Not started",TRIM(U193)&lt;&gt;"In progress"),"INVALID – unrecognised status (use the list)",IF(AsOfUTC&gt;Q193,"OVERDUE",IF(N193="Clarification required","OPEN – CLARIFICATION","OPEN")))))))</f>
        <v>OPEN</v>
      </c>
      <c r="AI193" s="61" t="n">
        <f aca="false">IF(OR(AH193="N/A – RULE",AH193="N/A – JUSTIFIED"),0,1)</f>
        <v>1</v>
      </c>
      <c r="AJ193" s="61" t="n">
        <f aca="false">IF(LEFT(AH193,8)="COMPLETE",1,0)</f>
        <v>0</v>
      </c>
      <c r="AK193" s="61" t="n">
        <f aca="false">IF(AND(AI193=1,AJ193=0,AsOfUTC&gt;Q193),1,0)</f>
        <v>0</v>
      </c>
      <c r="AL193" s="61" t="n">
        <f aca="false">IF(AND(AI193=1,OR(TRIM(U193)="Fail",AND(TRIM(AB193)&lt;&gt;"",TRIM(AB193)&lt;&gt;"Closed"),AND(ISNUMBER(AF193),AF193&lt;&gt;0,TRIM(U193)&lt;&gt;"Pass after CA"))),1,0)</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8" t="b">
        <f aca="false">TRUE()</f>
        <v>1</v>
      </c>
    </row>
    <row r="194" customFormat="false" ht="41.25" hidden="false" customHeight="true" outlineLevel="0" collapsed="false">
      <c r="A194" s="57" t="s">
        <v>716</v>
      </c>
      <c r="B194" s="57" t="s">
        <v>223</v>
      </c>
      <c r="C194" s="57" t="str">
        <f aca="false">Flights!$F$10</f>
        <v>MH0002</v>
      </c>
      <c r="D194" s="58" t="n">
        <f aca="false">Flights!$D$10</f>
        <v>46310</v>
      </c>
      <c r="E194" s="57" t="str">
        <f aca="false">Flights!$G$10&amp;"-"&amp;Flights!$H$10</f>
        <v>KUL-LHR</v>
      </c>
      <c r="F194" s="57" t="str">
        <f aca="false">Flights!$K$10</f>
        <v>BC</v>
      </c>
      <c r="G194" s="57" t="s">
        <v>385</v>
      </c>
      <c r="H194" s="57" t="s">
        <v>343</v>
      </c>
      <c r="I194" s="57" t="s">
        <v>412</v>
      </c>
      <c r="J194" s="57" t="s">
        <v>588</v>
      </c>
      <c r="K194" s="67" t="s">
        <v>414</v>
      </c>
      <c r="L194" s="67" t="s">
        <v>717</v>
      </c>
      <c r="M194" s="67" t="s">
        <v>416</v>
      </c>
      <c r="N194" s="67" t="s">
        <v>348</v>
      </c>
      <c r="O194" s="67" t="s">
        <v>468</v>
      </c>
      <c r="P194" s="57" t="s">
        <v>179</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59" t="n">
        <f aca="false">Q194-T12EarlyH/24</f>
        <v>46309.6388888889</v>
      </c>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IF(N194="N/A – rule","N/A – RULE",IF(TRIM(U194)="N/A",IF(AT194=0,"INVALID – N/A not permitted for this mandatory check",IF(AND(TRIM(AC194)&lt;&gt;"",TRIM(AE194)&lt;&gt;"",TRIM(T194)&lt;&gt;"",TRIM(AE194)&lt;&gt;TRIM(T194)),"N/A – JUSTIFIED","INVALID – N/A needs justification, PIC and a different verifier")),IF(OR(TRIM(U194)="Pass",TRIM(U194)="Pass after CA"),IF(NOT(ISNUMBER(AD194)),"INVALID – completion time missing",IF(TRIM(T194)="","INVALID – PIC missing",IF(TRIM(V194)="","INVALID – result / assessment missing",IF(TRIM(Z194)="","INVALID – evidence missing",IF(TRIM(AE194)="","INVALID – verifier missing",IF(TRIM(AE194)=TRIM(T194),"INVALID – verifier must be someone other than the PIC",IF(AND(AQ194=1,TRIM(W194)=""),"INVALID – batch ID missing",IF(AND(AR194=1,OR(NOT(ISNUMBER(X194)),NOT(ISNUMBER(Y194)))),"INVALID – expected/actual qty missing",IF(IF(AND(TRIM(U194)="Pass",ISNUMBER(AF194)),IF(AF194&lt;&gt;0,"INVALID – qty variance: use Fail or Pass after CA",""),"")&amp;IF(AND(TRIM(U194)="Pass",TRIM(AB194)&lt;&gt;"",TRIM(AB194)&lt;&gt;"Closed"),"INVALID – corrective action not closed: use Fail, then Pass after CA","")&amp;IF(AND(TRIM(AA194)&lt;&gt;"",TRIM(AB194)=""),"INVALID – CA status missing for the recorded corrective action","")&amp;IF(AND(TRIM(U194)="Pass after CA",OR(TRIM(AA194)="",TRIM(AB194)&lt;&gt;"Closed")),"INVALID – corrective action not recorded/closed","")&lt;&gt;"",IF(AND(TRIM(U194)="Pass",ISNUMBER(AF194)),IF(AF194&lt;&gt;0,"INVALID – qty variance: use Fail or Pass after CA",""),"")&amp;IF(AND(TRIM(U194)="Pass",TRIM(AB194)&lt;&gt;"",TRIM(AB194)&lt;&gt;"Closed"),"INVALID – corrective action not closed: use Fail, then Pass after CA","")&amp;IF(AND(TRIM(AA194)&lt;&gt;"",TRIM(AB194)=""),"INVALID – CA status missing for the recorded corrective action","")&amp;IF(AND(TRIM(U194)="Pass after CA",OR(TRIM(AA194)="",TRIM(AB194)&lt;&gt;"Closed")),"INVALID – corrective action not recorded/closed",""),IF(AND(AS194=1,Documents!$J$10&lt;&gt;"ON FILE"),"INVALID – GLD not on file (Documents sheet)",IF(AND(AS194=2,Documents!$O$10&lt;&gt;"ON FILE"),"INVALID – menu checklist not on file (Documents sheet)",IF(AND(AS194=3,NOT(ISNUMBER(Flights!$AX$10))),"INVALID – enter carrying flight KUL departure (Flights AX)",IF(AND(AS194=3,OR(Flights!$AX$10&gt;=Flights!$AA$10,Flights!$AX$10&lt;Flights!$AA$10-3)),"INVALID – Flights AX must be before this leg's STD (within 3 days)",IF(AG194&gt;AsOfUTC,"INVALID – completion time is in the future",IF(AND(ISNUMBER(S194),AG194&lt;S194),IF(H194="Physical uplift","INVALID – before uplift window (cannot confirm loading)","INVALID – before valid window"),IF(AG194&gt;Flights!$AA$10,"INVALID – completed after departure (cannot establish readiness)",IF(AND(H194="Physical uplift",AG194&gt;Q194),"INVALID – recorded after the loading flight departed",IF(AG194&gt;Q194,"COMPLETE – LATE","COMPLETE")))))))))))))))))),IF(TRIM(U194)="Fail","FAIL – DISCREPANCY",IF(AND(TRIM(U194)&lt;&gt;"",TRIM(U194)&lt;&gt;"Not started",TRIM(U194)&lt;&gt;"In progress"),"INVALID – unrecognised status (use the list)",IF(AsOfUTC&gt;Q194,"OVERDUE",IF(N194="Clarification required","OPEN – CLARIFICATION","OPEN")))))))</f>
        <v>OPEN</v>
      </c>
      <c r="AI194" s="61" t="n">
        <f aca="false">IF(OR(AH194="N/A – RULE",AH194="N/A – JUSTIFIED"),0,1)</f>
        <v>1</v>
      </c>
      <c r="AJ194" s="61" t="n">
        <f aca="false">IF(LEFT(AH194,8)="COMPLETE",1,0)</f>
        <v>0</v>
      </c>
      <c r="AK194" s="61" t="n">
        <f aca="false">IF(AND(AI194=1,AJ194=0,AsOfUTC&gt;Q194),1,0)</f>
        <v>0</v>
      </c>
      <c r="AL194" s="61" t="n">
        <f aca="false">IF(AND(AI194=1,OR(TRIM(U194)="Fail",AND(TRIM(AB194)&lt;&gt;"",TRIM(AB194)&lt;&gt;"Closed"),AND(ISNUMBER(AF194),AF194&lt;&gt;0,TRIM(U194)&lt;&gt;"Pass after CA"))),1,0)</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8" t="b">
        <f aca="false">TRUE()</f>
        <v>1</v>
      </c>
    </row>
    <row r="195" customFormat="false" ht="41.25" hidden="false" customHeight="true" outlineLevel="0" collapsed="false">
      <c r="A195" s="57" t="s">
        <v>718</v>
      </c>
      <c r="B195" s="57" t="s">
        <v>223</v>
      </c>
      <c r="C195" s="57" t="str">
        <f aca="false">Flights!$F$10</f>
        <v>MH0002</v>
      </c>
      <c r="D195" s="58" t="n">
        <f aca="false">Flights!$D$10</f>
        <v>46310</v>
      </c>
      <c r="E195" s="57" t="str">
        <f aca="false">Flights!$G$10&amp;"-"&amp;Flights!$H$10</f>
        <v>KUL-LHR</v>
      </c>
      <c r="F195" s="57" t="str">
        <f aca="false">Flights!$K$10</f>
        <v>BC</v>
      </c>
      <c r="G195" s="57" t="s">
        <v>385</v>
      </c>
      <c r="H195" s="57" t="s">
        <v>343</v>
      </c>
      <c r="I195" s="57" t="s">
        <v>412</v>
      </c>
      <c r="J195" s="57" t="s">
        <v>591</v>
      </c>
      <c r="K195" s="67" t="s">
        <v>414</v>
      </c>
      <c r="L195" s="67" t="s">
        <v>719</v>
      </c>
      <c r="M195" s="67" t="s">
        <v>416</v>
      </c>
      <c r="N195" s="67" t="s">
        <v>348</v>
      </c>
      <c r="O195" s="67" t="s">
        <v>468</v>
      </c>
      <c r="P195" s="57" t="s">
        <v>179</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59" t="n">
        <f aca="false">Q195-T12EarlyH/24</f>
        <v>46309.6388888889</v>
      </c>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IF(N195="N/A – rule","N/A – RULE",IF(TRIM(U195)="N/A",IF(AT195=0,"INVALID – N/A not permitted for this mandatory check",IF(AND(TRIM(AC195)&lt;&gt;"",TRIM(AE195)&lt;&gt;"",TRIM(T195)&lt;&gt;"",TRIM(AE195)&lt;&gt;TRIM(T195)),"N/A – JUSTIFIED","INVALID – N/A needs justification, PIC and a different verifier")),IF(OR(TRIM(U195)="Pass",TRIM(U195)="Pass after CA"),IF(NOT(ISNUMBER(AD195)),"INVALID – completion time missing",IF(TRIM(T195)="","INVALID – PIC missing",IF(TRIM(V195)="","INVALID – result / assessment missing",IF(TRIM(Z195)="","INVALID – evidence missing",IF(TRIM(AE195)="","INVALID – verifier missing",IF(TRIM(AE195)=TRIM(T195),"INVALID – verifier must be someone other than the PIC",IF(AND(AQ195=1,TRIM(W195)=""),"INVALID – batch ID missing",IF(AND(AR195=1,OR(NOT(ISNUMBER(X195)),NOT(ISNUMBER(Y195)))),"INVALID – expected/actual qty missing",IF(IF(AND(TRIM(U195)="Pass",ISNUMBER(AF195)),IF(AF195&lt;&gt;0,"INVALID – qty variance: use Fail or Pass after CA",""),"")&amp;IF(AND(TRIM(U195)="Pass",TRIM(AB195)&lt;&gt;"",TRIM(AB195)&lt;&gt;"Closed"),"INVALID – corrective action not closed: use Fail, then Pass after CA","")&amp;IF(AND(TRIM(AA195)&lt;&gt;"",TRIM(AB195)=""),"INVALID – CA status missing for the recorded corrective action","")&amp;IF(AND(TRIM(U195)="Pass after CA",OR(TRIM(AA195)="",TRIM(AB195)&lt;&gt;"Closed")),"INVALID – corrective action not recorded/closed","")&lt;&gt;"",IF(AND(TRIM(U195)="Pass",ISNUMBER(AF195)),IF(AF195&lt;&gt;0,"INVALID – qty variance: use Fail or Pass after CA",""),"")&amp;IF(AND(TRIM(U195)="Pass",TRIM(AB195)&lt;&gt;"",TRIM(AB195)&lt;&gt;"Closed"),"INVALID – corrective action not closed: use Fail, then Pass after CA","")&amp;IF(AND(TRIM(AA195)&lt;&gt;"",TRIM(AB195)=""),"INVALID – CA status missing for the recorded corrective action","")&amp;IF(AND(TRIM(U195)="Pass after CA",OR(TRIM(AA195)="",TRIM(AB195)&lt;&gt;"Closed")),"INVALID – corrective action not recorded/closed",""),IF(AND(AS195=1,Documents!$J$10&lt;&gt;"ON FILE"),"INVALID – GLD not on file (Documents sheet)",IF(AND(AS195=2,Documents!$O$10&lt;&gt;"ON FILE"),"INVALID – menu checklist not on file (Documents sheet)",IF(AND(AS195=3,NOT(ISNUMBER(Flights!$AX$10))),"INVALID – enter carrying flight KUL departure (Flights AX)",IF(AND(AS195=3,OR(Flights!$AX$10&gt;=Flights!$AA$10,Flights!$AX$10&lt;Flights!$AA$10-3)),"INVALID – Flights AX must be before this leg's STD (within 3 days)",IF(AG195&gt;AsOfUTC,"INVALID – completion time is in the future",IF(AND(ISNUMBER(S195),AG195&lt;S195),IF(H195="Physical uplift","INVALID – before uplift window (cannot confirm loading)","INVALID – before valid window"),IF(AG195&gt;Flights!$AA$10,"INVALID – completed after departure (cannot establish readiness)",IF(AND(H195="Physical uplift",AG195&gt;Q195),"INVALID – recorded after the loading flight departed",IF(AG195&gt;Q195,"COMPLETE – LATE","COMPLETE")))))))))))))))))),IF(TRIM(U195)="Fail","FAIL – DISCREPANCY",IF(AND(TRIM(U195)&lt;&gt;"",TRIM(U195)&lt;&gt;"Not started",TRIM(U195)&lt;&gt;"In progress"),"INVALID – unrecognised status (use the list)",IF(AsOfUTC&gt;Q195,"OVERDUE",IF(N195="Clarification required","OPEN – CLARIFICATION","OPEN")))))))</f>
        <v>OPEN</v>
      </c>
      <c r="AI195" s="61" t="n">
        <f aca="false">IF(OR(AH195="N/A – RULE",AH195="N/A – JUSTIFIED"),0,1)</f>
        <v>1</v>
      </c>
      <c r="AJ195" s="61" t="n">
        <f aca="false">IF(LEFT(AH195,8)="COMPLETE",1,0)</f>
        <v>0</v>
      </c>
      <c r="AK195" s="61" t="n">
        <f aca="false">IF(AND(AI195=1,AJ195=0,AsOfUTC&gt;Q195),1,0)</f>
        <v>0</v>
      </c>
      <c r="AL195" s="61" t="n">
        <f aca="false">IF(AND(AI195=1,OR(TRIM(U195)="Fail",AND(TRIM(AB195)&lt;&gt;"",TRIM(AB195)&lt;&gt;"Closed"),AND(ISNUMBER(AF195),AF195&lt;&gt;0,TRIM(U195)&lt;&gt;"Pass after CA"))),1,0)</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8" t="b">
        <f aca="false">TRUE()</f>
        <v>1</v>
      </c>
    </row>
    <row r="196" customFormat="false" ht="39.75" hidden="false" customHeight="true" outlineLevel="0" collapsed="false">
      <c r="A196" s="57" t="s">
        <v>720</v>
      </c>
      <c r="B196" s="57" t="s">
        <v>223</v>
      </c>
      <c r="C196" s="57" t="str">
        <f aca="false">Flights!$F$10</f>
        <v>MH0002</v>
      </c>
      <c r="D196" s="58" t="n">
        <f aca="false">Flights!$D$10</f>
        <v>46310</v>
      </c>
      <c r="E196" s="57" t="str">
        <f aca="false">Flights!$G$10&amp;"-"&amp;Flights!$H$10</f>
        <v>KUL-LHR</v>
      </c>
      <c r="F196" s="57" t="str">
        <f aca="false">Flights!$K$10</f>
        <v>BC</v>
      </c>
      <c r="G196" s="57" t="s">
        <v>385</v>
      </c>
      <c r="H196" s="57" t="s">
        <v>343</v>
      </c>
      <c r="I196" s="57" t="s">
        <v>594</v>
      </c>
      <c r="J196" s="57" t="s">
        <v>595</v>
      </c>
      <c r="K196" s="67" t="s">
        <v>466</v>
      </c>
      <c r="L196" s="67" t="s">
        <v>721</v>
      </c>
      <c r="M196" s="67" t="s">
        <v>179</v>
      </c>
      <c r="N196" s="67" t="s">
        <v>348</v>
      </c>
      <c r="O196" s="67" t="s">
        <v>597</v>
      </c>
      <c r="P196" s="57" t="s">
        <v>179</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59" t="n">
        <f aca="false">Q196-T12EarlyH/24</f>
        <v>46309.6388888889</v>
      </c>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IF(N196="N/A – rule","N/A – RULE",IF(TRIM(U196)="N/A",IF(AT196=0,"INVALID – N/A not permitted for this mandatory check",IF(AND(TRIM(AC196)&lt;&gt;"",TRIM(AE196)&lt;&gt;"",TRIM(T196)&lt;&gt;"",TRIM(AE196)&lt;&gt;TRIM(T196)),"N/A – JUSTIFIED","INVALID – N/A needs justification, PIC and a different verifier")),IF(OR(TRIM(U196)="Pass",TRIM(U196)="Pass after CA"),IF(NOT(ISNUMBER(AD196)),"INVALID – completion time missing",IF(TRIM(T196)="","INVALID – PIC missing",IF(TRIM(V196)="","INVALID – result / assessment missing",IF(TRIM(Z196)="","INVALID – evidence missing",IF(TRIM(AE196)="","INVALID – verifier missing",IF(TRIM(AE196)=TRIM(T196),"INVALID – verifier must be someone other than the PIC",IF(AND(AQ196=1,TRIM(W196)=""),"INVALID – batch ID missing",IF(AND(AR196=1,OR(NOT(ISNUMBER(X196)),NOT(ISNUMBER(Y196)))),"INVALID – expected/actual qty missing",IF(IF(AND(TRIM(U196)="Pass",ISNUMBER(AF196)),IF(AF196&lt;&gt;0,"INVALID – qty variance: use Fail or Pass after CA",""),"")&amp;IF(AND(TRIM(U196)="Pass",TRIM(AB196)&lt;&gt;"",TRIM(AB196)&lt;&gt;"Closed"),"INVALID – corrective action not closed: use Fail, then Pass after CA","")&amp;IF(AND(TRIM(AA196)&lt;&gt;"",TRIM(AB196)=""),"INVALID – CA status missing for the recorded corrective action","")&amp;IF(AND(TRIM(U196)="Pass after CA",OR(TRIM(AA196)="",TRIM(AB196)&lt;&gt;"Closed")),"INVALID – corrective action not recorded/closed","")&lt;&gt;"",IF(AND(TRIM(U196)="Pass",ISNUMBER(AF196)),IF(AF196&lt;&gt;0,"INVALID – qty variance: use Fail or Pass after CA",""),"")&amp;IF(AND(TRIM(U196)="Pass",TRIM(AB196)&lt;&gt;"",TRIM(AB196)&lt;&gt;"Closed"),"INVALID – corrective action not closed: use Fail, then Pass after CA","")&amp;IF(AND(TRIM(AA196)&lt;&gt;"",TRIM(AB196)=""),"INVALID – CA status missing for the recorded corrective action","")&amp;IF(AND(TRIM(U196)="Pass after CA",OR(TRIM(AA196)="",TRIM(AB196)&lt;&gt;"Closed")),"INVALID – corrective action not recorded/closed",""),IF(AND(AS196=1,Documents!$J$10&lt;&gt;"ON FILE"),"INVALID – GLD not on file (Documents sheet)",IF(AND(AS196=2,Documents!$O$10&lt;&gt;"ON FILE"),"INVALID – menu checklist not on file (Documents sheet)",IF(AND(AS196=3,NOT(ISNUMBER(Flights!$AX$10))),"INVALID – enter carrying flight KUL departure (Flights AX)",IF(AND(AS196=3,OR(Flights!$AX$10&gt;=Flights!$AA$10,Flights!$AX$10&lt;Flights!$AA$10-3)),"INVALID – Flights AX must be before this leg's STD (within 3 days)",IF(AG196&gt;AsOfUTC,"INVALID – completion time is in the future",IF(AND(ISNUMBER(S196),AG196&lt;S196),IF(H196="Physical uplift","INVALID – before uplift window (cannot confirm loading)","INVALID – before valid window"),IF(AG196&gt;Flights!$AA$10,"INVALID – completed after departure (cannot establish readiness)",IF(AND(H196="Physical uplift",AG196&gt;Q196),"INVALID – recorded after the loading flight departed",IF(AG196&gt;Q196,"COMPLETE – LATE","COMPLETE")))))))))))))))))),IF(TRIM(U196)="Fail","FAIL – DISCREPANCY",IF(AND(TRIM(U196)&lt;&gt;"",TRIM(U196)&lt;&gt;"Not started",TRIM(U196)&lt;&gt;"In progress"),"INVALID – unrecognised status (use the list)",IF(AsOfUTC&gt;Q196,"OVERDUE",IF(N196="Clarification required","OPEN – CLARIFICATION","OPEN")))))))</f>
        <v>OPEN</v>
      </c>
      <c r="AI196" s="61" t="n">
        <f aca="false">IF(OR(AH196="N/A – RULE",AH196="N/A – JUSTIFIED"),0,1)</f>
        <v>1</v>
      </c>
      <c r="AJ196" s="61" t="n">
        <f aca="false">IF(LEFT(AH196,8)="COMPLETE",1,0)</f>
        <v>0</v>
      </c>
      <c r="AK196" s="61" t="n">
        <f aca="false">IF(AND(AI196=1,AJ196=0,AsOfUTC&gt;Q196),1,0)</f>
        <v>0</v>
      </c>
      <c r="AL196" s="61" t="n">
        <f aca="false">IF(AND(AI196=1,OR(TRIM(U196)="Fail",AND(TRIM(AB196)&lt;&gt;"",TRIM(AB196)&lt;&gt;"Closed"),AND(ISNUMBER(AF196),AF196&lt;&gt;0,TRIM(U196)&lt;&gt;"Pass after CA"))),1,0)</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8" t="b">
        <f aca="false">TRUE()</f>
        <v>1</v>
      </c>
    </row>
    <row r="197" customFormat="false" ht="39.75" hidden="false" customHeight="true" outlineLevel="0" collapsed="false">
      <c r="A197" s="57" t="s">
        <v>722</v>
      </c>
      <c r="B197" s="57" t="s">
        <v>223</v>
      </c>
      <c r="C197" s="57" t="str">
        <f aca="false">Flights!$F$10</f>
        <v>MH0002</v>
      </c>
      <c r="D197" s="58" t="n">
        <f aca="false">Flights!$D$10</f>
        <v>46310</v>
      </c>
      <c r="E197" s="57" t="str">
        <f aca="false">Flights!$G$10&amp;"-"&amp;Flights!$H$10</f>
        <v>KUL-LHR</v>
      </c>
      <c r="F197" s="57" t="str">
        <f aca="false">Flights!$K$10</f>
        <v>BC</v>
      </c>
      <c r="G197" s="57" t="s">
        <v>424</v>
      </c>
      <c r="H197" s="57" t="s">
        <v>425</v>
      </c>
      <c r="I197" s="57" t="s">
        <v>344</v>
      </c>
      <c r="J197" s="57" t="s">
        <v>426</v>
      </c>
      <c r="K197" s="67" t="s">
        <v>391</v>
      </c>
      <c r="L197" s="67" t="s">
        <v>427</v>
      </c>
      <c r="M197" s="67"/>
      <c r="N197" s="67" t="s">
        <v>348</v>
      </c>
      <c r="O197" s="67" t="s">
        <v>428</v>
      </c>
      <c r="P197" s="57" t="s">
        <v>179</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59" t="n">
        <f aca="false">IF(ISNUMBER(Flights!$AY$10),MAX(Q197-UpliftWindowH/24,Flights!$AY$10+UpliftWindowH/24),Q197-UpliftWindowH/24)</f>
        <v>46310.3888888889</v>
      </c>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IF(N197="N/A – rule","N/A – RULE",IF(TRIM(U197)="N/A",IF(AT197=0,"INVALID – N/A not permitted for this mandatory check",IF(AND(TRIM(AC197)&lt;&gt;"",TRIM(AE197)&lt;&gt;"",TRIM(T197)&lt;&gt;"",TRIM(AE197)&lt;&gt;TRIM(T197)),"N/A – JUSTIFIED","INVALID – N/A needs justification, PIC and a different verifier")),IF(OR(TRIM(U197)="Pass",TRIM(U197)="Pass after CA"),IF(NOT(ISNUMBER(AD197)),"INVALID – completion time missing",IF(TRIM(T197)="","INVALID – PIC missing",IF(TRIM(V197)="","INVALID – result / assessment missing",IF(TRIM(Z197)="","INVALID – evidence missing",IF(TRIM(AE197)="","INVALID – verifier missing",IF(TRIM(AE197)=TRIM(T197),"INVALID – verifier must be someone other than the PIC",IF(AND(AQ197=1,TRIM(W197)=""),"INVALID – batch ID missing",IF(AND(AR197=1,OR(NOT(ISNUMBER(X197)),NOT(ISNUMBER(Y197)))),"INVALID – expected/actual qty missing",IF(IF(AND(TRIM(U197)="Pass",ISNUMBER(AF197)),IF(AF197&lt;&gt;0,"INVALID – qty variance: use Fail or Pass after CA",""),"")&amp;IF(AND(TRIM(U197)="Pass",TRIM(AB197)&lt;&gt;"",TRIM(AB197)&lt;&gt;"Closed"),"INVALID – corrective action not closed: use Fail, then Pass after CA","")&amp;IF(AND(TRIM(AA197)&lt;&gt;"",TRIM(AB197)=""),"INVALID – CA status missing for the recorded corrective action","")&amp;IF(AND(TRIM(U197)="Pass after CA",OR(TRIM(AA197)="",TRIM(AB197)&lt;&gt;"Closed")),"INVALID – corrective action not recorded/closed","")&lt;&gt;"",IF(AND(TRIM(U197)="Pass",ISNUMBER(AF197)),IF(AF197&lt;&gt;0,"INVALID – qty variance: use Fail or Pass after CA",""),"")&amp;IF(AND(TRIM(U197)="Pass",TRIM(AB197)&lt;&gt;"",TRIM(AB197)&lt;&gt;"Closed"),"INVALID – corrective action not closed: use Fail, then Pass after CA","")&amp;IF(AND(TRIM(AA197)&lt;&gt;"",TRIM(AB197)=""),"INVALID – CA status missing for the recorded corrective action","")&amp;IF(AND(TRIM(U197)="Pass after CA",OR(TRIM(AA197)="",TRIM(AB197)&lt;&gt;"Closed")),"INVALID – corrective action not recorded/closed",""),IF(AND(AS197=1,Documents!$J$10&lt;&gt;"ON FILE"),"INVALID – GLD not on file (Documents sheet)",IF(AND(AS197=2,Documents!$O$10&lt;&gt;"ON FILE"),"INVALID – menu checklist not on file (Documents sheet)",IF(AND(AS197=3,NOT(ISNUMBER(Flights!$AX$10))),"INVALID – enter carrying flight KUL departure (Flights AX)",IF(AND(AS197=3,OR(Flights!$AX$10&gt;=Flights!$AA$10,Flights!$AX$10&lt;Flights!$AA$10-3)),"INVALID – Flights AX must be before this leg's STD (within 3 days)",IF(AG197&gt;AsOfUTC,"INVALID – completion time is in the future",IF(AND(ISNUMBER(S197),AG197&lt;S197),IF(H197="Physical uplift","INVALID – before uplift window (cannot confirm loading)","INVALID – before valid window"),IF(AG197&gt;Flights!$AA$10,"INVALID – completed after departure (cannot establish readiness)",IF(AND(H197="Physical uplift",AG197&gt;Q197),"INVALID – recorded after the loading flight departed",IF(AG197&gt;Q197,"COMPLETE – LATE","COMPLETE")))))))))))))))))),IF(TRIM(U197)="Fail","FAIL – DISCREPANCY",IF(AND(TRIM(U197)&lt;&gt;"",TRIM(U197)&lt;&gt;"Not started",TRIM(U197)&lt;&gt;"In progress"),"INVALID – unrecognised status (use the list)",IF(AsOfUTC&gt;Q197,"OVERDUE",IF(N197="Clarification required","OPEN – CLARIFICATION","OPEN")))))))</f>
        <v>OPEN</v>
      </c>
      <c r="AI197" s="61" t="n">
        <f aca="false">IF(OR(AH197="N/A – RULE",AH197="N/A – JUSTIFIED"),0,1)</f>
        <v>1</v>
      </c>
      <c r="AJ197" s="61" t="n">
        <f aca="false">IF(LEFT(AH197,8)="COMPLETE",1,0)</f>
        <v>0</v>
      </c>
      <c r="AK197" s="61" t="n">
        <f aca="false">IF(AND(AI197=1,AJ197=0,AsOfUTC&gt;Q197),1,0)</f>
        <v>0</v>
      </c>
      <c r="AL197" s="61" t="n">
        <f aca="false">IF(AND(AI197=1,OR(TRIM(U197)="Fail",AND(TRIM(AB197)&lt;&gt;"",TRIM(AB197)&lt;&gt;"Closed"),AND(ISNUMBER(AF197),AF197&lt;&gt;0,TRIM(U197)&lt;&gt;"Pass after CA"))),1,0)</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row>
    <row r="198" customFormat="false" ht="39.75" hidden="false" customHeight="true" outlineLevel="0" collapsed="false">
      <c r="A198" s="57" t="s">
        <v>723</v>
      </c>
      <c r="B198" s="57" t="s">
        <v>223</v>
      </c>
      <c r="C198" s="57" t="str">
        <f aca="false">Flights!$F$10</f>
        <v>MH0002</v>
      </c>
      <c r="D198" s="58" t="n">
        <f aca="false">Flights!$D$10</f>
        <v>46310</v>
      </c>
      <c r="E198" s="57" t="str">
        <f aca="false">Flights!$G$10&amp;"-"&amp;Flights!$H$10</f>
        <v>KUL-LHR</v>
      </c>
      <c r="F198" s="57" t="str">
        <f aca="false">Flights!$K$10</f>
        <v>BC</v>
      </c>
      <c r="G198" s="57" t="s">
        <v>424</v>
      </c>
      <c r="H198" s="57" t="s">
        <v>425</v>
      </c>
      <c r="I198" s="57" t="s">
        <v>393</v>
      </c>
      <c r="J198" s="57" t="s">
        <v>430</v>
      </c>
      <c r="K198" s="67" t="s">
        <v>391</v>
      </c>
      <c r="L198" s="67" t="s">
        <v>427</v>
      </c>
      <c r="M198" s="67"/>
      <c r="N198" s="67" t="s">
        <v>348</v>
      </c>
      <c r="O198" s="67" t="s">
        <v>428</v>
      </c>
      <c r="P198" s="57" t="s">
        <v>179</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59" t="n">
        <f aca="false">IF(ISNUMBER(Flights!$AY$10),MAX(Q198-UpliftWindowH/24,Flights!$AY$10+UpliftWindowH/24),Q198-UpliftWindowH/24)</f>
        <v>46310.3888888889</v>
      </c>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IF(N198="N/A – rule","N/A – RULE",IF(TRIM(U198)="N/A",IF(AT198=0,"INVALID – N/A not permitted for this mandatory check",IF(AND(TRIM(AC198)&lt;&gt;"",TRIM(AE198)&lt;&gt;"",TRIM(T198)&lt;&gt;"",TRIM(AE198)&lt;&gt;TRIM(T198)),"N/A – JUSTIFIED","INVALID – N/A needs justification, PIC and a different verifier")),IF(OR(TRIM(U198)="Pass",TRIM(U198)="Pass after CA"),IF(NOT(ISNUMBER(AD198)),"INVALID – completion time missing",IF(TRIM(T198)="","INVALID – PIC missing",IF(TRIM(V198)="","INVALID – result / assessment missing",IF(TRIM(Z198)="","INVALID – evidence missing",IF(TRIM(AE198)="","INVALID – verifier missing",IF(TRIM(AE198)=TRIM(T198),"INVALID – verifier must be someone other than the PIC",IF(AND(AQ198=1,TRIM(W198)=""),"INVALID – batch ID missing",IF(AND(AR198=1,OR(NOT(ISNUMBER(X198)),NOT(ISNUMBER(Y198)))),"INVALID – expected/actual qty missing",IF(IF(AND(TRIM(U198)="Pass",ISNUMBER(AF198)),IF(AF198&lt;&gt;0,"INVALID – qty variance: use Fail or Pass after CA",""),"")&amp;IF(AND(TRIM(U198)="Pass",TRIM(AB198)&lt;&gt;"",TRIM(AB198)&lt;&gt;"Closed"),"INVALID – corrective action not closed: use Fail, then Pass after CA","")&amp;IF(AND(TRIM(AA198)&lt;&gt;"",TRIM(AB198)=""),"INVALID – CA status missing for the recorded corrective action","")&amp;IF(AND(TRIM(U198)="Pass after CA",OR(TRIM(AA198)="",TRIM(AB198)&lt;&gt;"Closed")),"INVALID – corrective action not recorded/closed","")&lt;&gt;"",IF(AND(TRIM(U198)="Pass",ISNUMBER(AF198)),IF(AF198&lt;&gt;0,"INVALID – qty variance: use Fail or Pass after CA",""),"")&amp;IF(AND(TRIM(U198)="Pass",TRIM(AB198)&lt;&gt;"",TRIM(AB198)&lt;&gt;"Closed"),"INVALID – corrective action not closed: use Fail, then Pass after CA","")&amp;IF(AND(TRIM(AA198)&lt;&gt;"",TRIM(AB198)=""),"INVALID – CA status missing for the recorded corrective action","")&amp;IF(AND(TRIM(U198)="Pass after CA",OR(TRIM(AA198)="",TRIM(AB198)&lt;&gt;"Closed")),"INVALID – corrective action not recorded/closed",""),IF(AND(AS198=1,Documents!$J$10&lt;&gt;"ON FILE"),"INVALID – GLD not on file (Documents sheet)",IF(AND(AS198=2,Documents!$O$10&lt;&gt;"ON FILE"),"INVALID – menu checklist not on file (Documents sheet)",IF(AND(AS198=3,NOT(ISNUMBER(Flights!$AX$10))),"INVALID – enter carrying flight KUL departure (Flights AX)",IF(AND(AS198=3,OR(Flights!$AX$10&gt;=Flights!$AA$10,Flights!$AX$10&lt;Flights!$AA$10-3)),"INVALID – Flights AX must be before this leg's STD (within 3 days)",IF(AG198&gt;AsOfUTC,"INVALID – completion time is in the future",IF(AND(ISNUMBER(S198),AG198&lt;S198),IF(H198="Physical uplift","INVALID – before uplift window (cannot confirm loading)","INVALID – before valid window"),IF(AG198&gt;Flights!$AA$10,"INVALID – completed after departure (cannot establish readiness)",IF(AND(H198="Physical uplift",AG198&gt;Q198),"INVALID – recorded after the loading flight departed",IF(AG198&gt;Q198,"COMPLETE – LATE","COMPLETE")))))))))))))))))),IF(TRIM(U198)="Fail","FAIL – DISCREPANCY",IF(AND(TRIM(U198)&lt;&gt;"",TRIM(U198)&lt;&gt;"Not started",TRIM(U198)&lt;&gt;"In progress"),"INVALID – unrecognised status (use the list)",IF(AsOfUTC&gt;Q198,"OVERDUE",IF(N198="Clarification required","OPEN – CLARIFICATION","OPEN")))))))</f>
        <v>OPEN</v>
      </c>
      <c r="AI198" s="61" t="n">
        <f aca="false">IF(OR(AH198="N/A – RULE",AH198="N/A – JUSTIFIED"),0,1)</f>
        <v>1</v>
      </c>
      <c r="AJ198" s="61" t="n">
        <f aca="false">IF(LEFT(AH198,8)="COMPLETE",1,0)</f>
        <v>0</v>
      </c>
      <c r="AK198" s="61" t="n">
        <f aca="false">IF(AND(AI198=1,AJ198=0,AsOfUTC&gt;Q198),1,0)</f>
        <v>0</v>
      </c>
      <c r="AL198" s="61" t="n">
        <f aca="false">IF(AND(AI198=1,OR(TRIM(U198)="Fail",AND(TRIM(AB198)&lt;&gt;"",TRIM(AB198)&lt;&gt;"Closed"),AND(ISNUMBER(AF198),AF198&lt;&gt;0,TRIM(U198)&lt;&gt;"Pass after CA"))),1,0)</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row>
    <row r="199" customFormat="false" ht="91.5" hidden="false" customHeight="true" outlineLevel="0" collapsed="false">
      <c r="A199" s="57" t="s">
        <v>724</v>
      </c>
      <c r="B199" s="57" t="s">
        <v>223</v>
      </c>
      <c r="C199" s="57" t="str">
        <f aca="false">Flights!$F$10</f>
        <v>MH0002</v>
      </c>
      <c r="D199" s="58" t="n">
        <f aca="false">Flights!$D$10</f>
        <v>46310</v>
      </c>
      <c r="E199" s="57" t="str">
        <f aca="false">Flights!$G$10&amp;"-"&amp;Flights!$H$10</f>
        <v>KUL-LHR</v>
      </c>
      <c r="F199" s="57" t="str">
        <f aca="false">Flights!$K$10</f>
        <v>BC</v>
      </c>
      <c r="G199" s="57" t="s">
        <v>424</v>
      </c>
      <c r="H199" s="57" t="s">
        <v>425</v>
      </c>
      <c r="I199" s="57" t="s">
        <v>405</v>
      </c>
      <c r="J199" s="57" t="s">
        <v>432</v>
      </c>
      <c r="K199" s="67" t="s">
        <v>466</v>
      </c>
      <c r="L199" s="67" t="s">
        <v>408</v>
      </c>
      <c r="M199" s="67" t="s">
        <v>691</v>
      </c>
      <c r="N199" s="67" t="s">
        <v>409</v>
      </c>
      <c r="O199" s="67" t="s">
        <v>692</v>
      </c>
      <c r="P199" s="57" t="s">
        <v>179</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59" t="n">
        <f aca="false">IF(ISNUMBER(Flights!$AY$10),MAX(Q199-UpliftWindowH/24,Flights!$AY$10+UpliftWindowH/24),Q199-UpliftWindowH/24)</f>
        <v>46310.3888888889</v>
      </c>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IF(N199="N/A – rule","N/A – RULE",IF(TRIM(U199)="N/A",IF(AT199=0,"INVALID – N/A not permitted for this mandatory check",IF(AND(TRIM(AC199)&lt;&gt;"",TRIM(AE199)&lt;&gt;"",TRIM(T199)&lt;&gt;"",TRIM(AE199)&lt;&gt;TRIM(T199)),"N/A – JUSTIFIED","INVALID – N/A needs justification, PIC and a different verifier")),IF(OR(TRIM(U199)="Pass",TRIM(U199)="Pass after CA"),IF(NOT(ISNUMBER(AD199)),"INVALID – completion time missing",IF(TRIM(T199)="","INVALID – PIC missing",IF(TRIM(V199)="","INVALID – result / assessment missing",IF(TRIM(Z199)="","INVALID – evidence missing",IF(TRIM(AE199)="","INVALID – verifier missing",IF(TRIM(AE199)=TRIM(T199),"INVALID – verifier must be someone other than the PIC",IF(AND(AQ199=1,TRIM(W199)=""),"INVALID – batch ID missing",IF(AND(AR199=1,OR(NOT(ISNUMBER(X199)),NOT(ISNUMBER(Y199)))),"INVALID – expected/actual qty missing",IF(IF(AND(TRIM(U199)="Pass",ISNUMBER(AF199)),IF(AF199&lt;&gt;0,"INVALID – qty variance: use Fail or Pass after CA",""),"")&amp;IF(AND(TRIM(U199)="Pass",TRIM(AB199)&lt;&gt;"",TRIM(AB199)&lt;&gt;"Closed"),"INVALID – corrective action not closed: use Fail, then Pass after CA","")&amp;IF(AND(TRIM(AA199)&lt;&gt;"",TRIM(AB199)=""),"INVALID – CA status missing for the recorded corrective action","")&amp;IF(AND(TRIM(U199)="Pass after CA",OR(TRIM(AA199)="",TRIM(AB199)&lt;&gt;"Closed")),"INVALID – corrective action not recorded/closed","")&lt;&gt;"",IF(AND(TRIM(U199)="Pass",ISNUMBER(AF199)),IF(AF199&lt;&gt;0,"INVALID – qty variance: use Fail or Pass after CA",""),"")&amp;IF(AND(TRIM(U199)="Pass",TRIM(AB199)&lt;&gt;"",TRIM(AB199)&lt;&gt;"Closed"),"INVALID – corrective action not closed: use Fail, then Pass after CA","")&amp;IF(AND(TRIM(AA199)&lt;&gt;"",TRIM(AB199)=""),"INVALID – CA status missing for the recorded corrective action","")&amp;IF(AND(TRIM(U199)="Pass after CA",OR(TRIM(AA199)="",TRIM(AB199)&lt;&gt;"Closed")),"INVALID – corrective action not recorded/closed",""),IF(AND(AS199=1,Documents!$J$10&lt;&gt;"ON FILE"),"INVALID – GLD not on file (Documents sheet)",IF(AND(AS199=2,Documents!$O$10&lt;&gt;"ON FILE"),"INVALID – menu checklist not on file (Documents sheet)",IF(AND(AS199=3,NOT(ISNUMBER(Flights!$AX$10))),"INVALID – enter carrying flight KUL departure (Flights AX)",IF(AND(AS199=3,OR(Flights!$AX$10&gt;=Flights!$AA$10,Flights!$AX$10&lt;Flights!$AA$10-3)),"INVALID – Flights AX must be before this leg's STD (within 3 days)",IF(AG199&gt;AsOfUTC,"INVALID – completion time is in the future",IF(AND(ISNUMBER(S199),AG199&lt;S199),IF(H199="Physical uplift","INVALID – before uplift window (cannot confirm loading)","INVALID – before valid window"),IF(AG199&gt;Flights!$AA$10,"INVALID – completed after departure (cannot establish readiness)",IF(AND(H199="Physical uplift",AG199&gt;Q199),"INVALID – recorded after the loading flight departed",IF(AG199&gt;Q199,"COMPLETE – LATE","COMPLETE")))))))))))))))))),IF(TRIM(U199)="Fail","FAIL – DISCREPANCY",IF(AND(TRIM(U199)&lt;&gt;"",TRIM(U199)&lt;&gt;"Not started",TRIM(U199)&lt;&gt;"In progress"),"INVALID – unrecognised status (use the list)",IF(AsOfUTC&gt;Q199,"OVERDUE",IF(N199="Clarification required","OPEN – CLARIFICATION","OPEN")))))))</f>
        <v>OPEN – CLARIFICATION</v>
      </c>
      <c r="AI199" s="61" t="n">
        <f aca="false">IF(OR(AH199="N/A – RULE",AH199="N/A – JUSTIFIED"),0,1)</f>
        <v>1</v>
      </c>
      <c r="AJ199" s="61" t="n">
        <f aca="false">IF(LEFT(AH199,8)="COMPLETE",1,0)</f>
        <v>0</v>
      </c>
      <c r="AK199" s="61" t="n">
        <f aca="false">IF(AND(AI199=1,AJ199=0,AsOfUTC&gt;Q199),1,0)</f>
        <v>0</v>
      </c>
      <c r="AL199" s="61" t="n">
        <f aca="false">IF(AND(AI199=1,OR(TRIM(U199)="Fail",AND(TRIM(AB199)&lt;&gt;"",TRIM(AB199)&lt;&gt;"Closed"),AND(ISNUMBER(AF199),AF199&lt;&gt;0,TRIM(U199)&lt;&gt;"Pass after CA"))),1,0)</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8" t="b">
        <f aca="false">TRUE()</f>
        <v>1</v>
      </c>
    </row>
    <row r="200" customFormat="false" ht="39.75" hidden="false" customHeight="true" outlineLevel="0" collapsed="false">
      <c r="A200" s="57" t="s">
        <v>725</v>
      </c>
      <c r="B200" s="57" t="s">
        <v>223</v>
      </c>
      <c r="C200" s="57" t="str">
        <f aca="false">Flights!$F$10</f>
        <v>MH0002</v>
      </c>
      <c r="D200" s="58" t="n">
        <f aca="false">Flights!$D$10</f>
        <v>46310</v>
      </c>
      <c r="E200" s="57" t="str">
        <f aca="false">Flights!$G$10&amp;"-"&amp;Flights!$H$10</f>
        <v>KUL-LHR</v>
      </c>
      <c r="F200" s="57" t="str">
        <f aca="false">Flights!$K$10</f>
        <v>BC</v>
      </c>
      <c r="G200" s="57" t="s">
        <v>424</v>
      </c>
      <c r="H200" s="57" t="s">
        <v>425</v>
      </c>
      <c r="I200" s="57" t="s">
        <v>405</v>
      </c>
      <c r="J200" s="57" t="s">
        <v>726</v>
      </c>
      <c r="K200" s="67" t="s">
        <v>695</v>
      </c>
      <c r="L200" s="67" t="s">
        <v>696</v>
      </c>
      <c r="M200" s="67" t="s">
        <v>179</v>
      </c>
      <c r="N200" s="67" t="s">
        <v>348</v>
      </c>
      <c r="O200" s="67" t="s">
        <v>697</v>
      </c>
      <c r="P200" s="57" t="s">
        <v>179</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59" t="n">
        <f aca="false">IF(ISNUMBER(Flights!$AY$10),MAX(Q200-UpliftWindowH/24,Flights!$AY$10+UpliftWindowH/24),Q200-UpliftWindowH/24)</f>
        <v>46310.3888888889</v>
      </c>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IF(N200="N/A – rule","N/A – RULE",IF(TRIM(U200)="N/A",IF(AT200=0,"INVALID – N/A not permitted for this mandatory check",IF(AND(TRIM(AC200)&lt;&gt;"",TRIM(AE200)&lt;&gt;"",TRIM(T200)&lt;&gt;"",TRIM(AE200)&lt;&gt;TRIM(T200)),"N/A – JUSTIFIED","INVALID – N/A needs justification, PIC and a different verifier")),IF(OR(TRIM(U200)="Pass",TRIM(U200)="Pass after CA"),IF(NOT(ISNUMBER(AD200)),"INVALID – completion time missing",IF(TRIM(T200)="","INVALID – PIC missing",IF(TRIM(V200)="","INVALID – result / assessment missing",IF(TRIM(Z200)="","INVALID – evidence missing",IF(TRIM(AE200)="","INVALID – verifier missing",IF(TRIM(AE200)=TRIM(T200),"INVALID – verifier must be someone other than the PIC",IF(AND(AQ200=1,TRIM(W200)=""),"INVALID – batch ID missing",IF(AND(AR200=1,OR(NOT(ISNUMBER(X200)),NOT(ISNUMBER(Y200)))),"INVALID – expected/actual qty missing",IF(IF(AND(TRIM(U200)="Pass",ISNUMBER(AF200)),IF(AF200&lt;&gt;0,"INVALID – qty variance: use Fail or Pass after CA",""),"")&amp;IF(AND(TRIM(U200)="Pass",TRIM(AB200)&lt;&gt;"",TRIM(AB200)&lt;&gt;"Closed"),"INVALID – corrective action not closed: use Fail, then Pass after CA","")&amp;IF(AND(TRIM(AA200)&lt;&gt;"",TRIM(AB200)=""),"INVALID – CA status missing for the recorded corrective action","")&amp;IF(AND(TRIM(U200)="Pass after CA",OR(TRIM(AA200)="",TRIM(AB200)&lt;&gt;"Closed")),"INVALID – corrective action not recorded/closed","")&lt;&gt;"",IF(AND(TRIM(U200)="Pass",ISNUMBER(AF200)),IF(AF200&lt;&gt;0,"INVALID – qty variance: use Fail or Pass after CA",""),"")&amp;IF(AND(TRIM(U200)="Pass",TRIM(AB200)&lt;&gt;"",TRIM(AB200)&lt;&gt;"Closed"),"INVALID – corrective action not closed: use Fail, then Pass after CA","")&amp;IF(AND(TRIM(AA200)&lt;&gt;"",TRIM(AB200)=""),"INVALID – CA status missing for the recorded corrective action","")&amp;IF(AND(TRIM(U200)="Pass after CA",OR(TRIM(AA200)="",TRIM(AB200)&lt;&gt;"Closed")),"INVALID – corrective action not recorded/closed",""),IF(AND(AS200=1,Documents!$J$10&lt;&gt;"ON FILE"),"INVALID – GLD not on file (Documents sheet)",IF(AND(AS200=2,Documents!$O$10&lt;&gt;"ON FILE"),"INVALID – menu checklist not on file (Documents sheet)",IF(AND(AS200=3,NOT(ISNUMBER(Flights!$AX$10))),"INVALID – enter carrying flight KUL departure (Flights AX)",IF(AND(AS200=3,OR(Flights!$AX$10&gt;=Flights!$AA$10,Flights!$AX$10&lt;Flights!$AA$10-3)),"INVALID – Flights AX must be before this leg's STD (within 3 days)",IF(AG200&gt;AsOfUTC,"INVALID – completion time is in the future",IF(AND(ISNUMBER(S200),AG200&lt;S200),IF(H200="Physical uplift","INVALID – before uplift window (cannot confirm loading)","INVALID – before valid window"),IF(AG200&gt;Flights!$AA$10,"INVALID – completed after departure (cannot establish readiness)",IF(AND(H200="Physical uplift",AG200&gt;Q200),"INVALID – recorded after the loading flight departed",IF(AG200&gt;Q200,"COMPLETE – LATE","COMPLETE")))))))))))))))))),IF(TRIM(U200)="Fail","FAIL – DISCREPANCY",IF(AND(TRIM(U200)&lt;&gt;"",TRIM(U200)&lt;&gt;"Not started",TRIM(U200)&lt;&gt;"In progress"),"INVALID – unrecognised status (use the list)",IF(AsOfUTC&gt;Q200,"OVERDUE",IF(N200="Clarification required","OPEN – CLARIFICATION","OPEN")))))))</f>
        <v>OPEN</v>
      </c>
      <c r="AI200" s="61" t="n">
        <f aca="false">IF(OR(AH200="N/A – RULE",AH200="N/A – JUSTIFIED"),0,1)</f>
        <v>1</v>
      </c>
      <c r="AJ200" s="61" t="n">
        <f aca="false">IF(LEFT(AH200,8)="COMPLETE",1,0)</f>
        <v>0</v>
      </c>
      <c r="AK200" s="61" t="n">
        <f aca="false">IF(AND(AI200=1,AJ200=0,AsOfUTC&gt;Q200),1,0)</f>
        <v>0</v>
      </c>
      <c r="AL200" s="61" t="n">
        <f aca="false">IF(AND(AI200=1,OR(TRIM(U200)="Fail",AND(TRIM(AB200)&lt;&gt;"",TRIM(AB200)&lt;&gt;"Closed"),AND(ISNUMBER(AF200),AF200&lt;&gt;0,TRIM(U200)&lt;&gt;"Pass after CA"))),1,0)</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8" t="b">
        <f aca="false">TRUE()</f>
        <v>1</v>
      </c>
    </row>
    <row r="201" customFormat="false" ht="39.75" hidden="false" customHeight="true" outlineLevel="0" collapsed="false">
      <c r="A201" s="57" t="s">
        <v>727</v>
      </c>
      <c r="B201" s="57" t="s">
        <v>223</v>
      </c>
      <c r="C201" s="57" t="str">
        <f aca="false">Flights!$F$10</f>
        <v>MH0002</v>
      </c>
      <c r="D201" s="58" t="n">
        <f aca="false">Flights!$D$10</f>
        <v>46310</v>
      </c>
      <c r="E201" s="57" t="str">
        <f aca="false">Flights!$G$10&amp;"-"&amp;Flights!$H$10</f>
        <v>KUL-LHR</v>
      </c>
      <c r="F201" s="57" t="str">
        <f aca="false">Flights!$K$10</f>
        <v>BC</v>
      </c>
      <c r="G201" s="57" t="s">
        <v>424</v>
      </c>
      <c r="H201" s="57" t="s">
        <v>425</v>
      </c>
      <c r="I201" s="57" t="s">
        <v>405</v>
      </c>
      <c r="J201" s="57" t="s">
        <v>608</v>
      </c>
      <c r="K201" s="67" t="s">
        <v>466</v>
      </c>
      <c r="L201" s="67" t="s">
        <v>699</v>
      </c>
      <c r="M201" s="67" t="s">
        <v>179</v>
      </c>
      <c r="N201" s="67" t="s">
        <v>348</v>
      </c>
      <c r="O201" s="67"/>
      <c r="P201" s="57" t="s">
        <v>179</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59" t="n">
        <f aca="false">IF(ISNUMBER(Flights!$AY$10),MAX(Q201-UpliftWindowH/24,Flights!$AY$10+UpliftWindowH/24),Q201-UpliftWindowH/24)</f>
        <v>46310.3888888889</v>
      </c>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IF(N201="N/A – rule","N/A – RULE",IF(TRIM(U201)="N/A",IF(AT201=0,"INVALID – N/A not permitted for this mandatory check",IF(AND(TRIM(AC201)&lt;&gt;"",TRIM(AE201)&lt;&gt;"",TRIM(T201)&lt;&gt;"",TRIM(AE201)&lt;&gt;TRIM(T201)),"N/A – JUSTIFIED","INVALID – N/A needs justification, PIC and a different verifier")),IF(OR(TRIM(U201)="Pass",TRIM(U201)="Pass after CA"),IF(NOT(ISNUMBER(AD201)),"INVALID – completion time missing",IF(TRIM(T201)="","INVALID – PIC missing",IF(TRIM(V201)="","INVALID – result / assessment missing",IF(TRIM(Z201)="","INVALID – evidence missing",IF(TRIM(AE201)="","INVALID – verifier missing",IF(TRIM(AE201)=TRIM(T201),"INVALID – verifier must be someone other than the PIC",IF(AND(AQ201=1,TRIM(W201)=""),"INVALID – batch ID missing",IF(AND(AR201=1,OR(NOT(ISNUMBER(X201)),NOT(ISNUMBER(Y201)))),"INVALID – expected/actual qty missing",IF(IF(AND(TRIM(U201)="Pass",ISNUMBER(AF201)),IF(AF201&lt;&gt;0,"INVALID – qty variance: use Fail or Pass after CA",""),"")&amp;IF(AND(TRIM(U201)="Pass",TRIM(AB201)&lt;&gt;"",TRIM(AB201)&lt;&gt;"Closed"),"INVALID – corrective action not closed: use Fail, then Pass after CA","")&amp;IF(AND(TRIM(AA201)&lt;&gt;"",TRIM(AB201)=""),"INVALID – CA status missing for the recorded corrective action","")&amp;IF(AND(TRIM(U201)="Pass after CA",OR(TRIM(AA201)="",TRIM(AB201)&lt;&gt;"Closed")),"INVALID – corrective action not recorded/closed","")&lt;&gt;"",IF(AND(TRIM(U201)="Pass",ISNUMBER(AF201)),IF(AF201&lt;&gt;0,"INVALID – qty variance: use Fail or Pass after CA",""),"")&amp;IF(AND(TRIM(U201)="Pass",TRIM(AB201)&lt;&gt;"",TRIM(AB201)&lt;&gt;"Closed"),"INVALID – corrective action not closed: use Fail, then Pass after CA","")&amp;IF(AND(TRIM(AA201)&lt;&gt;"",TRIM(AB201)=""),"INVALID – CA status missing for the recorded corrective action","")&amp;IF(AND(TRIM(U201)="Pass after CA",OR(TRIM(AA201)="",TRIM(AB201)&lt;&gt;"Closed")),"INVALID – corrective action not recorded/closed",""),IF(AND(AS201=1,Documents!$J$10&lt;&gt;"ON FILE"),"INVALID – GLD not on file (Documents sheet)",IF(AND(AS201=2,Documents!$O$10&lt;&gt;"ON FILE"),"INVALID – menu checklist not on file (Documents sheet)",IF(AND(AS201=3,NOT(ISNUMBER(Flights!$AX$10))),"INVALID – enter carrying flight KUL departure (Flights AX)",IF(AND(AS201=3,OR(Flights!$AX$10&gt;=Flights!$AA$10,Flights!$AX$10&lt;Flights!$AA$10-3)),"INVALID – Flights AX must be before this leg's STD (within 3 days)",IF(AG201&gt;AsOfUTC,"INVALID – completion time is in the future",IF(AND(ISNUMBER(S201),AG201&lt;S201),IF(H201="Physical uplift","INVALID – before uplift window (cannot confirm loading)","INVALID – before valid window"),IF(AG201&gt;Flights!$AA$10,"INVALID – completed after departure (cannot establish readiness)",IF(AND(H201="Physical uplift",AG201&gt;Q201),"INVALID – recorded after the loading flight departed",IF(AG201&gt;Q201,"COMPLETE – LATE","COMPLETE")))))))))))))))))),IF(TRIM(U201)="Fail","FAIL – DISCREPANCY",IF(AND(TRIM(U201)&lt;&gt;"",TRIM(U201)&lt;&gt;"Not started",TRIM(U201)&lt;&gt;"In progress"),"INVALID – unrecognised status (use the list)",IF(AsOfUTC&gt;Q201,"OVERDUE",IF(N201="Clarification required","OPEN – CLARIFICATION","OPEN")))))))</f>
        <v>OPEN</v>
      </c>
      <c r="AI201" s="61" t="n">
        <f aca="false">IF(OR(AH201="N/A – RULE",AH201="N/A – JUSTIFIED"),0,1)</f>
        <v>1</v>
      </c>
      <c r="AJ201" s="61" t="n">
        <f aca="false">IF(LEFT(AH201,8)="COMPLETE",1,0)</f>
        <v>0</v>
      </c>
      <c r="AK201" s="61" t="n">
        <f aca="false">IF(AND(AI201=1,AJ201=0,AsOfUTC&gt;Q201),1,0)</f>
        <v>0</v>
      </c>
      <c r="AL201" s="61" t="n">
        <f aca="false">IF(AND(AI201=1,OR(TRIM(U201)="Fail",AND(TRIM(AB201)&lt;&gt;"",TRIM(AB201)&lt;&gt;"Closed"),AND(ISNUMBER(AF201),AF201&lt;&gt;0,TRIM(U201)&lt;&gt;"Pass after CA"))),1,0)</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8" t="b">
        <f aca="false">TRUE()</f>
        <v>1</v>
      </c>
    </row>
    <row r="202" customFormat="false" ht="39.75" hidden="false" customHeight="true" outlineLevel="0" collapsed="false">
      <c r="A202" s="57" t="s">
        <v>728</v>
      </c>
      <c r="B202" s="57" t="s">
        <v>223</v>
      </c>
      <c r="C202" s="57" t="str">
        <f aca="false">Flights!$F$10</f>
        <v>MH0002</v>
      </c>
      <c r="D202" s="58" t="n">
        <f aca="false">Flights!$D$10</f>
        <v>46310</v>
      </c>
      <c r="E202" s="57" t="str">
        <f aca="false">Flights!$G$10&amp;"-"&amp;Flights!$H$10</f>
        <v>KUL-LHR</v>
      </c>
      <c r="F202" s="57" t="str">
        <f aca="false">Flights!$K$10</f>
        <v>BC</v>
      </c>
      <c r="G202" s="57" t="s">
        <v>424</v>
      </c>
      <c r="H202" s="57" t="s">
        <v>425</v>
      </c>
      <c r="I202" s="57" t="s">
        <v>464</v>
      </c>
      <c r="J202" s="57" t="s">
        <v>502</v>
      </c>
      <c r="K202" s="67" t="s">
        <v>466</v>
      </c>
      <c r="L202" s="67" t="s">
        <v>701</v>
      </c>
      <c r="M202" s="67" t="s">
        <v>416</v>
      </c>
      <c r="N202" s="67" t="s">
        <v>348</v>
      </c>
      <c r="O202" s="67"/>
      <c r="P202" s="57" t="s">
        <v>179</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59" t="n">
        <f aca="false">IF(ISNUMBER(Flights!$AY$10),MAX(Q202-UpliftWindowH/24,Flights!$AY$10+UpliftWindowH/24),Q202-UpliftWindowH/24)</f>
        <v>46310.3888888889</v>
      </c>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IF(N202="N/A – rule","N/A – RULE",IF(TRIM(U202)="N/A",IF(AT202=0,"INVALID – N/A not permitted for this mandatory check",IF(AND(TRIM(AC202)&lt;&gt;"",TRIM(AE202)&lt;&gt;"",TRIM(T202)&lt;&gt;"",TRIM(AE202)&lt;&gt;TRIM(T202)),"N/A – JUSTIFIED","INVALID – N/A needs justification, PIC and a different verifier")),IF(OR(TRIM(U202)="Pass",TRIM(U202)="Pass after CA"),IF(NOT(ISNUMBER(AD202)),"INVALID – completion time missing",IF(TRIM(T202)="","INVALID – PIC missing",IF(TRIM(V202)="","INVALID – result / assessment missing",IF(TRIM(Z202)="","INVALID – evidence missing",IF(TRIM(AE202)="","INVALID – verifier missing",IF(TRIM(AE202)=TRIM(T202),"INVALID – verifier must be someone other than the PIC",IF(AND(AQ202=1,TRIM(W202)=""),"INVALID – batch ID missing",IF(AND(AR202=1,OR(NOT(ISNUMBER(X202)),NOT(ISNUMBER(Y202)))),"INVALID – expected/actual qty missing",IF(IF(AND(TRIM(U202)="Pass",ISNUMBER(AF202)),IF(AF202&lt;&gt;0,"INVALID – qty variance: use Fail or Pass after CA",""),"")&amp;IF(AND(TRIM(U202)="Pass",TRIM(AB202)&lt;&gt;"",TRIM(AB202)&lt;&gt;"Closed"),"INVALID – corrective action not closed: use Fail, then Pass after CA","")&amp;IF(AND(TRIM(AA202)&lt;&gt;"",TRIM(AB202)=""),"INVALID – CA status missing for the recorded corrective action","")&amp;IF(AND(TRIM(U202)="Pass after CA",OR(TRIM(AA202)="",TRIM(AB202)&lt;&gt;"Closed")),"INVALID – corrective action not recorded/closed","")&lt;&gt;"",IF(AND(TRIM(U202)="Pass",ISNUMBER(AF202)),IF(AF202&lt;&gt;0,"INVALID – qty variance: use Fail or Pass after CA",""),"")&amp;IF(AND(TRIM(U202)="Pass",TRIM(AB202)&lt;&gt;"",TRIM(AB202)&lt;&gt;"Closed"),"INVALID – corrective action not closed: use Fail, then Pass after CA","")&amp;IF(AND(TRIM(AA202)&lt;&gt;"",TRIM(AB202)=""),"INVALID – CA status missing for the recorded corrective action","")&amp;IF(AND(TRIM(U202)="Pass after CA",OR(TRIM(AA202)="",TRIM(AB202)&lt;&gt;"Closed")),"INVALID – corrective action not recorded/closed",""),IF(AND(AS202=1,Documents!$J$10&lt;&gt;"ON FILE"),"INVALID – GLD not on file (Documents sheet)",IF(AND(AS202=2,Documents!$O$10&lt;&gt;"ON FILE"),"INVALID – menu checklist not on file (Documents sheet)",IF(AND(AS202=3,NOT(ISNUMBER(Flights!$AX$10))),"INVALID – enter carrying flight KUL departure (Flights AX)",IF(AND(AS202=3,OR(Flights!$AX$10&gt;=Flights!$AA$10,Flights!$AX$10&lt;Flights!$AA$10-3)),"INVALID – Flights AX must be before this leg's STD (within 3 days)",IF(AG202&gt;AsOfUTC,"INVALID – completion time is in the future",IF(AND(ISNUMBER(S202),AG202&lt;S202),IF(H202="Physical uplift","INVALID – before uplift window (cannot confirm loading)","INVALID – before valid window"),IF(AG202&gt;Flights!$AA$10,"INVALID – completed after departure (cannot establish readiness)",IF(AND(H202="Physical uplift",AG202&gt;Q202),"INVALID – recorded after the loading flight departed",IF(AG202&gt;Q202,"COMPLETE – LATE","COMPLETE")))))))))))))))))),IF(TRIM(U202)="Fail","FAIL – DISCREPANCY",IF(AND(TRIM(U202)&lt;&gt;"",TRIM(U202)&lt;&gt;"Not started",TRIM(U202)&lt;&gt;"In progress"),"INVALID – unrecognised status (use the list)",IF(AsOfUTC&gt;Q202,"OVERDUE",IF(N202="Clarification required","OPEN – CLARIFICATION","OPEN")))))))</f>
        <v>OPEN</v>
      </c>
      <c r="AI202" s="61" t="n">
        <f aca="false">IF(OR(AH202="N/A – RULE",AH202="N/A – JUSTIFIED"),0,1)</f>
        <v>1</v>
      </c>
      <c r="AJ202" s="61" t="n">
        <f aca="false">IF(LEFT(AH202,8)="COMPLETE",1,0)</f>
        <v>0</v>
      </c>
      <c r="AK202" s="61" t="n">
        <f aca="false">IF(AND(AI202=1,AJ202=0,AsOfUTC&gt;Q202),1,0)</f>
        <v>0</v>
      </c>
      <c r="AL202" s="61" t="n">
        <f aca="false">IF(AND(AI202=1,OR(TRIM(U202)="Fail",AND(TRIM(AB202)&lt;&gt;"",TRIM(AB202)&lt;&gt;"Closed"),AND(ISNUMBER(AF202),AF202&lt;&gt;0,TRIM(U202)&lt;&gt;"Pass after CA"))),1,0)</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8" t="b">
        <f aca="false">TRUE()</f>
        <v>1</v>
      </c>
    </row>
    <row r="203" customFormat="false" ht="39.75" hidden="false" customHeight="true" outlineLevel="0" collapsed="false">
      <c r="A203" s="57" t="s">
        <v>729</v>
      </c>
      <c r="B203" s="57" t="s">
        <v>223</v>
      </c>
      <c r="C203" s="57" t="str">
        <f aca="false">Flights!$F$10</f>
        <v>MH0002</v>
      </c>
      <c r="D203" s="58" t="n">
        <f aca="false">Flights!$D$10</f>
        <v>46310</v>
      </c>
      <c r="E203" s="57" t="str">
        <f aca="false">Flights!$G$10&amp;"-"&amp;Flights!$H$10</f>
        <v>KUL-LHR</v>
      </c>
      <c r="F203" s="57" t="str">
        <f aca="false">Flights!$K$10</f>
        <v>BC</v>
      </c>
      <c r="G203" s="57" t="s">
        <v>424</v>
      </c>
      <c r="H203" s="57" t="s">
        <v>425</v>
      </c>
      <c r="I203" s="57" t="s">
        <v>464</v>
      </c>
      <c r="J203" s="57" t="s">
        <v>504</v>
      </c>
      <c r="K203" s="67" t="s">
        <v>466</v>
      </c>
      <c r="L203" s="67" t="s">
        <v>703</v>
      </c>
      <c r="M203" s="67" t="s">
        <v>416</v>
      </c>
      <c r="N203" s="67" t="s">
        <v>348</v>
      </c>
      <c r="O203" s="67"/>
      <c r="P203" s="57" t="s">
        <v>179</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59" t="n">
        <f aca="false">IF(ISNUMBER(Flights!$AY$10),MAX(Q203-UpliftWindowH/24,Flights!$AY$10+UpliftWindowH/24),Q203-UpliftWindowH/24)</f>
        <v>46310.3888888889</v>
      </c>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IF(N203="N/A – rule","N/A – RULE",IF(TRIM(U203)="N/A",IF(AT203=0,"INVALID – N/A not permitted for this mandatory check",IF(AND(TRIM(AC203)&lt;&gt;"",TRIM(AE203)&lt;&gt;"",TRIM(T203)&lt;&gt;"",TRIM(AE203)&lt;&gt;TRIM(T203)),"N/A – JUSTIFIED","INVALID – N/A needs justification, PIC and a different verifier")),IF(OR(TRIM(U203)="Pass",TRIM(U203)="Pass after CA"),IF(NOT(ISNUMBER(AD203)),"INVALID – completion time missing",IF(TRIM(T203)="","INVALID – PIC missing",IF(TRIM(V203)="","INVALID – result / assessment missing",IF(TRIM(Z203)="","INVALID – evidence missing",IF(TRIM(AE203)="","INVALID – verifier missing",IF(TRIM(AE203)=TRIM(T203),"INVALID – verifier must be someone other than the PIC",IF(AND(AQ203=1,TRIM(W203)=""),"INVALID – batch ID missing",IF(AND(AR203=1,OR(NOT(ISNUMBER(X203)),NOT(ISNUMBER(Y203)))),"INVALID – expected/actual qty missing",IF(IF(AND(TRIM(U203)="Pass",ISNUMBER(AF203)),IF(AF203&lt;&gt;0,"INVALID – qty variance: use Fail or Pass after CA",""),"")&amp;IF(AND(TRIM(U203)="Pass",TRIM(AB203)&lt;&gt;"",TRIM(AB203)&lt;&gt;"Closed"),"INVALID – corrective action not closed: use Fail, then Pass after CA","")&amp;IF(AND(TRIM(AA203)&lt;&gt;"",TRIM(AB203)=""),"INVALID – CA status missing for the recorded corrective action","")&amp;IF(AND(TRIM(U203)="Pass after CA",OR(TRIM(AA203)="",TRIM(AB203)&lt;&gt;"Closed")),"INVALID – corrective action not recorded/closed","")&lt;&gt;"",IF(AND(TRIM(U203)="Pass",ISNUMBER(AF203)),IF(AF203&lt;&gt;0,"INVALID – qty variance: use Fail or Pass after CA",""),"")&amp;IF(AND(TRIM(U203)="Pass",TRIM(AB203)&lt;&gt;"",TRIM(AB203)&lt;&gt;"Closed"),"INVALID – corrective action not closed: use Fail, then Pass after CA","")&amp;IF(AND(TRIM(AA203)&lt;&gt;"",TRIM(AB203)=""),"INVALID – CA status missing for the recorded corrective action","")&amp;IF(AND(TRIM(U203)="Pass after CA",OR(TRIM(AA203)="",TRIM(AB203)&lt;&gt;"Closed")),"INVALID – corrective action not recorded/closed",""),IF(AND(AS203=1,Documents!$J$10&lt;&gt;"ON FILE"),"INVALID – GLD not on file (Documents sheet)",IF(AND(AS203=2,Documents!$O$10&lt;&gt;"ON FILE"),"INVALID – menu checklist not on file (Documents sheet)",IF(AND(AS203=3,NOT(ISNUMBER(Flights!$AX$10))),"INVALID – enter carrying flight KUL departure (Flights AX)",IF(AND(AS203=3,OR(Flights!$AX$10&gt;=Flights!$AA$10,Flights!$AX$10&lt;Flights!$AA$10-3)),"INVALID – Flights AX must be before this leg's STD (within 3 days)",IF(AG203&gt;AsOfUTC,"INVALID – completion time is in the future",IF(AND(ISNUMBER(S203),AG203&lt;S203),IF(H203="Physical uplift","INVALID – before uplift window (cannot confirm loading)","INVALID – before valid window"),IF(AG203&gt;Flights!$AA$10,"INVALID – completed after departure (cannot establish readiness)",IF(AND(H203="Physical uplift",AG203&gt;Q203),"INVALID – recorded after the loading flight departed",IF(AG203&gt;Q203,"COMPLETE – LATE","COMPLETE")))))))))))))))))),IF(TRIM(U203)="Fail","FAIL – DISCREPANCY",IF(AND(TRIM(U203)&lt;&gt;"",TRIM(U203)&lt;&gt;"Not started",TRIM(U203)&lt;&gt;"In progress"),"INVALID – unrecognised status (use the list)",IF(AsOfUTC&gt;Q203,"OVERDUE",IF(N203="Clarification required","OPEN – CLARIFICATION","OPEN")))))))</f>
        <v>OPEN</v>
      </c>
      <c r="AI203" s="61" t="n">
        <f aca="false">IF(OR(AH203="N/A – RULE",AH203="N/A – JUSTIFIED"),0,1)</f>
        <v>1</v>
      </c>
      <c r="AJ203" s="61" t="n">
        <f aca="false">IF(LEFT(AH203,8)="COMPLETE",1,0)</f>
        <v>0</v>
      </c>
      <c r="AK203" s="61" t="n">
        <f aca="false">IF(AND(AI203=1,AJ203=0,AsOfUTC&gt;Q203),1,0)</f>
        <v>0</v>
      </c>
      <c r="AL203" s="61" t="n">
        <f aca="false">IF(AND(AI203=1,OR(TRIM(U203)="Fail",AND(TRIM(AB203)&lt;&gt;"",TRIM(AB203)&lt;&gt;"Closed"),AND(ISNUMBER(AF203),AF203&lt;&gt;0,TRIM(U203)&lt;&gt;"Pass after CA"))),1,0)</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8" t="b">
        <f aca="false">TRUE()</f>
        <v>1</v>
      </c>
    </row>
    <row r="204" customFormat="false" ht="39.75" hidden="false" customHeight="true" outlineLevel="0" collapsed="false">
      <c r="A204" s="57" t="s">
        <v>730</v>
      </c>
      <c r="B204" s="57" t="s">
        <v>223</v>
      </c>
      <c r="C204" s="57" t="str">
        <f aca="false">Flights!$F$10</f>
        <v>MH0002</v>
      </c>
      <c r="D204" s="58" t="n">
        <f aca="false">Flights!$D$10</f>
        <v>46310</v>
      </c>
      <c r="E204" s="57" t="str">
        <f aca="false">Flights!$G$10&amp;"-"&amp;Flights!$H$10</f>
        <v>KUL-LHR</v>
      </c>
      <c r="F204" s="57" t="str">
        <f aca="false">Flights!$K$10</f>
        <v>BC</v>
      </c>
      <c r="G204" s="57" t="s">
        <v>424</v>
      </c>
      <c r="H204" s="57" t="s">
        <v>425</v>
      </c>
      <c r="I204" s="57" t="s">
        <v>464</v>
      </c>
      <c r="J204" s="57" t="s">
        <v>506</v>
      </c>
      <c r="K204" s="67" t="s">
        <v>466</v>
      </c>
      <c r="L204" s="67" t="s">
        <v>705</v>
      </c>
      <c r="M204" s="67" t="s">
        <v>416</v>
      </c>
      <c r="N204" s="67" t="s">
        <v>348</v>
      </c>
      <c r="O204" s="67"/>
      <c r="P204" s="57" t="s">
        <v>179</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59" t="n">
        <f aca="false">IF(ISNUMBER(Flights!$AY$10),MAX(Q204-UpliftWindowH/24,Flights!$AY$10+UpliftWindowH/24),Q204-UpliftWindowH/24)</f>
        <v>46310.3888888889</v>
      </c>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IF(N204="N/A – rule","N/A – RULE",IF(TRIM(U204)="N/A",IF(AT204=0,"INVALID – N/A not permitted for this mandatory check",IF(AND(TRIM(AC204)&lt;&gt;"",TRIM(AE204)&lt;&gt;"",TRIM(T204)&lt;&gt;"",TRIM(AE204)&lt;&gt;TRIM(T204)),"N/A – JUSTIFIED","INVALID – N/A needs justification, PIC and a different verifier")),IF(OR(TRIM(U204)="Pass",TRIM(U204)="Pass after CA"),IF(NOT(ISNUMBER(AD204)),"INVALID – completion time missing",IF(TRIM(T204)="","INVALID – PIC missing",IF(TRIM(V204)="","INVALID – result / assessment missing",IF(TRIM(Z204)="","INVALID – evidence missing",IF(TRIM(AE204)="","INVALID – verifier missing",IF(TRIM(AE204)=TRIM(T204),"INVALID – verifier must be someone other than the PIC",IF(AND(AQ204=1,TRIM(W204)=""),"INVALID – batch ID missing",IF(AND(AR204=1,OR(NOT(ISNUMBER(X204)),NOT(ISNUMBER(Y204)))),"INVALID – expected/actual qty missing",IF(IF(AND(TRIM(U204)="Pass",ISNUMBER(AF204)),IF(AF204&lt;&gt;0,"INVALID – qty variance: use Fail or Pass after CA",""),"")&amp;IF(AND(TRIM(U204)="Pass",TRIM(AB204)&lt;&gt;"",TRIM(AB204)&lt;&gt;"Closed"),"INVALID – corrective action not closed: use Fail, then Pass after CA","")&amp;IF(AND(TRIM(AA204)&lt;&gt;"",TRIM(AB204)=""),"INVALID – CA status missing for the recorded corrective action","")&amp;IF(AND(TRIM(U204)="Pass after CA",OR(TRIM(AA204)="",TRIM(AB204)&lt;&gt;"Closed")),"INVALID – corrective action not recorded/closed","")&lt;&gt;"",IF(AND(TRIM(U204)="Pass",ISNUMBER(AF204)),IF(AF204&lt;&gt;0,"INVALID – qty variance: use Fail or Pass after CA",""),"")&amp;IF(AND(TRIM(U204)="Pass",TRIM(AB204)&lt;&gt;"",TRIM(AB204)&lt;&gt;"Closed"),"INVALID – corrective action not closed: use Fail, then Pass after CA","")&amp;IF(AND(TRIM(AA204)&lt;&gt;"",TRIM(AB204)=""),"INVALID – CA status missing for the recorded corrective action","")&amp;IF(AND(TRIM(U204)="Pass after CA",OR(TRIM(AA204)="",TRIM(AB204)&lt;&gt;"Closed")),"INVALID – corrective action not recorded/closed",""),IF(AND(AS204=1,Documents!$J$10&lt;&gt;"ON FILE"),"INVALID – GLD not on file (Documents sheet)",IF(AND(AS204=2,Documents!$O$10&lt;&gt;"ON FILE"),"INVALID – menu checklist not on file (Documents sheet)",IF(AND(AS204=3,NOT(ISNUMBER(Flights!$AX$10))),"INVALID – enter carrying flight KUL departure (Flights AX)",IF(AND(AS204=3,OR(Flights!$AX$10&gt;=Flights!$AA$10,Flights!$AX$10&lt;Flights!$AA$10-3)),"INVALID – Flights AX must be before this leg's STD (within 3 days)",IF(AG204&gt;AsOfUTC,"INVALID – completion time is in the future",IF(AND(ISNUMBER(S204),AG204&lt;S204),IF(H204="Physical uplift","INVALID – before uplift window (cannot confirm loading)","INVALID – before valid window"),IF(AG204&gt;Flights!$AA$10,"INVALID – completed after departure (cannot establish readiness)",IF(AND(H204="Physical uplift",AG204&gt;Q204),"INVALID – recorded after the loading flight departed",IF(AG204&gt;Q204,"COMPLETE – LATE","COMPLETE")))))))))))))))))),IF(TRIM(U204)="Fail","FAIL – DISCREPANCY",IF(AND(TRIM(U204)&lt;&gt;"",TRIM(U204)&lt;&gt;"Not started",TRIM(U204)&lt;&gt;"In progress"),"INVALID – unrecognised status (use the list)",IF(AsOfUTC&gt;Q204,"OVERDUE",IF(N204="Clarification required","OPEN – CLARIFICATION","OPEN")))))))</f>
        <v>OPEN</v>
      </c>
      <c r="AI204" s="61" t="n">
        <f aca="false">IF(OR(AH204="N/A – RULE",AH204="N/A – JUSTIFIED"),0,1)</f>
        <v>1</v>
      </c>
      <c r="AJ204" s="61" t="n">
        <f aca="false">IF(LEFT(AH204,8)="COMPLETE",1,0)</f>
        <v>0</v>
      </c>
      <c r="AK204" s="61" t="n">
        <f aca="false">IF(AND(AI204=1,AJ204=0,AsOfUTC&gt;Q204),1,0)</f>
        <v>0</v>
      </c>
      <c r="AL204" s="61" t="n">
        <f aca="false">IF(AND(AI204=1,OR(TRIM(U204)="Fail",AND(TRIM(AB204)&lt;&gt;"",TRIM(AB204)&lt;&gt;"Closed"),AND(ISNUMBER(AF204),AF204&lt;&gt;0,TRIM(U204)&lt;&gt;"Pass after CA"))),1,0)</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8" t="b">
        <f aca="false">TRUE()</f>
        <v>1</v>
      </c>
    </row>
    <row r="205" customFormat="false" ht="39.75" hidden="false" customHeight="true" outlineLevel="0" collapsed="false">
      <c r="A205" s="57" t="s">
        <v>731</v>
      </c>
      <c r="B205" s="57" t="s">
        <v>223</v>
      </c>
      <c r="C205" s="57" t="str">
        <f aca="false">Flights!$F$10</f>
        <v>MH0002</v>
      </c>
      <c r="D205" s="58" t="n">
        <f aca="false">Flights!$D$10</f>
        <v>46310</v>
      </c>
      <c r="E205" s="57" t="str">
        <f aca="false">Flights!$G$10&amp;"-"&amp;Flights!$H$10</f>
        <v>KUL-LHR</v>
      </c>
      <c r="F205" s="57" t="str">
        <f aca="false">Flights!$K$10</f>
        <v>BC</v>
      </c>
      <c r="G205" s="57" t="s">
        <v>424</v>
      </c>
      <c r="H205" s="57" t="s">
        <v>425</v>
      </c>
      <c r="I205" s="57" t="s">
        <v>464</v>
      </c>
      <c r="J205" s="57" t="s">
        <v>508</v>
      </c>
      <c r="K205" s="67" t="s">
        <v>466</v>
      </c>
      <c r="L205" s="67" t="s">
        <v>707</v>
      </c>
      <c r="M205" s="67" t="s">
        <v>416</v>
      </c>
      <c r="N205" s="67" t="s">
        <v>348</v>
      </c>
      <c r="O205" s="67"/>
      <c r="P205" s="57" t="s">
        <v>179</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59" t="n">
        <f aca="false">IF(ISNUMBER(Flights!$AY$10),MAX(Q205-UpliftWindowH/24,Flights!$AY$10+UpliftWindowH/24),Q205-UpliftWindowH/24)</f>
        <v>46310.3888888889</v>
      </c>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IF(N205="N/A – rule","N/A – RULE",IF(TRIM(U205)="N/A",IF(AT205=0,"INVALID – N/A not permitted for this mandatory check",IF(AND(TRIM(AC205)&lt;&gt;"",TRIM(AE205)&lt;&gt;"",TRIM(T205)&lt;&gt;"",TRIM(AE205)&lt;&gt;TRIM(T205)),"N/A – JUSTIFIED","INVALID – N/A needs justification, PIC and a different verifier")),IF(OR(TRIM(U205)="Pass",TRIM(U205)="Pass after CA"),IF(NOT(ISNUMBER(AD205)),"INVALID – completion time missing",IF(TRIM(T205)="","INVALID – PIC missing",IF(TRIM(V205)="","INVALID – result / assessment missing",IF(TRIM(Z205)="","INVALID – evidence missing",IF(TRIM(AE205)="","INVALID – verifier missing",IF(TRIM(AE205)=TRIM(T205),"INVALID – verifier must be someone other than the PIC",IF(AND(AQ205=1,TRIM(W205)=""),"INVALID – batch ID missing",IF(AND(AR205=1,OR(NOT(ISNUMBER(X205)),NOT(ISNUMBER(Y205)))),"INVALID – expected/actual qty missing",IF(IF(AND(TRIM(U205)="Pass",ISNUMBER(AF205)),IF(AF205&lt;&gt;0,"INVALID – qty variance: use Fail or Pass after CA",""),"")&amp;IF(AND(TRIM(U205)="Pass",TRIM(AB205)&lt;&gt;"",TRIM(AB205)&lt;&gt;"Closed"),"INVALID – corrective action not closed: use Fail, then Pass after CA","")&amp;IF(AND(TRIM(AA205)&lt;&gt;"",TRIM(AB205)=""),"INVALID – CA status missing for the recorded corrective action","")&amp;IF(AND(TRIM(U205)="Pass after CA",OR(TRIM(AA205)="",TRIM(AB205)&lt;&gt;"Closed")),"INVALID – corrective action not recorded/closed","")&lt;&gt;"",IF(AND(TRIM(U205)="Pass",ISNUMBER(AF205)),IF(AF205&lt;&gt;0,"INVALID – qty variance: use Fail or Pass after CA",""),"")&amp;IF(AND(TRIM(U205)="Pass",TRIM(AB205)&lt;&gt;"",TRIM(AB205)&lt;&gt;"Closed"),"INVALID – corrective action not closed: use Fail, then Pass after CA","")&amp;IF(AND(TRIM(AA205)&lt;&gt;"",TRIM(AB205)=""),"INVALID – CA status missing for the recorded corrective action","")&amp;IF(AND(TRIM(U205)="Pass after CA",OR(TRIM(AA205)="",TRIM(AB205)&lt;&gt;"Closed")),"INVALID – corrective action not recorded/closed",""),IF(AND(AS205=1,Documents!$J$10&lt;&gt;"ON FILE"),"INVALID – GLD not on file (Documents sheet)",IF(AND(AS205=2,Documents!$O$10&lt;&gt;"ON FILE"),"INVALID – menu checklist not on file (Documents sheet)",IF(AND(AS205=3,NOT(ISNUMBER(Flights!$AX$10))),"INVALID – enter carrying flight KUL departure (Flights AX)",IF(AND(AS205=3,OR(Flights!$AX$10&gt;=Flights!$AA$10,Flights!$AX$10&lt;Flights!$AA$10-3)),"INVALID – Flights AX must be before this leg's STD (within 3 days)",IF(AG205&gt;AsOfUTC,"INVALID – completion time is in the future",IF(AND(ISNUMBER(S205),AG205&lt;S205),IF(H205="Physical uplift","INVALID – before uplift window (cannot confirm loading)","INVALID – before valid window"),IF(AG205&gt;Flights!$AA$10,"INVALID – completed after departure (cannot establish readiness)",IF(AND(H205="Physical uplift",AG205&gt;Q205),"INVALID – recorded after the loading flight departed",IF(AG205&gt;Q205,"COMPLETE – LATE","COMPLETE")))))))))))))))))),IF(TRIM(U205)="Fail","FAIL – DISCREPANCY",IF(AND(TRIM(U205)&lt;&gt;"",TRIM(U205)&lt;&gt;"Not started",TRIM(U205)&lt;&gt;"In progress"),"INVALID – unrecognised status (use the list)",IF(AsOfUTC&gt;Q205,"OVERDUE",IF(N205="Clarification required","OPEN – CLARIFICATION","OPEN")))))))</f>
        <v>OPEN</v>
      </c>
      <c r="AI205" s="61" t="n">
        <f aca="false">IF(OR(AH205="N/A – RULE",AH205="N/A – JUSTIFIED"),0,1)</f>
        <v>1</v>
      </c>
      <c r="AJ205" s="61" t="n">
        <f aca="false">IF(LEFT(AH205,8)="COMPLETE",1,0)</f>
        <v>0</v>
      </c>
      <c r="AK205" s="61" t="n">
        <f aca="false">IF(AND(AI205=1,AJ205=0,AsOfUTC&gt;Q205),1,0)</f>
        <v>0</v>
      </c>
      <c r="AL205" s="61" t="n">
        <f aca="false">IF(AND(AI205=1,OR(TRIM(U205)="Fail",AND(TRIM(AB205)&lt;&gt;"",TRIM(AB205)&lt;&gt;"Closed"),AND(ISNUMBER(AF205),AF205&lt;&gt;0,TRIM(U205)&lt;&gt;"Pass after CA"))),1,0)</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8" t="b">
        <f aca="false">TRUE()</f>
        <v>1</v>
      </c>
    </row>
    <row r="206" customFormat="false" ht="39.75" hidden="false" customHeight="true" outlineLevel="0" collapsed="false">
      <c r="A206" s="57" t="s">
        <v>732</v>
      </c>
      <c r="B206" s="57" t="s">
        <v>223</v>
      </c>
      <c r="C206" s="57" t="str">
        <f aca="false">Flights!$F$10</f>
        <v>MH0002</v>
      </c>
      <c r="D206" s="58" t="n">
        <f aca="false">Flights!$D$10</f>
        <v>46310</v>
      </c>
      <c r="E206" s="57" t="str">
        <f aca="false">Flights!$G$10&amp;"-"&amp;Flights!$H$10</f>
        <v>KUL-LHR</v>
      </c>
      <c r="F206" s="57" t="str">
        <f aca="false">Flights!$K$10</f>
        <v>BC</v>
      </c>
      <c r="G206" s="57" t="s">
        <v>424</v>
      </c>
      <c r="H206" s="57" t="s">
        <v>425</v>
      </c>
      <c r="I206" s="57" t="s">
        <v>464</v>
      </c>
      <c r="J206" s="57" t="s">
        <v>511</v>
      </c>
      <c r="K206" s="67" t="s">
        <v>466</v>
      </c>
      <c r="L206" s="67" t="s">
        <v>709</v>
      </c>
      <c r="M206" s="67" t="s">
        <v>416</v>
      </c>
      <c r="N206" s="67" t="s">
        <v>348</v>
      </c>
      <c r="O206" s="67"/>
      <c r="P206" s="57" t="s">
        <v>179</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59" t="n">
        <f aca="false">IF(ISNUMBER(Flights!$AY$10),MAX(Q206-UpliftWindowH/24,Flights!$AY$10+UpliftWindowH/24),Q206-UpliftWindowH/24)</f>
        <v>46310.3888888889</v>
      </c>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IF(N206="N/A – rule","N/A – RULE",IF(TRIM(U206)="N/A",IF(AT206=0,"INVALID – N/A not permitted for this mandatory check",IF(AND(TRIM(AC206)&lt;&gt;"",TRIM(AE206)&lt;&gt;"",TRIM(T206)&lt;&gt;"",TRIM(AE206)&lt;&gt;TRIM(T206)),"N/A – JUSTIFIED","INVALID – N/A needs justification, PIC and a different verifier")),IF(OR(TRIM(U206)="Pass",TRIM(U206)="Pass after CA"),IF(NOT(ISNUMBER(AD206)),"INVALID – completion time missing",IF(TRIM(T206)="","INVALID – PIC missing",IF(TRIM(V206)="","INVALID – result / assessment missing",IF(TRIM(Z206)="","INVALID – evidence missing",IF(TRIM(AE206)="","INVALID – verifier missing",IF(TRIM(AE206)=TRIM(T206),"INVALID – verifier must be someone other than the PIC",IF(AND(AQ206=1,TRIM(W206)=""),"INVALID – batch ID missing",IF(AND(AR206=1,OR(NOT(ISNUMBER(X206)),NOT(ISNUMBER(Y206)))),"INVALID – expected/actual qty missing",IF(IF(AND(TRIM(U206)="Pass",ISNUMBER(AF206)),IF(AF206&lt;&gt;0,"INVALID – qty variance: use Fail or Pass after CA",""),"")&amp;IF(AND(TRIM(U206)="Pass",TRIM(AB206)&lt;&gt;"",TRIM(AB206)&lt;&gt;"Closed"),"INVALID – corrective action not closed: use Fail, then Pass after CA","")&amp;IF(AND(TRIM(AA206)&lt;&gt;"",TRIM(AB206)=""),"INVALID – CA status missing for the recorded corrective action","")&amp;IF(AND(TRIM(U206)="Pass after CA",OR(TRIM(AA206)="",TRIM(AB206)&lt;&gt;"Closed")),"INVALID – corrective action not recorded/closed","")&lt;&gt;"",IF(AND(TRIM(U206)="Pass",ISNUMBER(AF206)),IF(AF206&lt;&gt;0,"INVALID – qty variance: use Fail or Pass after CA",""),"")&amp;IF(AND(TRIM(U206)="Pass",TRIM(AB206)&lt;&gt;"",TRIM(AB206)&lt;&gt;"Closed"),"INVALID – corrective action not closed: use Fail, then Pass after CA","")&amp;IF(AND(TRIM(AA206)&lt;&gt;"",TRIM(AB206)=""),"INVALID – CA status missing for the recorded corrective action","")&amp;IF(AND(TRIM(U206)="Pass after CA",OR(TRIM(AA206)="",TRIM(AB206)&lt;&gt;"Closed")),"INVALID – corrective action not recorded/closed",""),IF(AND(AS206=1,Documents!$J$10&lt;&gt;"ON FILE"),"INVALID – GLD not on file (Documents sheet)",IF(AND(AS206=2,Documents!$O$10&lt;&gt;"ON FILE"),"INVALID – menu checklist not on file (Documents sheet)",IF(AND(AS206=3,NOT(ISNUMBER(Flights!$AX$10))),"INVALID – enter carrying flight KUL departure (Flights AX)",IF(AND(AS206=3,OR(Flights!$AX$10&gt;=Flights!$AA$10,Flights!$AX$10&lt;Flights!$AA$10-3)),"INVALID – Flights AX must be before this leg's STD (within 3 days)",IF(AG206&gt;AsOfUTC,"INVALID – completion time is in the future",IF(AND(ISNUMBER(S206),AG206&lt;S206),IF(H206="Physical uplift","INVALID – before uplift window (cannot confirm loading)","INVALID – before valid window"),IF(AG206&gt;Flights!$AA$10,"INVALID – completed after departure (cannot establish readiness)",IF(AND(H206="Physical uplift",AG206&gt;Q206),"INVALID – recorded after the loading flight departed",IF(AG206&gt;Q206,"COMPLETE – LATE","COMPLETE")))))))))))))))))),IF(TRIM(U206)="Fail","FAIL – DISCREPANCY",IF(AND(TRIM(U206)&lt;&gt;"",TRIM(U206)&lt;&gt;"Not started",TRIM(U206)&lt;&gt;"In progress"),"INVALID – unrecognised status (use the list)",IF(AsOfUTC&gt;Q206,"OVERDUE",IF(N206="Clarification required","OPEN – CLARIFICATION","OPEN")))))))</f>
        <v>OPEN</v>
      </c>
      <c r="AI206" s="61" t="n">
        <f aca="false">IF(OR(AH206="N/A – RULE",AH206="N/A – JUSTIFIED"),0,1)</f>
        <v>1</v>
      </c>
      <c r="AJ206" s="61" t="n">
        <f aca="false">IF(LEFT(AH206,8)="COMPLETE",1,0)</f>
        <v>0</v>
      </c>
      <c r="AK206" s="61" t="n">
        <f aca="false">IF(AND(AI206=1,AJ206=0,AsOfUTC&gt;Q206),1,0)</f>
        <v>0</v>
      </c>
      <c r="AL206" s="61" t="n">
        <f aca="false">IF(AND(AI206=1,OR(TRIM(U206)="Fail",AND(TRIM(AB206)&lt;&gt;"",TRIM(AB206)&lt;&gt;"Closed"),AND(ISNUMBER(AF206),AF206&lt;&gt;0,TRIM(U206)&lt;&gt;"Pass after CA"))),1,0)</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8" t="b">
        <f aca="false">TRUE()</f>
        <v>1</v>
      </c>
    </row>
    <row r="207" customFormat="false" ht="39.75" hidden="false" customHeight="true" outlineLevel="0" collapsed="false">
      <c r="A207" s="57" t="s">
        <v>733</v>
      </c>
      <c r="B207" s="57" t="s">
        <v>223</v>
      </c>
      <c r="C207" s="57" t="str">
        <f aca="false">Flights!$F$10</f>
        <v>MH0002</v>
      </c>
      <c r="D207" s="58" t="n">
        <f aca="false">Flights!$D$10</f>
        <v>46310</v>
      </c>
      <c r="E207" s="57" t="str">
        <f aca="false">Flights!$G$10&amp;"-"&amp;Flights!$H$10</f>
        <v>KUL-LHR</v>
      </c>
      <c r="F207" s="57" t="str">
        <f aca="false">Flights!$K$10</f>
        <v>BC</v>
      </c>
      <c r="G207" s="57" t="s">
        <v>424</v>
      </c>
      <c r="H207" s="57" t="s">
        <v>425</v>
      </c>
      <c r="I207" s="57" t="s">
        <v>464</v>
      </c>
      <c r="J207" s="57" t="s">
        <v>513</v>
      </c>
      <c r="K207" s="67" t="s">
        <v>581</v>
      </c>
      <c r="L207" s="67" t="s">
        <v>711</v>
      </c>
      <c r="M207" s="67" t="s">
        <v>416</v>
      </c>
      <c r="N207" s="67" t="s">
        <v>348</v>
      </c>
      <c r="O207" s="67" t="s">
        <v>514</v>
      </c>
      <c r="P207" s="57" t="s">
        <v>179</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59" t="n">
        <f aca="false">IF(ISNUMBER(Flights!$AY$10),MAX(Q207-UpliftWindowH/24,Flights!$AY$10+UpliftWindowH/24),Q207-UpliftWindowH/24)</f>
        <v>46310.3888888889</v>
      </c>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IF(N207="N/A – rule","N/A – RULE",IF(TRIM(U207)="N/A",IF(AT207=0,"INVALID – N/A not permitted for this mandatory check",IF(AND(TRIM(AC207)&lt;&gt;"",TRIM(AE207)&lt;&gt;"",TRIM(T207)&lt;&gt;"",TRIM(AE207)&lt;&gt;TRIM(T207)),"N/A – JUSTIFIED","INVALID – N/A needs justification, PIC and a different verifier")),IF(OR(TRIM(U207)="Pass",TRIM(U207)="Pass after CA"),IF(NOT(ISNUMBER(AD207)),"INVALID – completion time missing",IF(TRIM(T207)="","INVALID – PIC missing",IF(TRIM(V207)="","INVALID – result / assessment missing",IF(TRIM(Z207)="","INVALID – evidence missing",IF(TRIM(AE207)="","INVALID – verifier missing",IF(TRIM(AE207)=TRIM(T207),"INVALID – verifier must be someone other than the PIC",IF(AND(AQ207=1,TRIM(W207)=""),"INVALID – batch ID missing",IF(AND(AR207=1,OR(NOT(ISNUMBER(X207)),NOT(ISNUMBER(Y207)))),"INVALID – expected/actual qty missing",IF(IF(AND(TRIM(U207)="Pass",ISNUMBER(AF207)),IF(AF207&lt;&gt;0,"INVALID – qty variance: use Fail or Pass after CA",""),"")&amp;IF(AND(TRIM(U207)="Pass",TRIM(AB207)&lt;&gt;"",TRIM(AB207)&lt;&gt;"Closed"),"INVALID – corrective action not closed: use Fail, then Pass after CA","")&amp;IF(AND(TRIM(AA207)&lt;&gt;"",TRIM(AB207)=""),"INVALID – CA status missing for the recorded corrective action","")&amp;IF(AND(TRIM(U207)="Pass after CA",OR(TRIM(AA207)="",TRIM(AB207)&lt;&gt;"Closed")),"INVALID – corrective action not recorded/closed","")&lt;&gt;"",IF(AND(TRIM(U207)="Pass",ISNUMBER(AF207)),IF(AF207&lt;&gt;0,"INVALID – qty variance: use Fail or Pass after CA",""),"")&amp;IF(AND(TRIM(U207)="Pass",TRIM(AB207)&lt;&gt;"",TRIM(AB207)&lt;&gt;"Closed"),"INVALID – corrective action not closed: use Fail, then Pass after CA","")&amp;IF(AND(TRIM(AA207)&lt;&gt;"",TRIM(AB207)=""),"INVALID – CA status missing for the recorded corrective action","")&amp;IF(AND(TRIM(U207)="Pass after CA",OR(TRIM(AA207)="",TRIM(AB207)&lt;&gt;"Closed")),"INVALID – corrective action not recorded/closed",""),IF(AND(AS207=1,Documents!$J$10&lt;&gt;"ON FILE"),"INVALID – GLD not on file (Documents sheet)",IF(AND(AS207=2,Documents!$O$10&lt;&gt;"ON FILE"),"INVALID – menu checklist not on file (Documents sheet)",IF(AND(AS207=3,NOT(ISNUMBER(Flights!$AX$10))),"INVALID – enter carrying flight KUL departure (Flights AX)",IF(AND(AS207=3,OR(Flights!$AX$10&gt;=Flights!$AA$10,Flights!$AX$10&lt;Flights!$AA$10-3)),"INVALID – Flights AX must be before this leg's STD (within 3 days)",IF(AG207&gt;AsOfUTC,"INVALID – completion time is in the future",IF(AND(ISNUMBER(S207),AG207&lt;S207),IF(H207="Physical uplift","INVALID – before uplift window (cannot confirm loading)","INVALID – before valid window"),IF(AG207&gt;Flights!$AA$10,"INVALID – completed after departure (cannot establish readiness)",IF(AND(H207="Physical uplift",AG207&gt;Q207),"INVALID – recorded after the loading flight departed",IF(AG207&gt;Q207,"COMPLETE – LATE","COMPLETE")))))))))))))))))),IF(TRIM(U207)="Fail","FAIL – DISCREPANCY",IF(AND(TRIM(U207)&lt;&gt;"",TRIM(U207)&lt;&gt;"Not started",TRIM(U207)&lt;&gt;"In progress"),"INVALID – unrecognised status (use the list)",IF(AsOfUTC&gt;Q207,"OVERDUE",IF(N207="Clarification required","OPEN – CLARIFICATION","OPEN")))))))</f>
        <v>OPEN</v>
      </c>
      <c r="AI207" s="61" t="n">
        <f aca="false">IF(OR(AH207="N/A – RULE",AH207="N/A – JUSTIFIED"),0,1)</f>
        <v>1</v>
      </c>
      <c r="AJ207" s="61" t="n">
        <f aca="false">IF(LEFT(AH207,8)="COMPLETE",1,0)</f>
        <v>0</v>
      </c>
      <c r="AK207" s="61" t="n">
        <f aca="false">IF(AND(AI207=1,AJ207=0,AsOfUTC&gt;Q207),1,0)</f>
        <v>0</v>
      </c>
      <c r="AL207" s="61" t="n">
        <f aca="false">IF(AND(AI207=1,OR(TRIM(U207)="Fail",AND(TRIM(AB207)&lt;&gt;"",TRIM(AB207)&lt;&gt;"Closed"),AND(ISNUMBER(AF207),AF207&lt;&gt;0,TRIM(U207)&lt;&gt;"Pass after CA"))),1,0)</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8" t="b">
        <f aca="false">TRUE()</f>
        <v>1</v>
      </c>
    </row>
    <row r="208" customFormat="false" ht="39.75" hidden="false" customHeight="true" outlineLevel="0" collapsed="false">
      <c r="A208" s="57" t="s">
        <v>734</v>
      </c>
      <c r="B208" s="57" t="s">
        <v>223</v>
      </c>
      <c r="C208" s="57" t="str">
        <f aca="false">Flights!$F$10</f>
        <v>MH0002</v>
      </c>
      <c r="D208" s="58" t="n">
        <f aca="false">Flights!$D$10</f>
        <v>46310</v>
      </c>
      <c r="E208" s="57" t="str">
        <f aca="false">Flights!$G$10&amp;"-"&amp;Flights!$H$10</f>
        <v>KUL-LHR</v>
      </c>
      <c r="F208" s="57" t="str">
        <f aca="false">Flights!$K$10</f>
        <v>BC</v>
      </c>
      <c r="G208" s="57" t="s">
        <v>424</v>
      </c>
      <c r="H208" s="57" t="s">
        <v>425</v>
      </c>
      <c r="I208" s="57" t="s">
        <v>464</v>
      </c>
      <c r="J208" s="57" t="s">
        <v>516</v>
      </c>
      <c r="K208" s="67" t="s">
        <v>466</v>
      </c>
      <c r="L208" s="67" t="s">
        <v>713</v>
      </c>
      <c r="M208" s="67" t="s">
        <v>416</v>
      </c>
      <c r="N208" s="67" t="s">
        <v>348</v>
      </c>
      <c r="O208" s="67"/>
      <c r="P208" s="57" t="s">
        <v>179</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59" t="n">
        <f aca="false">IF(ISNUMBER(Flights!$AY$10),MAX(Q208-UpliftWindowH/24,Flights!$AY$10+UpliftWindowH/24),Q208-UpliftWindowH/24)</f>
        <v>46310.3888888889</v>
      </c>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IF(N208="N/A – rule","N/A – RULE",IF(TRIM(U208)="N/A",IF(AT208=0,"INVALID – N/A not permitted for this mandatory check",IF(AND(TRIM(AC208)&lt;&gt;"",TRIM(AE208)&lt;&gt;"",TRIM(T208)&lt;&gt;"",TRIM(AE208)&lt;&gt;TRIM(T208)),"N/A – JUSTIFIED","INVALID – N/A needs justification, PIC and a different verifier")),IF(OR(TRIM(U208)="Pass",TRIM(U208)="Pass after CA"),IF(NOT(ISNUMBER(AD208)),"INVALID – completion time missing",IF(TRIM(T208)="","INVALID – PIC missing",IF(TRIM(V208)="","INVALID – result / assessment missing",IF(TRIM(Z208)="","INVALID – evidence missing",IF(TRIM(AE208)="","INVALID – verifier missing",IF(TRIM(AE208)=TRIM(T208),"INVALID – verifier must be someone other than the PIC",IF(AND(AQ208=1,TRIM(W208)=""),"INVALID – batch ID missing",IF(AND(AR208=1,OR(NOT(ISNUMBER(X208)),NOT(ISNUMBER(Y208)))),"INVALID – expected/actual qty missing",IF(IF(AND(TRIM(U208)="Pass",ISNUMBER(AF208)),IF(AF208&lt;&gt;0,"INVALID – qty variance: use Fail or Pass after CA",""),"")&amp;IF(AND(TRIM(U208)="Pass",TRIM(AB208)&lt;&gt;"",TRIM(AB208)&lt;&gt;"Closed"),"INVALID – corrective action not closed: use Fail, then Pass after CA","")&amp;IF(AND(TRIM(AA208)&lt;&gt;"",TRIM(AB208)=""),"INVALID – CA status missing for the recorded corrective action","")&amp;IF(AND(TRIM(U208)="Pass after CA",OR(TRIM(AA208)="",TRIM(AB208)&lt;&gt;"Closed")),"INVALID – corrective action not recorded/closed","")&lt;&gt;"",IF(AND(TRIM(U208)="Pass",ISNUMBER(AF208)),IF(AF208&lt;&gt;0,"INVALID – qty variance: use Fail or Pass after CA",""),"")&amp;IF(AND(TRIM(U208)="Pass",TRIM(AB208)&lt;&gt;"",TRIM(AB208)&lt;&gt;"Closed"),"INVALID – corrective action not closed: use Fail, then Pass after CA","")&amp;IF(AND(TRIM(AA208)&lt;&gt;"",TRIM(AB208)=""),"INVALID – CA status missing for the recorded corrective action","")&amp;IF(AND(TRIM(U208)="Pass after CA",OR(TRIM(AA208)="",TRIM(AB208)&lt;&gt;"Closed")),"INVALID – corrective action not recorded/closed",""),IF(AND(AS208=1,Documents!$J$10&lt;&gt;"ON FILE"),"INVALID – GLD not on file (Documents sheet)",IF(AND(AS208=2,Documents!$O$10&lt;&gt;"ON FILE"),"INVALID – menu checklist not on file (Documents sheet)",IF(AND(AS208=3,NOT(ISNUMBER(Flights!$AX$10))),"INVALID – enter carrying flight KUL departure (Flights AX)",IF(AND(AS208=3,OR(Flights!$AX$10&gt;=Flights!$AA$10,Flights!$AX$10&lt;Flights!$AA$10-3)),"INVALID – Flights AX must be before this leg's STD (within 3 days)",IF(AG208&gt;AsOfUTC,"INVALID – completion time is in the future",IF(AND(ISNUMBER(S208),AG208&lt;S208),IF(H208="Physical uplift","INVALID – before uplift window (cannot confirm loading)","INVALID – before valid window"),IF(AG208&gt;Flights!$AA$10,"INVALID – completed after departure (cannot establish readiness)",IF(AND(H208="Physical uplift",AG208&gt;Q208),"INVALID – recorded after the loading flight departed",IF(AG208&gt;Q208,"COMPLETE – LATE","COMPLETE")))))))))))))))))),IF(TRIM(U208)="Fail","FAIL – DISCREPANCY",IF(AND(TRIM(U208)&lt;&gt;"",TRIM(U208)&lt;&gt;"Not started",TRIM(U208)&lt;&gt;"In progress"),"INVALID – unrecognised status (use the list)",IF(AsOfUTC&gt;Q208,"OVERDUE",IF(N208="Clarification required","OPEN – CLARIFICATION","OPEN")))))))</f>
        <v>OPEN</v>
      </c>
      <c r="AI208" s="61" t="n">
        <f aca="false">IF(OR(AH208="N/A – RULE",AH208="N/A – JUSTIFIED"),0,1)</f>
        <v>1</v>
      </c>
      <c r="AJ208" s="61" t="n">
        <f aca="false">IF(LEFT(AH208,8)="COMPLETE",1,0)</f>
        <v>0</v>
      </c>
      <c r="AK208" s="61" t="n">
        <f aca="false">IF(AND(AI208=1,AJ208=0,AsOfUTC&gt;Q208),1,0)</f>
        <v>0</v>
      </c>
      <c r="AL208" s="61" t="n">
        <f aca="false">IF(AND(AI208=1,OR(TRIM(U208)="Fail",AND(TRIM(AB208)&lt;&gt;"",TRIM(AB208)&lt;&gt;"Closed"),AND(ISNUMBER(AF208),AF208&lt;&gt;0,TRIM(U208)&lt;&gt;"Pass after CA"))),1,0)</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8" t="b">
        <f aca="false">TRUE()</f>
        <v>1</v>
      </c>
    </row>
    <row r="209" customFormat="false" ht="39.75" hidden="false" customHeight="true" outlineLevel="0" collapsed="false">
      <c r="A209" s="57" t="s">
        <v>735</v>
      </c>
      <c r="B209" s="57" t="s">
        <v>223</v>
      </c>
      <c r="C209" s="57" t="str">
        <f aca="false">Flights!$F$10</f>
        <v>MH0002</v>
      </c>
      <c r="D209" s="58" t="n">
        <f aca="false">Flights!$D$10</f>
        <v>46310</v>
      </c>
      <c r="E209" s="57" t="str">
        <f aca="false">Flights!$G$10&amp;"-"&amp;Flights!$H$10</f>
        <v>KUL-LHR</v>
      </c>
      <c r="F209" s="57" t="str">
        <f aca="false">Flights!$K$10</f>
        <v>BC</v>
      </c>
      <c r="G209" s="57" t="s">
        <v>424</v>
      </c>
      <c r="H209" s="57" t="s">
        <v>425</v>
      </c>
      <c r="I209" s="57" t="s">
        <v>412</v>
      </c>
      <c r="J209" s="57" t="s">
        <v>518</v>
      </c>
      <c r="K209" s="67" t="s">
        <v>414</v>
      </c>
      <c r="L209" s="67" t="s">
        <v>715</v>
      </c>
      <c r="M209" s="67" t="s">
        <v>416</v>
      </c>
      <c r="N209" s="67" t="s">
        <v>348</v>
      </c>
      <c r="O209" s="67"/>
      <c r="P209" s="57" t="s">
        <v>179</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59" t="n">
        <f aca="false">IF(ISNUMBER(Flights!$AY$10),MAX(Q209-UpliftWindowH/24,Flights!$AY$10+UpliftWindowH/24),Q209-UpliftWindowH/24)</f>
        <v>46310.3888888889</v>
      </c>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IF(N209="N/A – rule","N/A – RULE",IF(TRIM(U209)="N/A",IF(AT209=0,"INVALID – N/A not permitted for this mandatory check",IF(AND(TRIM(AC209)&lt;&gt;"",TRIM(AE209)&lt;&gt;"",TRIM(T209)&lt;&gt;"",TRIM(AE209)&lt;&gt;TRIM(T209)),"N/A – JUSTIFIED","INVALID – N/A needs justification, PIC and a different verifier")),IF(OR(TRIM(U209)="Pass",TRIM(U209)="Pass after CA"),IF(NOT(ISNUMBER(AD209)),"INVALID – completion time missing",IF(TRIM(T209)="","INVALID – PIC missing",IF(TRIM(V209)="","INVALID – result / assessment missing",IF(TRIM(Z209)="","INVALID – evidence missing",IF(TRIM(AE209)="","INVALID – verifier missing",IF(TRIM(AE209)=TRIM(T209),"INVALID – verifier must be someone other than the PIC",IF(AND(AQ209=1,TRIM(W209)=""),"INVALID – batch ID missing",IF(AND(AR209=1,OR(NOT(ISNUMBER(X209)),NOT(ISNUMBER(Y209)))),"INVALID – expected/actual qty missing",IF(IF(AND(TRIM(U209)="Pass",ISNUMBER(AF209)),IF(AF209&lt;&gt;0,"INVALID – qty variance: use Fail or Pass after CA",""),"")&amp;IF(AND(TRIM(U209)="Pass",TRIM(AB209)&lt;&gt;"",TRIM(AB209)&lt;&gt;"Closed"),"INVALID – corrective action not closed: use Fail, then Pass after CA","")&amp;IF(AND(TRIM(AA209)&lt;&gt;"",TRIM(AB209)=""),"INVALID – CA status missing for the recorded corrective action","")&amp;IF(AND(TRIM(U209)="Pass after CA",OR(TRIM(AA209)="",TRIM(AB209)&lt;&gt;"Closed")),"INVALID – corrective action not recorded/closed","")&lt;&gt;"",IF(AND(TRIM(U209)="Pass",ISNUMBER(AF209)),IF(AF209&lt;&gt;0,"INVALID – qty variance: use Fail or Pass after CA",""),"")&amp;IF(AND(TRIM(U209)="Pass",TRIM(AB209)&lt;&gt;"",TRIM(AB209)&lt;&gt;"Closed"),"INVALID – corrective action not closed: use Fail, then Pass after CA","")&amp;IF(AND(TRIM(AA209)&lt;&gt;"",TRIM(AB209)=""),"INVALID – CA status missing for the recorded corrective action","")&amp;IF(AND(TRIM(U209)="Pass after CA",OR(TRIM(AA209)="",TRIM(AB209)&lt;&gt;"Closed")),"INVALID – corrective action not recorded/closed",""),IF(AND(AS209=1,Documents!$J$10&lt;&gt;"ON FILE"),"INVALID – GLD not on file (Documents sheet)",IF(AND(AS209=2,Documents!$O$10&lt;&gt;"ON FILE"),"INVALID – menu checklist not on file (Documents sheet)",IF(AND(AS209=3,NOT(ISNUMBER(Flights!$AX$10))),"INVALID – enter carrying flight KUL departure (Flights AX)",IF(AND(AS209=3,OR(Flights!$AX$10&gt;=Flights!$AA$10,Flights!$AX$10&lt;Flights!$AA$10-3)),"INVALID – Flights AX must be before this leg's STD (within 3 days)",IF(AG209&gt;AsOfUTC,"INVALID – completion time is in the future",IF(AND(ISNUMBER(S209),AG209&lt;S209),IF(H209="Physical uplift","INVALID – before uplift window (cannot confirm loading)","INVALID – before valid window"),IF(AG209&gt;Flights!$AA$10,"INVALID – completed after departure (cannot establish readiness)",IF(AND(H209="Physical uplift",AG209&gt;Q209),"INVALID – recorded after the loading flight departed",IF(AG209&gt;Q209,"COMPLETE – LATE","COMPLETE")))))))))))))))))),IF(TRIM(U209)="Fail","FAIL – DISCREPANCY",IF(AND(TRIM(U209)&lt;&gt;"",TRIM(U209)&lt;&gt;"Not started",TRIM(U209)&lt;&gt;"In progress"),"INVALID – unrecognised status (use the list)",IF(AsOfUTC&gt;Q209,"OVERDUE",IF(N209="Clarification required","OPEN – CLARIFICATION","OPEN")))))))</f>
        <v>OPEN</v>
      </c>
      <c r="AI209" s="61" t="n">
        <f aca="false">IF(OR(AH209="N/A – RULE",AH209="N/A – JUSTIFIED"),0,1)</f>
        <v>1</v>
      </c>
      <c r="AJ209" s="61" t="n">
        <f aca="false">IF(LEFT(AH209,8)="COMPLETE",1,0)</f>
        <v>0</v>
      </c>
      <c r="AK209" s="61" t="n">
        <f aca="false">IF(AND(AI209=1,AJ209=0,AsOfUTC&gt;Q209),1,0)</f>
        <v>0</v>
      </c>
      <c r="AL209" s="61" t="n">
        <f aca="false">IF(AND(AI209=1,OR(TRIM(U209)="Fail",AND(TRIM(AB209)&lt;&gt;"",TRIM(AB209)&lt;&gt;"Closed"),AND(ISNUMBER(AF209),AF209&lt;&gt;0,TRIM(U209)&lt;&gt;"Pass after CA"))),1,0)</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8" t="b">
        <f aca="false">TRUE()</f>
        <v>1</v>
      </c>
    </row>
    <row r="210" customFormat="false" ht="39.75" hidden="false" customHeight="true" outlineLevel="0" collapsed="false">
      <c r="A210" s="57" t="s">
        <v>736</v>
      </c>
      <c r="B210" s="57" t="s">
        <v>223</v>
      </c>
      <c r="C210" s="57" t="str">
        <f aca="false">Flights!$F$10</f>
        <v>MH0002</v>
      </c>
      <c r="D210" s="58" t="n">
        <f aca="false">Flights!$D$10</f>
        <v>46310</v>
      </c>
      <c r="E210" s="57" t="str">
        <f aca="false">Flights!$G$10&amp;"-"&amp;Flights!$H$10</f>
        <v>KUL-LHR</v>
      </c>
      <c r="F210" s="57" t="str">
        <f aca="false">Flights!$K$10</f>
        <v>BC</v>
      </c>
      <c r="G210" s="57" t="s">
        <v>424</v>
      </c>
      <c r="H210" s="57" t="s">
        <v>425</v>
      </c>
      <c r="I210" s="57" t="s">
        <v>412</v>
      </c>
      <c r="J210" s="57" t="s">
        <v>618</v>
      </c>
      <c r="K210" s="67" t="s">
        <v>414</v>
      </c>
      <c r="L210" s="67" t="s">
        <v>717</v>
      </c>
      <c r="M210" s="67" t="s">
        <v>416</v>
      </c>
      <c r="N210" s="67" t="s">
        <v>348</v>
      </c>
      <c r="O210" s="67"/>
      <c r="P210" s="57" t="s">
        <v>179</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59" t="n">
        <f aca="false">IF(ISNUMBER(Flights!$AY$10),MAX(Q210-UpliftWindowH/24,Flights!$AY$10+UpliftWindowH/24),Q210-UpliftWindowH/24)</f>
        <v>46310.3888888889</v>
      </c>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IF(N210="N/A – rule","N/A – RULE",IF(TRIM(U210)="N/A",IF(AT210=0,"INVALID – N/A not permitted for this mandatory check",IF(AND(TRIM(AC210)&lt;&gt;"",TRIM(AE210)&lt;&gt;"",TRIM(T210)&lt;&gt;"",TRIM(AE210)&lt;&gt;TRIM(T210)),"N/A – JUSTIFIED","INVALID – N/A needs justification, PIC and a different verifier")),IF(OR(TRIM(U210)="Pass",TRIM(U210)="Pass after CA"),IF(NOT(ISNUMBER(AD210)),"INVALID – completion time missing",IF(TRIM(T210)="","INVALID – PIC missing",IF(TRIM(V210)="","INVALID – result / assessment missing",IF(TRIM(Z210)="","INVALID – evidence missing",IF(TRIM(AE210)="","INVALID – verifier missing",IF(TRIM(AE210)=TRIM(T210),"INVALID – verifier must be someone other than the PIC",IF(AND(AQ210=1,TRIM(W210)=""),"INVALID – batch ID missing",IF(AND(AR210=1,OR(NOT(ISNUMBER(X210)),NOT(ISNUMBER(Y210)))),"INVALID – expected/actual qty missing",IF(IF(AND(TRIM(U210)="Pass",ISNUMBER(AF210)),IF(AF210&lt;&gt;0,"INVALID – qty variance: use Fail or Pass after CA",""),"")&amp;IF(AND(TRIM(U210)="Pass",TRIM(AB210)&lt;&gt;"",TRIM(AB210)&lt;&gt;"Closed"),"INVALID – corrective action not closed: use Fail, then Pass after CA","")&amp;IF(AND(TRIM(AA210)&lt;&gt;"",TRIM(AB210)=""),"INVALID – CA status missing for the recorded corrective action","")&amp;IF(AND(TRIM(U210)="Pass after CA",OR(TRIM(AA210)="",TRIM(AB210)&lt;&gt;"Closed")),"INVALID – corrective action not recorded/closed","")&lt;&gt;"",IF(AND(TRIM(U210)="Pass",ISNUMBER(AF210)),IF(AF210&lt;&gt;0,"INVALID – qty variance: use Fail or Pass after CA",""),"")&amp;IF(AND(TRIM(U210)="Pass",TRIM(AB210)&lt;&gt;"",TRIM(AB210)&lt;&gt;"Closed"),"INVALID – corrective action not closed: use Fail, then Pass after CA","")&amp;IF(AND(TRIM(AA210)&lt;&gt;"",TRIM(AB210)=""),"INVALID – CA status missing for the recorded corrective action","")&amp;IF(AND(TRIM(U210)="Pass after CA",OR(TRIM(AA210)="",TRIM(AB210)&lt;&gt;"Closed")),"INVALID – corrective action not recorded/closed",""),IF(AND(AS210=1,Documents!$J$10&lt;&gt;"ON FILE"),"INVALID – GLD not on file (Documents sheet)",IF(AND(AS210=2,Documents!$O$10&lt;&gt;"ON FILE"),"INVALID – menu checklist not on file (Documents sheet)",IF(AND(AS210=3,NOT(ISNUMBER(Flights!$AX$10))),"INVALID – enter carrying flight KUL departure (Flights AX)",IF(AND(AS210=3,OR(Flights!$AX$10&gt;=Flights!$AA$10,Flights!$AX$10&lt;Flights!$AA$10-3)),"INVALID – Flights AX must be before this leg's STD (within 3 days)",IF(AG210&gt;AsOfUTC,"INVALID – completion time is in the future",IF(AND(ISNUMBER(S210),AG210&lt;S210),IF(H210="Physical uplift","INVALID – before uplift window (cannot confirm loading)","INVALID – before valid window"),IF(AG210&gt;Flights!$AA$10,"INVALID – completed after departure (cannot establish readiness)",IF(AND(H210="Physical uplift",AG210&gt;Q210),"INVALID – recorded after the loading flight departed",IF(AG210&gt;Q210,"COMPLETE – LATE","COMPLETE")))))))))))))))))),IF(TRIM(U210)="Fail","FAIL – DISCREPANCY",IF(AND(TRIM(U210)&lt;&gt;"",TRIM(U210)&lt;&gt;"Not started",TRIM(U210)&lt;&gt;"In progress"),"INVALID – unrecognised status (use the list)",IF(AsOfUTC&gt;Q210,"OVERDUE",IF(N210="Clarification required","OPEN – CLARIFICATION","OPEN")))))))</f>
        <v>OPEN</v>
      </c>
      <c r="AI210" s="61" t="n">
        <f aca="false">IF(OR(AH210="N/A – RULE",AH210="N/A – JUSTIFIED"),0,1)</f>
        <v>1</v>
      </c>
      <c r="AJ210" s="61" t="n">
        <f aca="false">IF(LEFT(AH210,8)="COMPLETE",1,0)</f>
        <v>0</v>
      </c>
      <c r="AK210" s="61" t="n">
        <f aca="false">IF(AND(AI210=1,AJ210=0,AsOfUTC&gt;Q210),1,0)</f>
        <v>0</v>
      </c>
      <c r="AL210" s="61" t="n">
        <f aca="false">IF(AND(AI210=1,OR(TRIM(U210)="Fail",AND(TRIM(AB210)&lt;&gt;"",TRIM(AB210)&lt;&gt;"Closed"),AND(ISNUMBER(AF210),AF210&lt;&gt;0,TRIM(U210)&lt;&gt;"Pass after CA"))),1,0)</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8" t="b">
        <f aca="false">TRUE()</f>
        <v>1</v>
      </c>
    </row>
    <row r="211" customFormat="false" ht="39.75" hidden="false" customHeight="true" outlineLevel="0" collapsed="false">
      <c r="A211" s="57" t="s">
        <v>737</v>
      </c>
      <c r="B211" s="57" t="s">
        <v>223</v>
      </c>
      <c r="C211" s="57" t="str">
        <f aca="false">Flights!$F$10</f>
        <v>MH0002</v>
      </c>
      <c r="D211" s="58" t="n">
        <f aca="false">Flights!$D$10</f>
        <v>46310</v>
      </c>
      <c r="E211" s="57" t="str">
        <f aca="false">Flights!$G$10&amp;"-"&amp;Flights!$H$10</f>
        <v>KUL-LHR</v>
      </c>
      <c r="F211" s="57" t="str">
        <f aca="false">Flights!$K$10</f>
        <v>BC</v>
      </c>
      <c r="G211" s="57" t="s">
        <v>424</v>
      </c>
      <c r="H211" s="57" t="s">
        <v>425</v>
      </c>
      <c r="I211" s="57" t="s">
        <v>412</v>
      </c>
      <c r="J211" s="57" t="s">
        <v>620</v>
      </c>
      <c r="K211" s="67" t="s">
        <v>414</v>
      </c>
      <c r="L211" s="67" t="s">
        <v>719</v>
      </c>
      <c r="M211" s="67" t="s">
        <v>416</v>
      </c>
      <c r="N211" s="67" t="s">
        <v>348</v>
      </c>
      <c r="O211" s="67"/>
      <c r="P211" s="57" t="s">
        <v>179</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59" t="n">
        <f aca="false">IF(ISNUMBER(Flights!$AY$10),MAX(Q211-UpliftWindowH/24,Flights!$AY$10+UpliftWindowH/24),Q211-UpliftWindowH/24)</f>
        <v>46310.3888888889</v>
      </c>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IF(N211="N/A – rule","N/A – RULE",IF(TRIM(U211)="N/A",IF(AT211=0,"INVALID – N/A not permitted for this mandatory check",IF(AND(TRIM(AC211)&lt;&gt;"",TRIM(AE211)&lt;&gt;"",TRIM(T211)&lt;&gt;"",TRIM(AE211)&lt;&gt;TRIM(T211)),"N/A – JUSTIFIED","INVALID – N/A needs justification, PIC and a different verifier")),IF(OR(TRIM(U211)="Pass",TRIM(U211)="Pass after CA"),IF(NOT(ISNUMBER(AD211)),"INVALID – completion time missing",IF(TRIM(T211)="","INVALID – PIC missing",IF(TRIM(V211)="","INVALID – result / assessment missing",IF(TRIM(Z211)="","INVALID – evidence missing",IF(TRIM(AE211)="","INVALID – verifier missing",IF(TRIM(AE211)=TRIM(T211),"INVALID – verifier must be someone other than the PIC",IF(AND(AQ211=1,TRIM(W211)=""),"INVALID – batch ID missing",IF(AND(AR211=1,OR(NOT(ISNUMBER(X211)),NOT(ISNUMBER(Y211)))),"INVALID – expected/actual qty missing",IF(IF(AND(TRIM(U211)="Pass",ISNUMBER(AF211)),IF(AF211&lt;&gt;0,"INVALID – qty variance: use Fail or Pass after CA",""),"")&amp;IF(AND(TRIM(U211)="Pass",TRIM(AB211)&lt;&gt;"",TRIM(AB211)&lt;&gt;"Closed"),"INVALID – corrective action not closed: use Fail, then Pass after CA","")&amp;IF(AND(TRIM(AA211)&lt;&gt;"",TRIM(AB211)=""),"INVALID – CA status missing for the recorded corrective action","")&amp;IF(AND(TRIM(U211)="Pass after CA",OR(TRIM(AA211)="",TRIM(AB211)&lt;&gt;"Closed")),"INVALID – corrective action not recorded/closed","")&lt;&gt;"",IF(AND(TRIM(U211)="Pass",ISNUMBER(AF211)),IF(AF211&lt;&gt;0,"INVALID – qty variance: use Fail or Pass after CA",""),"")&amp;IF(AND(TRIM(U211)="Pass",TRIM(AB211)&lt;&gt;"",TRIM(AB211)&lt;&gt;"Closed"),"INVALID – corrective action not closed: use Fail, then Pass after CA","")&amp;IF(AND(TRIM(AA211)&lt;&gt;"",TRIM(AB211)=""),"INVALID – CA status missing for the recorded corrective action","")&amp;IF(AND(TRIM(U211)="Pass after CA",OR(TRIM(AA211)="",TRIM(AB211)&lt;&gt;"Closed")),"INVALID – corrective action not recorded/closed",""),IF(AND(AS211=1,Documents!$J$10&lt;&gt;"ON FILE"),"INVALID – GLD not on file (Documents sheet)",IF(AND(AS211=2,Documents!$O$10&lt;&gt;"ON FILE"),"INVALID – menu checklist not on file (Documents sheet)",IF(AND(AS211=3,NOT(ISNUMBER(Flights!$AX$10))),"INVALID – enter carrying flight KUL departure (Flights AX)",IF(AND(AS211=3,OR(Flights!$AX$10&gt;=Flights!$AA$10,Flights!$AX$10&lt;Flights!$AA$10-3)),"INVALID – Flights AX must be before this leg's STD (within 3 days)",IF(AG211&gt;AsOfUTC,"INVALID – completion time is in the future",IF(AND(ISNUMBER(S211),AG211&lt;S211),IF(H211="Physical uplift","INVALID – before uplift window (cannot confirm loading)","INVALID – before valid window"),IF(AG211&gt;Flights!$AA$10,"INVALID – completed after departure (cannot establish readiness)",IF(AND(H211="Physical uplift",AG211&gt;Q211),"INVALID – recorded after the loading flight departed",IF(AG211&gt;Q211,"COMPLETE – LATE","COMPLETE")))))))))))))))))),IF(TRIM(U211)="Fail","FAIL – DISCREPANCY",IF(AND(TRIM(U211)&lt;&gt;"",TRIM(U211)&lt;&gt;"Not started",TRIM(U211)&lt;&gt;"In progress"),"INVALID – unrecognised status (use the list)",IF(AsOfUTC&gt;Q211,"OVERDUE",IF(N211="Clarification required","OPEN – CLARIFICATION","OPEN")))))))</f>
        <v>OPEN</v>
      </c>
      <c r="AI211" s="61" t="n">
        <f aca="false">IF(OR(AH211="N/A – RULE",AH211="N/A – JUSTIFIED"),0,1)</f>
        <v>1</v>
      </c>
      <c r="AJ211" s="61" t="n">
        <f aca="false">IF(LEFT(AH211,8)="COMPLETE",1,0)</f>
        <v>0</v>
      </c>
      <c r="AK211" s="61" t="n">
        <f aca="false">IF(AND(AI211=1,AJ211=0,AsOfUTC&gt;Q211),1,0)</f>
        <v>0</v>
      </c>
      <c r="AL211" s="61" t="n">
        <f aca="false">IF(AND(AI211=1,OR(TRIM(U211)="Fail",AND(TRIM(AB211)&lt;&gt;"",TRIM(AB211)&lt;&gt;"Closed"),AND(ISNUMBER(AF211),AF211&lt;&gt;0,TRIM(U211)&lt;&gt;"Pass after CA"))),1,0)</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8" t="b">
        <f aca="false">TRUE()</f>
        <v>1</v>
      </c>
    </row>
    <row r="212" customFormat="false" ht="39.75" hidden="false" customHeight="true" outlineLevel="0" collapsed="false">
      <c r="A212" s="57" t="s">
        <v>738</v>
      </c>
      <c r="B212" s="57" t="s">
        <v>223</v>
      </c>
      <c r="C212" s="57" t="str">
        <f aca="false">Flights!$F$10</f>
        <v>MH0002</v>
      </c>
      <c r="D212" s="58" t="n">
        <f aca="false">Flights!$D$10</f>
        <v>46310</v>
      </c>
      <c r="E212" s="57" t="str">
        <f aca="false">Flights!$G$10&amp;"-"&amp;Flights!$H$10</f>
        <v>KUL-LHR</v>
      </c>
      <c r="F212" s="57" t="str">
        <f aca="false">Flights!$K$10</f>
        <v>BC</v>
      </c>
      <c r="G212" s="57" t="s">
        <v>424</v>
      </c>
      <c r="H212" s="57" t="s">
        <v>425</v>
      </c>
      <c r="I212" s="57" t="s">
        <v>594</v>
      </c>
      <c r="J212" s="57" t="s">
        <v>622</v>
      </c>
      <c r="K212" s="67" t="s">
        <v>466</v>
      </c>
      <c r="L212" s="67" t="s">
        <v>721</v>
      </c>
      <c r="M212" s="67" t="s">
        <v>179</v>
      </c>
      <c r="N212" s="67" t="s">
        <v>348</v>
      </c>
      <c r="O212" s="67" t="s">
        <v>597</v>
      </c>
      <c r="P212" s="57" t="s">
        <v>179</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59" t="n">
        <f aca="false">IF(ISNUMBER(Flights!$AY$10),MAX(Q212-UpliftWindowH/24,Flights!$AY$10+UpliftWindowH/24),Q212-UpliftWindowH/24)</f>
        <v>46310.3888888889</v>
      </c>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IF(N212="N/A – rule","N/A – RULE",IF(TRIM(U212)="N/A",IF(AT212=0,"INVALID – N/A not permitted for this mandatory check",IF(AND(TRIM(AC212)&lt;&gt;"",TRIM(AE212)&lt;&gt;"",TRIM(T212)&lt;&gt;"",TRIM(AE212)&lt;&gt;TRIM(T212)),"N/A – JUSTIFIED","INVALID – N/A needs justification, PIC and a different verifier")),IF(OR(TRIM(U212)="Pass",TRIM(U212)="Pass after CA"),IF(NOT(ISNUMBER(AD212)),"INVALID – completion time missing",IF(TRIM(T212)="","INVALID – PIC missing",IF(TRIM(V212)="","INVALID – result / assessment missing",IF(TRIM(Z212)="","INVALID – evidence missing",IF(TRIM(AE212)="","INVALID – verifier missing",IF(TRIM(AE212)=TRIM(T212),"INVALID – verifier must be someone other than the PIC",IF(AND(AQ212=1,TRIM(W212)=""),"INVALID – batch ID missing",IF(AND(AR212=1,OR(NOT(ISNUMBER(X212)),NOT(ISNUMBER(Y212)))),"INVALID – expected/actual qty missing",IF(IF(AND(TRIM(U212)="Pass",ISNUMBER(AF212)),IF(AF212&lt;&gt;0,"INVALID – qty variance: use Fail or Pass after CA",""),"")&amp;IF(AND(TRIM(U212)="Pass",TRIM(AB212)&lt;&gt;"",TRIM(AB212)&lt;&gt;"Closed"),"INVALID – corrective action not closed: use Fail, then Pass after CA","")&amp;IF(AND(TRIM(AA212)&lt;&gt;"",TRIM(AB212)=""),"INVALID – CA status missing for the recorded corrective action","")&amp;IF(AND(TRIM(U212)="Pass after CA",OR(TRIM(AA212)="",TRIM(AB212)&lt;&gt;"Closed")),"INVALID – corrective action not recorded/closed","")&lt;&gt;"",IF(AND(TRIM(U212)="Pass",ISNUMBER(AF212)),IF(AF212&lt;&gt;0,"INVALID – qty variance: use Fail or Pass after CA",""),"")&amp;IF(AND(TRIM(U212)="Pass",TRIM(AB212)&lt;&gt;"",TRIM(AB212)&lt;&gt;"Closed"),"INVALID – corrective action not closed: use Fail, then Pass after CA","")&amp;IF(AND(TRIM(AA212)&lt;&gt;"",TRIM(AB212)=""),"INVALID – CA status missing for the recorded corrective action","")&amp;IF(AND(TRIM(U212)="Pass after CA",OR(TRIM(AA212)="",TRIM(AB212)&lt;&gt;"Closed")),"INVALID – corrective action not recorded/closed",""),IF(AND(AS212=1,Documents!$J$10&lt;&gt;"ON FILE"),"INVALID – GLD not on file (Documents sheet)",IF(AND(AS212=2,Documents!$O$10&lt;&gt;"ON FILE"),"INVALID – menu checklist not on file (Documents sheet)",IF(AND(AS212=3,NOT(ISNUMBER(Flights!$AX$10))),"INVALID – enter carrying flight KUL departure (Flights AX)",IF(AND(AS212=3,OR(Flights!$AX$10&gt;=Flights!$AA$10,Flights!$AX$10&lt;Flights!$AA$10-3)),"INVALID – Flights AX must be before this leg's STD (within 3 days)",IF(AG212&gt;AsOfUTC,"INVALID – completion time is in the future",IF(AND(ISNUMBER(S212),AG212&lt;S212),IF(H212="Physical uplift","INVALID – before uplift window (cannot confirm loading)","INVALID – before valid window"),IF(AG212&gt;Flights!$AA$10,"INVALID – completed after departure (cannot establish readiness)",IF(AND(H212="Physical uplift",AG212&gt;Q212),"INVALID – recorded after the loading flight departed",IF(AG212&gt;Q212,"COMPLETE – LATE","COMPLETE")))))))))))))))))),IF(TRIM(U212)="Fail","FAIL – DISCREPANCY",IF(AND(TRIM(U212)&lt;&gt;"",TRIM(U212)&lt;&gt;"Not started",TRIM(U212)&lt;&gt;"In progress"),"INVALID – unrecognised status (use the list)",IF(AsOfUTC&gt;Q212,"OVERDUE",IF(N212="Clarification required","OPEN – CLARIFICATION","OPEN")))))))</f>
        <v>OPEN</v>
      </c>
      <c r="AI212" s="61" t="n">
        <f aca="false">IF(OR(AH212="N/A – RULE",AH212="N/A – JUSTIFIED"),0,1)</f>
        <v>1</v>
      </c>
      <c r="AJ212" s="61" t="n">
        <f aca="false">IF(LEFT(AH212,8)="COMPLETE",1,0)</f>
        <v>0</v>
      </c>
      <c r="AK212" s="61" t="n">
        <f aca="false">IF(AND(AI212=1,AJ212=0,AsOfUTC&gt;Q212),1,0)</f>
        <v>0</v>
      </c>
      <c r="AL212" s="61" t="n">
        <f aca="false">IF(AND(AI212=1,OR(TRIM(U212)="Fail",AND(TRIM(AB212)&lt;&gt;"",TRIM(AB212)&lt;&gt;"Closed"),AND(ISNUMBER(AF212),AF212&lt;&gt;0,TRIM(U212)&lt;&gt;"Pass after CA"))),1,0)</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8" t="b">
        <f aca="false">TRUE()</f>
        <v>1</v>
      </c>
    </row>
    <row r="213" customFormat="false" ht="39.75" hidden="false" customHeight="true" outlineLevel="0" collapsed="false">
      <c r="A213" s="57" t="s">
        <v>739</v>
      </c>
      <c r="B213" s="57" t="s">
        <v>227</v>
      </c>
      <c r="C213" s="57" t="str">
        <f aca="false">Flights!$F$11</f>
        <v>MH0003</v>
      </c>
      <c r="D213" s="58" t="n">
        <f aca="false">Flights!$D$11</f>
        <v>46304</v>
      </c>
      <c r="E213" s="57" t="str">
        <f aca="false">Flights!$G$11&amp;"-"&amp;Flights!$H$11</f>
        <v>LHR-KUL</v>
      </c>
      <c r="F213" s="57" t="str">
        <f aca="false">Flights!$K$11</f>
        <v>BC</v>
      </c>
      <c r="G213" s="57" t="s">
        <v>76</v>
      </c>
      <c r="H213" s="57" t="s">
        <v>343</v>
      </c>
      <c r="I213" s="57" t="s">
        <v>344</v>
      </c>
      <c r="J213" s="57" t="s">
        <v>345</v>
      </c>
      <c r="K213" s="67" t="s">
        <v>346</v>
      </c>
      <c r="L213" s="67" t="s">
        <v>347</v>
      </c>
      <c r="M213" s="67"/>
      <c r="N213" s="67" t="s">
        <v>348</v>
      </c>
      <c r="O213" s="67"/>
      <c r="P213" s="57" t="s">
        <v>178</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59" t="n">
        <f aca="false">Q213-T7EarlyD*24/24</f>
        <v>46283.4166666667</v>
      </c>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IF(N213="N/A – rule","N/A – RULE",IF(TRIM(U213)="N/A",IF(AT213=0,"INVALID – N/A not permitted for this mandatory check",IF(AND(TRIM(AC213)&lt;&gt;"",TRIM(AE213)&lt;&gt;"",TRIM(T213)&lt;&gt;"",TRIM(AE213)&lt;&gt;TRIM(T213)),"N/A – JUSTIFIED","INVALID – N/A needs justification, PIC and a different verifier")),IF(OR(TRIM(U213)="Pass",TRIM(U213)="Pass after CA"),IF(NOT(ISNUMBER(AD213)),"INVALID – completion time missing",IF(TRIM(T213)="","INVALID – PIC missing",IF(TRIM(V213)="","INVALID – result / assessment missing",IF(TRIM(Z213)="","INVALID – evidence missing",IF(TRIM(AE213)="","INVALID – verifier missing",IF(TRIM(AE213)=TRIM(T213),"INVALID – verifier must be someone other than the PIC",IF(AND(AQ213=1,TRIM(W213)=""),"INVALID – batch ID missing",IF(AND(AR213=1,OR(NOT(ISNUMBER(X213)),NOT(ISNUMBER(Y213)))),"INVALID – expected/actual qty missing",IF(IF(AND(TRIM(U213)="Pass",ISNUMBER(AF213)),IF(AF213&lt;&gt;0,"INVALID – qty variance: use Fail or Pass after CA",""),"")&amp;IF(AND(TRIM(U213)="Pass",TRIM(AB213)&lt;&gt;"",TRIM(AB213)&lt;&gt;"Closed"),"INVALID – corrective action not closed: use Fail, then Pass after CA","")&amp;IF(AND(TRIM(AA213)&lt;&gt;"",TRIM(AB213)=""),"INVALID – CA status missing for the recorded corrective action","")&amp;IF(AND(TRIM(U213)="Pass after CA",OR(TRIM(AA213)="",TRIM(AB213)&lt;&gt;"Closed")),"INVALID – corrective action not recorded/closed","")&lt;&gt;"",IF(AND(TRIM(U213)="Pass",ISNUMBER(AF213)),IF(AF213&lt;&gt;0,"INVALID – qty variance: use Fail or Pass after CA",""),"")&amp;IF(AND(TRIM(U213)="Pass",TRIM(AB213)&lt;&gt;"",TRIM(AB213)&lt;&gt;"Closed"),"INVALID – corrective action not closed: use Fail, then Pass after CA","")&amp;IF(AND(TRIM(AA213)&lt;&gt;"",TRIM(AB213)=""),"INVALID – CA status missing for the recorded corrective action","")&amp;IF(AND(TRIM(U213)="Pass after CA",OR(TRIM(AA213)="",TRIM(AB213)&lt;&gt;"Closed")),"INVALID – corrective action not recorded/closed",""),IF(AND(AS213=1,Documents!$J$11&lt;&gt;"ON FILE"),"INVALID – GLD not on file (Documents sheet)",IF(AND(AS213=2,Documents!$O$11&lt;&gt;"ON FILE"),"INVALID – menu checklist not on file (Documents sheet)",IF(AND(AS213=3,NOT(ISNUMBER(Flights!$AX$11))),"INVALID – enter carrying flight KUL departure (Flights AX)",IF(AND(AS213=3,OR(Flights!$AX$11&gt;=Flights!$AA$11,Flights!$AX$11&lt;Flights!$AA$11-3)),"INVALID – Flights AX must be before this leg's STD (within 3 days)",IF(AG213&gt;AsOfUTC,"INVALID – completion time is in the future",IF(AND(ISNUMBER(S213),AG213&lt;S213),IF(H213="Physical uplift","INVALID – before uplift window (cannot confirm loading)","INVALID – before valid window"),IF(AG213&gt;Flights!$AA$11,"INVALID – completed after departure (cannot establish readiness)",IF(AND(H213="Physical uplift",AG213&gt;Q213),"INVALID – recorded after the loading flight departed",IF(AG213&gt;Q213,"COMPLETE – LATE","COMPLETE")))))))))))))))))),IF(TRIM(U213)="Fail","FAIL – DISCREPANCY",IF(AND(TRIM(U213)&lt;&gt;"",TRIM(U213)&lt;&gt;"Not started",TRIM(U213)&lt;&gt;"In progress"),"INVALID – unrecognised status (use the list)",IF(AsOfUTC&gt;Q213,"OVERDUE",IF(N213="Clarification required","OPEN – CLARIFICATION","OPEN")))))))</f>
        <v>OPEN</v>
      </c>
      <c r="AI213" s="61" t="n">
        <f aca="false">IF(OR(AH213="N/A – RULE",AH213="N/A – JUSTIFIED"),0,1)</f>
        <v>1</v>
      </c>
      <c r="AJ213" s="61" t="n">
        <f aca="false">IF(LEFT(AH213,8)="COMPLETE",1,0)</f>
        <v>0</v>
      </c>
      <c r="AK213" s="61" t="n">
        <f aca="false">IF(AND(AI213=1,AJ213=0,AsOfUTC&gt;Q213),1,0)</f>
        <v>0</v>
      </c>
      <c r="AL213" s="61" t="n">
        <f aca="false">IF(AND(AI213=1,OR(TRIM(U213)="Fail",AND(TRIM(AB213)&lt;&gt;"",TRIM(AB213)&lt;&gt;"Closed"),AND(ISNUMBER(AF213),AF213&lt;&gt;0,TRIM(U213)&lt;&gt;"Pass after CA"))),1,0)</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row>
    <row r="214" customFormat="false" ht="39.75" hidden="false" customHeight="true" outlineLevel="0" collapsed="false">
      <c r="A214" s="57" t="s">
        <v>740</v>
      </c>
      <c r="B214" s="57" t="s">
        <v>227</v>
      </c>
      <c r="C214" s="57" t="str">
        <f aca="false">Flights!$F$11</f>
        <v>MH0003</v>
      </c>
      <c r="D214" s="58" t="n">
        <f aca="false">Flights!$D$11</f>
        <v>46304</v>
      </c>
      <c r="E214" s="57" t="str">
        <f aca="false">Flights!$G$11&amp;"-"&amp;Flights!$H$11</f>
        <v>LHR-KUL</v>
      </c>
      <c r="F214" s="57" t="str">
        <f aca="false">Flights!$K$11</f>
        <v>BC</v>
      </c>
      <c r="G214" s="57" t="s">
        <v>76</v>
      </c>
      <c r="H214" s="57" t="s">
        <v>343</v>
      </c>
      <c r="I214" s="57" t="s">
        <v>350</v>
      </c>
      <c r="J214" s="57" t="s">
        <v>351</v>
      </c>
      <c r="K214" s="67" t="s">
        <v>352</v>
      </c>
      <c r="L214" s="67" t="s">
        <v>347</v>
      </c>
      <c r="M214" s="67"/>
      <c r="N214" s="67" t="s">
        <v>348</v>
      </c>
      <c r="O214" s="67"/>
      <c r="P214" s="57" t="s">
        <v>178</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59" t="n">
        <f aca="false">Q214-T7EarlyD*24/24</f>
        <v>46283.4166666667</v>
      </c>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IF(N214="N/A – rule","N/A – RULE",IF(TRIM(U214)="N/A",IF(AT214=0,"INVALID – N/A not permitted for this mandatory check",IF(AND(TRIM(AC214)&lt;&gt;"",TRIM(AE214)&lt;&gt;"",TRIM(T214)&lt;&gt;"",TRIM(AE214)&lt;&gt;TRIM(T214)),"N/A – JUSTIFIED","INVALID – N/A needs justification, PIC and a different verifier")),IF(OR(TRIM(U214)="Pass",TRIM(U214)="Pass after CA"),IF(NOT(ISNUMBER(AD214)),"INVALID – completion time missing",IF(TRIM(T214)="","INVALID – PIC missing",IF(TRIM(V214)="","INVALID – result / assessment missing",IF(TRIM(Z214)="","INVALID – evidence missing",IF(TRIM(AE214)="","INVALID – verifier missing",IF(TRIM(AE214)=TRIM(T214),"INVALID – verifier must be someone other than the PIC",IF(AND(AQ214=1,TRIM(W214)=""),"INVALID – batch ID missing",IF(AND(AR214=1,OR(NOT(ISNUMBER(X214)),NOT(ISNUMBER(Y214)))),"INVALID – expected/actual qty missing",IF(IF(AND(TRIM(U214)="Pass",ISNUMBER(AF214)),IF(AF214&lt;&gt;0,"INVALID – qty variance: use Fail or Pass after CA",""),"")&amp;IF(AND(TRIM(U214)="Pass",TRIM(AB214)&lt;&gt;"",TRIM(AB214)&lt;&gt;"Closed"),"INVALID – corrective action not closed: use Fail, then Pass after CA","")&amp;IF(AND(TRIM(AA214)&lt;&gt;"",TRIM(AB214)=""),"INVALID – CA status missing for the recorded corrective action","")&amp;IF(AND(TRIM(U214)="Pass after CA",OR(TRIM(AA214)="",TRIM(AB214)&lt;&gt;"Closed")),"INVALID – corrective action not recorded/closed","")&lt;&gt;"",IF(AND(TRIM(U214)="Pass",ISNUMBER(AF214)),IF(AF214&lt;&gt;0,"INVALID – qty variance: use Fail or Pass after CA",""),"")&amp;IF(AND(TRIM(U214)="Pass",TRIM(AB214)&lt;&gt;"",TRIM(AB214)&lt;&gt;"Closed"),"INVALID – corrective action not closed: use Fail, then Pass after CA","")&amp;IF(AND(TRIM(AA214)&lt;&gt;"",TRIM(AB214)=""),"INVALID – CA status missing for the recorded corrective action","")&amp;IF(AND(TRIM(U214)="Pass after CA",OR(TRIM(AA214)="",TRIM(AB214)&lt;&gt;"Closed")),"INVALID – corrective action not recorded/closed",""),IF(AND(AS214=1,Documents!$J$11&lt;&gt;"ON FILE"),"INVALID – GLD not on file (Documents sheet)",IF(AND(AS214=2,Documents!$O$11&lt;&gt;"ON FILE"),"INVALID – menu checklist not on file (Documents sheet)",IF(AND(AS214=3,NOT(ISNUMBER(Flights!$AX$11))),"INVALID – enter carrying flight KUL departure (Flights AX)",IF(AND(AS214=3,OR(Flights!$AX$11&gt;=Flights!$AA$11,Flights!$AX$11&lt;Flights!$AA$11-3)),"INVALID – Flights AX must be before this leg's STD (within 3 days)",IF(AG214&gt;AsOfUTC,"INVALID – completion time is in the future",IF(AND(ISNUMBER(S214),AG214&lt;S214),IF(H214="Physical uplift","INVALID – before uplift window (cannot confirm loading)","INVALID – before valid window"),IF(AG214&gt;Flights!$AA$11,"INVALID – completed after departure (cannot establish readiness)",IF(AND(H214="Physical uplift",AG214&gt;Q214),"INVALID – recorded after the loading flight departed",IF(AG214&gt;Q214,"COMPLETE – LATE","COMPLETE")))))))))))))))))),IF(TRIM(U214)="Fail","FAIL – DISCREPANCY",IF(AND(TRIM(U214)&lt;&gt;"",TRIM(U214)&lt;&gt;"Not started",TRIM(U214)&lt;&gt;"In progress"),"INVALID – unrecognised status (use the list)",IF(AsOfUTC&gt;Q214,"OVERDUE",IF(N214="Clarification required","OPEN – CLARIFICATION","OPEN")))))))</f>
        <v>OPEN</v>
      </c>
      <c r="AI214" s="61" t="n">
        <f aca="false">IF(OR(AH214="N/A – RULE",AH214="N/A – JUSTIFIED"),0,1)</f>
        <v>1</v>
      </c>
      <c r="AJ214" s="61" t="n">
        <f aca="false">IF(LEFT(AH214,8)="COMPLETE",1,0)</f>
        <v>0</v>
      </c>
      <c r="AK214" s="61" t="n">
        <f aca="false">IF(AND(AI214=1,AJ214=0,AsOfUTC&gt;Q214),1,0)</f>
        <v>0</v>
      </c>
      <c r="AL214" s="61" t="n">
        <f aca="false">IF(AND(AI214=1,OR(TRIM(U214)="Fail",AND(TRIM(AB214)&lt;&gt;"",TRIM(AB214)&lt;&gt;"Closed"),AND(ISNUMBER(AF214),AF214&lt;&gt;0,TRIM(U214)&lt;&gt;"Pass after CA"))),1,0)</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8" t="b">
        <f aca="false">TRUE()</f>
        <v>1</v>
      </c>
    </row>
    <row r="215" customFormat="false" ht="41.25" hidden="false" customHeight="true" outlineLevel="0" collapsed="false">
      <c r="A215" s="57" t="s">
        <v>741</v>
      </c>
      <c r="B215" s="57" t="s">
        <v>227</v>
      </c>
      <c r="C215" s="57" t="str">
        <f aca="false">Flights!$F$11</f>
        <v>MH0003</v>
      </c>
      <c r="D215" s="58" t="n">
        <f aca="false">Flights!$D$11</f>
        <v>46304</v>
      </c>
      <c r="E215" s="57" t="str">
        <f aca="false">Flights!$G$11&amp;"-"&amp;Flights!$H$11</f>
        <v>LHR-KUL</v>
      </c>
      <c r="F215" s="57" t="str">
        <f aca="false">Flights!$K$11</f>
        <v>BC</v>
      </c>
      <c r="G215" s="57" t="s">
        <v>76</v>
      </c>
      <c r="H215" s="57" t="s">
        <v>343</v>
      </c>
      <c r="I215" s="57" t="s">
        <v>354</v>
      </c>
      <c r="J215" s="57" t="s">
        <v>355</v>
      </c>
      <c r="K215" s="67" t="s">
        <v>356</v>
      </c>
      <c r="L215" s="67" t="s">
        <v>347</v>
      </c>
      <c r="M215" s="67"/>
      <c r="N215" s="67" t="str">
        <f aca="false">IF(TRIM(Flights!$L$11)="A339","Required","N/A – rule")</f>
        <v>N/A – rule</v>
      </c>
      <c r="O215" s="67" t="s">
        <v>357</v>
      </c>
      <c r="P215" s="57" t="s">
        <v>178</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59" t="n">
        <f aca="false">Q215-T7EarlyD*24/24</f>
        <v>46283.4166666667</v>
      </c>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IF(N215="N/A – rule","N/A – RULE",IF(TRIM(U215)="N/A",IF(AT215=0,"INVALID – N/A not permitted for this mandatory check",IF(AND(TRIM(AC215)&lt;&gt;"",TRIM(AE215)&lt;&gt;"",TRIM(T215)&lt;&gt;"",TRIM(AE215)&lt;&gt;TRIM(T215)),"N/A – JUSTIFIED","INVALID – N/A needs justification, PIC and a different verifier")),IF(OR(TRIM(U215)="Pass",TRIM(U215)="Pass after CA"),IF(NOT(ISNUMBER(AD215)),"INVALID – completion time missing",IF(TRIM(T215)="","INVALID – PIC missing",IF(TRIM(V215)="","INVALID – result / assessment missing",IF(TRIM(Z215)="","INVALID – evidence missing",IF(TRIM(AE215)="","INVALID – verifier missing",IF(TRIM(AE215)=TRIM(T215),"INVALID – verifier must be someone other than the PIC",IF(AND(AQ215=1,TRIM(W215)=""),"INVALID – batch ID missing",IF(AND(AR215=1,OR(NOT(ISNUMBER(X215)),NOT(ISNUMBER(Y215)))),"INVALID – expected/actual qty missing",IF(IF(AND(TRIM(U215)="Pass",ISNUMBER(AF215)),IF(AF215&lt;&gt;0,"INVALID – qty variance: use Fail or Pass after CA",""),"")&amp;IF(AND(TRIM(U215)="Pass",TRIM(AB215)&lt;&gt;"",TRIM(AB215)&lt;&gt;"Closed"),"INVALID – corrective action not closed: use Fail, then Pass after CA","")&amp;IF(AND(TRIM(AA215)&lt;&gt;"",TRIM(AB215)=""),"INVALID – CA status missing for the recorded corrective action","")&amp;IF(AND(TRIM(U215)="Pass after CA",OR(TRIM(AA215)="",TRIM(AB215)&lt;&gt;"Closed")),"INVALID – corrective action not recorded/closed","")&lt;&gt;"",IF(AND(TRIM(U215)="Pass",ISNUMBER(AF215)),IF(AF215&lt;&gt;0,"INVALID – qty variance: use Fail or Pass after CA",""),"")&amp;IF(AND(TRIM(U215)="Pass",TRIM(AB215)&lt;&gt;"",TRIM(AB215)&lt;&gt;"Closed"),"INVALID – corrective action not closed: use Fail, then Pass after CA","")&amp;IF(AND(TRIM(AA215)&lt;&gt;"",TRIM(AB215)=""),"INVALID – CA status missing for the recorded corrective action","")&amp;IF(AND(TRIM(U215)="Pass after CA",OR(TRIM(AA215)="",TRIM(AB215)&lt;&gt;"Closed")),"INVALID – corrective action not recorded/closed",""),IF(AND(AS215=1,Documents!$J$11&lt;&gt;"ON FILE"),"INVALID – GLD not on file (Documents sheet)",IF(AND(AS215=2,Documents!$O$11&lt;&gt;"ON FILE"),"INVALID – menu checklist not on file (Documents sheet)",IF(AND(AS215=3,NOT(ISNUMBER(Flights!$AX$11))),"INVALID – enter carrying flight KUL departure (Flights AX)",IF(AND(AS215=3,OR(Flights!$AX$11&gt;=Flights!$AA$11,Flights!$AX$11&lt;Flights!$AA$11-3)),"INVALID – Flights AX must be before this leg's STD (within 3 days)",IF(AG215&gt;AsOfUTC,"INVALID – completion time is in the future",IF(AND(ISNUMBER(S215),AG215&lt;S215),IF(H215="Physical uplift","INVALID – before uplift window (cannot confirm loading)","INVALID – before valid window"),IF(AG215&gt;Flights!$AA$11,"INVALID – completed after departure (cannot establish readiness)",IF(AND(H215="Physical uplift",AG215&gt;Q215),"INVALID – recorded after the loading flight departed",IF(AG215&gt;Q215,"COMPLETE – LATE","COMPLETE")))))))))))))))))),IF(TRIM(U215)="Fail","FAIL – DISCREPANCY",IF(AND(TRIM(U215)&lt;&gt;"",TRIM(U215)&lt;&gt;"Not started",TRIM(U215)&lt;&gt;"In progress"),"INVALID – unrecognised status (use the list)",IF(AsOfUTC&gt;Q215,"OVERDUE",IF(N215="Clarification required","OPEN – CLARIFICATION","OPEN")))))))</f>
        <v>N/A – RULE</v>
      </c>
      <c r="AI215" s="61" t="n">
        <f aca="false">IF(OR(AH215="N/A – RULE",AH215="N/A – JUSTIFIED"),0,1)</f>
        <v>0</v>
      </c>
      <c r="AJ215" s="61" t="n">
        <f aca="false">IF(LEFT(AH215,8)="COMPLETE",1,0)</f>
        <v>0</v>
      </c>
      <c r="AK215" s="61" t="n">
        <f aca="false">IF(AND(AI215=1,AJ215=0,AsOfUTC&gt;Q215),1,0)</f>
        <v>0</v>
      </c>
      <c r="AL215" s="61" t="n">
        <f aca="false">IF(AND(AI215=1,OR(TRIM(U215)="Fail",AND(TRIM(AB215)&lt;&gt;"",TRIM(AB215)&lt;&gt;"Closed"),AND(ISNUMBER(AF215),AF215&lt;&gt;0,TRIM(U215)&lt;&gt;"Pass after CA"))),1,0)</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row>
    <row r="216" customFormat="false" ht="39.75" hidden="false" customHeight="true" outlineLevel="0" collapsed="false">
      <c r="A216" s="57" t="s">
        <v>742</v>
      </c>
      <c r="B216" s="57" t="s">
        <v>227</v>
      </c>
      <c r="C216" s="57" t="str">
        <f aca="false">Flights!$F$11</f>
        <v>MH0003</v>
      </c>
      <c r="D216" s="58" t="n">
        <f aca="false">Flights!$D$11</f>
        <v>46304</v>
      </c>
      <c r="E216" s="57" t="str">
        <f aca="false">Flights!$G$11&amp;"-"&amp;Flights!$H$11</f>
        <v>LHR-KUL</v>
      </c>
      <c r="F216" s="57" t="str">
        <f aca="false">Flights!$K$11</f>
        <v>BC</v>
      </c>
      <c r="G216" s="57" t="s">
        <v>76</v>
      </c>
      <c r="H216" s="57" t="s">
        <v>343</v>
      </c>
      <c r="I216" s="57" t="s">
        <v>359</v>
      </c>
      <c r="J216" s="57" t="s">
        <v>360</v>
      </c>
      <c r="K216" s="67" t="s">
        <v>361</v>
      </c>
      <c r="L216" s="67" t="s">
        <v>347</v>
      </c>
      <c r="M216" s="67"/>
      <c r="N216" s="67" t="s">
        <v>348</v>
      </c>
      <c r="O216" s="67"/>
      <c r="P216" s="57" t="s">
        <v>178</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59" t="n">
        <f aca="false">Q216-T7EarlyD*24/24</f>
        <v>46283.4166666667</v>
      </c>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IF(N216="N/A – rule","N/A – RULE",IF(TRIM(U216)="N/A",IF(AT216=0,"INVALID – N/A not permitted for this mandatory check",IF(AND(TRIM(AC216)&lt;&gt;"",TRIM(AE216)&lt;&gt;"",TRIM(T216)&lt;&gt;"",TRIM(AE216)&lt;&gt;TRIM(T216)),"N/A – JUSTIFIED","INVALID – N/A needs justification, PIC and a different verifier")),IF(OR(TRIM(U216)="Pass",TRIM(U216)="Pass after CA"),IF(NOT(ISNUMBER(AD216)),"INVALID – completion time missing",IF(TRIM(T216)="","INVALID – PIC missing",IF(TRIM(V216)="","INVALID – result / assessment missing",IF(TRIM(Z216)="","INVALID – evidence missing",IF(TRIM(AE216)="","INVALID – verifier missing",IF(TRIM(AE216)=TRIM(T216),"INVALID – verifier must be someone other than the PIC",IF(AND(AQ216=1,TRIM(W216)=""),"INVALID – batch ID missing",IF(AND(AR216=1,OR(NOT(ISNUMBER(X216)),NOT(ISNUMBER(Y216)))),"INVALID – expected/actual qty missing",IF(IF(AND(TRIM(U216)="Pass",ISNUMBER(AF216)),IF(AF216&lt;&gt;0,"INVALID – qty variance: use Fail or Pass after CA",""),"")&amp;IF(AND(TRIM(U216)="Pass",TRIM(AB216)&lt;&gt;"",TRIM(AB216)&lt;&gt;"Closed"),"INVALID – corrective action not closed: use Fail, then Pass after CA","")&amp;IF(AND(TRIM(AA216)&lt;&gt;"",TRIM(AB216)=""),"INVALID – CA status missing for the recorded corrective action","")&amp;IF(AND(TRIM(U216)="Pass after CA",OR(TRIM(AA216)="",TRIM(AB216)&lt;&gt;"Closed")),"INVALID – corrective action not recorded/closed","")&lt;&gt;"",IF(AND(TRIM(U216)="Pass",ISNUMBER(AF216)),IF(AF216&lt;&gt;0,"INVALID – qty variance: use Fail or Pass after CA",""),"")&amp;IF(AND(TRIM(U216)="Pass",TRIM(AB216)&lt;&gt;"",TRIM(AB216)&lt;&gt;"Closed"),"INVALID – corrective action not closed: use Fail, then Pass after CA","")&amp;IF(AND(TRIM(AA216)&lt;&gt;"",TRIM(AB216)=""),"INVALID – CA status missing for the recorded corrective action","")&amp;IF(AND(TRIM(U216)="Pass after CA",OR(TRIM(AA216)="",TRIM(AB216)&lt;&gt;"Closed")),"INVALID – corrective action not recorded/closed",""),IF(AND(AS216=1,Documents!$J$11&lt;&gt;"ON FILE"),"INVALID – GLD not on file (Documents sheet)",IF(AND(AS216=2,Documents!$O$11&lt;&gt;"ON FILE"),"INVALID – menu checklist not on file (Documents sheet)",IF(AND(AS216=3,NOT(ISNUMBER(Flights!$AX$11))),"INVALID – enter carrying flight KUL departure (Flights AX)",IF(AND(AS216=3,OR(Flights!$AX$11&gt;=Flights!$AA$11,Flights!$AX$11&lt;Flights!$AA$11-3)),"INVALID – Flights AX must be before this leg's STD (within 3 days)",IF(AG216&gt;AsOfUTC,"INVALID – completion time is in the future",IF(AND(ISNUMBER(S216),AG216&lt;S216),IF(H216="Physical uplift","INVALID – before uplift window (cannot confirm loading)","INVALID – before valid window"),IF(AG216&gt;Flights!$AA$11,"INVALID – completed after departure (cannot establish readiness)",IF(AND(H216="Physical uplift",AG216&gt;Q216),"INVALID – recorded after the loading flight departed",IF(AG216&gt;Q216,"COMPLETE – LATE","COMPLETE")))))))))))))))))),IF(TRIM(U216)="Fail","FAIL – DISCREPANCY",IF(AND(TRIM(U216)&lt;&gt;"",TRIM(U216)&lt;&gt;"Not started",TRIM(U216)&lt;&gt;"In progress"),"INVALID – unrecognised status (use the list)",IF(AsOfUTC&gt;Q216,"OVERDUE",IF(N216="Clarification required","OPEN – CLARIFICATION","OPEN")))))))</f>
        <v>OPEN</v>
      </c>
      <c r="AI216" s="61" t="n">
        <f aca="false">IF(OR(AH216="N/A – RULE",AH216="N/A – JUSTIFIED"),0,1)</f>
        <v>1</v>
      </c>
      <c r="AJ216" s="61" t="n">
        <f aca="false">IF(LEFT(AH216,8)="COMPLETE",1,0)</f>
        <v>0</v>
      </c>
      <c r="AK216" s="61" t="n">
        <f aca="false">IF(AND(AI216=1,AJ216=0,AsOfUTC&gt;Q216),1,0)</f>
        <v>0</v>
      </c>
      <c r="AL216" s="61" t="n">
        <f aca="false">IF(AND(AI216=1,OR(TRIM(U216)="Fail",AND(TRIM(AB216)&lt;&gt;"",TRIM(AB216)&lt;&gt;"Closed"),AND(ISNUMBER(AF216),AF216&lt;&gt;0,TRIM(U216)&lt;&gt;"Pass after CA"))),1,0)</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row>
    <row r="217" customFormat="false" ht="39.75" hidden="false" customHeight="true" outlineLevel="0" collapsed="false">
      <c r="A217" s="57" t="s">
        <v>743</v>
      </c>
      <c r="B217" s="57" t="s">
        <v>227</v>
      </c>
      <c r="C217" s="57" t="str">
        <f aca="false">Flights!$F$11</f>
        <v>MH0003</v>
      </c>
      <c r="D217" s="58" t="n">
        <f aca="false">Flights!$D$11</f>
        <v>46304</v>
      </c>
      <c r="E217" s="57" t="str">
        <f aca="false">Flights!$G$11&amp;"-"&amp;Flights!$H$11</f>
        <v>LHR-KUL</v>
      </c>
      <c r="F217" s="57" t="str">
        <f aca="false">Flights!$K$11</f>
        <v>BC</v>
      </c>
      <c r="G217" s="57" t="s">
        <v>76</v>
      </c>
      <c r="H217" s="57" t="s">
        <v>343</v>
      </c>
      <c r="I217" s="57" t="s">
        <v>363</v>
      </c>
      <c r="J217" s="57" t="s">
        <v>364</v>
      </c>
      <c r="K217" s="67" t="s">
        <v>365</v>
      </c>
      <c r="L217" s="67" t="s">
        <v>347</v>
      </c>
      <c r="M217" s="67"/>
      <c r="N217" s="67" t="s">
        <v>348</v>
      </c>
      <c r="O217" s="67"/>
      <c r="P217" s="57" t="s">
        <v>178</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59" t="n">
        <f aca="false">Q217-T7EarlyD*24/24</f>
        <v>46283.4166666667</v>
      </c>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IF(N217="N/A – rule","N/A – RULE",IF(TRIM(U217)="N/A",IF(AT217=0,"INVALID – N/A not permitted for this mandatory check",IF(AND(TRIM(AC217)&lt;&gt;"",TRIM(AE217)&lt;&gt;"",TRIM(T217)&lt;&gt;"",TRIM(AE217)&lt;&gt;TRIM(T217)),"N/A – JUSTIFIED","INVALID – N/A needs justification, PIC and a different verifier")),IF(OR(TRIM(U217)="Pass",TRIM(U217)="Pass after CA"),IF(NOT(ISNUMBER(AD217)),"INVALID – completion time missing",IF(TRIM(T217)="","INVALID – PIC missing",IF(TRIM(V217)="","INVALID – result / assessment missing",IF(TRIM(Z217)="","INVALID – evidence missing",IF(TRIM(AE217)="","INVALID – verifier missing",IF(TRIM(AE217)=TRIM(T217),"INVALID – verifier must be someone other than the PIC",IF(AND(AQ217=1,TRIM(W217)=""),"INVALID – batch ID missing",IF(AND(AR217=1,OR(NOT(ISNUMBER(X217)),NOT(ISNUMBER(Y217)))),"INVALID – expected/actual qty missing",IF(IF(AND(TRIM(U217)="Pass",ISNUMBER(AF217)),IF(AF217&lt;&gt;0,"INVALID – qty variance: use Fail or Pass after CA",""),"")&amp;IF(AND(TRIM(U217)="Pass",TRIM(AB217)&lt;&gt;"",TRIM(AB217)&lt;&gt;"Closed"),"INVALID – corrective action not closed: use Fail, then Pass after CA","")&amp;IF(AND(TRIM(AA217)&lt;&gt;"",TRIM(AB217)=""),"INVALID – CA status missing for the recorded corrective action","")&amp;IF(AND(TRIM(U217)="Pass after CA",OR(TRIM(AA217)="",TRIM(AB217)&lt;&gt;"Closed")),"INVALID – corrective action not recorded/closed","")&lt;&gt;"",IF(AND(TRIM(U217)="Pass",ISNUMBER(AF217)),IF(AF217&lt;&gt;0,"INVALID – qty variance: use Fail or Pass after CA",""),"")&amp;IF(AND(TRIM(U217)="Pass",TRIM(AB217)&lt;&gt;"",TRIM(AB217)&lt;&gt;"Closed"),"INVALID – corrective action not closed: use Fail, then Pass after CA","")&amp;IF(AND(TRIM(AA217)&lt;&gt;"",TRIM(AB217)=""),"INVALID – CA status missing for the recorded corrective action","")&amp;IF(AND(TRIM(U217)="Pass after CA",OR(TRIM(AA217)="",TRIM(AB217)&lt;&gt;"Closed")),"INVALID – corrective action not recorded/closed",""),IF(AND(AS217=1,Documents!$J$11&lt;&gt;"ON FILE"),"INVALID – GLD not on file (Documents sheet)",IF(AND(AS217=2,Documents!$O$11&lt;&gt;"ON FILE"),"INVALID – menu checklist not on file (Documents sheet)",IF(AND(AS217=3,NOT(ISNUMBER(Flights!$AX$11))),"INVALID – enter carrying flight KUL departure (Flights AX)",IF(AND(AS217=3,OR(Flights!$AX$11&gt;=Flights!$AA$11,Flights!$AX$11&lt;Flights!$AA$11-3)),"INVALID – Flights AX must be before this leg's STD (within 3 days)",IF(AG217&gt;AsOfUTC,"INVALID – completion time is in the future",IF(AND(ISNUMBER(S217),AG217&lt;S217),IF(H217="Physical uplift","INVALID – before uplift window (cannot confirm loading)","INVALID – before valid window"),IF(AG217&gt;Flights!$AA$11,"INVALID – completed after departure (cannot establish readiness)",IF(AND(H217="Physical uplift",AG217&gt;Q217),"INVALID – recorded after the loading flight departed",IF(AG217&gt;Q217,"COMPLETE – LATE","COMPLETE")))))))))))))))))),IF(TRIM(U217)="Fail","FAIL – DISCREPANCY",IF(AND(TRIM(U217)&lt;&gt;"",TRIM(U217)&lt;&gt;"Not started",TRIM(U217)&lt;&gt;"In progress"),"INVALID – unrecognised status (use the list)",IF(AsOfUTC&gt;Q217,"OVERDUE",IF(N217="Clarification required","OPEN – CLARIFICATION","OPEN")))))))</f>
        <v>OPEN</v>
      </c>
      <c r="AI217" s="61" t="n">
        <f aca="false">IF(OR(AH217="N/A – RULE",AH217="N/A – JUSTIFIED"),0,1)</f>
        <v>1</v>
      </c>
      <c r="AJ217" s="61" t="n">
        <f aca="false">IF(LEFT(AH217,8)="COMPLETE",1,0)</f>
        <v>0</v>
      </c>
      <c r="AK217" s="61" t="n">
        <f aca="false">IF(AND(AI217=1,AJ217=0,AsOfUTC&gt;Q217),1,0)</f>
        <v>0</v>
      </c>
      <c r="AL217" s="61" t="n">
        <f aca="false">IF(AND(AI217=1,OR(TRIM(U217)="Fail",AND(TRIM(AB217)&lt;&gt;"",TRIM(AB217)&lt;&gt;"Closed"),AND(ISNUMBER(AF217),AF217&lt;&gt;0,TRIM(U217)&lt;&gt;"Pass after CA"))),1,0)</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row>
    <row r="218" customFormat="false" ht="39.75" hidden="false" customHeight="true" outlineLevel="0" collapsed="false">
      <c r="A218" s="57" t="s">
        <v>744</v>
      </c>
      <c r="B218" s="57" t="s">
        <v>227</v>
      </c>
      <c r="C218" s="57" t="str">
        <f aca="false">Flights!$F$11</f>
        <v>MH0003</v>
      </c>
      <c r="D218" s="58" t="n">
        <f aca="false">Flights!$D$11</f>
        <v>46304</v>
      </c>
      <c r="E218" s="57" t="str">
        <f aca="false">Flights!$G$11&amp;"-"&amp;Flights!$H$11</f>
        <v>LHR-KUL</v>
      </c>
      <c r="F218" s="57" t="str">
        <f aca="false">Flights!$K$11</f>
        <v>BC</v>
      </c>
      <c r="G218" s="57" t="s">
        <v>76</v>
      </c>
      <c r="H218" s="57" t="s">
        <v>343</v>
      </c>
      <c r="I218" s="57" t="s">
        <v>363</v>
      </c>
      <c r="J218" s="57" t="s">
        <v>367</v>
      </c>
      <c r="K218" s="67" t="s">
        <v>368</v>
      </c>
      <c r="L218" s="67" t="s">
        <v>347</v>
      </c>
      <c r="M218" s="67"/>
      <c r="N218" s="67" t="s">
        <v>348</v>
      </c>
      <c r="O218" s="67"/>
      <c r="P218" s="57" t="s">
        <v>178</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59" t="n">
        <f aca="false">Q218-T7EarlyD*24/24</f>
        <v>46283.4166666667</v>
      </c>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IF(N218="N/A – rule","N/A – RULE",IF(TRIM(U218)="N/A",IF(AT218=0,"INVALID – N/A not permitted for this mandatory check",IF(AND(TRIM(AC218)&lt;&gt;"",TRIM(AE218)&lt;&gt;"",TRIM(T218)&lt;&gt;"",TRIM(AE218)&lt;&gt;TRIM(T218)),"N/A – JUSTIFIED","INVALID – N/A needs justification, PIC and a different verifier")),IF(OR(TRIM(U218)="Pass",TRIM(U218)="Pass after CA"),IF(NOT(ISNUMBER(AD218)),"INVALID – completion time missing",IF(TRIM(T218)="","INVALID – PIC missing",IF(TRIM(V218)="","INVALID – result / assessment missing",IF(TRIM(Z218)="","INVALID – evidence missing",IF(TRIM(AE218)="","INVALID – verifier missing",IF(TRIM(AE218)=TRIM(T218),"INVALID – verifier must be someone other than the PIC",IF(AND(AQ218=1,TRIM(W218)=""),"INVALID – batch ID missing",IF(AND(AR218=1,OR(NOT(ISNUMBER(X218)),NOT(ISNUMBER(Y218)))),"INVALID – expected/actual qty missing",IF(IF(AND(TRIM(U218)="Pass",ISNUMBER(AF218)),IF(AF218&lt;&gt;0,"INVALID – qty variance: use Fail or Pass after CA",""),"")&amp;IF(AND(TRIM(U218)="Pass",TRIM(AB218)&lt;&gt;"",TRIM(AB218)&lt;&gt;"Closed"),"INVALID – corrective action not closed: use Fail, then Pass after CA","")&amp;IF(AND(TRIM(AA218)&lt;&gt;"",TRIM(AB218)=""),"INVALID – CA status missing for the recorded corrective action","")&amp;IF(AND(TRIM(U218)="Pass after CA",OR(TRIM(AA218)="",TRIM(AB218)&lt;&gt;"Closed")),"INVALID – corrective action not recorded/closed","")&lt;&gt;"",IF(AND(TRIM(U218)="Pass",ISNUMBER(AF218)),IF(AF218&lt;&gt;0,"INVALID – qty variance: use Fail or Pass after CA",""),"")&amp;IF(AND(TRIM(U218)="Pass",TRIM(AB218)&lt;&gt;"",TRIM(AB218)&lt;&gt;"Closed"),"INVALID – corrective action not closed: use Fail, then Pass after CA","")&amp;IF(AND(TRIM(AA218)&lt;&gt;"",TRIM(AB218)=""),"INVALID – CA status missing for the recorded corrective action","")&amp;IF(AND(TRIM(U218)="Pass after CA",OR(TRIM(AA218)="",TRIM(AB218)&lt;&gt;"Closed")),"INVALID – corrective action not recorded/closed",""),IF(AND(AS218=1,Documents!$J$11&lt;&gt;"ON FILE"),"INVALID – GLD not on file (Documents sheet)",IF(AND(AS218=2,Documents!$O$11&lt;&gt;"ON FILE"),"INVALID – menu checklist not on file (Documents sheet)",IF(AND(AS218=3,NOT(ISNUMBER(Flights!$AX$11))),"INVALID – enter carrying flight KUL departure (Flights AX)",IF(AND(AS218=3,OR(Flights!$AX$11&gt;=Flights!$AA$11,Flights!$AX$11&lt;Flights!$AA$11-3)),"INVALID – Flights AX must be before this leg's STD (within 3 days)",IF(AG218&gt;AsOfUTC,"INVALID – completion time is in the future",IF(AND(ISNUMBER(S218),AG218&lt;S218),IF(H218="Physical uplift","INVALID – before uplift window (cannot confirm loading)","INVALID – before valid window"),IF(AG218&gt;Flights!$AA$11,"INVALID – completed after departure (cannot establish readiness)",IF(AND(H218="Physical uplift",AG218&gt;Q218),"INVALID – recorded after the loading flight departed",IF(AG218&gt;Q218,"COMPLETE – LATE","COMPLETE")))))))))))))))))),IF(TRIM(U218)="Fail","FAIL – DISCREPANCY",IF(AND(TRIM(U218)&lt;&gt;"",TRIM(U218)&lt;&gt;"Not started",TRIM(U218)&lt;&gt;"In progress"),"INVALID – unrecognised status (use the list)",IF(AsOfUTC&gt;Q218,"OVERDUE",IF(N218="Clarification required","OPEN – CLARIFICATION","OPEN")))))))</f>
        <v>OPEN</v>
      </c>
      <c r="AI218" s="61" t="n">
        <f aca="false">IF(OR(AH218="N/A – RULE",AH218="N/A – JUSTIFIED"),0,1)</f>
        <v>1</v>
      </c>
      <c r="AJ218" s="61" t="n">
        <f aca="false">IF(LEFT(AH218,8)="COMPLETE",1,0)</f>
        <v>0</v>
      </c>
      <c r="AK218" s="61" t="n">
        <f aca="false">IF(AND(AI218=1,AJ218=0,AsOfUTC&gt;Q218),1,0)</f>
        <v>0</v>
      </c>
      <c r="AL218" s="61" t="n">
        <f aca="false">IF(AND(AI218=1,OR(TRIM(U218)="Fail",AND(TRIM(AB218)&lt;&gt;"",TRIM(AB218)&lt;&gt;"Closed"),AND(ISNUMBER(AF218),AF218&lt;&gt;0,TRIM(U218)&lt;&gt;"Pass after CA"))),1,0)</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row>
    <row r="219" customFormat="false" ht="39.75" hidden="false" customHeight="true" outlineLevel="0" collapsed="false">
      <c r="A219" s="57" t="s">
        <v>745</v>
      </c>
      <c r="B219" s="57" t="s">
        <v>227</v>
      </c>
      <c r="C219" s="57" t="str">
        <f aca="false">Flights!$F$11</f>
        <v>MH0003</v>
      </c>
      <c r="D219" s="58" t="n">
        <f aca="false">Flights!$D$11</f>
        <v>46304</v>
      </c>
      <c r="E219" s="57" t="str">
        <f aca="false">Flights!$G$11&amp;"-"&amp;Flights!$H$11</f>
        <v>LHR-KUL</v>
      </c>
      <c r="F219" s="57" t="str">
        <f aca="false">Flights!$K$11</f>
        <v>BC</v>
      </c>
      <c r="G219" s="57" t="s">
        <v>76</v>
      </c>
      <c r="H219" s="57" t="s">
        <v>343</v>
      </c>
      <c r="I219" s="57" t="s">
        <v>370</v>
      </c>
      <c r="J219" s="57" t="s">
        <v>371</v>
      </c>
      <c r="K219" s="67" t="s">
        <v>372</v>
      </c>
      <c r="L219" s="67" t="s">
        <v>347</v>
      </c>
      <c r="M219" s="67"/>
      <c r="N219" s="67" t="s">
        <v>348</v>
      </c>
      <c r="O219" s="67"/>
      <c r="P219" s="57" t="s">
        <v>178</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59" t="n">
        <f aca="false">Q219-T7EarlyD*24/24</f>
        <v>46283.4166666667</v>
      </c>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IF(N219="N/A – rule","N/A – RULE",IF(TRIM(U219)="N/A",IF(AT219=0,"INVALID – N/A not permitted for this mandatory check",IF(AND(TRIM(AC219)&lt;&gt;"",TRIM(AE219)&lt;&gt;"",TRIM(T219)&lt;&gt;"",TRIM(AE219)&lt;&gt;TRIM(T219)),"N/A – JUSTIFIED","INVALID – N/A needs justification, PIC and a different verifier")),IF(OR(TRIM(U219)="Pass",TRIM(U219)="Pass after CA"),IF(NOT(ISNUMBER(AD219)),"INVALID – completion time missing",IF(TRIM(T219)="","INVALID – PIC missing",IF(TRIM(V219)="","INVALID – result / assessment missing",IF(TRIM(Z219)="","INVALID – evidence missing",IF(TRIM(AE219)="","INVALID – verifier missing",IF(TRIM(AE219)=TRIM(T219),"INVALID – verifier must be someone other than the PIC",IF(AND(AQ219=1,TRIM(W219)=""),"INVALID – batch ID missing",IF(AND(AR219=1,OR(NOT(ISNUMBER(X219)),NOT(ISNUMBER(Y219)))),"INVALID – expected/actual qty missing",IF(IF(AND(TRIM(U219)="Pass",ISNUMBER(AF219)),IF(AF219&lt;&gt;0,"INVALID – qty variance: use Fail or Pass after CA",""),"")&amp;IF(AND(TRIM(U219)="Pass",TRIM(AB219)&lt;&gt;"",TRIM(AB219)&lt;&gt;"Closed"),"INVALID – corrective action not closed: use Fail, then Pass after CA","")&amp;IF(AND(TRIM(AA219)&lt;&gt;"",TRIM(AB219)=""),"INVALID – CA status missing for the recorded corrective action","")&amp;IF(AND(TRIM(U219)="Pass after CA",OR(TRIM(AA219)="",TRIM(AB219)&lt;&gt;"Closed")),"INVALID – corrective action not recorded/closed","")&lt;&gt;"",IF(AND(TRIM(U219)="Pass",ISNUMBER(AF219)),IF(AF219&lt;&gt;0,"INVALID – qty variance: use Fail or Pass after CA",""),"")&amp;IF(AND(TRIM(U219)="Pass",TRIM(AB219)&lt;&gt;"",TRIM(AB219)&lt;&gt;"Closed"),"INVALID – corrective action not closed: use Fail, then Pass after CA","")&amp;IF(AND(TRIM(AA219)&lt;&gt;"",TRIM(AB219)=""),"INVALID – CA status missing for the recorded corrective action","")&amp;IF(AND(TRIM(U219)="Pass after CA",OR(TRIM(AA219)="",TRIM(AB219)&lt;&gt;"Closed")),"INVALID – corrective action not recorded/closed",""),IF(AND(AS219=1,Documents!$J$11&lt;&gt;"ON FILE"),"INVALID – GLD not on file (Documents sheet)",IF(AND(AS219=2,Documents!$O$11&lt;&gt;"ON FILE"),"INVALID – menu checklist not on file (Documents sheet)",IF(AND(AS219=3,NOT(ISNUMBER(Flights!$AX$11))),"INVALID – enter carrying flight KUL departure (Flights AX)",IF(AND(AS219=3,OR(Flights!$AX$11&gt;=Flights!$AA$11,Flights!$AX$11&lt;Flights!$AA$11-3)),"INVALID – Flights AX must be before this leg's STD (within 3 days)",IF(AG219&gt;AsOfUTC,"INVALID – completion time is in the future",IF(AND(ISNUMBER(S219),AG219&lt;S219),IF(H219="Physical uplift","INVALID – before uplift window (cannot confirm loading)","INVALID – before valid window"),IF(AG219&gt;Flights!$AA$11,"INVALID – completed after departure (cannot establish readiness)",IF(AND(H219="Physical uplift",AG219&gt;Q219),"INVALID – recorded after the loading flight departed",IF(AG219&gt;Q219,"COMPLETE – LATE","COMPLETE")))))))))))))))))),IF(TRIM(U219)="Fail","FAIL – DISCREPANCY",IF(AND(TRIM(U219)&lt;&gt;"",TRIM(U219)&lt;&gt;"Not started",TRIM(U219)&lt;&gt;"In progress"),"INVALID – unrecognised status (use the list)",IF(AsOfUTC&gt;Q219,"OVERDUE",IF(N219="Clarification required","OPEN – CLARIFICATION","OPEN")))))))</f>
        <v>OPEN</v>
      </c>
      <c r="AI219" s="61" t="n">
        <f aca="false">IF(OR(AH219="N/A – RULE",AH219="N/A – JUSTIFIED"),0,1)</f>
        <v>1</v>
      </c>
      <c r="AJ219" s="61" t="n">
        <f aca="false">IF(LEFT(AH219,8)="COMPLETE",1,0)</f>
        <v>0</v>
      </c>
      <c r="AK219" s="61" t="n">
        <f aca="false">IF(AND(AI219=1,AJ219=0,AsOfUTC&gt;Q219),1,0)</f>
        <v>0</v>
      </c>
      <c r="AL219" s="61" t="n">
        <f aca="false">IF(AND(AI219=1,OR(TRIM(U219)="Fail",AND(TRIM(AB219)&lt;&gt;"",TRIM(AB219)&lt;&gt;"Closed"),AND(ISNUMBER(AF219),AF219&lt;&gt;0,TRIM(U219)&lt;&gt;"Pass after CA"))),1,0)</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row>
    <row r="220" customFormat="false" ht="39.75" hidden="false" customHeight="true" outlineLevel="0" collapsed="false">
      <c r="A220" s="57" t="s">
        <v>746</v>
      </c>
      <c r="B220" s="57" t="s">
        <v>227</v>
      </c>
      <c r="C220" s="57" t="str">
        <f aca="false">Flights!$F$11</f>
        <v>MH0003</v>
      </c>
      <c r="D220" s="58" t="n">
        <f aca="false">Flights!$D$11</f>
        <v>46304</v>
      </c>
      <c r="E220" s="57" t="str">
        <f aca="false">Flights!$G$11&amp;"-"&amp;Flights!$H$11</f>
        <v>LHR-KUL</v>
      </c>
      <c r="F220" s="57" t="str">
        <f aca="false">Flights!$K$11</f>
        <v>BC</v>
      </c>
      <c r="G220" s="57" t="s">
        <v>76</v>
      </c>
      <c r="H220" s="57" t="s">
        <v>343</v>
      </c>
      <c r="I220" s="57" t="s">
        <v>370</v>
      </c>
      <c r="J220" s="57" t="s">
        <v>374</v>
      </c>
      <c r="K220" s="67" t="s">
        <v>372</v>
      </c>
      <c r="L220" s="67" t="s">
        <v>347</v>
      </c>
      <c r="M220" s="67"/>
      <c r="N220" s="67" t="s">
        <v>348</v>
      </c>
      <c r="O220" s="67"/>
      <c r="P220" s="57" t="s">
        <v>178</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59" t="n">
        <f aca="false">Q220-T7EarlyD*24/24</f>
        <v>46283.4166666667</v>
      </c>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IF(N220="N/A – rule","N/A – RULE",IF(TRIM(U220)="N/A",IF(AT220=0,"INVALID – N/A not permitted for this mandatory check",IF(AND(TRIM(AC220)&lt;&gt;"",TRIM(AE220)&lt;&gt;"",TRIM(T220)&lt;&gt;"",TRIM(AE220)&lt;&gt;TRIM(T220)),"N/A – JUSTIFIED","INVALID – N/A needs justification, PIC and a different verifier")),IF(OR(TRIM(U220)="Pass",TRIM(U220)="Pass after CA"),IF(NOT(ISNUMBER(AD220)),"INVALID – completion time missing",IF(TRIM(T220)="","INVALID – PIC missing",IF(TRIM(V220)="","INVALID – result / assessment missing",IF(TRIM(Z220)="","INVALID – evidence missing",IF(TRIM(AE220)="","INVALID – verifier missing",IF(TRIM(AE220)=TRIM(T220),"INVALID – verifier must be someone other than the PIC",IF(AND(AQ220=1,TRIM(W220)=""),"INVALID – batch ID missing",IF(AND(AR220=1,OR(NOT(ISNUMBER(X220)),NOT(ISNUMBER(Y220)))),"INVALID – expected/actual qty missing",IF(IF(AND(TRIM(U220)="Pass",ISNUMBER(AF220)),IF(AF220&lt;&gt;0,"INVALID – qty variance: use Fail or Pass after CA",""),"")&amp;IF(AND(TRIM(U220)="Pass",TRIM(AB220)&lt;&gt;"",TRIM(AB220)&lt;&gt;"Closed"),"INVALID – corrective action not closed: use Fail, then Pass after CA","")&amp;IF(AND(TRIM(AA220)&lt;&gt;"",TRIM(AB220)=""),"INVALID – CA status missing for the recorded corrective action","")&amp;IF(AND(TRIM(U220)="Pass after CA",OR(TRIM(AA220)="",TRIM(AB220)&lt;&gt;"Closed")),"INVALID – corrective action not recorded/closed","")&lt;&gt;"",IF(AND(TRIM(U220)="Pass",ISNUMBER(AF220)),IF(AF220&lt;&gt;0,"INVALID – qty variance: use Fail or Pass after CA",""),"")&amp;IF(AND(TRIM(U220)="Pass",TRIM(AB220)&lt;&gt;"",TRIM(AB220)&lt;&gt;"Closed"),"INVALID – corrective action not closed: use Fail, then Pass after CA","")&amp;IF(AND(TRIM(AA220)&lt;&gt;"",TRIM(AB220)=""),"INVALID – CA status missing for the recorded corrective action","")&amp;IF(AND(TRIM(U220)="Pass after CA",OR(TRIM(AA220)="",TRIM(AB220)&lt;&gt;"Closed")),"INVALID – corrective action not recorded/closed",""),IF(AND(AS220=1,Documents!$J$11&lt;&gt;"ON FILE"),"INVALID – GLD not on file (Documents sheet)",IF(AND(AS220=2,Documents!$O$11&lt;&gt;"ON FILE"),"INVALID – menu checklist not on file (Documents sheet)",IF(AND(AS220=3,NOT(ISNUMBER(Flights!$AX$11))),"INVALID – enter carrying flight KUL departure (Flights AX)",IF(AND(AS220=3,OR(Flights!$AX$11&gt;=Flights!$AA$11,Flights!$AX$11&lt;Flights!$AA$11-3)),"INVALID – Flights AX must be before this leg's STD (within 3 days)",IF(AG220&gt;AsOfUTC,"INVALID – completion time is in the future",IF(AND(ISNUMBER(S220),AG220&lt;S220),IF(H220="Physical uplift","INVALID – before uplift window (cannot confirm loading)","INVALID – before valid window"),IF(AG220&gt;Flights!$AA$11,"INVALID – completed after departure (cannot establish readiness)",IF(AND(H220="Physical uplift",AG220&gt;Q220),"INVALID – recorded after the loading flight departed",IF(AG220&gt;Q220,"COMPLETE – LATE","COMPLETE")))))))))))))))))),IF(TRIM(U220)="Fail","FAIL – DISCREPANCY",IF(AND(TRIM(U220)&lt;&gt;"",TRIM(U220)&lt;&gt;"Not started",TRIM(U220)&lt;&gt;"In progress"),"INVALID – unrecognised status (use the list)",IF(AsOfUTC&gt;Q220,"OVERDUE",IF(N220="Clarification required","OPEN – CLARIFICATION","OPEN")))))))</f>
        <v>OPEN</v>
      </c>
      <c r="AI220" s="61" t="n">
        <f aca="false">IF(OR(AH220="N/A – RULE",AH220="N/A – JUSTIFIED"),0,1)</f>
        <v>1</v>
      </c>
      <c r="AJ220" s="61" t="n">
        <f aca="false">IF(LEFT(AH220,8)="COMPLETE",1,0)</f>
        <v>0</v>
      </c>
      <c r="AK220" s="61" t="n">
        <f aca="false">IF(AND(AI220=1,AJ220=0,AsOfUTC&gt;Q220),1,0)</f>
        <v>0</v>
      </c>
      <c r="AL220" s="61" t="n">
        <f aca="false">IF(AND(AI220=1,OR(TRIM(U220)="Fail",AND(TRIM(AB220)&lt;&gt;"",TRIM(AB220)&lt;&gt;"Closed"),AND(ISNUMBER(AF220),AF220&lt;&gt;0,TRIM(U220)&lt;&gt;"Pass after CA"))),1,0)</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row>
    <row r="221" customFormat="false" ht="39.75" hidden="false" customHeight="true" outlineLevel="0" collapsed="false">
      <c r="A221" s="57" t="s">
        <v>747</v>
      </c>
      <c r="B221" s="57" t="s">
        <v>227</v>
      </c>
      <c r="C221" s="57" t="str">
        <f aca="false">Flights!$F$11</f>
        <v>MH0003</v>
      </c>
      <c r="D221" s="58" t="n">
        <f aca="false">Flights!$D$11</f>
        <v>46304</v>
      </c>
      <c r="E221" s="57" t="str">
        <f aca="false">Flights!$G$11&amp;"-"&amp;Flights!$H$11</f>
        <v>LHR-KUL</v>
      </c>
      <c r="F221" s="57" t="str">
        <f aca="false">Flights!$K$11</f>
        <v>BC</v>
      </c>
      <c r="G221" s="57" t="s">
        <v>76</v>
      </c>
      <c r="H221" s="57" t="s">
        <v>343</v>
      </c>
      <c r="I221" s="57" t="s">
        <v>376</v>
      </c>
      <c r="J221" s="57" t="s">
        <v>377</v>
      </c>
      <c r="K221" s="67" t="s">
        <v>378</v>
      </c>
      <c r="L221" s="67" t="s">
        <v>379</v>
      </c>
      <c r="M221" s="67"/>
      <c r="N221" s="67" t="s">
        <v>348</v>
      </c>
      <c r="O221" s="67"/>
      <c r="P221" s="57" t="s">
        <v>178</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59" t="n">
        <f aca="false">Q221-T7EarlyD*24/24</f>
        <v>46283.4166666667</v>
      </c>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IF(N221="N/A – rule","N/A – RULE",IF(TRIM(U221)="N/A",IF(AT221=0,"INVALID – N/A not permitted for this mandatory check",IF(AND(TRIM(AC221)&lt;&gt;"",TRIM(AE221)&lt;&gt;"",TRIM(T221)&lt;&gt;"",TRIM(AE221)&lt;&gt;TRIM(T221)),"N/A – JUSTIFIED","INVALID – N/A needs justification, PIC and a different verifier")),IF(OR(TRIM(U221)="Pass",TRIM(U221)="Pass after CA"),IF(NOT(ISNUMBER(AD221)),"INVALID – completion time missing",IF(TRIM(T221)="","INVALID – PIC missing",IF(TRIM(V221)="","INVALID – result / assessment missing",IF(TRIM(Z221)="","INVALID – evidence missing",IF(TRIM(AE221)="","INVALID – verifier missing",IF(TRIM(AE221)=TRIM(T221),"INVALID – verifier must be someone other than the PIC",IF(AND(AQ221=1,TRIM(W221)=""),"INVALID – batch ID missing",IF(AND(AR221=1,OR(NOT(ISNUMBER(X221)),NOT(ISNUMBER(Y221)))),"INVALID – expected/actual qty missing",IF(IF(AND(TRIM(U221)="Pass",ISNUMBER(AF221)),IF(AF221&lt;&gt;0,"INVALID – qty variance: use Fail or Pass after CA",""),"")&amp;IF(AND(TRIM(U221)="Pass",TRIM(AB221)&lt;&gt;"",TRIM(AB221)&lt;&gt;"Closed"),"INVALID – corrective action not closed: use Fail, then Pass after CA","")&amp;IF(AND(TRIM(AA221)&lt;&gt;"",TRIM(AB221)=""),"INVALID – CA status missing for the recorded corrective action","")&amp;IF(AND(TRIM(U221)="Pass after CA",OR(TRIM(AA221)="",TRIM(AB221)&lt;&gt;"Closed")),"INVALID – corrective action not recorded/closed","")&lt;&gt;"",IF(AND(TRIM(U221)="Pass",ISNUMBER(AF221)),IF(AF221&lt;&gt;0,"INVALID – qty variance: use Fail or Pass after CA",""),"")&amp;IF(AND(TRIM(U221)="Pass",TRIM(AB221)&lt;&gt;"",TRIM(AB221)&lt;&gt;"Closed"),"INVALID – corrective action not closed: use Fail, then Pass after CA","")&amp;IF(AND(TRIM(AA221)&lt;&gt;"",TRIM(AB221)=""),"INVALID – CA status missing for the recorded corrective action","")&amp;IF(AND(TRIM(U221)="Pass after CA",OR(TRIM(AA221)="",TRIM(AB221)&lt;&gt;"Closed")),"INVALID – corrective action not recorded/closed",""),IF(AND(AS221=1,Documents!$J$11&lt;&gt;"ON FILE"),"INVALID – GLD not on file (Documents sheet)",IF(AND(AS221=2,Documents!$O$11&lt;&gt;"ON FILE"),"INVALID – menu checklist not on file (Documents sheet)",IF(AND(AS221=3,NOT(ISNUMBER(Flights!$AX$11))),"INVALID – enter carrying flight KUL departure (Flights AX)",IF(AND(AS221=3,OR(Flights!$AX$11&gt;=Flights!$AA$11,Flights!$AX$11&lt;Flights!$AA$11-3)),"INVALID – Flights AX must be before this leg's STD (within 3 days)",IF(AG221&gt;AsOfUTC,"INVALID – completion time is in the future",IF(AND(ISNUMBER(S221),AG221&lt;S221),IF(H221="Physical uplift","INVALID – before uplift window (cannot confirm loading)","INVALID – before valid window"),IF(AG221&gt;Flights!$AA$11,"INVALID – completed after departure (cannot establish readiness)",IF(AND(H221="Physical uplift",AG221&gt;Q221),"INVALID – recorded after the loading flight departed",IF(AG221&gt;Q221,"COMPLETE – LATE","COMPLETE")))))))))))))))))),IF(TRIM(U221)="Fail","FAIL – DISCREPANCY",IF(AND(TRIM(U221)&lt;&gt;"",TRIM(U221)&lt;&gt;"Not started",TRIM(U221)&lt;&gt;"In progress"),"INVALID – unrecognised status (use the list)",IF(AsOfUTC&gt;Q221,"OVERDUE",IF(N221="Clarification required","OPEN – CLARIFICATION","OPEN")))))))</f>
        <v>OPEN</v>
      </c>
      <c r="AI221" s="61" t="n">
        <f aca="false">IF(OR(AH221="N/A – RULE",AH221="N/A – JUSTIFIED"),0,1)</f>
        <v>1</v>
      </c>
      <c r="AJ221" s="61" t="n">
        <f aca="false">IF(LEFT(AH221,8)="COMPLETE",1,0)</f>
        <v>0</v>
      </c>
      <c r="AK221" s="61" t="n">
        <f aca="false">IF(AND(AI221=1,AJ221=0,AsOfUTC&gt;Q221),1,0)</f>
        <v>0</v>
      </c>
      <c r="AL221" s="61" t="n">
        <f aca="false">IF(AND(AI221=1,OR(TRIM(U221)="Fail",AND(TRIM(AB221)&lt;&gt;"",TRIM(AB221)&lt;&gt;"Closed"),AND(ISNUMBER(AF221),AF221&lt;&gt;0,TRIM(U221)&lt;&gt;"Pass after CA"))),1,0)</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row>
    <row r="222" customFormat="false" ht="91.5" hidden="false" customHeight="true" outlineLevel="0" collapsed="false">
      <c r="A222" s="57" t="s">
        <v>748</v>
      </c>
      <c r="B222" s="57" t="s">
        <v>227</v>
      </c>
      <c r="C222" s="57" t="str">
        <f aca="false">Flights!$F$11</f>
        <v>MH0003</v>
      </c>
      <c r="D222" s="58" t="n">
        <f aca="false">Flights!$D$11</f>
        <v>46304</v>
      </c>
      <c r="E222" s="57" t="str">
        <f aca="false">Flights!$G$11&amp;"-"&amp;Flights!$H$11</f>
        <v>LHR-KUL</v>
      </c>
      <c r="F222" s="57" t="str">
        <f aca="false">Flights!$K$11</f>
        <v>BC</v>
      </c>
      <c r="G222" s="57" t="s">
        <v>76</v>
      </c>
      <c r="H222" s="57" t="s">
        <v>343</v>
      </c>
      <c r="I222" s="57" t="s">
        <v>376</v>
      </c>
      <c r="J222" s="57" t="s">
        <v>749</v>
      </c>
      <c r="K222" s="67" t="s">
        <v>750</v>
      </c>
      <c r="L222" s="67" t="s">
        <v>639</v>
      </c>
      <c r="M222" s="67"/>
      <c r="N222" s="67" t="s">
        <v>409</v>
      </c>
      <c r="O222" s="67" t="s">
        <v>751</v>
      </c>
      <c r="P222" s="57" t="s">
        <v>179</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59" t="n">
        <f aca="false">Q222-T7EarlyD*24/24</f>
        <v>46283.4166666667</v>
      </c>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IF(N222="N/A – rule","N/A – RULE",IF(TRIM(U222)="N/A",IF(AT222=0,"INVALID – N/A not permitted for this mandatory check",IF(AND(TRIM(AC222)&lt;&gt;"",TRIM(AE222)&lt;&gt;"",TRIM(T222)&lt;&gt;"",TRIM(AE222)&lt;&gt;TRIM(T222)),"N/A – JUSTIFIED","INVALID – N/A needs justification, PIC and a different verifier")),IF(OR(TRIM(U222)="Pass",TRIM(U222)="Pass after CA"),IF(NOT(ISNUMBER(AD222)),"INVALID – completion time missing",IF(TRIM(T222)="","INVALID – PIC missing",IF(TRIM(V222)="","INVALID – result / assessment missing",IF(TRIM(Z222)="","INVALID – evidence missing",IF(TRIM(AE222)="","INVALID – verifier missing",IF(TRIM(AE222)=TRIM(T222),"INVALID – verifier must be someone other than the PIC",IF(AND(AQ222=1,TRIM(W222)=""),"INVALID – batch ID missing",IF(AND(AR222=1,OR(NOT(ISNUMBER(X222)),NOT(ISNUMBER(Y222)))),"INVALID – expected/actual qty missing",IF(IF(AND(TRIM(U222)="Pass",ISNUMBER(AF222)),IF(AF222&lt;&gt;0,"INVALID – qty variance: use Fail or Pass after CA",""),"")&amp;IF(AND(TRIM(U222)="Pass",TRIM(AB222)&lt;&gt;"",TRIM(AB222)&lt;&gt;"Closed"),"INVALID – corrective action not closed: use Fail, then Pass after CA","")&amp;IF(AND(TRIM(AA222)&lt;&gt;"",TRIM(AB222)=""),"INVALID – CA status missing for the recorded corrective action","")&amp;IF(AND(TRIM(U222)="Pass after CA",OR(TRIM(AA222)="",TRIM(AB222)&lt;&gt;"Closed")),"INVALID – corrective action not recorded/closed","")&lt;&gt;"",IF(AND(TRIM(U222)="Pass",ISNUMBER(AF222)),IF(AF222&lt;&gt;0,"INVALID – qty variance: use Fail or Pass after CA",""),"")&amp;IF(AND(TRIM(U222)="Pass",TRIM(AB222)&lt;&gt;"",TRIM(AB222)&lt;&gt;"Closed"),"INVALID – corrective action not closed: use Fail, then Pass after CA","")&amp;IF(AND(TRIM(AA222)&lt;&gt;"",TRIM(AB222)=""),"INVALID – CA status missing for the recorded corrective action","")&amp;IF(AND(TRIM(U222)="Pass after CA",OR(TRIM(AA222)="",TRIM(AB222)&lt;&gt;"Closed")),"INVALID – corrective action not recorded/closed",""),IF(AND(AS222=1,Documents!$J$11&lt;&gt;"ON FILE"),"INVALID – GLD not on file (Documents sheet)",IF(AND(AS222=2,Documents!$O$11&lt;&gt;"ON FILE"),"INVALID – menu checklist not on file (Documents sheet)",IF(AND(AS222=3,NOT(ISNUMBER(Flights!$AX$11))),"INVALID – enter carrying flight KUL departure (Flights AX)",IF(AND(AS222=3,OR(Flights!$AX$11&gt;=Flights!$AA$11,Flights!$AX$11&lt;Flights!$AA$11-3)),"INVALID – Flights AX must be before this leg's STD (within 3 days)",IF(AG222&gt;AsOfUTC,"INVALID – completion time is in the future",IF(AND(ISNUMBER(S222),AG222&lt;S222),IF(H222="Physical uplift","INVALID – before uplift window (cannot confirm loading)","INVALID – before valid window"),IF(AG222&gt;Flights!$AA$11,"INVALID – completed after departure (cannot establish readiness)",IF(AND(H222="Physical uplift",AG222&gt;Q222),"INVALID – recorded after the loading flight departed",IF(AG222&gt;Q222,"COMPLETE – LATE","COMPLETE")))))))))))))))))),IF(TRIM(U222)="Fail","FAIL – DISCREPANCY",IF(AND(TRIM(U222)&lt;&gt;"",TRIM(U222)&lt;&gt;"Not started",TRIM(U222)&lt;&gt;"In progress"),"INVALID – unrecognised status (use the list)",IF(AsOfUTC&gt;Q222,"OVERDUE",IF(N222="Clarification required","OPEN – CLARIFICATION","OPEN")))))))</f>
        <v>OPEN – CLARIFICATION</v>
      </c>
      <c r="AI222" s="61" t="n">
        <f aca="false">IF(OR(AH222="N/A – RULE",AH222="N/A – JUSTIFIED"),0,1)</f>
        <v>1</v>
      </c>
      <c r="AJ222" s="61" t="n">
        <f aca="false">IF(LEFT(AH222,8)="COMPLETE",1,0)</f>
        <v>0</v>
      </c>
      <c r="AK222" s="61" t="n">
        <f aca="false">IF(AND(AI222=1,AJ222=0,AsOfUTC&gt;Q222),1,0)</f>
        <v>0</v>
      </c>
      <c r="AL222" s="61" t="n">
        <f aca="false">IF(AND(AI222=1,OR(TRIM(U222)="Fail",AND(TRIM(AB222)&lt;&gt;"",TRIM(AB222)&lt;&gt;"Closed"),AND(ISNUMBER(AF222),AF222&lt;&gt;0,TRIM(U222)&lt;&gt;"Pass after CA"))),1,0)</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8" t="b">
        <f aca="false">FALSE()</f>
        <v>0</v>
      </c>
    </row>
    <row r="223" customFormat="false" ht="39.75" hidden="false" customHeight="true" outlineLevel="0" collapsed="false">
      <c r="A223" s="57" t="s">
        <v>752</v>
      </c>
      <c r="B223" s="57" t="s">
        <v>227</v>
      </c>
      <c r="C223" s="57" t="str">
        <f aca="false">Flights!$F$11</f>
        <v>MH0003</v>
      </c>
      <c r="D223" s="58" t="n">
        <f aca="false">Flights!$D$11</f>
        <v>46304</v>
      </c>
      <c r="E223" s="57" t="str">
        <f aca="false">Flights!$G$11&amp;"-"&amp;Flights!$H$11</f>
        <v>LHR-KUL</v>
      </c>
      <c r="F223" s="57" t="str">
        <f aca="false">Flights!$K$11</f>
        <v>BC</v>
      </c>
      <c r="G223" s="57" t="s">
        <v>78</v>
      </c>
      <c r="H223" s="57" t="s">
        <v>343</v>
      </c>
      <c r="I223" s="57" t="s">
        <v>344</v>
      </c>
      <c r="J223" s="57" t="s">
        <v>381</v>
      </c>
      <c r="K223" s="67" t="s">
        <v>382</v>
      </c>
      <c r="L223" s="67" t="s">
        <v>383</v>
      </c>
      <c r="M223" s="67"/>
      <c r="N223" s="67" t="s">
        <v>348</v>
      </c>
      <c r="O223" s="67"/>
      <c r="P223" s="57" t="s">
        <v>178</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59" t="n">
        <f aca="false">Q223-T24EarlyH/24</f>
        <v>46302.4166666667</v>
      </c>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IF(N223="N/A – rule","N/A – RULE",IF(TRIM(U223)="N/A",IF(AT223=0,"INVALID – N/A not permitted for this mandatory check",IF(AND(TRIM(AC223)&lt;&gt;"",TRIM(AE223)&lt;&gt;"",TRIM(T223)&lt;&gt;"",TRIM(AE223)&lt;&gt;TRIM(T223)),"N/A – JUSTIFIED","INVALID – N/A needs justification, PIC and a different verifier")),IF(OR(TRIM(U223)="Pass",TRIM(U223)="Pass after CA"),IF(NOT(ISNUMBER(AD223)),"INVALID – completion time missing",IF(TRIM(T223)="","INVALID – PIC missing",IF(TRIM(V223)="","INVALID – result / assessment missing",IF(TRIM(Z223)="","INVALID – evidence missing",IF(TRIM(AE223)="","INVALID – verifier missing",IF(TRIM(AE223)=TRIM(T223),"INVALID – verifier must be someone other than the PIC",IF(AND(AQ223=1,TRIM(W223)=""),"INVALID – batch ID missing",IF(AND(AR223=1,OR(NOT(ISNUMBER(X223)),NOT(ISNUMBER(Y223)))),"INVALID – expected/actual qty missing",IF(IF(AND(TRIM(U223)="Pass",ISNUMBER(AF223)),IF(AF223&lt;&gt;0,"INVALID – qty variance: use Fail or Pass after CA",""),"")&amp;IF(AND(TRIM(U223)="Pass",TRIM(AB223)&lt;&gt;"",TRIM(AB223)&lt;&gt;"Closed"),"INVALID – corrective action not closed: use Fail, then Pass after CA","")&amp;IF(AND(TRIM(AA223)&lt;&gt;"",TRIM(AB223)=""),"INVALID – CA status missing for the recorded corrective action","")&amp;IF(AND(TRIM(U223)="Pass after CA",OR(TRIM(AA223)="",TRIM(AB223)&lt;&gt;"Closed")),"INVALID – corrective action not recorded/closed","")&lt;&gt;"",IF(AND(TRIM(U223)="Pass",ISNUMBER(AF223)),IF(AF223&lt;&gt;0,"INVALID – qty variance: use Fail or Pass after CA",""),"")&amp;IF(AND(TRIM(U223)="Pass",TRIM(AB223)&lt;&gt;"",TRIM(AB223)&lt;&gt;"Closed"),"INVALID – corrective action not closed: use Fail, then Pass after CA","")&amp;IF(AND(TRIM(AA223)&lt;&gt;"",TRIM(AB223)=""),"INVALID – CA status missing for the recorded corrective action","")&amp;IF(AND(TRIM(U223)="Pass after CA",OR(TRIM(AA223)="",TRIM(AB223)&lt;&gt;"Closed")),"INVALID – corrective action not recorded/closed",""),IF(AND(AS223=1,Documents!$J$11&lt;&gt;"ON FILE"),"INVALID – GLD not on file (Documents sheet)",IF(AND(AS223=2,Documents!$O$11&lt;&gt;"ON FILE"),"INVALID – menu checklist not on file (Documents sheet)",IF(AND(AS223=3,NOT(ISNUMBER(Flights!$AX$11))),"INVALID – enter carrying flight KUL departure (Flights AX)",IF(AND(AS223=3,OR(Flights!$AX$11&gt;=Flights!$AA$11,Flights!$AX$11&lt;Flights!$AA$11-3)),"INVALID – Flights AX must be before this leg's STD (within 3 days)",IF(AG223&gt;AsOfUTC,"INVALID – completion time is in the future",IF(AND(ISNUMBER(S223),AG223&lt;S223),IF(H223="Physical uplift","INVALID – before uplift window (cannot confirm loading)","INVALID – before valid window"),IF(AG223&gt;Flights!$AA$11,"INVALID – completed after departure (cannot establish readiness)",IF(AND(H223="Physical uplift",AG223&gt;Q223),"INVALID – recorded after the loading flight departed",IF(AG223&gt;Q223,"COMPLETE – LATE","COMPLETE")))))))))))))))))),IF(TRIM(U223)="Fail","FAIL – DISCREPANCY",IF(AND(TRIM(U223)&lt;&gt;"",TRIM(U223)&lt;&gt;"Not started",TRIM(U223)&lt;&gt;"In progress"),"INVALID – unrecognised status (use the list)",IF(AsOfUTC&gt;Q223,"OVERDUE",IF(N223="Clarification required","OPEN – CLARIFICATION","OPEN")))))))</f>
        <v>OPEN</v>
      </c>
      <c r="AI223" s="61" t="n">
        <f aca="false">IF(OR(AH223="N/A – RULE",AH223="N/A – JUSTIFIED"),0,1)</f>
        <v>1</v>
      </c>
      <c r="AJ223" s="61" t="n">
        <f aca="false">IF(LEFT(AH223,8)="COMPLETE",1,0)</f>
        <v>0</v>
      </c>
      <c r="AK223" s="61" t="n">
        <f aca="false">IF(AND(AI223=1,AJ223=0,AsOfUTC&gt;Q223),1,0)</f>
        <v>0</v>
      </c>
      <c r="AL223" s="61" t="n">
        <f aca="false">IF(AND(AI223=1,OR(TRIM(U223)="Fail",AND(TRIM(AB223)&lt;&gt;"",TRIM(AB223)&lt;&gt;"Closed"),AND(ISNUMBER(AF223),AF223&lt;&gt;0,TRIM(U223)&lt;&gt;"Pass after CA"))),1,0)</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row>
    <row r="224" customFormat="false" ht="39.75" hidden="false" customHeight="true" outlineLevel="0" collapsed="false">
      <c r="A224" s="57" t="s">
        <v>753</v>
      </c>
      <c r="B224" s="57" t="s">
        <v>227</v>
      </c>
      <c r="C224" s="57" t="str">
        <f aca="false">Flights!$F$11</f>
        <v>MH0003</v>
      </c>
      <c r="D224" s="58" t="n">
        <f aca="false">Flights!$D$11</f>
        <v>46304</v>
      </c>
      <c r="E224" s="57" t="str">
        <f aca="false">Flights!$G$11&amp;"-"&amp;Flights!$H$11</f>
        <v>LHR-KUL</v>
      </c>
      <c r="F224" s="57" t="str">
        <f aca="false">Flights!$K$11</f>
        <v>BC</v>
      </c>
      <c r="G224" s="57" t="s">
        <v>385</v>
      </c>
      <c r="H224" s="57" t="s">
        <v>343</v>
      </c>
      <c r="I224" s="57" t="s">
        <v>344</v>
      </c>
      <c r="J224" s="57" t="s">
        <v>386</v>
      </c>
      <c r="K224" s="67"/>
      <c r="L224" s="67" t="s">
        <v>387</v>
      </c>
      <c r="M224" s="67"/>
      <c r="N224" s="67" t="s">
        <v>348</v>
      </c>
      <c r="O224" s="67" t="s">
        <v>388</v>
      </c>
      <c r="P224" s="57" t="s">
        <v>178</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59" t="n">
        <f aca="false">Q224-T12EarlyH/24</f>
        <v>46303.4166666667</v>
      </c>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IF(N224="N/A – rule","N/A – RULE",IF(TRIM(U224)="N/A",IF(AT224=0,"INVALID – N/A not permitted for this mandatory check",IF(AND(TRIM(AC224)&lt;&gt;"",TRIM(AE224)&lt;&gt;"",TRIM(T224)&lt;&gt;"",TRIM(AE224)&lt;&gt;TRIM(T224)),"N/A – JUSTIFIED","INVALID – N/A needs justification, PIC and a different verifier")),IF(OR(TRIM(U224)="Pass",TRIM(U224)="Pass after CA"),IF(NOT(ISNUMBER(AD224)),"INVALID – completion time missing",IF(TRIM(T224)="","INVALID – PIC missing",IF(TRIM(V224)="","INVALID – result / assessment missing",IF(TRIM(Z224)="","INVALID – evidence missing",IF(TRIM(AE224)="","INVALID – verifier missing",IF(TRIM(AE224)=TRIM(T224),"INVALID – verifier must be someone other than the PIC",IF(AND(AQ224=1,TRIM(W224)=""),"INVALID – batch ID missing",IF(AND(AR224=1,OR(NOT(ISNUMBER(X224)),NOT(ISNUMBER(Y224)))),"INVALID – expected/actual qty missing",IF(IF(AND(TRIM(U224)="Pass",ISNUMBER(AF224)),IF(AF224&lt;&gt;0,"INVALID – qty variance: use Fail or Pass after CA",""),"")&amp;IF(AND(TRIM(U224)="Pass",TRIM(AB224)&lt;&gt;"",TRIM(AB224)&lt;&gt;"Closed"),"INVALID – corrective action not closed: use Fail, then Pass after CA","")&amp;IF(AND(TRIM(AA224)&lt;&gt;"",TRIM(AB224)=""),"INVALID – CA status missing for the recorded corrective action","")&amp;IF(AND(TRIM(U224)="Pass after CA",OR(TRIM(AA224)="",TRIM(AB224)&lt;&gt;"Closed")),"INVALID – corrective action not recorded/closed","")&lt;&gt;"",IF(AND(TRIM(U224)="Pass",ISNUMBER(AF224)),IF(AF224&lt;&gt;0,"INVALID – qty variance: use Fail or Pass after CA",""),"")&amp;IF(AND(TRIM(U224)="Pass",TRIM(AB224)&lt;&gt;"",TRIM(AB224)&lt;&gt;"Closed"),"INVALID – corrective action not closed: use Fail, then Pass after CA","")&amp;IF(AND(TRIM(AA224)&lt;&gt;"",TRIM(AB224)=""),"INVALID – CA status missing for the recorded corrective action","")&amp;IF(AND(TRIM(U224)="Pass after CA",OR(TRIM(AA224)="",TRIM(AB224)&lt;&gt;"Closed")),"INVALID – corrective action not recorded/closed",""),IF(AND(AS224=1,Documents!$J$11&lt;&gt;"ON FILE"),"INVALID – GLD not on file (Documents sheet)",IF(AND(AS224=2,Documents!$O$11&lt;&gt;"ON FILE"),"INVALID – menu checklist not on file (Documents sheet)",IF(AND(AS224=3,NOT(ISNUMBER(Flights!$AX$11))),"INVALID – enter carrying flight KUL departure (Flights AX)",IF(AND(AS224=3,OR(Flights!$AX$11&gt;=Flights!$AA$11,Flights!$AX$11&lt;Flights!$AA$11-3)),"INVALID – Flights AX must be before this leg's STD (within 3 days)",IF(AG224&gt;AsOfUTC,"INVALID – completion time is in the future",IF(AND(ISNUMBER(S224),AG224&lt;S224),IF(H224="Physical uplift","INVALID – before uplift window (cannot confirm loading)","INVALID – before valid window"),IF(AG224&gt;Flights!$AA$11,"INVALID – completed after departure (cannot establish readiness)",IF(AND(H224="Physical uplift",AG224&gt;Q224),"INVALID – recorded after the loading flight departed",IF(AG224&gt;Q224,"COMPLETE – LATE","COMPLETE")))))))))))))))))),IF(TRIM(U224)="Fail","FAIL – DISCREPANCY",IF(AND(TRIM(U224)&lt;&gt;"",TRIM(U224)&lt;&gt;"Not started",TRIM(U224)&lt;&gt;"In progress"),"INVALID – unrecognised status (use the list)",IF(AsOfUTC&gt;Q224,"OVERDUE",IF(N224="Clarification required","OPEN – CLARIFICATION","OPEN")))))))</f>
        <v>OPEN</v>
      </c>
      <c r="AI224" s="61" t="n">
        <f aca="false">IF(OR(AH224="N/A – RULE",AH224="N/A – JUSTIFIED"),0,1)</f>
        <v>1</v>
      </c>
      <c r="AJ224" s="61" t="n">
        <f aca="false">IF(LEFT(AH224,8)="COMPLETE",1,0)</f>
        <v>0</v>
      </c>
      <c r="AK224" s="61" t="n">
        <f aca="false">IF(AND(AI224=1,AJ224=0,AsOfUTC&gt;Q224),1,0)</f>
        <v>0</v>
      </c>
      <c r="AL224" s="61" t="n">
        <f aca="false">IF(AND(AI224=1,OR(TRIM(U224)="Fail",AND(TRIM(AB224)&lt;&gt;"",TRIM(AB224)&lt;&gt;"Closed"),AND(ISNUMBER(AF224),AF224&lt;&gt;0,TRIM(U224)&lt;&gt;"Pass after CA"))),1,0)</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row>
    <row r="225" customFormat="false" ht="39.75" hidden="false" customHeight="true" outlineLevel="0" collapsed="false">
      <c r="A225" s="57" t="s">
        <v>754</v>
      </c>
      <c r="B225" s="57" t="s">
        <v>227</v>
      </c>
      <c r="C225" s="57" t="str">
        <f aca="false">Flights!$F$11</f>
        <v>MH0003</v>
      </c>
      <c r="D225" s="58" t="n">
        <f aca="false">Flights!$D$11</f>
        <v>46304</v>
      </c>
      <c r="E225" s="57" t="str">
        <f aca="false">Flights!$G$11&amp;"-"&amp;Flights!$H$11</f>
        <v>LHR-KUL</v>
      </c>
      <c r="F225" s="57" t="str">
        <f aca="false">Flights!$K$11</f>
        <v>BC</v>
      </c>
      <c r="G225" s="57" t="s">
        <v>385</v>
      </c>
      <c r="H225" s="57" t="s">
        <v>343</v>
      </c>
      <c r="I225" s="57" t="s">
        <v>344</v>
      </c>
      <c r="J225" s="57" t="s">
        <v>390</v>
      </c>
      <c r="K225" s="67" t="s">
        <v>391</v>
      </c>
      <c r="L225" s="67" t="s">
        <v>387</v>
      </c>
      <c r="M225" s="67"/>
      <c r="N225" s="67" t="s">
        <v>348</v>
      </c>
      <c r="O225" s="67" t="s">
        <v>388</v>
      </c>
      <c r="P225" s="57" t="s">
        <v>178</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59" t="n">
        <f aca="false">Q225-T12EarlyH/24</f>
        <v>46303.4166666667</v>
      </c>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IF(N225="N/A – rule","N/A – RULE",IF(TRIM(U225)="N/A",IF(AT225=0,"INVALID – N/A not permitted for this mandatory check",IF(AND(TRIM(AC225)&lt;&gt;"",TRIM(AE225)&lt;&gt;"",TRIM(T225)&lt;&gt;"",TRIM(AE225)&lt;&gt;TRIM(T225)),"N/A – JUSTIFIED","INVALID – N/A needs justification, PIC and a different verifier")),IF(OR(TRIM(U225)="Pass",TRIM(U225)="Pass after CA"),IF(NOT(ISNUMBER(AD225)),"INVALID – completion time missing",IF(TRIM(T225)="","INVALID – PIC missing",IF(TRIM(V225)="","INVALID – result / assessment missing",IF(TRIM(Z225)="","INVALID – evidence missing",IF(TRIM(AE225)="","INVALID – verifier missing",IF(TRIM(AE225)=TRIM(T225),"INVALID – verifier must be someone other than the PIC",IF(AND(AQ225=1,TRIM(W225)=""),"INVALID – batch ID missing",IF(AND(AR225=1,OR(NOT(ISNUMBER(X225)),NOT(ISNUMBER(Y225)))),"INVALID – expected/actual qty missing",IF(IF(AND(TRIM(U225)="Pass",ISNUMBER(AF225)),IF(AF225&lt;&gt;0,"INVALID – qty variance: use Fail or Pass after CA",""),"")&amp;IF(AND(TRIM(U225)="Pass",TRIM(AB225)&lt;&gt;"",TRIM(AB225)&lt;&gt;"Closed"),"INVALID – corrective action not closed: use Fail, then Pass after CA","")&amp;IF(AND(TRIM(AA225)&lt;&gt;"",TRIM(AB225)=""),"INVALID – CA status missing for the recorded corrective action","")&amp;IF(AND(TRIM(U225)="Pass after CA",OR(TRIM(AA225)="",TRIM(AB225)&lt;&gt;"Closed")),"INVALID – corrective action not recorded/closed","")&lt;&gt;"",IF(AND(TRIM(U225)="Pass",ISNUMBER(AF225)),IF(AF225&lt;&gt;0,"INVALID – qty variance: use Fail or Pass after CA",""),"")&amp;IF(AND(TRIM(U225)="Pass",TRIM(AB225)&lt;&gt;"",TRIM(AB225)&lt;&gt;"Closed"),"INVALID – corrective action not closed: use Fail, then Pass after CA","")&amp;IF(AND(TRIM(AA225)&lt;&gt;"",TRIM(AB225)=""),"INVALID – CA status missing for the recorded corrective action","")&amp;IF(AND(TRIM(U225)="Pass after CA",OR(TRIM(AA225)="",TRIM(AB225)&lt;&gt;"Closed")),"INVALID – corrective action not recorded/closed",""),IF(AND(AS225=1,Documents!$J$11&lt;&gt;"ON FILE"),"INVALID – GLD not on file (Documents sheet)",IF(AND(AS225=2,Documents!$O$11&lt;&gt;"ON FILE"),"INVALID – menu checklist not on file (Documents sheet)",IF(AND(AS225=3,NOT(ISNUMBER(Flights!$AX$11))),"INVALID – enter carrying flight KUL departure (Flights AX)",IF(AND(AS225=3,OR(Flights!$AX$11&gt;=Flights!$AA$11,Flights!$AX$11&lt;Flights!$AA$11-3)),"INVALID – Flights AX must be before this leg's STD (within 3 days)",IF(AG225&gt;AsOfUTC,"INVALID – completion time is in the future",IF(AND(ISNUMBER(S225),AG225&lt;S225),IF(H225="Physical uplift","INVALID – before uplift window (cannot confirm loading)","INVALID – before valid window"),IF(AG225&gt;Flights!$AA$11,"INVALID – completed after departure (cannot establish readiness)",IF(AND(H225="Physical uplift",AG225&gt;Q225),"INVALID – recorded after the loading flight departed",IF(AG225&gt;Q225,"COMPLETE – LATE","COMPLETE")))))))))))))))))),IF(TRIM(U225)="Fail","FAIL – DISCREPANCY",IF(AND(TRIM(U225)&lt;&gt;"",TRIM(U225)&lt;&gt;"Not started",TRIM(U225)&lt;&gt;"In progress"),"INVALID – unrecognised status (use the list)",IF(AsOfUTC&gt;Q225,"OVERDUE",IF(N225="Clarification required","OPEN – CLARIFICATION","OPEN")))))))</f>
        <v>OPEN</v>
      </c>
      <c r="AI225" s="61" t="n">
        <f aca="false">IF(OR(AH225="N/A – RULE",AH225="N/A – JUSTIFIED"),0,1)</f>
        <v>1</v>
      </c>
      <c r="AJ225" s="61" t="n">
        <f aca="false">IF(LEFT(AH225,8)="COMPLETE",1,0)</f>
        <v>0</v>
      </c>
      <c r="AK225" s="61" t="n">
        <f aca="false">IF(AND(AI225=1,AJ225=0,AsOfUTC&gt;Q225),1,0)</f>
        <v>0</v>
      </c>
      <c r="AL225" s="61" t="n">
        <f aca="false">IF(AND(AI225=1,OR(TRIM(U225)="Fail",AND(TRIM(AB225)&lt;&gt;"",TRIM(AB225)&lt;&gt;"Closed"),AND(ISNUMBER(AF225),AF225&lt;&gt;0,TRIM(U225)&lt;&gt;"Pass after CA"))),1,0)</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row>
    <row r="226" customFormat="false" ht="39.75" hidden="false" customHeight="true" outlineLevel="0" collapsed="false">
      <c r="A226" s="57" t="s">
        <v>755</v>
      </c>
      <c r="B226" s="57" t="s">
        <v>227</v>
      </c>
      <c r="C226" s="57" t="str">
        <f aca="false">Flights!$F$11</f>
        <v>MH0003</v>
      </c>
      <c r="D226" s="58" t="n">
        <f aca="false">Flights!$D$11</f>
        <v>46304</v>
      </c>
      <c r="E226" s="57" t="str">
        <f aca="false">Flights!$G$11&amp;"-"&amp;Flights!$H$11</f>
        <v>LHR-KUL</v>
      </c>
      <c r="F226" s="57" t="str">
        <f aca="false">Flights!$K$11</f>
        <v>BC</v>
      </c>
      <c r="G226" s="57" t="s">
        <v>385</v>
      </c>
      <c r="H226" s="57" t="s">
        <v>343</v>
      </c>
      <c r="I226" s="57" t="s">
        <v>393</v>
      </c>
      <c r="J226" s="57" t="s">
        <v>394</v>
      </c>
      <c r="K226" s="67"/>
      <c r="L226" s="67" t="s">
        <v>387</v>
      </c>
      <c r="M226" s="67"/>
      <c r="N226" s="67" t="s">
        <v>348</v>
      </c>
      <c r="O226" s="67" t="s">
        <v>388</v>
      </c>
      <c r="P226" s="57" t="s">
        <v>178</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59" t="n">
        <f aca="false">Q226-T12EarlyH/24</f>
        <v>46303.4166666667</v>
      </c>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IF(N226="N/A – rule","N/A – RULE",IF(TRIM(U226)="N/A",IF(AT226=0,"INVALID – N/A not permitted for this mandatory check",IF(AND(TRIM(AC226)&lt;&gt;"",TRIM(AE226)&lt;&gt;"",TRIM(T226)&lt;&gt;"",TRIM(AE226)&lt;&gt;TRIM(T226)),"N/A – JUSTIFIED","INVALID – N/A needs justification, PIC and a different verifier")),IF(OR(TRIM(U226)="Pass",TRIM(U226)="Pass after CA"),IF(NOT(ISNUMBER(AD226)),"INVALID – completion time missing",IF(TRIM(T226)="","INVALID – PIC missing",IF(TRIM(V226)="","INVALID – result / assessment missing",IF(TRIM(Z226)="","INVALID – evidence missing",IF(TRIM(AE226)="","INVALID – verifier missing",IF(TRIM(AE226)=TRIM(T226),"INVALID – verifier must be someone other than the PIC",IF(AND(AQ226=1,TRIM(W226)=""),"INVALID – batch ID missing",IF(AND(AR226=1,OR(NOT(ISNUMBER(X226)),NOT(ISNUMBER(Y226)))),"INVALID – expected/actual qty missing",IF(IF(AND(TRIM(U226)="Pass",ISNUMBER(AF226)),IF(AF226&lt;&gt;0,"INVALID – qty variance: use Fail or Pass after CA",""),"")&amp;IF(AND(TRIM(U226)="Pass",TRIM(AB226)&lt;&gt;"",TRIM(AB226)&lt;&gt;"Closed"),"INVALID – corrective action not closed: use Fail, then Pass after CA","")&amp;IF(AND(TRIM(AA226)&lt;&gt;"",TRIM(AB226)=""),"INVALID – CA status missing for the recorded corrective action","")&amp;IF(AND(TRIM(U226)="Pass after CA",OR(TRIM(AA226)="",TRIM(AB226)&lt;&gt;"Closed")),"INVALID – corrective action not recorded/closed","")&lt;&gt;"",IF(AND(TRIM(U226)="Pass",ISNUMBER(AF226)),IF(AF226&lt;&gt;0,"INVALID – qty variance: use Fail or Pass after CA",""),"")&amp;IF(AND(TRIM(U226)="Pass",TRIM(AB226)&lt;&gt;"",TRIM(AB226)&lt;&gt;"Closed"),"INVALID – corrective action not closed: use Fail, then Pass after CA","")&amp;IF(AND(TRIM(AA226)&lt;&gt;"",TRIM(AB226)=""),"INVALID – CA status missing for the recorded corrective action","")&amp;IF(AND(TRIM(U226)="Pass after CA",OR(TRIM(AA226)="",TRIM(AB226)&lt;&gt;"Closed")),"INVALID – corrective action not recorded/closed",""),IF(AND(AS226=1,Documents!$J$11&lt;&gt;"ON FILE"),"INVALID – GLD not on file (Documents sheet)",IF(AND(AS226=2,Documents!$O$11&lt;&gt;"ON FILE"),"INVALID – menu checklist not on file (Documents sheet)",IF(AND(AS226=3,NOT(ISNUMBER(Flights!$AX$11))),"INVALID – enter carrying flight KUL departure (Flights AX)",IF(AND(AS226=3,OR(Flights!$AX$11&gt;=Flights!$AA$11,Flights!$AX$11&lt;Flights!$AA$11-3)),"INVALID – Flights AX must be before this leg's STD (within 3 days)",IF(AG226&gt;AsOfUTC,"INVALID – completion time is in the future",IF(AND(ISNUMBER(S226),AG226&lt;S226),IF(H226="Physical uplift","INVALID – before uplift window (cannot confirm loading)","INVALID – before valid window"),IF(AG226&gt;Flights!$AA$11,"INVALID – completed after departure (cannot establish readiness)",IF(AND(H226="Physical uplift",AG226&gt;Q226),"INVALID – recorded after the loading flight departed",IF(AG226&gt;Q226,"COMPLETE – LATE","COMPLETE")))))))))))))))))),IF(TRIM(U226)="Fail","FAIL – DISCREPANCY",IF(AND(TRIM(U226)&lt;&gt;"",TRIM(U226)&lt;&gt;"Not started",TRIM(U226)&lt;&gt;"In progress"),"INVALID – unrecognised status (use the list)",IF(AsOfUTC&gt;Q226,"OVERDUE",IF(N226="Clarification required","OPEN – CLARIFICATION","OPEN")))))))</f>
        <v>OPEN</v>
      </c>
      <c r="AI226" s="61" t="n">
        <f aca="false">IF(OR(AH226="N/A – RULE",AH226="N/A – JUSTIFIED"),0,1)</f>
        <v>1</v>
      </c>
      <c r="AJ226" s="61" t="n">
        <f aca="false">IF(LEFT(AH226,8)="COMPLETE",1,0)</f>
        <v>0</v>
      </c>
      <c r="AK226" s="61" t="n">
        <f aca="false">IF(AND(AI226=1,AJ226=0,AsOfUTC&gt;Q226),1,0)</f>
        <v>0</v>
      </c>
      <c r="AL226" s="61" t="n">
        <f aca="false">IF(AND(AI226=1,OR(TRIM(U226)="Fail",AND(TRIM(AB226)&lt;&gt;"",TRIM(AB226)&lt;&gt;"Closed"),AND(ISNUMBER(AF226),AF226&lt;&gt;0,TRIM(U226)&lt;&gt;"Pass after CA"))),1,0)</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row>
    <row r="227" customFormat="false" ht="39.75" hidden="false" customHeight="true" outlineLevel="0" collapsed="false">
      <c r="A227" s="57" t="s">
        <v>756</v>
      </c>
      <c r="B227" s="57" t="s">
        <v>227</v>
      </c>
      <c r="C227" s="57" t="str">
        <f aca="false">Flights!$F$11</f>
        <v>MH0003</v>
      </c>
      <c r="D227" s="58" t="n">
        <f aca="false">Flights!$D$11</f>
        <v>46304</v>
      </c>
      <c r="E227" s="57" t="str">
        <f aca="false">Flights!$G$11&amp;"-"&amp;Flights!$H$11</f>
        <v>LHR-KUL</v>
      </c>
      <c r="F227" s="57" t="str">
        <f aca="false">Flights!$K$11</f>
        <v>BC</v>
      </c>
      <c r="G227" s="57" t="s">
        <v>385</v>
      </c>
      <c r="H227" s="57" t="s">
        <v>343</v>
      </c>
      <c r="I227" s="57" t="s">
        <v>393</v>
      </c>
      <c r="J227" s="57" t="s">
        <v>396</v>
      </c>
      <c r="K227" s="67"/>
      <c r="L227" s="67" t="s">
        <v>387</v>
      </c>
      <c r="M227" s="67"/>
      <c r="N227" s="67" t="s">
        <v>348</v>
      </c>
      <c r="O227" s="67" t="s">
        <v>388</v>
      </c>
      <c r="P227" s="57" t="s">
        <v>178</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59" t="n">
        <f aca="false">Q227-T12EarlyH/24</f>
        <v>46303.4166666667</v>
      </c>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IF(N227="N/A – rule","N/A – RULE",IF(TRIM(U227)="N/A",IF(AT227=0,"INVALID – N/A not permitted for this mandatory check",IF(AND(TRIM(AC227)&lt;&gt;"",TRIM(AE227)&lt;&gt;"",TRIM(T227)&lt;&gt;"",TRIM(AE227)&lt;&gt;TRIM(T227)),"N/A – JUSTIFIED","INVALID – N/A needs justification, PIC and a different verifier")),IF(OR(TRIM(U227)="Pass",TRIM(U227)="Pass after CA"),IF(NOT(ISNUMBER(AD227)),"INVALID – completion time missing",IF(TRIM(T227)="","INVALID – PIC missing",IF(TRIM(V227)="","INVALID – result / assessment missing",IF(TRIM(Z227)="","INVALID – evidence missing",IF(TRIM(AE227)="","INVALID – verifier missing",IF(TRIM(AE227)=TRIM(T227),"INVALID – verifier must be someone other than the PIC",IF(AND(AQ227=1,TRIM(W227)=""),"INVALID – batch ID missing",IF(AND(AR227=1,OR(NOT(ISNUMBER(X227)),NOT(ISNUMBER(Y227)))),"INVALID – expected/actual qty missing",IF(IF(AND(TRIM(U227)="Pass",ISNUMBER(AF227)),IF(AF227&lt;&gt;0,"INVALID – qty variance: use Fail or Pass after CA",""),"")&amp;IF(AND(TRIM(U227)="Pass",TRIM(AB227)&lt;&gt;"",TRIM(AB227)&lt;&gt;"Closed"),"INVALID – corrective action not closed: use Fail, then Pass after CA","")&amp;IF(AND(TRIM(AA227)&lt;&gt;"",TRIM(AB227)=""),"INVALID – CA status missing for the recorded corrective action","")&amp;IF(AND(TRIM(U227)="Pass after CA",OR(TRIM(AA227)="",TRIM(AB227)&lt;&gt;"Closed")),"INVALID – corrective action not recorded/closed","")&lt;&gt;"",IF(AND(TRIM(U227)="Pass",ISNUMBER(AF227)),IF(AF227&lt;&gt;0,"INVALID – qty variance: use Fail or Pass after CA",""),"")&amp;IF(AND(TRIM(U227)="Pass",TRIM(AB227)&lt;&gt;"",TRIM(AB227)&lt;&gt;"Closed"),"INVALID – corrective action not closed: use Fail, then Pass after CA","")&amp;IF(AND(TRIM(AA227)&lt;&gt;"",TRIM(AB227)=""),"INVALID – CA status missing for the recorded corrective action","")&amp;IF(AND(TRIM(U227)="Pass after CA",OR(TRIM(AA227)="",TRIM(AB227)&lt;&gt;"Closed")),"INVALID – corrective action not recorded/closed",""),IF(AND(AS227=1,Documents!$J$11&lt;&gt;"ON FILE"),"INVALID – GLD not on file (Documents sheet)",IF(AND(AS227=2,Documents!$O$11&lt;&gt;"ON FILE"),"INVALID – menu checklist not on file (Documents sheet)",IF(AND(AS227=3,NOT(ISNUMBER(Flights!$AX$11))),"INVALID – enter carrying flight KUL departure (Flights AX)",IF(AND(AS227=3,OR(Flights!$AX$11&gt;=Flights!$AA$11,Flights!$AX$11&lt;Flights!$AA$11-3)),"INVALID – Flights AX must be before this leg's STD (within 3 days)",IF(AG227&gt;AsOfUTC,"INVALID – completion time is in the future",IF(AND(ISNUMBER(S227),AG227&lt;S227),IF(H227="Physical uplift","INVALID – before uplift window (cannot confirm loading)","INVALID – before valid window"),IF(AG227&gt;Flights!$AA$11,"INVALID – completed after departure (cannot establish readiness)",IF(AND(H227="Physical uplift",AG227&gt;Q227),"INVALID – recorded after the loading flight departed",IF(AG227&gt;Q227,"COMPLETE – LATE","COMPLETE")))))))))))))))))),IF(TRIM(U227)="Fail","FAIL – DISCREPANCY",IF(AND(TRIM(U227)&lt;&gt;"",TRIM(U227)&lt;&gt;"Not started",TRIM(U227)&lt;&gt;"In progress"),"INVALID – unrecognised status (use the list)",IF(AsOfUTC&gt;Q227,"OVERDUE",IF(N227="Clarification required","OPEN – CLARIFICATION","OPEN")))))))</f>
        <v>OPEN</v>
      </c>
      <c r="AI227" s="61" t="n">
        <f aca="false">IF(OR(AH227="N/A – RULE",AH227="N/A – JUSTIFIED"),0,1)</f>
        <v>1</v>
      </c>
      <c r="AJ227" s="61" t="n">
        <f aca="false">IF(LEFT(AH227,8)="COMPLETE",1,0)</f>
        <v>0</v>
      </c>
      <c r="AK227" s="61" t="n">
        <f aca="false">IF(AND(AI227=1,AJ227=0,AsOfUTC&gt;Q227),1,0)</f>
        <v>0</v>
      </c>
      <c r="AL227" s="61" t="n">
        <f aca="false">IF(AND(AI227=1,OR(TRIM(U227)="Fail",AND(TRIM(AB227)&lt;&gt;"",TRIM(AB227)&lt;&gt;"Closed"),AND(ISNUMBER(AF227),AF227&lt;&gt;0,TRIM(U227)&lt;&gt;"Pass after CA"))),1,0)</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row>
    <row r="228" customFormat="false" ht="39.75" hidden="false" customHeight="true" outlineLevel="0" collapsed="false">
      <c r="A228" s="57" t="s">
        <v>757</v>
      </c>
      <c r="B228" s="57" t="s">
        <v>227</v>
      </c>
      <c r="C228" s="57" t="str">
        <f aca="false">Flights!$F$11</f>
        <v>MH0003</v>
      </c>
      <c r="D228" s="58" t="n">
        <f aca="false">Flights!$D$11</f>
        <v>46304</v>
      </c>
      <c r="E228" s="57" t="str">
        <f aca="false">Flights!$G$11&amp;"-"&amp;Flights!$H$11</f>
        <v>LHR-KUL</v>
      </c>
      <c r="F228" s="57" t="str">
        <f aca="false">Flights!$K$11</f>
        <v>BC</v>
      </c>
      <c r="G228" s="57" t="s">
        <v>385</v>
      </c>
      <c r="H228" s="57" t="s">
        <v>343</v>
      </c>
      <c r="I228" s="57" t="s">
        <v>393</v>
      </c>
      <c r="J228" s="57" t="s">
        <v>398</v>
      </c>
      <c r="K228" s="67"/>
      <c r="L228" s="67" t="s">
        <v>387</v>
      </c>
      <c r="M228" s="67"/>
      <c r="N228" s="67" t="s">
        <v>348</v>
      </c>
      <c r="O228" s="67" t="s">
        <v>388</v>
      </c>
      <c r="P228" s="57" t="s">
        <v>178</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59" t="n">
        <f aca="false">Q228-T12EarlyH/24</f>
        <v>46303.4166666667</v>
      </c>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IF(N228="N/A – rule","N/A – RULE",IF(TRIM(U228)="N/A",IF(AT228=0,"INVALID – N/A not permitted for this mandatory check",IF(AND(TRIM(AC228)&lt;&gt;"",TRIM(AE228)&lt;&gt;"",TRIM(T228)&lt;&gt;"",TRIM(AE228)&lt;&gt;TRIM(T228)),"N/A – JUSTIFIED","INVALID – N/A needs justification, PIC and a different verifier")),IF(OR(TRIM(U228)="Pass",TRIM(U228)="Pass after CA"),IF(NOT(ISNUMBER(AD228)),"INVALID – completion time missing",IF(TRIM(T228)="","INVALID – PIC missing",IF(TRIM(V228)="","INVALID – result / assessment missing",IF(TRIM(Z228)="","INVALID – evidence missing",IF(TRIM(AE228)="","INVALID – verifier missing",IF(TRIM(AE228)=TRIM(T228),"INVALID – verifier must be someone other than the PIC",IF(AND(AQ228=1,TRIM(W228)=""),"INVALID – batch ID missing",IF(AND(AR228=1,OR(NOT(ISNUMBER(X228)),NOT(ISNUMBER(Y228)))),"INVALID – expected/actual qty missing",IF(IF(AND(TRIM(U228)="Pass",ISNUMBER(AF228)),IF(AF228&lt;&gt;0,"INVALID – qty variance: use Fail or Pass after CA",""),"")&amp;IF(AND(TRIM(U228)="Pass",TRIM(AB228)&lt;&gt;"",TRIM(AB228)&lt;&gt;"Closed"),"INVALID – corrective action not closed: use Fail, then Pass after CA","")&amp;IF(AND(TRIM(AA228)&lt;&gt;"",TRIM(AB228)=""),"INVALID – CA status missing for the recorded corrective action","")&amp;IF(AND(TRIM(U228)="Pass after CA",OR(TRIM(AA228)="",TRIM(AB228)&lt;&gt;"Closed")),"INVALID – corrective action not recorded/closed","")&lt;&gt;"",IF(AND(TRIM(U228)="Pass",ISNUMBER(AF228)),IF(AF228&lt;&gt;0,"INVALID – qty variance: use Fail or Pass after CA",""),"")&amp;IF(AND(TRIM(U228)="Pass",TRIM(AB228)&lt;&gt;"",TRIM(AB228)&lt;&gt;"Closed"),"INVALID – corrective action not closed: use Fail, then Pass after CA","")&amp;IF(AND(TRIM(AA228)&lt;&gt;"",TRIM(AB228)=""),"INVALID – CA status missing for the recorded corrective action","")&amp;IF(AND(TRIM(U228)="Pass after CA",OR(TRIM(AA228)="",TRIM(AB228)&lt;&gt;"Closed")),"INVALID – corrective action not recorded/closed",""),IF(AND(AS228=1,Documents!$J$11&lt;&gt;"ON FILE"),"INVALID – GLD not on file (Documents sheet)",IF(AND(AS228=2,Documents!$O$11&lt;&gt;"ON FILE"),"INVALID – menu checklist not on file (Documents sheet)",IF(AND(AS228=3,NOT(ISNUMBER(Flights!$AX$11))),"INVALID – enter carrying flight KUL departure (Flights AX)",IF(AND(AS228=3,OR(Flights!$AX$11&gt;=Flights!$AA$11,Flights!$AX$11&lt;Flights!$AA$11-3)),"INVALID – Flights AX must be before this leg's STD (within 3 days)",IF(AG228&gt;AsOfUTC,"INVALID – completion time is in the future",IF(AND(ISNUMBER(S228),AG228&lt;S228),IF(H228="Physical uplift","INVALID – before uplift window (cannot confirm loading)","INVALID – before valid window"),IF(AG228&gt;Flights!$AA$11,"INVALID – completed after departure (cannot establish readiness)",IF(AND(H228="Physical uplift",AG228&gt;Q228),"INVALID – recorded after the loading flight departed",IF(AG228&gt;Q228,"COMPLETE – LATE","COMPLETE")))))))))))))))))),IF(TRIM(U228)="Fail","FAIL – DISCREPANCY",IF(AND(TRIM(U228)&lt;&gt;"",TRIM(U228)&lt;&gt;"Not started",TRIM(U228)&lt;&gt;"In progress"),"INVALID – unrecognised status (use the list)",IF(AsOfUTC&gt;Q228,"OVERDUE",IF(N228="Clarification required","OPEN – CLARIFICATION","OPEN")))))))</f>
        <v>OPEN</v>
      </c>
      <c r="AI228" s="61" t="n">
        <f aca="false">IF(OR(AH228="N/A – RULE",AH228="N/A – JUSTIFIED"),0,1)</f>
        <v>1</v>
      </c>
      <c r="AJ228" s="61" t="n">
        <f aca="false">IF(LEFT(AH228,8)="COMPLETE",1,0)</f>
        <v>0</v>
      </c>
      <c r="AK228" s="61" t="n">
        <f aca="false">IF(AND(AI228=1,AJ228=0,AsOfUTC&gt;Q228),1,0)</f>
        <v>0</v>
      </c>
      <c r="AL228" s="61" t="n">
        <f aca="false">IF(AND(AI228=1,OR(TRIM(U228)="Fail",AND(TRIM(AB228)&lt;&gt;"",TRIM(AB228)&lt;&gt;"Closed"),AND(ISNUMBER(AF228),AF228&lt;&gt;0,TRIM(U228)&lt;&gt;"Pass after CA"))),1,0)</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row>
    <row r="229" customFormat="false" ht="141" hidden="false" customHeight="true" outlineLevel="0" collapsed="false">
      <c r="A229" s="57" t="s">
        <v>758</v>
      </c>
      <c r="B229" s="57" t="s">
        <v>227</v>
      </c>
      <c r="C229" s="57" t="str">
        <f aca="false">Flights!$F$11</f>
        <v>MH0003</v>
      </c>
      <c r="D229" s="58" t="n">
        <f aca="false">Flights!$D$11</f>
        <v>46304</v>
      </c>
      <c r="E229" s="57" t="str">
        <f aca="false">Flights!$G$11&amp;"-"&amp;Flights!$H$11</f>
        <v>LHR-KUL</v>
      </c>
      <c r="F229" s="57" t="str">
        <f aca="false">Flights!$K$11</f>
        <v>BC</v>
      </c>
      <c r="G229" s="57" t="s">
        <v>385</v>
      </c>
      <c r="H229" s="57" t="s">
        <v>343</v>
      </c>
      <c r="I229" s="57" t="s">
        <v>393</v>
      </c>
      <c r="J229" s="57" t="s">
        <v>400</v>
      </c>
      <c r="K229" s="67" t="s">
        <v>401</v>
      </c>
      <c r="L229" s="67" t="s">
        <v>387</v>
      </c>
      <c r="M229" s="67"/>
      <c r="N229" s="67" t="s">
        <v>348</v>
      </c>
      <c r="O229" s="67" t="s">
        <v>388</v>
      </c>
      <c r="P229" s="57" t="s">
        <v>178</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59" t="n">
        <f aca="false">Q229-T12EarlyH/24</f>
        <v>46303.4166666667</v>
      </c>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IF(N229="N/A – rule","N/A – RULE",IF(TRIM(U229)="N/A",IF(AT229=0,"INVALID – N/A not permitted for this mandatory check",IF(AND(TRIM(AC229)&lt;&gt;"",TRIM(AE229)&lt;&gt;"",TRIM(T229)&lt;&gt;"",TRIM(AE229)&lt;&gt;TRIM(T229)),"N/A – JUSTIFIED","INVALID – N/A needs justification, PIC and a different verifier")),IF(OR(TRIM(U229)="Pass",TRIM(U229)="Pass after CA"),IF(NOT(ISNUMBER(AD229)),"INVALID – completion time missing",IF(TRIM(T229)="","INVALID – PIC missing",IF(TRIM(V229)="","INVALID – result / assessment missing",IF(TRIM(Z229)="","INVALID – evidence missing",IF(TRIM(AE229)="","INVALID – verifier missing",IF(TRIM(AE229)=TRIM(T229),"INVALID – verifier must be someone other than the PIC",IF(AND(AQ229=1,TRIM(W229)=""),"INVALID – batch ID missing",IF(AND(AR229=1,OR(NOT(ISNUMBER(X229)),NOT(ISNUMBER(Y229)))),"INVALID – expected/actual qty missing",IF(IF(AND(TRIM(U229)="Pass",ISNUMBER(AF229)),IF(AF229&lt;&gt;0,"INVALID – qty variance: use Fail or Pass after CA",""),"")&amp;IF(AND(TRIM(U229)="Pass",TRIM(AB229)&lt;&gt;"",TRIM(AB229)&lt;&gt;"Closed"),"INVALID – corrective action not closed: use Fail, then Pass after CA","")&amp;IF(AND(TRIM(AA229)&lt;&gt;"",TRIM(AB229)=""),"INVALID – CA status missing for the recorded corrective action","")&amp;IF(AND(TRIM(U229)="Pass after CA",OR(TRIM(AA229)="",TRIM(AB229)&lt;&gt;"Closed")),"INVALID – corrective action not recorded/closed","")&lt;&gt;"",IF(AND(TRIM(U229)="Pass",ISNUMBER(AF229)),IF(AF229&lt;&gt;0,"INVALID – qty variance: use Fail or Pass after CA",""),"")&amp;IF(AND(TRIM(U229)="Pass",TRIM(AB229)&lt;&gt;"",TRIM(AB229)&lt;&gt;"Closed"),"INVALID – corrective action not closed: use Fail, then Pass after CA","")&amp;IF(AND(TRIM(AA229)&lt;&gt;"",TRIM(AB229)=""),"INVALID – CA status missing for the recorded corrective action","")&amp;IF(AND(TRIM(U229)="Pass after CA",OR(TRIM(AA229)="",TRIM(AB229)&lt;&gt;"Closed")),"INVALID – corrective action not recorded/closed",""),IF(AND(AS229=1,Documents!$J$11&lt;&gt;"ON FILE"),"INVALID – GLD not on file (Documents sheet)",IF(AND(AS229=2,Documents!$O$11&lt;&gt;"ON FILE"),"INVALID – menu checklist not on file (Documents sheet)",IF(AND(AS229=3,NOT(ISNUMBER(Flights!$AX$11))),"INVALID – enter carrying flight KUL departure (Flights AX)",IF(AND(AS229=3,OR(Flights!$AX$11&gt;=Flights!$AA$11,Flights!$AX$11&lt;Flights!$AA$11-3)),"INVALID – Flights AX must be before this leg's STD (within 3 days)",IF(AG229&gt;AsOfUTC,"INVALID – completion time is in the future",IF(AND(ISNUMBER(S229),AG229&lt;S229),IF(H229="Physical uplift","INVALID – before uplift window (cannot confirm loading)","INVALID – before valid window"),IF(AG229&gt;Flights!$AA$11,"INVALID – completed after departure (cannot establish readiness)",IF(AND(H229="Physical uplift",AG229&gt;Q229),"INVALID – recorded after the loading flight departed",IF(AG229&gt;Q229,"COMPLETE – LATE","COMPLETE")))))))))))))))))),IF(TRIM(U229)="Fail","FAIL – DISCREPANCY",IF(AND(TRIM(U229)&lt;&gt;"",TRIM(U229)&lt;&gt;"Not started",TRIM(U229)&lt;&gt;"In progress"),"INVALID – unrecognised status (use the list)",IF(AsOfUTC&gt;Q229,"OVERDUE",IF(N229="Clarification required","OPEN – CLARIFICATION","OPEN")))))))</f>
        <v>OPEN</v>
      </c>
      <c r="AI229" s="61" t="n">
        <f aca="false">IF(OR(AH229="N/A – RULE",AH229="N/A – JUSTIFIED"),0,1)</f>
        <v>1</v>
      </c>
      <c r="AJ229" s="61" t="n">
        <f aca="false">IF(LEFT(AH229,8)="COMPLETE",1,0)</f>
        <v>0</v>
      </c>
      <c r="AK229" s="61" t="n">
        <f aca="false">IF(AND(AI229=1,AJ229=0,AsOfUTC&gt;Q229),1,0)</f>
        <v>0</v>
      </c>
      <c r="AL229" s="61" t="n">
        <f aca="false">IF(AND(AI229=1,OR(TRIM(U229)="Fail",AND(TRIM(AB229)&lt;&gt;"",TRIM(AB229)&lt;&gt;"Closed"),AND(ISNUMBER(AF229),AF229&lt;&gt;0,TRIM(U229)&lt;&gt;"Pass after CA"))),1,0)</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row>
    <row r="230" customFormat="false" ht="39.75" hidden="false" customHeight="true" outlineLevel="0" collapsed="false">
      <c r="A230" s="57" t="s">
        <v>759</v>
      </c>
      <c r="B230" s="57" t="s">
        <v>227</v>
      </c>
      <c r="C230" s="57" t="str">
        <f aca="false">Flights!$F$11</f>
        <v>MH0003</v>
      </c>
      <c r="D230" s="58" t="n">
        <f aca="false">Flights!$D$11</f>
        <v>46304</v>
      </c>
      <c r="E230" s="57" t="str">
        <f aca="false">Flights!$G$11&amp;"-"&amp;Flights!$H$11</f>
        <v>LHR-KUL</v>
      </c>
      <c r="F230" s="57" t="str">
        <f aca="false">Flights!$K$11</f>
        <v>BC</v>
      </c>
      <c r="G230" s="57" t="s">
        <v>385</v>
      </c>
      <c r="H230" s="57" t="s">
        <v>343</v>
      </c>
      <c r="I230" s="57" t="s">
        <v>393</v>
      </c>
      <c r="J230" s="57" t="s">
        <v>403</v>
      </c>
      <c r="K230" s="67"/>
      <c r="L230" s="67" t="s">
        <v>387</v>
      </c>
      <c r="M230" s="67"/>
      <c r="N230" s="67" t="s">
        <v>348</v>
      </c>
      <c r="O230" s="67" t="s">
        <v>388</v>
      </c>
      <c r="P230" s="57" t="s">
        <v>178</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59" t="n">
        <f aca="false">Q230-T12EarlyH/24</f>
        <v>46303.4166666667</v>
      </c>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IF(N230="N/A – rule","N/A – RULE",IF(TRIM(U230)="N/A",IF(AT230=0,"INVALID – N/A not permitted for this mandatory check",IF(AND(TRIM(AC230)&lt;&gt;"",TRIM(AE230)&lt;&gt;"",TRIM(T230)&lt;&gt;"",TRIM(AE230)&lt;&gt;TRIM(T230)),"N/A – JUSTIFIED","INVALID – N/A needs justification, PIC and a different verifier")),IF(OR(TRIM(U230)="Pass",TRIM(U230)="Pass after CA"),IF(NOT(ISNUMBER(AD230)),"INVALID – completion time missing",IF(TRIM(T230)="","INVALID – PIC missing",IF(TRIM(V230)="","INVALID – result / assessment missing",IF(TRIM(Z230)="","INVALID – evidence missing",IF(TRIM(AE230)="","INVALID – verifier missing",IF(TRIM(AE230)=TRIM(T230),"INVALID – verifier must be someone other than the PIC",IF(AND(AQ230=1,TRIM(W230)=""),"INVALID – batch ID missing",IF(AND(AR230=1,OR(NOT(ISNUMBER(X230)),NOT(ISNUMBER(Y230)))),"INVALID – expected/actual qty missing",IF(IF(AND(TRIM(U230)="Pass",ISNUMBER(AF230)),IF(AF230&lt;&gt;0,"INVALID – qty variance: use Fail or Pass after CA",""),"")&amp;IF(AND(TRIM(U230)="Pass",TRIM(AB230)&lt;&gt;"",TRIM(AB230)&lt;&gt;"Closed"),"INVALID – corrective action not closed: use Fail, then Pass after CA","")&amp;IF(AND(TRIM(AA230)&lt;&gt;"",TRIM(AB230)=""),"INVALID – CA status missing for the recorded corrective action","")&amp;IF(AND(TRIM(U230)="Pass after CA",OR(TRIM(AA230)="",TRIM(AB230)&lt;&gt;"Closed")),"INVALID – corrective action not recorded/closed","")&lt;&gt;"",IF(AND(TRIM(U230)="Pass",ISNUMBER(AF230)),IF(AF230&lt;&gt;0,"INVALID – qty variance: use Fail or Pass after CA",""),"")&amp;IF(AND(TRIM(U230)="Pass",TRIM(AB230)&lt;&gt;"",TRIM(AB230)&lt;&gt;"Closed"),"INVALID – corrective action not closed: use Fail, then Pass after CA","")&amp;IF(AND(TRIM(AA230)&lt;&gt;"",TRIM(AB230)=""),"INVALID – CA status missing for the recorded corrective action","")&amp;IF(AND(TRIM(U230)="Pass after CA",OR(TRIM(AA230)="",TRIM(AB230)&lt;&gt;"Closed")),"INVALID – corrective action not recorded/closed",""),IF(AND(AS230=1,Documents!$J$11&lt;&gt;"ON FILE"),"INVALID – GLD not on file (Documents sheet)",IF(AND(AS230=2,Documents!$O$11&lt;&gt;"ON FILE"),"INVALID – menu checklist not on file (Documents sheet)",IF(AND(AS230=3,NOT(ISNUMBER(Flights!$AX$11))),"INVALID – enter carrying flight KUL departure (Flights AX)",IF(AND(AS230=3,OR(Flights!$AX$11&gt;=Flights!$AA$11,Flights!$AX$11&lt;Flights!$AA$11-3)),"INVALID – Flights AX must be before this leg's STD (within 3 days)",IF(AG230&gt;AsOfUTC,"INVALID – completion time is in the future",IF(AND(ISNUMBER(S230),AG230&lt;S230),IF(H230="Physical uplift","INVALID – before uplift window (cannot confirm loading)","INVALID – before valid window"),IF(AG230&gt;Flights!$AA$11,"INVALID – completed after departure (cannot establish readiness)",IF(AND(H230="Physical uplift",AG230&gt;Q230),"INVALID – recorded after the loading flight departed",IF(AG230&gt;Q230,"COMPLETE – LATE","COMPLETE")))))))))))))))))),IF(TRIM(U230)="Fail","FAIL – DISCREPANCY",IF(AND(TRIM(U230)&lt;&gt;"",TRIM(U230)&lt;&gt;"Not started",TRIM(U230)&lt;&gt;"In progress"),"INVALID – unrecognised status (use the list)",IF(AsOfUTC&gt;Q230,"OVERDUE",IF(N230="Clarification required","OPEN – CLARIFICATION","OPEN")))))))</f>
        <v>OPEN</v>
      </c>
      <c r="AI230" s="61" t="n">
        <f aca="false">IF(OR(AH230="N/A – RULE",AH230="N/A – JUSTIFIED"),0,1)</f>
        <v>1</v>
      </c>
      <c r="AJ230" s="61" t="n">
        <f aca="false">IF(LEFT(AH230,8)="COMPLETE",1,0)</f>
        <v>0</v>
      </c>
      <c r="AK230" s="61" t="n">
        <f aca="false">IF(AND(AI230=1,AJ230=0,AsOfUTC&gt;Q230),1,0)</f>
        <v>0</v>
      </c>
      <c r="AL230" s="61" t="n">
        <f aca="false">IF(AND(AI230=1,OR(TRIM(U230)="Fail",AND(TRIM(AB230)&lt;&gt;"",TRIM(AB230)&lt;&gt;"Closed"),AND(ISNUMBER(AF230),AF230&lt;&gt;0,TRIM(U230)&lt;&gt;"Pass after CA"))),1,0)</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row>
    <row r="231" customFormat="false" ht="39.75" hidden="false" customHeight="true" outlineLevel="0" collapsed="false">
      <c r="A231" s="57" t="s">
        <v>760</v>
      </c>
      <c r="B231" s="57" t="s">
        <v>227</v>
      </c>
      <c r="C231" s="57" t="str">
        <f aca="false">Flights!$F$11</f>
        <v>MH0003</v>
      </c>
      <c r="D231" s="58" t="n">
        <f aca="false">Flights!$D$11</f>
        <v>46304</v>
      </c>
      <c r="E231" s="57" t="str">
        <f aca="false">Flights!$G$11&amp;"-"&amp;Flights!$H$11</f>
        <v>LHR-KUL</v>
      </c>
      <c r="F231" s="57" t="str">
        <f aca="false">Flights!$K$11</f>
        <v>BC</v>
      </c>
      <c r="G231" s="57" t="s">
        <v>385</v>
      </c>
      <c r="H231" s="57" t="s">
        <v>343</v>
      </c>
      <c r="I231" s="57" t="s">
        <v>405</v>
      </c>
      <c r="J231" s="57" t="s">
        <v>406</v>
      </c>
      <c r="K231" s="67" t="s">
        <v>466</v>
      </c>
      <c r="L231" s="67" t="s">
        <v>408</v>
      </c>
      <c r="M231" s="67" t="s">
        <v>178</v>
      </c>
      <c r="N231" s="67" t="s">
        <v>348</v>
      </c>
      <c r="O231" s="67"/>
      <c r="P231" s="57" t="s">
        <v>178</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59" t="n">
        <f aca="false">Q231-T12EarlyH/24</f>
        <v>46303.4166666667</v>
      </c>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IF(N231="N/A – rule","N/A – RULE",IF(TRIM(U231)="N/A",IF(AT231=0,"INVALID – N/A not permitted for this mandatory check",IF(AND(TRIM(AC231)&lt;&gt;"",TRIM(AE231)&lt;&gt;"",TRIM(T231)&lt;&gt;"",TRIM(AE231)&lt;&gt;TRIM(T231)),"N/A – JUSTIFIED","INVALID – N/A needs justification, PIC and a different verifier")),IF(OR(TRIM(U231)="Pass",TRIM(U231)="Pass after CA"),IF(NOT(ISNUMBER(AD231)),"INVALID – completion time missing",IF(TRIM(T231)="","INVALID – PIC missing",IF(TRIM(V231)="","INVALID – result / assessment missing",IF(TRIM(Z231)="","INVALID – evidence missing",IF(TRIM(AE231)="","INVALID – verifier missing",IF(TRIM(AE231)=TRIM(T231),"INVALID – verifier must be someone other than the PIC",IF(AND(AQ231=1,TRIM(W231)=""),"INVALID – batch ID missing",IF(AND(AR231=1,OR(NOT(ISNUMBER(X231)),NOT(ISNUMBER(Y231)))),"INVALID – expected/actual qty missing",IF(IF(AND(TRIM(U231)="Pass",ISNUMBER(AF231)),IF(AF231&lt;&gt;0,"INVALID – qty variance: use Fail or Pass after CA",""),"")&amp;IF(AND(TRIM(U231)="Pass",TRIM(AB231)&lt;&gt;"",TRIM(AB231)&lt;&gt;"Closed"),"INVALID – corrective action not closed: use Fail, then Pass after CA","")&amp;IF(AND(TRIM(AA231)&lt;&gt;"",TRIM(AB231)=""),"INVALID – CA status missing for the recorded corrective action","")&amp;IF(AND(TRIM(U231)="Pass after CA",OR(TRIM(AA231)="",TRIM(AB231)&lt;&gt;"Closed")),"INVALID – corrective action not recorded/closed","")&lt;&gt;"",IF(AND(TRIM(U231)="Pass",ISNUMBER(AF231)),IF(AF231&lt;&gt;0,"INVALID – qty variance: use Fail or Pass after CA",""),"")&amp;IF(AND(TRIM(U231)="Pass",TRIM(AB231)&lt;&gt;"",TRIM(AB231)&lt;&gt;"Closed"),"INVALID – corrective action not closed: use Fail, then Pass after CA","")&amp;IF(AND(TRIM(AA231)&lt;&gt;"",TRIM(AB231)=""),"INVALID – CA status missing for the recorded corrective action","")&amp;IF(AND(TRIM(U231)="Pass after CA",OR(TRIM(AA231)="",TRIM(AB231)&lt;&gt;"Closed")),"INVALID – corrective action not recorded/closed",""),IF(AND(AS231=1,Documents!$J$11&lt;&gt;"ON FILE"),"INVALID – GLD not on file (Documents sheet)",IF(AND(AS231=2,Documents!$O$11&lt;&gt;"ON FILE"),"INVALID – menu checklist not on file (Documents sheet)",IF(AND(AS231=3,NOT(ISNUMBER(Flights!$AX$11))),"INVALID – enter carrying flight KUL departure (Flights AX)",IF(AND(AS231=3,OR(Flights!$AX$11&gt;=Flights!$AA$11,Flights!$AX$11&lt;Flights!$AA$11-3)),"INVALID – Flights AX must be before this leg's STD (within 3 days)",IF(AG231&gt;AsOfUTC,"INVALID – completion time is in the future",IF(AND(ISNUMBER(S231),AG231&lt;S231),IF(H231="Physical uplift","INVALID – before uplift window (cannot confirm loading)","INVALID – before valid window"),IF(AG231&gt;Flights!$AA$11,"INVALID – completed after departure (cannot establish readiness)",IF(AND(H231="Physical uplift",AG231&gt;Q231),"INVALID – recorded after the loading flight departed",IF(AG231&gt;Q231,"COMPLETE – LATE","COMPLETE")))))))))))))))))),IF(TRIM(U231)="Fail","FAIL – DISCREPANCY",IF(AND(TRIM(U231)&lt;&gt;"",TRIM(U231)&lt;&gt;"Not started",TRIM(U231)&lt;&gt;"In progress"),"INVALID – unrecognised status (use the list)",IF(AsOfUTC&gt;Q231,"OVERDUE",IF(N231="Clarification required","OPEN – CLARIFICATION","OPEN")))))))</f>
        <v>OPEN</v>
      </c>
      <c r="AI231" s="61" t="n">
        <f aca="false">IF(OR(AH231="N/A – RULE",AH231="N/A – JUSTIFIED"),0,1)</f>
        <v>1</v>
      </c>
      <c r="AJ231" s="61" t="n">
        <f aca="false">IF(LEFT(AH231,8)="COMPLETE",1,0)</f>
        <v>0</v>
      </c>
      <c r="AK231" s="61" t="n">
        <f aca="false">IF(AND(AI231=1,AJ231=0,AsOfUTC&gt;Q231),1,0)</f>
        <v>0</v>
      </c>
      <c r="AL231" s="61" t="n">
        <f aca="false">IF(AND(AI231=1,OR(TRIM(U231)="Fail",AND(TRIM(AB231)&lt;&gt;"",TRIM(AB231)&lt;&gt;"Closed"),AND(ISNUMBER(AF231),AF231&lt;&gt;0,TRIM(U231)&lt;&gt;"Pass after CA"))),1,0)</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8" t="b">
        <f aca="false">TRUE()</f>
        <v>1</v>
      </c>
    </row>
    <row r="232" customFormat="false" ht="78.75" hidden="false" customHeight="true" outlineLevel="0" collapsed="false">
      <c r="A232" s="57" t="s">
        <v>761</v>
      </c>
      <c r="B232" s="57" t="s">
        <v>227</v>
      </c>
      <c r="C232" s="57" t="str">
        <f aca="false">Flights!$F$11</f>
        <v>MH0003</v>
      </c>
      <c r="D232" s="58" t="n">
        <f aca="false">Flights!$D$11</f>
        <v>46304</v>
      </c>
      <c r="E232" s="57" t="str">
        <f aca="false">Flights!$G$11&amp;"-"&amp;Flights!$H$11</f>
        <v>LHR-KUL</v>
      </c>
      <c r="F232" s="57" t="str">
        <f aca="false">Flights!$K$11</f>
        <v>BC</v>
      </c>
      <c r="G232" s="57" t="s">
        <v>385</v>
      </c>
      <c r="H232" s="57" t="s">
        <v>343</v>
      </c>
      <c r="I232" s="57" t="s">
        <v>405</v>
      </c>
      <c r="J232" s="57" t="s">
        <v>694</v>
      </c>
      <c r="K232" s="67" t="s">
        <v>695</v>
      </c>
      <c r="L232" s="67" t="s">
        <v>696</v>
      </c>
      <c r="M232" s="67" t="s">
        <v>179</v>
      </c>
      <c r="N232" s="67" t="s">
        <v>409</v>
      </c>
      <c r="O232" s="67" t="s">
        <v>762</v>
      </c>
      <c r="P232" s="57" t="s">
        <v>179</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59" t="n">
        <f aca="false">Q232-T12EarlyH/24</f>
        <v>46303.1006944444</v>
      </c>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IF(N232="N/A – rule","N/A – RULE",IF(TRIM(U232)="N/A",IF(AT232=0,"INVALID – N/A not permitted for this mandatory check",IF(AND(TRIM(AC232)&lt;&gt;"",TRIM(AE232)&lt;&gt;"",TRIM(T232)&lt;&gt;"",TRIM(AE232)&lt;&gt;TRIM(T232)),"N/A – JUSTIFIED","INVALID – N/A needs justification, PIC and a different verifier")),IF(OR(TRIM(U232)="Pass",TRIM(U232)="Pass after CA"),IF(NOT(ISNUMBER(AD232)),"INVALID – completion time missing",IF(TRIM(T232)="","INVALID – PIC missing",IF(TRIM(V232)="","INVALID – result / assessment missing",IF(TRIM(Z232)="","INVALID – evidence missing",IF(TRIM(AE232)="","INVALID – verifier missing",IF(TRIM(AE232)=TRIM(T232),"INVALID – verifier must be someone other than the PIC",IF(AND(AQ232=1,TRIM(W232)=""),"INVALID – batch ID missing",IF(AND(AR232=1,OR(NOT(ISNUMBER(X232)),NOT(ISNUMBER(Y232)))),"INVALID – expected/actual qty missing",IF(IF(AND(TRIM(U232)="Pass",ISNUMBER(AF232)),IF(AF232&lt;&gt;0,"INVALID – qty variance: use Fail or Pass after CA",""),"")&amp;IF(AND(TRIM(U232)="Pass",TRIM(AB232)&lt;&gt;"",TRIM(AB232)&lt;&gt;"Closed"),"INVALID – corrective action not closed: use Fail, then Pass after CA","")&amp;IF(AND(TRIM(AA232)&lt;&gt;"",TRIM(AB232)=""),"INVALID – CA status missing for the recorded corrective action","")&amp;IF(AND(TRIM(U232)="Pass after CA",OR(TRIM(AA232)="",TRIM(AB232)&lt;&gt;"Closed")),"INVALID – corrective action not recorded/closed","")&lt;&gt;"",IF(AND(TRIM(U232)="Pass",ISNUMBER(AF232)),IF(AF232&lt;&gt;0,"INVALID – qty variance: use Fail or Pass after CA",""),"")&amp;IF(AND(TRIM(U232)="Pass",TRIM(AB232)&lt;&gt;"",TRIM(AB232)&lt;&gt;"Closed"),"INVALID – corrective action not closed: use Fail, then Pass after CA","")&amp;IF(AND(TRIM(AA232)&lt;&gt;"",TRIM(AB232)=""),"INVALID – CA status missing for the recorded corrective action","")&amp;IF(AND(TRIM(U232)="Pass after CA",OR(TRIM(AA232)="",TRIM(AB232)&lt;&gt;"Closed")),"INVALID – corrective action not recorded/closed",""),IF(AND(AS232=1,Documents!$J$11&lt;&gt;"ON FILE"),"INVALID – GLD not on file (Documents sheet)",IF(AND(AS232=2,Documents!$O$11&lt;&gt;"ON FILE"),"INVALID – menu checklist not on file (Documents sheet)",IF(AND(AS232=3,NOT(ISNUMBER(Flights!$AX$11))),"INVALID – enter carrying flight KUL departure (Flights AX)",IF(AND(AS232=3,OR(Flights!$AX$11&gt;=Flights!$AA$11,Flights!$AX$11&lt;Flights!$AA$11-3)),"INVALID – Flights AX must be before this leg's STD (within 3 days)",IF(AG232&gt;AsOfUTC,"INVALID – completion time is in the future",IF(AND(ISNUMBER(S232),AG232&lt;S232),IF(H232="Physical uplift","INVALID – before uplift window (cannot confirm loading)","INVALID – before valid window"),IF(AG232&gt;Flights!$AA$11,"INVALID – completed after departure (cannot establish readiness)",IF(AND(H232="Physical uplift",AG232&gt;Q232),"INVALID – recorded after the loading flight departed",IF(AG232&gt;Q232,"COMPLETE – LATE","COMPLETE")))))))))))))))))),IF(TRIM(U232)="Fail","FAIL – DISCREPANCY",IF(AND(TRIM(U232)&lt;&gt;"",TRIM(U232)&lt;&gt;"Not started",TRIM(U232)&lt;&gt;"In progress"),"INVALID – unrecognised status (use the list)",IF(AsOfUTC&gt;Q232,"OVERDUE",IF(N232="Clarification required","OPEN – CLARIFICATION","OPEN")))))))</f>
        <v>OPEN – CLARIFICATION</v>
      </c>
      <c r="AI232" s="61" t="n">
        <f aca="false">IF(OR(AH232="N/A – RULE",AH232="N/A – JUSTIFIED"),0,1)</f>
        <v>1</v>
      </c>
      <c r="AJ232" s="61" t="n">
        <f aca="false">IF(LEFT(AH232,8)="COMPLETE",1,0)</f>
        <v>0</v>
      </c>
      <c r="AK232" s="61" t="n">
        <f aca="false">IF(AND(AI232=1,AJ232=0,AsOfUTC&gt;Q232),1,0)</f>
        <v>0</v>
      </c>
      <c r="AL232" s="61" t="n">
        <f aca="false">IF(AND(AI232=1,OR(TRIM(U232)="Fail",AND(TRIM(AB232)&lt;&gt;"",TRIM(AB232)&lt;&gt;"Closed"),AND(ISNUMBER(AF232),AF232&lt;&gt;0,TRIM(U232)&lt;&gt;"Pass after CA"))),1,0)</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8" t="b">
        <f aca="false">TRUE()</f>
        <v>1</v>
      </c>
    </row>
    <row r="233" customFormat="false" ht="41.25" hidden="false" customHeight="true" outlineLevel="0" collapsed="false">
      <c r="A233" s="57" t="s">
        <v>763</v>
      </c>
      <c r="B233" s="57" t="s">
        <v>227</v>
      </c>
      <c r="C233" s="57" t="str">
        <f aca="false">Flights!$F$11</f>
        <v>MH0003</v>
      </c>
      <c r="D233" s="58" t="n">
        <f aca="false">Flights!$D$11</f>
        <v>46304</v>
      </c>
      <c r="E233" s="57" t="str">
        <f aca="false">Flights!$G$11&amp;"-"&amp;Flights!$H$11</f>
        <v>LHR-KUL</v>
      </c>
      <c r="F233" s="57" t="str">
        <f aca="false">Flights!$K$11</f>
        <v>BC</v>
      </c>
      <c r="G233" s="57" t="s">
        <v>385</v>
      </c>
      <c r="H233" s="57" t="s">
        <v>343</v>
      </c>
      <c r="I233" s="57" t="s">
        <v>405</v>
      </c>
      <c r="J233" s="57" t="s">
        <v>568</v>
      </c>
      <c r="K233" s="67" t="s">
        <v>466</v>
      </c>
      <c r="L233" s="67" t="s">
        <v>699</v>
      </c>
      <c r="M233" s="67" t="s">
        <v>179</v>
      </c>
      <c r="N233" s="67" t="s">
        <v>348</v>
      </c>
      <c r="O233" s="67" t="s">
        <v>764</v>
      </c>
      <c r="P233" s="57" t="s">
        <v>179</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59" t="n">
        <f aca="false">Q233-T12EarlyH/24</f>
        <v>46303.1006944444</v>
      </c>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IF(N233="N/A – rule","N/A – RULE",IF(TRIM(U233)="N/A",IF(AT233=0,"INVALID – N/A not permitted for this mandatory check",IF(AND(TRIM(AC233)&lt;&gt;"",TRIM(AE233)&lt;&gt;"",TRIM(T233)&lt;&gt;"",TRIM(AE233)&lt;&gt;TRIM(T233)),"N/A – JUSTIFIED","INVALID – N/A needs justification, PIC and a different verifier")),IF(OR(TRIM(U233)="Pass",TRIM(U233)="Pass after CA"),IF(NOT(ISNUMBER(AD233)),"INVALID – completion time missing",IF(TRIM(T233)="","INVALID – PIC missing",IF(TRIM(V233)="","INVALID – result / assessment missing",IF(TRIM(Z233)="","INVALID – evidence missing",IF(TRIM(AE233)="","INVALID – verifier missing",IF(TRIM(AE233)=TRIM(T233),"INVALID – verifier must be someone other than the PIC",IF(AND(AQ233=1,TRIM(W233)=""),"INVALID – batch ID missing",IF(AND(AR233=1,OR(NOT(ISNUMBER(X233)),NOT(ISNUMBER(Y233)))),"INVALID – expected/actual qty missing",IF(IF(AND(TRIM(U233)="Pass",ISNUMBER(AF233)),IF(AF233&lt;&gt;0,"INVALID – qty variance: use Fail or Pass after CA",""),"")&amp;IF(AND(TRIM(U233)="Pass",TRIM(AB233)&lt;&gt;"",TRIM(AB233)&lt;&gt;"Closed"),"INVALID – corrective action not closed: use Fail, then Pass after CA","")&amp;IF(AND(TRIM(AA233)&lt;&gt;"",TRIM(AB233)=""),"INVALID – CA status missing for the recorded corrective action","")&amp;IF(AND(TRIM(U233)="Pass after CA",OR(TRIM(AA233)="",TRIM(AB233)&lt;&gt;"Closed")),"INVALID – corrective action not recorded/closed","")&lt;&gt;"",IF(AND(TRIM(U233)="Pass",ISNUMBER(AF233)),IF(AF233&lt;&gt;0,"INVALID – qty variance: use Fail or Pass after CA",""),"")&amp;IF(AND(TRIM(U233)="Pass",TRIM(AB233)&lt;&gt;"",TRIM(AB233)&lt;&gt;"Closed"),"INVALID – corrective action not closed: use Fail, then Pass after CA","")&amp;IF(AND(TRIM(AA233)&lt;&gt;"",TRIM(AB233)=""),"INVALID – CA status missing for the recorded corrective action","")&amp;IF(AND(TRIM(U233)="Pass after CA",OR(TRIM(AA233)="",TRIM(AB233)&lt;&gt;"Closed")),"INVALID – corrective action not recorded/closed",""),IF(AND(AS233=1,Documents!$J$11&lt;&gt;"ON FILE"),"INVALID – GLD not on file (Documents sheet)",IF(AND(AS233=2,Documents!$O$11&lt;&gt;"ON FILE"),"INVALID – menu checklist not on file (Documents sheet)",IF(AND(AS233=3,NOT(ISNUMBER(Flights!$AX$11))),"INVALID – enter carrying flight KUL departure (Flights AX)",IF(AND(AS233=3,OR(Flights!$AX$11&gt;=Flights!$AA$11,Flights!$AX$11&lt;Flights!$AA$11-3)),"INVALID – Flights AX must be before this leg's STD (within 3 days)",IF(AG233&gt;AsOfUTC,"INVALID – completion time is in the future",IF(AND(ISNUMBER(S233),AG233&lt;S233),IF(H233="Physical uplift","INVALID – before uplift window (cannot confirm loading)","INVALID – before valid window"),IF(AG233&gt;Flights!$AA$11,"INVALID – completed after departure (cannot establish readiness)",IF(AND(H233="Physical uplift",AG233&gt;Q233),"INVALID – recorded after the loading flight departed",IF(AG233&gt;Q233,"COMPLETE – LATE","COMPLETE")))))))))))))))))),IF(TRIM(U233)="Fail","FAIL – DISCREPANCY",IF(AND(TRIM(U233)&lt;&gt;"",TRIM(U233)&lt;&gt;"Not started",TRIM(U233)&lt;&gt;"In progress"),"INVALID – unrecognised status (use the list)",IF(AsOfUTC&gt;Q233,"OVERDUE",IF(N233="Clarification required","OPEN – CLARIFICATION","OPEN")))))))</f>
        <v>OPEN</v>
      </c>
      <c r="AI233" s="61" t="n">
        <f aca="false">IF(OR(AH233="N/A – RULE",AH233="N/A – JUSTIFIED"),0,1)</f>
        <v>1</v>
      </c>
      <c r="AJ233" s="61" t="n">
        <f aca="false">IF(LEFT(AH233,8)="COMPLETE",1,0)</f>
        <v>0</v>
      </c>
      <c r="AK233" s="61" t="n">
        <f aca="false">IF(AND(AI233=1,AJ233=0,AsOfUTC&gt;Q233),1,0)</f>
        <v>0</v>
      </c>
      <c r="AL233" s="61" t="n">
        <f aca="false">IF(AND(AI233=1,OR(TRIM(U233)="Fail",AND(TRIM(AB233)&lt;&gt;"",TRIM(AB233)&lt;&gt;"Closed"),AND(ISNUMBER(AF233),AF233&lt;&gt;0,TRIM(U233)&lt;&gt;"Pass after CA"))),1,0)</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8" t="b">
        <f aca="false">TRUE()</f>
        <v>1</v>
      </c>
    </row>
    <row r="234" customFormat="false" ht="41.25" hidden="false" customHeight="true" outlineLevel="0" collapsed="false">
      <c r="A234" s="57" t="s">
        <v>765</v>
      </c>
      <c r="B234" s="57" t="s">
        <v>227</v>
      </c>
      <c r="C234" s="57" t="str">
        <f aca="false">Flights!$F$11</f>
        <v>MH0003</v>
      </c>
      <c r="D234" s="58" t="n">
        <f aca="false">Flights!$D$11</f>
        <v>46304</v>
      </c>
      <c r="E234" s="57" t="str">
        <f aca="false">Flights!$G$11&amp;"-"&amp;Flights!$H$11</f>
        <v>LHR-KUL</v>
      </c>
      <c r="F234" s="57" t="str">
        <f aca="false">Flights!$K$11</f>
        <v>BC</v>
      </c>
      <c r="G234" s="57" t="s">
        <v>385</v>
      </c>
      <c r="H234" s="57" t="s">
        <v>343</v>
      </c>
      <c r="I234" s="57" t="s">
        <v>464</v>
      </c>
      <c r="J234" s="57" t="s">
        <v>465</v>
      </c>
      <c r="K234" s="67" t="s">
        <v>466</v>
      </c>
      <c r="L234" s="67" t="s">
        <v>701</v>
      </c>
      <c r="M234" s="67" t="s">
        <v>416</v>
      </c>
      <c r="N234" s="67" t="s">
        <v>348</v>
      </c>
      <c r="O234" s="67" t="s">
        <v>417</v>
      </c>
      <c r="P234" s="57" t="s">
        <v>178</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59" t="n">
        <f aca="false">Q234-T12EarlyH/24</f>
        <v>46303.4166666667</v>
      </c>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IF(N234="N/A – rule","N/A – RULE",IF(TRIM(U234)="N/A",IF(AT234=0,"INVALID – N/A not permitted for this mandatory check",IF(AND(TRIM(AC234)&lt;&gt;"",TRIM(AE234)&lt;&gt;"",TRIM(T234)&lt;&gt;"",TRIM(AE234)&lt;&gt;TRIM(T234)),"N/A – JUSTIFIED","INVALID – N/A needs justification, PIC and a different verifier")),IF(OR(TRIM(U234)="Pass",TRIM(U234)="Pass after CA"),IF(NOT(ISNUMBER(AD234)),"INVALID – completion time missing",IF(TRIM(T234)="","INVALID – PIC missing",IF(TRIM(V234)="","INVALID – result / assessment missing",IF(TRIM(Z234)="","INVALID – evidence missing",IF(TRIM(AE234)="","INVALID – verifier missing",IF(TRIM(AE234)=TRIM(T234),"INVALID – verifier must be someone other than the PIC",IF(AND(AQ234=1,TRIM(W234)=""),"INVALID – batch ID missing",IF(AND(AR234=1,OR(NOT(ISNUMBER(X234)),NOT(ISNUMBER(Y234)))),"INVALID – expected/actual qty missing",IF(IF(AND(TRIM(U234)="Pass",ISNUMBER(AF234)),IF(AF234&lt;&gt;0,"INVALID – qty variance: use Fail or Pass after CA",""),"")&amp;IF(AND(TRIM(U234)="Pass",TRIM(AB234)&lt;&gt;"",TRIM(AB234)&lt;&gt;"Closed"),"INVALID – corrective action not closed: use Fail, then Pass after CA","")&amp;IF(AND(TRIM(AA234)&lt;&gt;"",TRIM(AB234)=""),"INVALID – CA status missing for the recorded corrective action","")&amp;IF(AND(TRIM(U234)="Pass after CA",OR(TRIM(AA234)="",TRIM(AB234)&lt;&gt;"Closed")),"INVALID – corrective action not recorded/closed","")&lt;&gt;"",IF(AND(TRIM(U234)="Pass",ISNUMBER(AF234)),IF(AF234&lt;&gt;0,"INVALID – qty variance: use Fail or Pass after CA",""),"")&amp;IF(AND(TRIM(U234)="Pass",TRIM(AB234)&lt;&gt;"",TRIM(AB234)&lt;&gt;"Closed"),"INVALID – corrective action not closed: use Fail, then Pass after CA","")&amp;IF(AND(TRIM(AA234)&lt;&gt;"",TRIM(AB234)=""),"INVALID – CA status missing for the recorded corrective action","")&amp;IF(AND(TRIM(U234)="Pass after CA",OR(TRIM(AA234)="",TRIM(AB234)&lt;&gt;"Closed")),"INVALID – corrective action not recorded/closed",""),IF(AND(AS234=1,Documents!$J$11&lt;&gt;"ON FILE"),"INVALID – GLD not on file (Documents sheet)",IF(AND(AS234=2,Documents!$O$11&lt;&gt;"ON FILE"),"INVALID – menu checklist not on file (Documents sheet)",IF(AND(AS234=3,NOT(ISNUMBER(Flights!$AX$11))),"INVALID – enter carrying flight KUL departure (Flights AX)",IF(AND(AS234=3,OR(Flights!$AX$11&gt;=Flights!$AA$11,Flights!$AX$11&lt;Flights!$AA$11-3)),"INVALID – Flights AX must be before this leg's STD (within 3 days)",IF(AG234&gt;AsOfUTC,"INVALID – completion time is in the future",IF(AND(ISNUMBER(S234),AG234&lt;S234),IF(H234="Physical uplift","INVALID – before uplift window (cannot confirm loading)","INVALID – before valid window"),IF(AG234&gt;Flights!$AA$11,"INVALID – completed after departure (cannot establish readiness)",IF(AND(H234="Physical uplift",AG234&gt;Q234),"INVALID – recorded after the loading flight departed",IF(AG234&gt;Q234,"COMPLETE – LATE","COMPLETE")))))))))))))))))),IF(TRIM(U234)="Fail","FAIL – DISCREPANCY",IF(AND(TRIM(U234)&lt;&gt;"",TRIM(U234)&lt;&gt;"Not started",TRIM(U234)&lt;&gt;"In progress"),"INVALID – unrecognised status (use the list)",IF(AsOfUTC&gt;Q234,"OVERDUE",IF(N234="Clarification required","OPEN – CLARIFICATION","OPEN")))))))</f>
        <v>OPEN</v>
      </c>
      <c r="AI234" s="61" t="n">
        <f aca="false">IF(OR(AH234="N/A – RULE",AH234="N/A – JUSTIFIED"),0,1)</f>
        <v>1</v>
      </c>
      <c r="AJ234" s="61" t="n">
        <f aca="false">IF(LEFT(AH234,8)="COMPLETE",1,0)</f>
        <v>0</v>
      </c>
      <c r="AK234" s="61" t="n">
        <f aca="false">IF(AND(AI234=1,AJ234=0,AsOfUTC&gt;Q234),1,0)</f>
        <v>0</v>
      </c>
      <c r="AL234" s="61" t="n">
        <f aca="false">IF(AND(AI234=1,OR(TRIM(U234)="Fail",AND(TRIM(AB234)&lt;&gt;"",TRIM(AB234)&lt;&gt;"Closed"),AND(ISNUMBER(AF234),AF234&lt;&gt;0,TRIM(U234)&lt;&gt;"Pass after CA"))),1,0)</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8" t="b">
        <f aca="false">TRUE()</f>
        <v>1</v>
      </c>
    </row>
    <row r="235" customFormat="false" ht="41.25" hidden="false" customHeight="true" outlineLevel="0" collapsed="false">
      <c r="A235" s="57" t="s">
        <v>766</v>
      </c>
      <c r="B235" s="57" t="s">
        <v>227</v>
      </c>
      <c r="C235" s="57" t="str">
        <f aca="false">Flights!$F$11</f>
        <v>MH0003</v>
      </c>
      <c r="D235" s="58" t="n">
        <f aca="false">Flights!$D$11</f>
        <v>46304</v>
      </c>
      <c r="E235" s="57" t="str">
        <f aca="false">Flights!$G$11&amp;"-"&amp;Flights!$H$11</f>
        <v>LHR-KUL</v>
      </c>
      <c r="F235" s="57" t="str">
        <f aca="false">Flights!$K$11</f>
        <v>BC</v>
      </c>
      <c r="G235" s="57" t="s">
        <v>385</v>
      </c>
      <c r="H235" s="57" t="s">
        <v>343</v>
      </c>
      <c r="I235" s="57" t="s">
        <v>464</v>
      </c>
      <c r="J235" s="57" t="s">
        <v>470</v>
      </c>
      <c r="K235" s="67" t="s">
        <v>466</v>
      </c>
      <c r="L235" s="67" t="s">
        <v>703</v>
      </c>
      <c r="M235" s="67" t="s">
        <v>416</v>
      </c>
      <c r="N235" s="67" t="s">
        <v>348</v>
      </c>
      <c r="O235" s="67" t="s">
        <v>417</v>
      </c>
      <c r="P235" s="57" t="s">
        <v>178</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59" t="n">
        <f aca="false">Q235-T12EarlyH/24</f>
        <v>46303.4166666667</v>
      </c>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IF(N235="N/A – rule","N/A – RULE",IF(TRIM(U235)="N/A",IF(AT235=0,"INVALID – N/A not permitted for this mandatory check",IF(AND(TRIM(AC235)&lt;&gt;"",TRIM(AE235)&lt;&gt;"",TRIM(T235)&lt;&gt;"",TRIM(AE235)&lt;&gt;TRIM(T235)),"N/A – JUSTIFIED","INVALID – N/A needs justification, PIC and a different verifier")),IF(OR(TRIM(U235)="Pass",TRIM(U235)="Pass after CA"),IF(NOT(ISNUMBER(AD235)),"INVALID – completion time missing",IF(TRIM(T235)="","INVALID – PIC missing",IF(TRIM(V235)="","INVALID – result / assessment missing",IF(TRIM(Z235)="","INVALID – evidence missing",IF(TRIM(AE235)="","INVALID – verifier missing",IF(TRIM(AE235)=TRIM(T235),"INVALID – verifier must be someone other than the PIC",IF(AND(AQ235=1,TRIM(W235)=""),"INVALID – batch ID missing",IF(AND(AR235=1,OR(NOT(ISNUMBER(X235)),NOT(ISNUMBER(Y235)))),"INVALID – expected/actual qty missing",IF(IF(AND(TRIM(U235)="Pass",ISNUMBER(AF235)),IF(AF235&lt;&gt;0,"INVALID – qty variance: use Fail or Pass after CA",""),"")&amp;IF(AND(TRIM(U235)="Pass",TRIM(AB235)&lt;&gt;"",TRIM(AB235)&lt;&gt;"Closed"),"INVALID – corrective action not closed: use Fail, then Pass after CA","")&amp;IF(AND(TRIM(AA235)&lt;&gt;"",TRIM(AB235)=""),"INVALID – CA status missing for the recorded corrective action","")&amp;IF(AND(TRIM(U235)="Pass after CA",OR(TRIM(AA235)="",TRIM(AB235)&lt;&gt;"Closed")),"INVALID – corrective action not recorded/closed","")&lt;&gt;"",IF(AND(TRIM(U235)="Pass",ISNUMBER(AF235)),IF(AF235&lt;&gt;0,"INVALID – qty variance: use Fail or Pass after CA",""),"")&amp;IF(AND(TRIM(U235)="Pass",TRIM(AB235)&lt;&gt;"",TRIM(AB235)&lt;&gt;"Closed"),"INVALID – corrective action not closed: use Fail, then Pass after CA","")&amp;IF(AND(TRIM(AA235)&lt;&gt;"",TRIM(AB235)=""),"INVALID – CA status missing for the recorded corrective action","")&amp;IF(AND(TRIM(U235)="Pass after CA",OR(TRIM(AA235)="",TRIM(AB235)&lt;&gt;"Closed")),"INVALID – corrective action not recorded/closed",""),IF(AND(AS235=1,Documents!$J$11&lt;&gt;"ON FILE"),"INVALID – GLD not on file (Documents sheet)",IF(AND(AS235=2,Documents!$O$11&lt;&gt;"ON FILE"),"INVALID – menu checklist not on file (Documents sheet)",IF(AND(AS235=3,NOT(ISNUMBER(Flights!$AX$11))),"INVALID – enter carrying flight KUL departure (Flights AX)",IF(AND(AS235=3,OR(Flights!$AX$11&gt;=Flights!$AA$11,Flights!$AX$11&lt;Flights!$AA$11-3)),"INVALID – Flights AX must be before this leg's STD (within 3 days)",IF(AG235&gt;AsOfUTC,"INVALID – completion time is in the future",IF(AND(ISNUMBER(S235),AG235&lt;S235),IF(H235="Physical uplift","INVALID – before uplift window (cannot confirm loading)","INVALID – before valid window"),IF(AG235&gt;Flights!$AA$11,"INVALID – completed after departure (cannot establish readiness)",IF(AND(H235="Physical uplift",AG235&gt;Q235),"INVALID – recorded after the loading flight departed",IF(AG235&gt;Q235,"COMPLETE – LATE","COMPLETE")))))))))))))))))),IF(TRIM(U235)="Fail","FAIL – DISCREPANCY",IF(AND(TRIM(U235)&lt;&gt;"",TRIM(U235)&lt;&gt;"Not started",TRIM(U235)&lt;&gt;"In progress"),"INVALID – unrecognised status (use the list)",IF(AsOfUTC&gt;Q235,"OVERDUE",IF(N235="Clarification required","OPEN – CLARIFICATION","OPEN")))))))</f>
        <v>OPEN</v>
      </c>
      <c r="AI235" s="61" t="n">
        <f aca="false">IF(OR(AH235="N/A – RULE",AH235="N/A – JUSTIFIED"),0,1)</f>
        <v>1</v>
      </c>
      <c r="AJ235" s="61" t="n">
        <f aca="false">IF(LEFT(AH235,8)="COMPLETE",1,0)</f>
        <v>0</v>
      </c>
      <c r="AK235" s="61" t="n">
        <f aca="false">IF(AND(AI235=1,AJ235=0,AsOfUTC&gt;Q235),1,0)</f>
        <v>0</v>
      </c>
      <c r="AL235" s="61" t="n">
        <f aca="false">IF(AND(AI235=1,OR(TRIM(U235)="Fail",AND(TRIM(AB235)&lt;&gt;"",TRIM(AB235)&lt;&gt;"Closed"),AND(ISNUMBER(AF235),AF235&lt;&gt;0,TRIM(U235)&lt;&gt;"Pass after CA"))),1,0)</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8" t="b">
        <f aca="false">TRUE()</f>
        <v>1</v>
      </c>
    </row>
    <row r="236" customFormat="false" ht="41.25" hidden="false" customHeight="true" outlineLevel="0" collapsed="false">
      <c r="A236" s="57" t="s">
        <v>767</v>
      </c>
      <c r="B236" s="57" t="s">
        <v>227</v>
      </c>
      <c r="C236" s="57" t="str">
        <f aca="false">Flights!$F$11</f>
        <v>MH0003</v>
      </c>
      <c r="D236" s="58" t="n">
        <f aca="false">Flights!$D$11</f>
        <v>46304</v>
      </c>
      <c r="E236" s="57" t="str">
        <f aca="false">Flights!$G$11&amp;"-"&amp;Flights!$H$11</f>
        <v>LHR-KUL</v>
      </c>
      <c r="F236" s="57" t="str">
        <f aca="false">Flights!$K$11</f>
        <v>BC</v>
      </c>
      <c r="G236" s="57" t="s">
        <v>385</v>
      </c>
      <c r="H236" s="57" t="s">
        <v>343</v>
      </c>
      <c r="I236" s="57" t="s">
        <v>464</v>
      </c>
      <c r="J236" s="57" t="s">
        <v>473</v>
      </c>
      <c r="K236" s="67" t="s">
        <v>466</v>
      </c>
      <c r="L236" s="67" t="s">
        <v>705</v>
      </c>
      <c r="M236" s="67" t="s">
        <v>416</v>
      </c>
      <c r="N236" s="67" t="s">
        <v>348</v>
      </c>
      <c r="O236" s="67" t="s">
        <v>417</v>
      </c>
      <c r="P236" s="57" t="s">
        <v>178</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59" t="n">
        <f aca="false">Q236-T12EarlyH/24</f>
        <v>46303.4166666667</v>
      </c>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IF(N236="N/A – rule","N/A – RULE",IF(TRIM(U236)="N/A",IF(AT236=0,"INVALID – N/A not permitted for this mandatory check",IF(AND(TRIM(AC236)&lt;&gt;"",TRIM(AE236)&lt;&gt;"",TRIM(T236)&lt;&gt;"",TRIM(AE236)&lt;&gt;TRIM(T236)),"N/A – JUSTIFIED","INVALID – N/A needs justification, PIC and a different verifier")),IF(OR(TRIM(U236)="Pass",TRIM(U236)="Pass after CA"),IF(NOT(ISNUMBER(AD236)),"INVALID – completion time missing",IF(TRIM(T236)="","INVALID – PIC missing",IF(TRIM(V236)="","INVALID – result / assessment missing",IF(TRIM(Z236)="","INVALID – evidence missing",IF(TRIM(AE236)="","INVALID – verifier missing",IF(TRIM(AE236)=TRIM(T236),"INVALID – verifier must be someone other than the PIC",IF(AND(AQ236=1,TRIM(W236)=""),"INVALID – batch ID missing",IF(AND(AR236=1,OR(NOT(ISNUMBER(X236)),NOT(ISNUMBER(Y236)))),"INVALID – expected/actual qty missing",IF(IF(AND(TRIM(U236)="Pass",ISNUMBER(AF236)),IF(AF236&lt;&gt;0,"INVALID – qty variance: use Fail or Pass after CA",""),"")&amp;IF(AND(TRIM(U236)="Pass",TRIM(AB236)&lt;&gt;"",TRIM(AB236)&lt;&gt;"Closed"),"INVALID – corrective action not closed: use Fail, then Pass after CA","")&amp;IF(AND(TRIM(AA236)&lt;&gt;"",TRIM(AB236)=""),"INVALID – CA status missing for the recorded corrective action","")&amp;IF(AND(TRIM(U236)="Pass after CA",OR(TRIM(AA236)="",TRIM(AB236)&lt;&gt;"Closed")),"INVALID – corrective action not recorded/closed","")&lt;&gt;"",IF(AND(TRIM(U236)="Pass",ISNUMBER(AF236)),IF(AF236&lt;&gt;0,"INVALID – qty variance: use Fail or Pass after CA",""),"")&amp;IF(AND(TRIM(U236)="Pass",TRIM(AB236)&lt;&gt;"",TRIM(AB236)&lt;&gt;"Closed"),"INVALID – corrective action not closed: use Fail, then Pass after CA","")&amp;IF(AND(TRIM(AA236)&lt;&gt;"",TRIM(AB236)=""),"INVALID – CA status missing for the recorded corrective action","")&amp;IF(AND(TRIM(U236)="Pass after CA",OR(TRIM(AA236)="",TRIM(AB236)&lt;&gt;"Closed")),"INVALID – corrective action not recorded/closed",""),IF(AND(AS236=1,Documents!$J$11&lt;&gt;"ON FILE"),"INVALID – GLD not on file (Documents sheet)",IF(AND(AS236=2,Documents!$O$11&lt;&gt;"ON FILE"),"INVALID – menu checklist not on file (Documents sheet)",IF(AND(AS236=3,NOT(ISNUMBER(Flights!$AX$11))),"INVALID – enter carrying flight KUL departure (Flights AX)",IF(AND(AS236=3,OR(Flights!$AX$11&gt;=Flights!$AA$11,Flights!$AX$11&lt;Flights!$AA$11-3)),"INVALID – Flights AX must be before this leg's STD (within 3 days)",IF(AG236&gt;AsOfUTC,"INVALID – completion time is in the future",IF(AND(ISNUMBER(S236),AG236&lt;S236),IF(H236="Physical uplift","INVALID – before uplift window (cannot confirm loading)","INVALID – before valid window"),IF(AG236&gt;Flights!$AA$11,"INVALID – completed after departure (cannot establish readiness)",IF(AND(H236="Physical uplift",AG236&gt;Q236),"INVALID – recorded after the loading flight departed",IF(AG236&gt;Q236,"COMPLETE – LATE","COMPLETE")))))))))))))))))),IF(TRIM(U236)="Fail","FAIL – DISCREPANCY",IF(AND(TRIM(U236)&lt;&gt;"",TRIM(U236)&lt;&gt;"Not started",TRIM(U236)&lt;&gt;"In progress"),"INVALID – unrecognised status (use the list)",IF(AsOfUTC&gt;Q236,"OVERDUE",IF(N236="Clarification required","OPEN – CLARIFICATION","OPEN")))))))</f>
        <v>OPEN</v>
      </c>
      <c r="AI236" s="61" t="n">
        <f aca="false">IF(OR(AH236="N/A – RULE",AH236="N/A – JUSTIFIED"),0,1)</f>
        <v>1</v>
      </c>
      <c r="AJ236" s="61" t="n">
        <f aca="false">IF(LEFT(AH236,8)="COMPLETE",1,0)</f>
        <v>0</v>
      </c>
      <c r="AK236" s="61" t="n">
        <f aca="false">IF(AND(AI236=1,AJ236=0,AsOfUTC&gt;Q236),1,0)</f>
        <v>0</v>
      </c>
      <c r="AL236" s="61" t="n">
        <f aca="false">IF(AND(AI236=1,OR(TRIM(U236)="Fail",AND(TRIM(AB236)&lt;&gt;"",TRIM(AB236)&lt;&gt;"Closed"),AND(ISNUMBER(AF236),AF236&lt;&gt;0,TRIM(U236)&lt;&gt;"Pass after CA"))),1,0)</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8" t="b">
        <f aca="false">TRUE()</f>
        <v>1</v>
      </c>
    </row>
    <row r="237" customFormat="false" ht="41.25" hidden="false" customHeight="true" outlineLevel="0" collapsed="false">
      <c r="A237" s="57" t="s">
        <v>768</v>
      </c>
      <c r="B237" s="57" t="s">
        <v>227</v>
      </c>
      <c r="C237" s="57" t="str">
        <f aca="false">Flights!$F$11</f>
        <v>MH0003</v>
      </c>
      <c r="D237" s="58" t="n">
        <f aca="false">Flights!$D$11</f>
        <v>46304</v>
      </c>
      <c r="E237" s="57" t="str">
        <f aca="false">Flights!$G$11&amp;"-"&amp;Flights!$H$11</f>
        <v>LHR-KUL</v>
      </c>
      <c r="F237" s="57" t="str">
        <f aca="false">Flights!$K$11</f>
        <v>BC</v>
      </c>
      <c r="G237" s="57" t="s">
        <v>385</v>
      </c>
      <c r="H237" s="57" t="s">
        <v>343</v>
      </c>
      <c r="I237" s="57" t="s">
        <v>464</v>
      </c>
      <c r="J237" s="57" t="s">
        <v>476</v>
      </c>
      <c r="K237" s="67" t="s">
        <v>466</v>
      </c>
      <c r="L237" s="67" t="s">
        <v>707</v>
      </c>
      <c r="M237" s="67" t="s">
        <v>416</v>
      </c>
      <c r="N237" s="67" t="s">
        <v>348</v>
      </c>
      <c r="O237" s="67" t="s">
        <v>417</v>
      </c>
      <c r="P237" s="57" t="s">
        <v>178</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59" t="n">
        <f aca="false">Q237-T12EarlyH/24</f>
        <v>46303.4166666667</v>
      </c>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IF(N237="N/A – rule","N/A – RULE",IF(TRIM(U237)="N/A",IF(AT237=0,"INVALID – N/A not permitted for this mandatory check",IF(AND(TRIM(AC237)&lt;&gt;"",TRIM(AE237)&lt;&gt;"",TRIM(T237)&lt;&gt;"",TRIM(AE237)&lt;&gt;TRIM(T237)),"N/A – JUSTIFIED","INVALID – N/A needs justification, PIC and a different verifier")),IF(OR(TRIM(U237)="Pass",TRIM(U237)="Pass after CA"),IF(NOT(ISNUMBER(AD237)),"INVALID – completion time missing",IF(TRIM(T237)="","INVALID – PIC missing",IF(TRIM(V237)="","INVALID – result / assessment missing",IF(TRIM(Z237)="","INVALID – evidence missing",IF(TRIM(AE237)="","INVALID – verifier missing",IF(TRIM(AE237)=TRIM(T237),"INVALID – verifier must be someone other than the PIC",IF(AND(AQ237=1,TRIM(W237)=""),"INVALID – batch ID missing",IF(AND(AR237=1,OR(NOT(ISNUMBER(X237)),NOT(ISNUMBER(Y237)))),"INVALID – expected/actual qty missing",IF(IF(AND(TRIM(U237)="Pass",ISNUMBER(AF237)),IF(AF237&lt;&gt;0,"INVALID – qty variance: use Fail or Pass after CA",""),"")&amp;IF(AND(TRIM(U237)="Pass",TRIM(AB237)&lt;&gt;"",TRIM(AB237)&lt;&gt;"Closed"),"INVALID – corrective action not closed: use Fail, then Pass after CA","")&amp;IF(AND(TRIM(AA237)&lt;&gt;"",TRIM(AB237)=""),"INVALID – CA status missing for the recorded corrective action","")&amp;IF(AND(TRIM(U237)="Pass after CA",OR(TRIM(AA237)="",TRIM(AB237)&lt;&gt;"Closed")),"INVALID – corrective action not recorded/closed","")&lt;&gt;"",IF(AND(TRIM(U237)="Pass",ISNUMBER(AF237)),IF(AF237&lt;&gt;0,"INVALID – qty variance: use Fail or Pass after CA",""),"")&amp;IF(AND(TRIM(U237)="Pass",TRIM(AB237)&lt;&gt;"",TRIM(AB237)&lt;&gt;"Closed"),"INVALID – corrective action not closed: use Fail, then Pass after CA","")&amp;IF(AND(TRIM(AA237)&lt;&gt;"",TRIM(AB237)=""),"INVALID – CA status missing for the recorded corrective action","")&amp;IF(AND(TRIM(U237)="Pass after CA",OR(TRIM(AA237)="",TRIM(AB237)&lt;&gt;"Closed")),"INVALID – corrective action not recorded/closed",""),IF(AND(AS237=1,Documents!$J$11&lt;&gt;"ON FILE"),"INVALID – GLD not on file (Documents sheet)",IF(AND(AS237=2,Documents!$O$11&lt;&gt;"ON FILE"),"INVALID – menu checklist not on file (Documents sheet)",IF(AND(AS237=3,NOT(ISNUMBER(Flights!$AX$11))),"INVALID – enter carrying flight KUL departure (Flights AX)",IF(AND(AS237=3,OR(Flights!$AX$11&gt;=Flights!$AA$11,Flights!$AX$11&lt;Flights!$AA$11-3)),"INVALID – Flights AX must be before this leg's STD (within 3 days)",IF(AG237&gt;AsOfUTC,"INVALID – completion time is in the future",IF(AND(ISNUMBER(S237),AG237&lt;S237),IF(H237="Physical uplift","INVALID – before uplift window (cannot confirm loading)","INVALID – before valid window"),IF(AG237&gt;Flights!$AA$11,"INVALID – completed after departure (cannot establish readiness)",IF(AND(H237="Physical uplift",AG237&gt;Q237),"INVALID – recorded after the loading flight departed",IF(AG237&gt;Q237,"COMPLETE – LATE","COMPLETE")))))))))))))))))),IF(TRIM(U237)="Fail","FAIL – DISCREPANCY",IF(AND(TRIM(U237)&lt;&gt;"",TRIM(U237)&lt;&gt;"Not started",TRIM(U237)&lt;&gt;"In progress"),"INVALID – unrecognised status (use the list)",IF(AsOfUTC&gt;Q237,"OVERDUE",IF(N237="Clarification required","OPEN – CLARIFICATION","OPEN")))))))</f>
        <v>OPEN</v>
      </c>
      <c r="AI237" s="61" t="n">
        <f aca="false">IF(OR(AH237="N/A – RULE",AH237="N/A – JUSTIFIED"),0,1)</f>
        <v>1</v>
      </c>
      <c r="AJ237" s="61" t="n">
        <f aca="false">IF(LEFT(AH237,8)="COMPLETE",1,0)</f>
        <v>0</v>
      </c>
      <c r="AK237" s="61" t="n">
        <f aca="false">IF(AND(AI237=1,AJ237=0,AsOfUTC&gt;Q237),1,0)</f>
        <v>0</v>
      </c>
      <c r="AL237" s="61" t="n">
        <f aca="false">IF(AND(AI237=1,OR(TRIM(U237)="Fail",AND(TRIM(AB237)&lt;&gt;"",TRIM(AB237)&lt;&gt;"Closed"),AND(ISNUMBER(AF237),AF237&lt;&gt;0,TRIM(U237)&lt;&gt;"Pass after CA"))),1,0)</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8" t="b">
        <f aca="false">TRUE()</f>
        <v>1</v>
      </c>
    </row>
    <row r="238" customFormat="false" ht="41.25" hidden="false" customHeight="true" outlineLevel="0" collapsed="false">
      <c r="A238" s="57" t="s">
        <v>769</v>
      </c>
      <c r="B238" s="57" t="s">
        <v>227</v>
      </c>
      <c r="C238" s="57" t="str">
        <f aca="false">Flights!$F$11</f>
        <v>MH0003</v>
      </c>
      <c r="D238" s="58" t="n">
        <f aca="false">Flights!$D$11</f>
        <v>46304</v>
      </c>
      <c r="E238" s="57" t="str">
        <f aca="false">Flights!$G$11&amp;"-"&amp;Flights!$H$11</f>
        <v>LHR-KUL</v>
      </c>
      <c r="F238" s="57" t="str">
        <f aca="false">Flights!$K$11</f>
        <v>BC</v>
      </c>
      <c r="G238" s="57" t="s">
        <v>385</v>
      </c>
      <c r="H238" s="57" t="s">
        <v>343</v>
      </c>
      <c r="I238" s="57" t="s">
        <v>464</v>
      </c>
      <c r="J238" s="57" t="s">
        <v>480</v>
      </c>
      <c r="K238" s="67" t="s">
        <v>466</v>
      </c>
      <c r="L238" s="67" t="s">
        <v>709</v>
      </c>
      <c r="M238" s="67" t="s">
        <v>416</v>
      </c>
      <c r="N238" s="67" t="s">
        <v>348</v>
      </c>
      <c r="O238" s="67" t="s">
        <v>417</v>
      </c>
      <c r="P238" s="57" t="s">
        <v>178</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59" t="n">
        <f aca="false">Q238-T12EarlyH/24</f>
        <v>46303.4166666667</v>
      </c>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IF(N238="N/A – rule","N/A – RULE",IF(TRIM(U238)="N/A",IF(AT238=0,"INVALID – N/A not permitted for this mandatory check",IF(AND(TRIM(AC238)&lt;&gt;"",TRIM(AE238)&lt;&gt;"",TRIM(T238)&lt;&gt;"",TRIM(AE238)&lt;&gt;TRIM(T238)),"N/A – JUSTIFIED","INVALID – N/A needs justification, PIC and a different verifier")),IF(OR(TRIM(U238)="Pass",TRIM(U238)="Pass after CA"),IF(NOT(ISNUMBER(AD238)),"INVALID – completion time missing",IF(TRIM(T238)="","INVALID – PIC missing",IF(TRIM(V238)="","INVALID – result / assessment missing",IF(TRIM(Z238)="","INVALID – evidence missing",IF(TRIM(AE238)="","INVALID – verifier missing",IF(TRIM(AE238)=TRIM(T238),"INVALID – verifier must be someone other than the PIC",IF(AND(AQ238=1,TRIM(W238)=""),"INVALID – batch ID missing",IF(AND(AR238=1,OR(NOT(ISNUMBER(X238)),NOT(ISNUMBER(Y238)))),"INVALID – expected/actual qty missing",IF(IF(AND(TRIM(U238)="Pass",ISNUMBER(AF238)),IF(AF238&lt;&gt;0,"INVALID – qty variance: use Fail or Pass after CA",""),"")&amp;IF(AND(TRIM(U238)="Pass",TRIM(AB238)&lt;&gt;"",TRIM(AB238)&lt;&gt;"Closed"),"INVALID – corrective action not closed: use Fail, then Pass after CA","")&amp;IF(AND(TRIM(AA238)&lt;&gt;"",TRIM(AB238)=""),"INVALID – CA status missing for the recorded corrective action","")&amp;IF(AND(TRIM(U238)="Pass after CA",OR(TRIM(AA238)="",TRIM(AB238)&lt;&gt;"Closed")),"INVALID – corrective action not recorded/closed","")&lt;&gt;"",IF(AND(TRIM(U238)="Pass",ISNUMBER(AF238)),IF(AF238&lt;&gt;0,"INVALID – qty variance: use Fail or Pass after CA",""),"")&amp;IF(AND(TRIM(U238)="Pass",TRIM(AB238)&lt;&gt;"",TRIM(AB238)&lt;&gt;"Closed"),"INVALID – corrective action not closed: use Fail, then Pass after CA","")&amp;IF(AND(TRIM(AA238)&lt;&gt;"",TRIM(AB238)=""),"INVALID – CA status missing for the recorded corrective action","")&amp;IF(AND(TRIM(U238)="Pass after CA",OR(TRIM(AA238)="",TRIM(AB238)&lt;&gt;"Closed")),"INVALID – corrective action not recorded/closed",""),IF(AND(AS238=1,Documents!$J$11&lt;&gt;"ON FILE"),"INVALID – GLD not on file (Documents sheet)",IF(AND(AS238=2,Documents!$O$11&lt;&gt;"ON FILE"),"INVALID – menu checklist not on file (Documents sheet)",IF(AND(AS238=3,NOT(ISNUMBER(Flights!$AX$11))),"INVALID – enter carrying flight KUL departure (Flights AX)",IF(AND(AS238=3,OR(Flights!$AX$11&gt;=Flights!$AA$11,Flights!$AX$11&lt;Flights!$AA$11-3)),"INVALID – Flights AX must be before this leg's STD (within 3 days)",IF(AG238&gt;AsOfUTC,"INVALID – completion time is in the future",IF(AND(ISNUMBER(S238),AG238&lt;S238),IF(H238="Physical uplift","INVALID – before uplift window (cannot confirm loading)","INVALID – before valid window"),IF(AG238&gt;Flights!$AA$11,"INVALID – completed after departure (cannot establish readiness)",IF(AND(H238="Physical uplift",AG238&gt;Q238),"INVALID – recorded after the loading flight departed",IF(AG238&gt;Q238,"COMPLETE – LATE","COMPLETE")))))))))))))))))),IF(TRIM(U238)="Fail","FAIL – DISCREPANCY",IF(AND(TRIM(U238)&lt;&gt;"",TRIM(U238)&lt;&gt;"Not started",TRIM(U238)&lt;&gt;"In progress"),"INVALID – unrecognised status (use the list)",IF(AsOfUTC&gt;Q238,"OVERDUE",IF(N238="Clarification required","OPEN – CLARIFICATION","OPEN")))))))</f>
        <v>OPEN</v>
      </c>
      <c r="AI238" s="61" t="n">
        <f aca="false">IF(OR(AH238="N/A – RULE",AH238="N/A – JUSTIFIED"),0,1)</f>
        <v>1</v>
      </c>
      <c r="AJ238" s="61" t="n">
        <f aca="false">IF(LEFT(AH238,8)="COMPLETE",1,0)</f>
        <v>0</v>
      </c>
      <c r="AK238" s="61" t="n">
        <f aca="false">IF(AND(AI238=1,AJ238=0,AsOfUTC&gt;Q238),1,0)</f>
        <v>0</v>
      </c>
      <c r="AL238" s="61" t="n">
        <f aca="false">IF(AND(AI238=1,OR(TRIM(U238)="Fail",AND(TRIM(AB238)&lt;&gt;"",TRIM(AB238)&lt;&gt;"Closed"),AND(ISNUMBER(AF238),AF238&lt;&gt;0,TRIM(U238)&lt;&gt;"Pass after CA"))),1,0)</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8" t="b">
        <f aca="false">TRUE()</f>
        <v>1</v>
      </c>
    </row>
    <row r="239" customFormat="false" ht="54" hidden="false" customHeight="true" outlineLevel="0" collapsed="false">
      <c r="A239" s="57" t="s">
        <v>770</v>
      </c>
      <c r="B239" s="57" t="s">
        <v>227</v>
      </c>
      <c r="C239" s="57" t="str">
        <f aca="false">Flights!$F$11</f>
        <v>MH0003</v>
      </c>
      <c r="D239" s="58" t="n">
        <f aca="false">Flights!$D$11</f>
        <v>46304</v>
      </c>
      <c r="E239" s="57" t="str">
        <f aca="false">Flights!$G$11&amp;"-"&amp;Flights!$H$11</f>
        <v>LHR-KUL</v>
      </c>
      <c r="F239" s="57" t="str">
        <f aca="false">Flights!$K$11</f>
        <v>BC</v>
      </c>
      <c r="G239" s="57" t="s">
        <v>385</v>
      </c>
      <c r="H239" s="57" t="s">
        <v>343</v>
      </c>
      <c r="I239" s="57" t="s">
        <v>464</v>
      </c>
      <c r="J239" s="57" t="s">
        <v>483</v>
      </c>
      <c r="K239" s="67" t="s">
        <v>581</v>
      </c>
      <c r="L239" s="67" t="s">
        <v>711</v>
      </c>
      <c r="M239" s="67" t="s">
        <v>416</v>
      </c>
      <c r="N239" s="67" t="s">
        <v>348</v>
      </c>
      <c r="O239" s="67" t="s">
        <v>771</v>
      </c>
      <c r="P239" s="57" t="s">
        <v>178</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59" t="n">
        <f aca="false">Q239-T12EarlyH/24</f>
        <v>46303.4166666667</v>
      </c>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IF(N239="N/A – rule","N/A – RULE",IF(TRIM(U239)="N/A",IF(AT239=0,"INVALID – N/A not permitted for this mandatory check",IF(AND(TRIM(AC239)&lt;&gt;"",TRIM(AE239)&lt;&gt;"",TRIM(T239)&lt;&gt;"",TRIM(AE239)&lt;&gt;TRIM(T239)),"N/A – JUSTIFIED","INVALID – N/A needs justification, PIC and a different verifier")),IF(OR(TRIM(U239)="Pass",TRIM(U239)="Pass after CA"),IF(NOT(ISNUMBER(AD239)),"INVALID – completion time missing",IF(TRIM(T239)="","INVALID – PIC missing",IF(TRIM(V239)="","INVALID – result / assessment missing",IF(TRIM(Z239)="","INVALID – evidence missing",IF(TRIM(AE239)="","INVALID – verifier missing",IF(TRIM(AE239)=TRIM(T239),"INVALID – verifier must be someone other than the PIC",IF(AND(AQ239=1,TRIM(W239)=""),"INVALID – batch ID missing",IF(AND(AR239=1,OR(NOT(ISNUMBER(X239)),NOT(ISNUMBER(Y239)))),"INVALID – expected/actual qty missing",IF(IF(AND(TRIM(U239)="Pass",ISNUMBER(AF239)),IF(AF239&lt;&gt;0,"INVALID – qty variance: use Fail or Pass after CA",""),"")&amp;IF(AND(TRIM(U239)="Pass",TRIM(AB239)&lt;&gt;"",TRIM(AB239)&lt;&gt;"Closed"),"INVALID – corrective action not closed: use Fail, then Pass after CA","")&amp;IF(AND(TRIM(AA239)&lt;&gt;"",TRIM(AB239)=""),"INVALID – CA status missing for the recorded corrective action","")&amp;IF(AND(TRIM(U239)="Pass after CA",OR(TRIM(AA239)="",TRIM(AB239)&lt;&gt;"Closed")),"INVALID – corrective action not recorded/closed","")&lt;&gt;"",IF(AND(TRIM(U239)="Pass",ISNUMBER(AF239)),IF(AF239&lt;&gt;0,"INVALID – qty variance: use Fail or Pass after CA",""),"")&amp;IF(AND(TRIM(U239)="Pass",TRIM(AB239)&lt;&gt;"",TRIM(AB239)&lt;&gt;"Closed"),"INVALID – corrective action not closed: use Fail, then Pass after CA","")&amp;IF(AND(TRIM(AA239)&lt;&gt;"",TRIM(AB239)=""),"INVALID – CA status missing for the recorded corrective action","")&amp;IF(AND(TRIM(U239)="Pass after CA",OR(TRIM(AA239)="",TRIM(AB239)&lt;&gt;"Closed")),"INVALID – corrective action not recorded/closed",""),IF(AND(AS239=1,Documents!$J$11&lt;&gt;"ON FILE"),"INVALID – GLD not on file (Documents sheet)",IF(AND(AS239=2,Documents!$O$11&lt;&gt;"ON FILE"),"INVALID – menu checklist not on file (Documents sheet)",IF(AND(AS239=3,NOT(ISNUMBER(Flights!$AX$11))),"INVALID – enter carrying flight KUL departure (Flights AX)",IF(AND(AS239=3,OR(Flights!$AX$11&gt;=Flights!$AA$11,Flights!$AX$11&lt;Flights!$AA$11-3)),"INVALID – Flights AX must be before this leg's STD (within 3 days)",IF(AG239&gt;AsOfUTC,"INVALID – completion time is in the future",IF(AND(ISNUMBER(S239),AG239&lt;S239),IF(H239="Physical uplift","INVALID – before uplift window (cannot confirm loading)","INVALID – before valid window"),IF(AG239&gt;Flights!$AA$11,"INVALID – completed after departure (cannot establish readiness)",IF(AND(H239="Physical uplift",AG239&gt;Q239),"INVALID – recorded after the loading flight departed",IF(AG239&gt;Q239,"COMPLETE – LATE","COMPLETE")))))))))))))))))),IF(TRIM(U239)="Fail","FAIL – DISCREPANCY",IF(AND(TRIM(U239)&lt;&gt;"",TRIM(U239)&lt;&gt;"Not started",TRIM(U239)&lt;&gt;"In progress"),"INVALID – unrecognised status (use the list)",IF(AsOfUTC&gt;Q239,"OVERDUE",IF(N239="Clarification required","OPEN – CLARIFICATION","OPEN")))))))</f>
        <v>OPEN</v>
      </c>
      <c r="AI239" s="61" t="n">
        <f aca="false">IF(OR(AH239="N/A – RULE",AH239="N/A – JUSTIFIED"),0,1)</f>
        <v>1</v>
      </c>
      <c r="AJ239" s="61" t="n">
        <f aca="false">IF(LEFT(AH239,8)="COMPLETE",1,0)</f>
        <v>0</v>
      </c>
      <c r="AK239" s="61" t="n">
        <f aca="false">IF(AND(AI239=1,AJ239=0,AsOfUTC&gt;Q239),1,0)</f>
        <v>0</v>
      </c>
      <c r="AL239" s="61" t="n">
        <f aca="false">IF(AND(AI239=1,OR(TRIM(U239)="Fail",AND(TRIM(AB239)&lt;&gt;"",TRIM(AB239)&lt;&gt;"Closed"),AND(ISNUMBER(AF239),AF239&lt;&gt;0,TRIM(U239)&lt;&gt;"Pass after CA"))),1,0)</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8" t="b">
        <f aca="false">TRUE()</f>
        <v>1</v>
      </c>
    </row>
    <row r="240" customFormat="false" ht="41.25" hidden="false" customHeight="true" outlineLevel="0" collapsed="false">
      <c r="A240" s="57" t="s">
        <v>772</v>
      </c>
      <c r="B240" s="57" t="s">
        <v>227</v>
      </c>
      <c r="C240" s="57" t="str">
        <f aca="false">Flights!$F$11</f>
        <v>MH0003</v>
      </c>
      <c r="D240" s="58" t="n">
        <f aca="false">Flights!$D$11</f>
        <v>46304</v>
      </c>
      <c r="E240" s="57" t="str">
        <f aca="false">Flights!$G$11&amp;"-"&amp;Flights!$H$11</f>
        <v>LHR-KUL</v>
      </c>
      <c r="F240" s="57" t="str">
        <f aca="false">Flights!$K$11</f>
        <v>BC</v>
      </c>
      <c r="G240" s="57" t="s">
        <v>385</v>
      </c>
      <c r="H240" s="57" t="s">
        <v>343</v>
      </c>
      <c r="I240" s="57" t="s">
        <v>464</v>
      </c>
      <c r="J240" s="57" t="s">
        <v>488</v>
      </c>
      <c r="K240" s="67" t="s">
        <v>466</v>
      </c>
      <c r="L240" s="67" t="s">
        <v>713</v>
      </c>
      <c r="M240" s="67" t="s">
        <v>416</v>
      </c>
      <c r="N240" s="67" t="s">
        <v>348</v>
      </c>
      <c r="O240" s="67" t="s">
        <v>417</v>
      </c>
      <c r="P240" s="57" t="s">
        <v>178</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59" t="n">
        <f aca="false">Q240-T12EarlyH/24</f>
        <v>46303.4166666667</v>
      </c>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IF(N240="N/A – rule","N/A – RULE",IF(TRIM(U240)="N/A",IF(AT240=0,"INVALID – N/A not permitted for this mandatory check",IF(AND(TRIM(AC240)&lt;&gt;"",TRIM(AE240)&lt;&gt;"",TRIM(T240)&lt;&gt;"",TRIM(AE240)&lt;&gt;TRIM(T240)),"N/A – JUSTIFIED","INVALID – N/A needs justification, PIC and a different verifier")),IF(OR(TRIM(U240)="Pass",TRIM(U240)="Pass after CA"),IF(NOT(ISNUMBER(AD240)),"INVALID – completion time missing",IF(TRIM(T240)="","INVALID – PIC missing",IF(TRIM(V240)="","INVALID – result / assessment missing",IF(TRIM(Z240)="","INVALID – evidence missing",IF(TRIM(AE240)="","INVALID – verifier missing",IF(TRIM(AE240)=TRIM(T240),"INVALID – verifier must be someone other than the PIC",IF(AND(AQ240=1,TRIM(W240)=""),"INVALID – batch ID missing",IF(AND(AR240=1,OR(NOT(ISNUMBER(X240)),NOT(ISNUMBER(Y240)))),"INVALID – expected/actual qty missing",IF(IF(AND(TRIM(U240)="Pass",ISNUMBER(AF240)),IF(AF240&lt;&gt;0,"INVALID – qty variance: use Fail or Pass after CA",""),"")&amp;IF(AND(TRIM(U240)="Pass",TRIM(AB240)&lt;&gt;"",TRIM(AB240)&lt;&gt;"Closed"),"INVALID – corrective action not closed: use Fail, then Pass after CA","")&amp;IF(AND(TRIM(AA240)&lt;&gt;"",TRIM(AB240)=""),"INVALID – CA status missing for the recorded corrective action","")&amp;IF(AND(TRIM(U240)="Pass after CA",OR(TRIM(AA240)="",TRIM(AB240)&lt;&gt;"Closed")),"INVALID – corrective action not recorded/closed","")&lt;&gt;"",IF(AND(TRIM(U240)="Pass",ISNUMBER(AF240)),IF(AF240&lt;&gt;0,"INVALID – qty variance: use Fail or Pass after CA",""),"")&amp;IF(AND(TRIM(U240)="Pass",TRIM(AB240)&lt;&gt;"",TRIM(AB240)&lt;&gt;"Closed"),"INVALID – corrective action not closed: use Fail, then Pass after CA","")&amp;IF(AND(TRIM(AA240)&lt;&gt;"",TRIM(AB240)=""),"INVALID – CA status missing for the recorded corrective action","")&amp;IF(AND(TRIM(U240)="Pass after CA",OR(TRIM(AA240)="",TRIM(AB240)&lt;&gt;"Closed")),"INVALID – corrective action not recorded/closed",""),IF(AND(AS240=1,Documents!$J$11&lt;&gt;"ON FILE"),"INVALID – GLD not on file (Documents sheet)",IF(AND(AS240=2,Documents!$O$11&lt;&gt;"ON FILE"),"INVALID – menu checklist not on file (Documents sheet)",IF(AND(AS240=3,NOT(ISNUMBER(Flights!$AX$11))),"INVALID – enter carrying flight KUL departure (Flights AX)",IF(AND(AS240=3,OR(Flights!$AX$11&gt;=Flights!$AA$11,Flights!$AX$11&lt;Flights!$AA$11-3)),"INVALID – Flights AX must be before this leg's STD (within 3 days)",IF(AG240&gt;AsOfUTC,"INVALID – completion time is in the future",IF(AND(ISNUMBER(S240),AG240&lt;S240),IF(H240="Physical uplift","INVALID – before uplift window (cannot confirm loading)","INVALID – before valid window"),IF(AG240&gt;Flights!$AA$11,"INVALID – completed after departure (cannot establish readiness)",IF(AND(H240="Physical uplift",AG240&gt;Q240),"INVALID – recorded after the loading flight departed",IF(AG240&gt;Q240,"COMPLETE – LATE","COMPLETE")))))))))))))))))),IF(TRIM(U240)="Fail","FAIL – DISCREPANCY",IF(AND(TRIM(U240)&lt;&gt;"",TRIM(U240)&lt;&gt;"Not started",TRIM(U240)&lt;&gt;"In progress"),"INVALID – unrecognised status (use the list)",IF(AsOfUTC&gt;Q240,"OVERDUE",IF(N240="Clarification required","OPEN – CLARIFICATION","OPEN")))))))</f>
        <v>OPEN</v>
      </c>
      <c r="AI240" s="61" t="n">
        <f aca="false">IF(OR(AH240="N/A – RULE",AH240="N/A – JUSTIFIED"),0,1)</f>
        <v>1</v>
      </c>
      <c r="AJ240" s="61" t="n">
        <f aca="false">IF(LEFT(AH240,8)="COMPLETE",1,0)</f>
        <v>0</v>
      </c>
      <c r="AK240" s="61" t="n">
        <f aca="false">IF(AND(AI240=1,AJ240=0,AsOfUTC&gt;Q240),1,0)</f>
        <v>0</v>
      </c>
      <c r="AL240" s="61" t="n">
        <f aca="false">IF(AND(AI240=1,OR(TRIM(U240)="Fail",AND(TRIM(AB240)&lt;&gt;"",TRIM(AB240)&lt;&gt;"Closed"),AND(ISNUMBER(AF240),AF240&lt;&gt;0,TRIM(U240)&lt;&gt;"Pass after CA"))),1,0)</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8" t="b">
        <f aca="false">TRUE()</f>
        <v>1</v>
      </c>
    </row>
    <row r="241" customFormat="false" ht="41.25" hidden="false" customHeight="true" outlineLevel="0" collapsed="false">
      <c r="A241" s="57" t="s">
        <v>773</v>
      </c>
      <c r="B241" s="57" t="s">
        <v>227</v>
      </c>
      <c r="C241" s="57" t="str">
        <f aca="false">Flights!$F$11</f>
        <v>MH0003</v>
      </c>
      <c r="D241" s="58" t="n">
        <f aca="false">Flights!$D$11</f>
        <v>46304</v>
      </c>
      <c r="E241" s="57" t="str">
        <f aca="false">Flights!$G$11&amp;"-"&amp;Flights!$H$11</f>
        <v>LHR-KUL</v>
      </c>
      <c r="F241" s="57" t="str">
        <f aca="false">Flights!$K$11</f>
        <v>BC</v>
      </c>
      <c r="G241" s="57" t="s">
        <v>385</v>
      </c>
      <c r="H241" s="57" t="s">
        <v>343</v>
      </c>
      <c r="I241" s="57" t="s">
        <v>412</v>
      </c>
      <c r="J241" s="57" t="s">
        <v>491</v>
      </c>
      <c r="K241" s="67" t="s">
        <v>414</v>
      </c>
      <c r="L241" s="67" t="s">
        <v>715</v>
      </c>
      <c r="M241" s="67" t="s">
        <v>416</v>
      </c>
      <c r="N241" s="67" t="s">
        <v>348</v>
      </c>
      <c r="O241" s="67" t="s">
        <v>417</v>
      </c>
      <c r="P241" s="57" t="s">
        <v>178</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59" t="n">
        <f aca="false">Q241-T12EarlyH/24</f>
        <v>46303.4166666667</v>
      </c>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IF(N241="N/A – rule","N/A – RULE",IF(TRIM(U241)="N/A",IF(AT241=0,"INVALID – N/A not permitted for this mandatory check",IF(AND(TRIM(AC241)&lt;&gt;"",TRIM(AE241)&lt;&gt;"",TRIM(T241)&lt;&gt;"",TRIM(AE241)&lt;&gt;TRIM(T241)),"N/A – JUSTIFIED","INVALID – N/A needs justification, PIC and a different verifier")),IF(OR(TRIM(U241)="Pass",TRIM(U241)="Pass after CA"),IF(NOT(ISNUMBER(AD241)),"INVALID – completion time missing",IF(TRIM(T241)="","INVALID – PIC missing",IF(TRIM(V241)="","INVALID – result / assessment missing",IF(TRIM(Z241)="","INVALID – evidence missing",IF(TRIM(AE241)="","INVALID – verifier missing",IF(TRIM(AE241)=TRIM(T241),"INVALID – verifier must be someone other than the PIC",IF(AND(AQ241=1,TRIM(W241)=""),"INVALID – batch ID missing",IF(AND(AR241=1,OR(NOT(ISNUMBER(X241)),NOT(ISNUMBER(Y241)))),"INVALID – expected/actual qty missing",IF(IF(AND(TRIM(U241)="Pass",ISNUMBER(AF241)),IF(AF241&lt;&gt;0,"INVALID – qty variance: use Fail or Pass after CA",""),"")&amp;IF(AND(TRIM(U241)="Pass",TRIM(AB241)&lt;&gt;"",TRIM(AB241)&lt;&gt;"Closed"),"INVALID – corrective action not closed: use Fail, then Pass after CA","")&amp;IF(AND(TRIM(AA241)&lt;&gt;"",TRIM(AB241)=""),"INVALID – CA status missing for the recorded corrective action","")&amp;IF(AND(TRIM(U241)="Pass after CA",OR(TRIM(AA241)="",TRIM(AB241)&lt;&gt;"Closed")),"INVALID – corrective action not recorded/closed","")&lt;&gt;"",IF(AND(TRIM(U241)="Pass",ISNUMBER(AF241)),IF(AF241&lt;&gt;0,"INVALID – qty variance: use Fail or Pass after CA",""),"")&amp;IF(AND(TRIM(U241)="Pass",TRIM(AB241)&lt;&gt;"",TRIM(AB241)&lt;&gt;"Closed"),"INVALID – corrective action not closed: use Fail, then Pass after CA","")&amp;IF(AND(TRIM(AA241)&lt;&gt;"",TRIM(AB241)=""),"INVALID – CA status missing for the recorded corrective action","")&amp;IF(AND(TRIM(U241)="Pass after CA",OR(TRIM(AA241)="",TRIM(AB241)&lt;&gt;"Closed")),"INVALID – corrective action not recorded/closed",""),IF(AND(AS241=1,Documents!$J$11&lt;&gt;"ON FILE"),"INVALID – GLD not on file (Documents sheet)",IF(AND(AS241=2,Documents!$O$11&lt;&gt;"ON FILE"),"INVALID – menu checklist not on file (Documents sheet)",IF(AND(AS241=3,NOT(ISNUMBER(Flights!$AX$11))),"INVALID – enter carrying flight KUL departure (Flights AX)",IF(AND(AS241=3,OR(Flights!$AX$11&gt;=Flights!$AA$11,Flights!$AX$11&lt;Flights!$AA$11-3)),"INVALID – Flights AX must be before this leg's STD (within 3 days)",IF(AG241&gt;AsOfUTC,"INVALID – completion time is in the future",IF(AND(ISNUMBER(S241),AG241&lt;S241),IF(H241="Physical uplift","INVALID – before uplift window (cannot confirm loading)","INVALID – before valid window"),IF(AG241&gt;Flights!$AA$11,"INVALID – completed after departure (cannot establish readiness)",IF(AND(H241="Physical uplift",AG241&gt;Q241),"INVALID – recorded after the loading flight departed",IF(AG241&gt;Q241,"COMPLETE – LATE","COMPLETE")))))))))))))))))),IF(TRIM(U241)="Fail","FAIL – DISCREPANCY",IF(AND(TRIM(U241)&lt;&gt;"",TRIM(U241)&lt;&gt;"Not started",TRIM(U241)&lt;&gt;"In progress"),"INVALID – unrecognised status (use the list)",IF(AsOfUTC&gt;Q241,"OVERDUE",IF(N241="Clarification required","OPEN – CLARIFICATION","OPEN")))))))</f>
        <v>OPEN</v>
      </c>
      <c r="AI241" s="61" t="n">
        <f aca="false">IF(OR(AH241="N/A – RULE",AH241="N/A – JUSTIFIED"),0,1)</f>
        <v>1</v>
      </c>
      <c r="AJ241" s="61" t="n">
        <f aca="false">IF(LEFT(AH241,8)="COMPLETE",1,0)</f>
        <v>0</v>
      </c>
      <c r="AK241" s="61" t="n">
        <f aca="false">IF(AND(AI241=1,AJ241=0,AsOfUTC&gt;Q241),1,0)</f>
        <v>0</v>
      </c>
      <c r="AL241" s="61" t="n">
        <f aca="false">IF(AND(AI241=1,OR(TRIM(U241)="Fail",AND(TRIM(AB241)&lt;&gt;"",TRIM(AB241)&lt;&gt;"Closed"),AND(ISNUMBER(AF241),AF241&lt;&gt;0,TRIM(U241)&lt;&gt;"Pass after CA"))),1,0)</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8" t="b">
        <f aca="false">TRUE()</f>
        <v>1</v>
      </c>
    </row>
    <row r="242" customFormat="false" ht="41.25" hidden="false" customHeight="true" outlineLevel="0" collapsed="false">
      <c r="A242" s="57" t="s">
        <v>774</v>
      </c>
      <c r="B242" s="57" t="s">
        <v>227</v>
      </c>
      <c r="C242" s="57" t="str">
        <f aca="false">Flights!$F$11</f>
        <v>MH0003</v>
      </c>
      <c r="D242" s="58" t="n">
        <f aca="false">Flights!$D$11</f>
        <v>46304</v>
      </c>
      <c r="E242" s="57" t="str">
        <f aca="false">Flights!$G$11&amp;"-"&amp;Flights!$H$11</f>
        <v>LHR-KUL</v>
      </c>
      <c r="F242" s="57" t="str">
        <f aca="false">Flights!$K$11</f>
        <v>BC</v>
      </c>
      <c r="G242" s="57" t="s">
        <v>385</v>
      </c>
      <c r="H242" s="57" t="s">
        <v>343</v>
      </c>
      <c r="I242" s="57" t="s">
        <v>412</v>
      </c>
      <c r="J242" s="57" t="s">
        <v>588</v>
      </c>
      <c r="K242" s="67" t="s">
        <v>414</v>
      </c>
      <c r="L242" s="67" t="s">
        <v>717</v>
      </c>
      <c r="M242" s="67" t="s">
        <v>416</v>
      </c>
      <c r="N242" s="67" t="s">
        <v>348</v>
      </c>
      <c r="O242" s="67" t="s">
        <v>417</v>
      </c>
      <c r="P242" s="57" t="s">
        <v>178</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59" t="n">
        <f aca="false">Q242-T12EarlyH/24</f>
        <v>46303.4166666667</v>
      </c>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IF(N242="N/A – rule","N/A – RULE",IF(TRIM(U242)="N/A",IF(AT242=0,"INVALID – N/A not permitted for this mandatory check",IF(AND(TRIM(AC242)&lt;&gt;"",TRIM(AE242)&lt;&gt;"",TRIM(T242)&lt;&gt;"",TRIM(AE242)&lt;&gt;TRIM(T242)),"N/A – JUSTIFIED","INVALID – N/A needs justification, PIC and a different verifier")),IF(OR(TRIM(U242)="Pass",TRIM(U242)="Pass after CA"),IF(NOT(ISNUMBER(AD242)),"INVALID – completion time missing",IF(TRIM(T242)="","INVALID – PIC missing",IF(TRIM(V242)="","INVALID – result / assessment missing",IF(TRIM(Z242)="","INVALID – evidence missing",IF(TRIM(AE242)="","INVALID – verifier missing",IF(TRIM(AE242)=TRIM(T242),"INVALID – verifier must be someone other than the PIC",IF(AND(AQ242=1,TRIM(W242)=""),"INVALID – batch ID missing",IF(AND(AR242=1,OR(NOT(ISNUMBER(X242)),NOT(ISNUMBER(Y242)))),"INVALID – expected/actual qty missing",IF(IF(AND(TRIM(U242)="Pass",ISNUMBER(AF242)),IF(AF242&lt;&gt;0,"INVALID – qty variance: use Fail or Pass after CA",""),"")&amp;IF(AND(TRIM(U242)="Pass",TRIM(AB242)&lt;&gt;"",TRIM(AB242)&lt;&gt;"Closed"),"INVALID – corrective action not closed: use Fail, then Pass after CA","")&amp;IF(AND(TRIM(AA242)&lt;&gt;"",TRIM(AB242)=""),"INVALID – CA status missing for the recorded corrective action","")&amp;IF(AND(TRIM(U242)="Pass after CA",OR(TRIM(AA242)="",TRIM(AB242)&lt;&gt;"Closed")),"INVALID – corrective action not recorded/closed","")&lt;&gt;"",IF(AND(TRIM(U242)="Pass",ISNUMBER(AF242)),IF(AF242&lt;&gt;0,"INVALID – qty variance: use Fail or Pass after CA",""),"")&amp;IF(AND(TRIM(U242)="Pass",TRIM(AB242)&lt;&gt;"",TRIM(AB242)&lt;&gt;"Closed"),"INVALID – corrective action not closed: use Fail, then Pass after CA","")&amp;IF(AND(TRIM(AA242)&lt;&gt;"",TRIM(AB242)=""),"INVALID – CA status missing for the recorded corrective action","")&amp;IF(AND(TRIM(U242)="Pass after CA",OR(TRIM(AA242)="",TRIM(AB242)&lt;&gt;"Closed")),"INVALID – corrective action not recorded/closed",""),IF(AND(AS242=1,Documents!$J$11&lt;&gt;"ON FILE"),"INVALID – GLD not on file (Documents sheet)",IF(AND(AS242=2,Documents!$O$11&lt;&gt;"ON FILE"),"INVALID – menu checklist not on file (Documents sheet)",IF(AND(AS242=3,NOT(ISNUMBER(Flights!$AX$11))),"INVALID – enter carrying flight KUL departure (Flights AX)",IF(AND(AS242=3,OR(Flights!$AX$11&gt;=Flights!$AA$11,Flights!$AX$11&lt;Flights!$AA$11-3)),"INVALID – Flights AX must be before this leg's STD (within 3 days)",IF(AG242&gt;AsOfUTC,"INVALID – completion time is in the future",IF(AND(ISNUMBER(S242),AG242&lt;S242),IF(H242="Physical uplift","INVALID – before uplift window (cannot confirm loading)","INVALID – before valid window"),IF(AG242&gt;Flights!$AA$11,"INVALID – completed after departure (cannot establish readiness)",IF(AND(H242="Physical uplift",AG242&gt;Q242),"INVALID – recorded after the loading flight departed",IF(AG242&gt;Q242,"COMPLETE – LATE","COMPLETE")))))))))))))))))),IF(TRIM(U242)="Fail","FAIL – DISCREPANCY",IF(AND(TRIM(U242)&lt;&gt;"",TRIM(U242)&lt;&gt;"Not started",TRIM(U242)&lt;&gt;"In progress"),"INVALID – unrecognised status (use the list)",IF(AsOfUTC&gt;Q242,"OVERDUE",IF(N242="Clarification required","OPEN – CLARIFICATION","OPEN")))))))</f>
        <v>OPEN</v>
      </c>
      <c r="AI242" s="61" t="n">
        <f aca="false">IF(OR(AH242="N/A – RULE",AH242="N/A – JUSTIFIED"),0,1)</f>
        <v>1</v>
      </c>
      <c r="AJ242" s="61" t="n">
        <f aca="false">IF(LEFT(AH242,8)="COMPLETE",1,0)</f>
        <v>0</v>
      </c>
      <c r="AK242" s="61" t="n">
        <f aca="false">IF(AND(AI242=1,AJ242=0,AsOfUTC&gt;Q242),1,0)</f>
        <v>0</v>
      </c>
      <c r="AL242" s="61" t="n">
        <f aca="false">IF(AND(AI242=1,OR(TRIM(U242)="Fail",AND(TRIM(AB242)&lt;&gt;"",TRIM(AB242)&lt;&gt;"Closed"),AND(ISNUMBER(AF242),AF242&lt;&gt;0,TRIM(U242)&lt;&gt;"Pass after CA"))),1,0)</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8" t="b">
        <f aca="false">TRUE()</f>
        <v>1</v>
      </c>
    </row>
    <row r="243" customFormat="false" ht="41.25" hidden="false" customHeight="true" outlineLevel="0" collapsed="false">
      <c r="A243" s="57" t="s">
        <v>775</v>
      </c>
      <c r="B243" s="57" t="s">
        <v>227</v>
      </c>
      <c r="C243" s="57" t="str">
        <f aca="false">Flights!$F$11</f>
        <v>MH0003</v>
      </c>
      <c r="D243" s="58" t="n">
        <f aca="false">Flights!$D$11</f>
        <v>46304</v>
      </c>
      <c r="E243" s="57" t="str">
        <f aca="false">Flights!$G$11&amp;"-"&amp;Flights!$H$11</f>
        <v>LHR-KUL</v>
      </c>
      <c r="F243" s="57" t="str">
        <f aca="false">Flights!$K$11</f>
        <v>BC</v>
      </c>
      <c r="G243" s="57" t="s">
        <v>385</v>
      </c>
      <c r="H243" s="57" t="s">
        <v>343</v>
      </c>
      <c r="I243" s="57" t="s">
        <v>412</v>
      </c>
      <c r="J243" s="57" t="s">
        <v>591</v>
      </c>
      <c r="K243" s="67" t="s">
        <v>414</v>
      </c>
      <c r="L243" s="67" t="s">
        <v>719</v>
      </c>
      <c r="M243" s="67" t="s">
        <v>416</v>
      </c>
      <c r="N243" s="67" t="s">
        <v>348</v>
      </c>
      <c r="O243" s="67" t="s">
        <v>417</v>
      </c>
      <c r="P243" s="57" t="s">
        <v>178</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59" t="n">
        <f aca="false">Q243-T12EarlyH/24</f>
        <v>46303.4166666667</v>
      </c>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IF(N243="N/A – rule","N/A – RULE",IF(TRIM(U243)="N/A",IF(AT243=0,"INVALID – N/A not permitted for this mandatory check",IF(AND(TRIM(AC243)&lt;&gt;"",TRIM(AE243)&lt;&gt;"",TRIM(T243)&lt;&gt;"",TRIM(AE243)&lt;&gt;TRIM(T243)),"N/A – JUSTIFIED","INVALID – N/A needs justification, PIC and a different verifier")),IF(OR(TRIM(U243)="Pass",TRIM(U243)="Pass after CA"),IF(NOT(ISNUMBER(AD243)),"INVALID – completion time missing",IF(TRIM(T243)="","INVALID – PIC missing",IF(TRIM(V243)="","INVALID – result / assessment missing",IF(TRIM(Z243)="","INVALID – evidence missing",IF(TRIM(AE243)="","INVALID – verifier missing",IF(TRIM(AE243)=TRIM(T243),"INVALID – verifier must be someone other than the PIC",IF(AND(AQ243=1,TRIM(W243)=""),"INVALID – batch ID missing",IF(AND(AR243=1,OR(NOT(ISNUMBER(X243)),NOT(ISNUMBER(Y243)))),"INVALID – expected/actual qty missing",IF(IF(AND(TRIM(U243)="Pass",ISNUMBER(AF243)),IF(AF243&lt;&gt;0,"INVALID – qty variance: use Fail or Pass after CA",""),"")&amp;IF(AND(TRIM(U243)="Pass",TRIM(AB243)&lt;&gt;"",TRIM(AB243)&lt;&gt;"Closed"),"INVALID – corrective action not closed: use Fail, then Pass after CA","")&amp;IF(AND(TRIM(AA243)&lt;&gt;"",TRIM(AB243)=""),"INVALID – CA status missing for the recorded corrective action","")&amp;IF(AND(TRIM(U243)="Pass after CA",OR(TRIM(AA243)="",TRIM(AB243)&lt;&gt;"Closed")),"INVALID – corrective action not recorded/closed","")&lt;&gt;"",IF(AND(TRIM(U243)="Pass",ISNUMBER(AF243)),IF(AF243&lt;&gt;0,"INVALID – qty variance: use Fail or Pass after CA",""),"")&amp;IF(AND(TRIM(U243)="Pass",TRIM(AB243)&lt;&gt;"",TRIM(AB243)&lt;&gt;"Closed"),"INVALID – corrective action not closed: use Fail, then Pass after CA","")&amp;IF(AND(TRIM(AA243)&lt;&gt;"",TRIM(AB243)=""),"INVALID – CA status missing for the recorded corrective action","")&amp;IF(AND(TRIM(U243)="Pass after CA",OR(TRIM(AA243)="",TRIM(AB243)&lt;&gt;"Closed")),"INVALID – corrective action not recorded/closed",""),IF(AND(AS243=1,Documents!$J$11&lt;&gt;"ON FILE"),"INVALID – GLD not on file (Documents sheet)",IF(AND(AS243=2,Documents!$O$11&lt;&gt;"ON FILE"),"INVALID – menu checklist not on file (Documents sheet)",IF(AND(AS243=3,NOT(ISNUMBER(Flights!$AX$11))),"INVALID – enter carrying flight KUL departure (Flights AX)",IF(AND(AS243=3,OR(Flights!$AX$11&gt;=Flights!$AA$11,Flights!$AX$11&lt;Flights!$AA$11-3)),"INVALID – Flights AX must be before this leg's STD (within 3 days)",IF(AG243&gt;AsOfUTC,"INVALID – completion time is in the future",IF(AND(ISNUMBER(S243),AG243&lt;S243),IF(H243="Physical uplift","INVALID – before uplift window (cannot confirm loading)","INVALID – before valid window"),IF(AG243&gt;Flights!$AA$11,"INVALID – completed after departure (cannot establish readiness)",IF(AND(H243="Physical uplift",AG243&gt;Q243),"INVALID – recorded after the loading flight departed",IF(AG243&gt;Q243,"COMPLETE – LATE","COMPLETE")))))))))))))))))),IF(TRIM(U243)="Fail","FAIL – DISCREPANCY",IF(AND(TRIM(U243)&lt;&gt;"",TRIM(U243)&lt;&gt;"Not started",TRIM(U243)&lt;&gt;"In progress"),"INVALID – unrecognised status (use the list)",IF(AsOfUTC&gt;Q243,"OVERDUE",IF(N243="Clarification required","OPEN – CLARIFICATION","OPEN")))))))</f>
        <v>OPEN</v>
      </c>
      <c r="AI243" s="61" t="n">
        <f aca="false">IF(OR(AH243="N/A – RULE",AH243="N/A – JUSTIFIED"),0,1)</f>
        <v>1</v>
      </c>
      <c r="AJ243" s="61" t="n">
        <f aca="false">IF(LEFT(AH243,8)="COMPLETE",1,0)</f>
        <v>0</v>
      </c>
      <c r="AK243" s="61" t="n">
        <f aca="false">IF(AND(AI243=1,AJ243=0,AsOfUTC&gt;Q243),1,0)</f>
        <v>0</v>
      </c>
      <c r="AL243" s="61" t="n">
        <f aca="false">IF(AND(AI243=1,OR(TRIM(U243)="Fail",AND(TRIM(AB243)&lt;&gt;"",TRIM(AB243)&lt;&gt;"Closed"),AND(ISNUMBER(AF243),AF243&lt;&gt;0,TRIM(U243)&lt;&gt;"Pass after CA"))),1,0)</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8" t="b">
        <f aca="false">TRUE()</f>
        <v>1</v>
      </c>
    </row>
    <row r="244" customFormat="false" ht="54" hidden="false" customHeight="true" outlineLevel="0" collapsed="false">
      <c r="A244" s="57" t="s">
        <v>776</v>
      </c>
      <c r="B244" s="57" t="s">
        <v>227</v>
      </c>
      <c r="C244" s="57" t="str">
        <f aca="false">Flights!$F$11</f>
        <v>MH0003</v>
      </c>
      <c r="D244" s="58" t="n">
        <f aca="false">Flights!$D$11</f>
        <v>46304</v>
      </c>
      <c r="E244" s="57" t="str">
        <f aca="false">Flights!$G$11&amp;"-"&amp;Flights!$H$11</f>
        <v>LHR-KUL</v>
      </c>
      <c r="F244" s="57" t="str">
        <f aca="false">Flights!$K$11</f>
        <v>BC</v>
      </c>
      <c r="G244" s="57" t="s">
        <v>385</v>
      </c>
      <c r="H244" s="57" t="s">
        <v>343</v>
      </c>
      <c r="I244" s="57" t="s">
        <v>594</v>
      </c>
      <c r="J244" s="57" t="s">
        <v>595</v>
      </c>
      <c r="K244" s="67" t="s">
        <v>466</v>
      </c>
      <c r="L244" s="67" t="s">
        <v>721</v>
      </c>
      <c r="M244" s="67" t="s">
        <v>179</v>
      </c>
      <c r="N244" s="67" t="s">
        <v>348</v>
      </c>
      <c r="O244" s="67" t="s">
        <v>777</v>
      </c>
      <c r="P244" s="57" t="s">
        <v>179</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59" t="n">
        <f aca="false">Q244-T12EarlyH/24</f>
        <v>46303.1006944444</v>
      </c>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IF(N244="N/A – rule","N/A – RULE",IF(TRIM(U244)="N/A",IF(AT244=0,"INVALID – N/A not permitted for this mandatory check",IF(AND(TRIM(AC244)&lt;&gt;"",TRIM(AE244)&lt;&gt;"",TRIM(T244)&lt;&gt;"",TRIM(AE244)&lt;&gt;TRIM(T244)),"N/A – JUSTIFIED","INVALID – N/A needs justification, PIC and a different verifier")),IF(OR(TRIM(U244)="Pass",TRIM(U244)="Pass after CA"),IF(NOT(ISNUMBER(AD244)),"INVALID – completion time missing",IF(TRIM(T244)="","INVALID – PIC missing",IF(TRIM(V244)="","INVALID – result / assessment missing",IF(TRIM(Z244)="","INVALID – evidence missing",IF(TRIM(AE244)="","INVALID – verifier missing",IF(TRIM(AE244)=TRIM(T244),"INVALID – verifier must be someone other than the PIC",IF(AND(AQ244=1,TRIM(W244)=""),"INVALID – batch ID missing",IF(AND(AR244=1,OR(NOT(ISNUMBER(X244)),NOT(ISNUMBER(Y244)))),"INVALID – expected/actual qty missing",IF(IF(AND(TRIM(U244)="Pass",ISNUMBER(AF244)),IF(AF244&lt;&gt;0,"INVALID – qty variance: use Fail or Pass after CA",""),"")&amp;IF(AND(TRIM(U244)="Pass",TRIM(AB244)&lt;&gt;"",TRIM(AB244)&lt;&gt;"Closed"),"INVALID – corrective action not closed: use Fail, then Pass after CA","")&amp;IF(AND(TRIM(AA244)&lt;&gt;"",TRIM(AB244)=""),"INVALID – CA status missing for the recorded corrective action","")&amp;IF(AND(TRIM(U244)="Pass after CA",OR(TRIM(AA244)="",TRIM(AB244)&lt;&gt;"Closed")),"INVALID – corrective action not recorded/closed","")&lt;&gt;"",IF(AND(TRIM(U244)="Pass",ISNUMBER(AF244)),IF(AF244&lt;&gt;0,"INVALID – qty variance: use Fail or Pass after CA",""),"")&amp;IF(AND(TRIM(U244)="Pass",TRIM(AB244)&lt;&gt;"",TRIM(AB244)&lt;&gt;"Closed"),"INVALID – corrective action not closed: use Fail, then Pass after CA","")&amp;IF(AND(TRIM(AA244)&lt;&gt;"",TRIM(AB244)=""),"INVALID – CA status missing for the recorded corrective action","")&amp;IF(AND(TRIM(U244)="Pass after CA",OR(TRIM(AA244)="",TRIM(AB244)&lt;&gt;"Closed")),"INVALID – corrective action not recorded/closed",""),IF(AND(AS244=1,Documents!$J$11&lt;&gt;"ON FILE"),"INVALID – GLD not on file (Documents sheet)",IF(AND(AS244=2,Documents!$O$11&lt;&gt;"ON FILE"),"INVALID – menu checklist not on file (Documents sheet)",IF(AND(AS244=3,NOT(ISNUMBER(Flights!$AX$11))),"INVALID – enter carrying flight KUL departure (Flights AX)",IF(AND(AS244=3,OR(Flights!$AX$11&gt;=Flights!$AA$11,Flights!$AX$11&lt;Flights!$AA$11-3)),"INVALID – Flights AX must be before this leg's STD (within 3 days)",IF(AG244&gt;AsOfUTC,"INVALID – completion time is in the future",IF(AND(ISNUMBER(S244),AG244&lt;S244),IF(H244="Physical uplift","INVALID – before uplift window (cannot confirm loading)","INVALID – before valid window"),IF(AG244&gt;Flights!$AA$11,"INVALID – completed after departure (cannot establish readiness)",IF(AND(H244="Physical uplift",AG244&gt;Q244),"INVALID – recorded after the loading flight departed",IF(AG244&gt;Q244,"COMPLETE – LATE","COMPLETE")))))))))))))))))),IF(TRIM(U244)="Fail","FAIL – DISCREPANCY",IF(AND(TRIM(U244)&lt;&gt;"",TRIM(U244)&lt;&gt;"Not started",TRIM(U244)&lt;&gt;"In progress"),"INVALID – unrecognised status (use the list)",IF(AsOfUTC&gt;Q244,"OVERDUE",IF(N244="Clarification required","OPEN – CLARIFICATION","OPEN")))))))</f>
        <v>OPEN</v>
      </c>
      <c r="AI244" s="61" t="n">
        <f aca="false">IF(OR(AH244="N/A – RULE",AH244="N/A – JUSTIFIED"),0,1)</f>
        <v>1</v>
      </c>
      <c r="AJ244" s="61" t="n">
        <f aca="false">IF(LEFT(AH244,8)="COMPLETE",1,0)</f>
        <v>0</v>
      </c>
      <c r="AK244" s="61" t="n">
        <f aca="false">IF(AND(AI244=1,AJ244=0,AsOfUTC&gt;Q244),1,0)</f>
        <v>0</v>
      </c>
      <c r="AL244" s="61" t="n">
        <f aca="false">IF(AND(AI244=1,OR(TRIM(U244)="Fail",AND(TRIM(AB244)&lt;&gt;"",TRIM(AB244)&lt;&gt;"Closed"),AND(ISNUMBER(AF244),AF244&lt;&gt;0,TRIM(U244)&lt;&gt;"Pass after CA"))),1,0)</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8" t="b">
        <f aca="false">TRUE()</f>
        <v>1</v>
      </c>
    </row>
    <row r="245" customFormat="false" ht="39.75" hidden="false" customHeight="true" outlineLevel="0" collapsed="false">
      <c r="A245" s="57" t="s">
        <v>778</v>
      </c>
      <c r="B245" s="57" t="s">
        <v>227</v>
      </c>
      <c r="C245" s="57" t="str">
        <f aca="false">Flights!$F$11</f>
        <v>MH0003</v>
      </c>
      <c r="D245" s="58" t="n">
        <f aca="false">Flights!$D$11</f>
        <v>46304</v>
      </c>
      <c r="E245" s="57" t="str">
        <f aca="false">Flights!$G$11&amp;"-"&amp;Flights!$H$11</f>
        <v>LHR-KUL</v>
      </c>
      <c r="F245" s="57" t="str">
        <f aca="false">Flights!$K$11</f>
        <v>BC</v>
      </c>
      <c r="G245" s="57" t="s">
        <v>424</v>
      </c>
      <c r="H245" s="57" t="s">
        <v>425</v>
      </c>
      <c r="I245" s="57" t="s">
        <v>344</v>
      </c>
      <c r="J245" s="57" t="s">
        <v>426</v>
      </c>
      <c r="K245" s="67" t="s">
        <v>391</v>
      </c>
      <c r="L245" s="67" t="s">
        <v>427</v>
      </c>
      <c r="M245" s="67"/>
      <c r="N245" s="67" t="s">
        <v>348</v>
      </c>
      <c r="O245" s="67" t="s">
        <v>428</v>
      </c>
      <c r="P245" s="57" t="s">
        <v>178</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59" t="n">
        <f aca="false">IF(ISNUMBER(Flights!$AY$11),MAX(Q245-UpliftWindowH/24,Flights!$AY$11+UpliftWindowH/24),Q245-UpliftWindowH/24)</f>
        <v>46304.1666666667</v>
      </c>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IF(N245="N/A – rule","N/A – RULE",IF(TRIM(U245)="N/A",IF(AT245=0,"INVALID – N/A not permitted for this mandatory check",IF(AND(TRIM(AC245)&lt;&gt;"",TRIM(AE245)&lt;&gt;"",TRIM(T245)&lt;&gt;"",TRIM(AE245)&lt;&gt;TRIM(T245)),"N/A – JUSTIFIED","INVALID – N/A needs justification, PIC and a different verifier")),IF(OR(TRIM(U245)="Pass",TRIM(U245)="Pass after CA"),IF(NOT(ISNUMBER(AD245)),"INVALID – completion time missing",IF(TRIM(T245)="","INVALID – PIC missing",IF(TRIM(V245)="","INVALID – result / assessment missing",IF(TRIM(Z245)="","INVALID – evidence missing",IF(TRIM(AE245)="","INVALID – verifier missing",IF(TRIM(AE245)=TRIM(T245),"INVALID – verifier must be someone other than the PIC",IF(AND(AQ245=1,TRIM(W245)=""),"INVALID – batch ID missing",IF(AND(AR245=1,OR(NOT(ISNUMBER(X245)),NOT(ISNUMBER(Y245)))),"INVALID – expected/actual qty missing",IF(IF(AND(TRIM(U245)="Pass",ISNUMBER(AF245)),IF(AF245&lt;&gt;0,"INVALID – qty variance: use Fail or Pass after CA",""),"")&amp;IF(AND(TRIM(U245)="Pass",TRIM(AB245)&lt;&gt;"",TRIM(AB245)&lt;&gt;"Closed"),"INVALID – corrective action not closed: use Fail, then Pass after CA","")&amp;IF(AND(TRIM(AA245)&lt;&gt;"",TRIM(AB245)=""),"INVALID – CA status missing for the recorded corrective action","")&amp;IF(AND(TRIM(U245)="Pass after CA",OR(TRIM(AA245)="",TRIM(AB245)&lt;&gt;"Closed")),"INVALID – corrective action not recorded/closed","")&lt;&gt;"",IF(AND(TRIM(U245)="Pass",ISNUMBER(AF245)),IF(AF245&lt;&gt;0,"INVALID – qty variance: use Fail or Pass after CA",""),"")&amp;IF(AND(TRIM(U245)="Pass",TRIM(AB245)&lt;&gt;"",TRIM(AB245)&lt;&gt;"Closed"),"INVALID – corrective action not closed: use Fail, then Pass after CA","")&amp;IF(AND(TRIM(AA245)&lt;&gt;"",TRIM(AB245)=""),"INVALID – CA status missing for the recorded corrective action","")&amp;IF(AND(TRIM(U245)="Pass after CA",OR(TRIM(AA245)="",TRIM(AB245)&lt;&gt;"Closed")),"INVALID – corrective action not recorded/closed",""),IF(AND(AS245=1,Documents!$J$11&lt;&gt;"ON FILE"),"INVALID – GLD not on file (Documents sheet)",IF(AND(AS245=2,Documents!$O$11&lt;&gt;"ON FILE"),"INVALID – menu checklist not on file (Documents sheet)",IF(AND(AS245=3,NOT(ISNUMBER(Flights!$AX$11))),"INVALID – enter carrying flight KUL departure (Flights AX)",IF(AND(AS245=3,OR(Flights!$AX$11&gt;=Flights!$AA$11,Flights!$AX$11&lt;Flights!$AA$11-3)),"INVALID – Flights AX must be before this leg's STD (within 3 days)",IF(AG245&gt;AsOfUTC,"INVALID – completion time is in the future",IF(AND(ISNUMBER(S245),AG245&lt;S245),IF(H245="Physical uplift","INVALID – before uplift window (cannot confirm loading)","INVALID – before valid window"),IF(AG245&gt;Flights!$AA$11,"INVALID – completed after departure (cannot establish readiness)",IF(AND(H245="Physical uplift",AG245&gt;Q245),"INVALID – recorded after the loading flight departed",IF(AG245&gt;Q245,"COMPLETE – LATE","COMPLETE")))))))))))))))))),IF(TRIM(U245)="Fail","FAIL – DISCREPANCY",IF(AND(TRIM(U245)&lt;&gt;"",TRIM(U245)&lt;&gt;"Not started",TRIM(U245)&lt;&gt;"In progress"),"INVALID – unrecognised status (use the list)",IF(AsOfUTC&gt;Q245,"OVERDUE",IF(N245="Clarification required","OPEN – CLARIFICATION","OPEN")))))))</f>
        <v>OPEN</v>
      </c>
      <c r="AI245" s="61" t="n">
        <f aca="false">IF(OR(AH245="N/A – RULE",AH245="N/A – JUSTIFIED"),0,1)</f>
        <v>1</v>
      </c>
      <c r="AJ245" s="61" t="n">
        <f aca="false">IF(LEFT(AH245,8)="COMPLETE",1,0)</f>
        <v>0</v>
      </c>
      <c r="AK245" s="61" t="n">
        <f aca="false">IF(AND(AI245=1,AJ245=0,AsOfUTC&gt;Q245),1,0)</f>
        <v>0</v>
      </c>
      <c r="AL245" s="61" t="n">
        <f aca="false">IF(AND(AI245=1,OR(TRIM(U245)="Fail",AND(TRIM(AB245)&lt;&gt;"",TRIM(AB245)&lt;&gt;"Closed"),AND(ISNUMBER(AF245),AF245&lt;&gt;0,TRIM(U245)&lt;&gt;"Pass after CA"))),1,0)</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row>
    <row r="246" customFormat="false" ht="39.75" hidden="false" customHeight="true" outlineLevel="0" collapsed="false">
      <c r="A246" s="57" t="s">
        <v>779</v>
      </c>
      <c r="B246" s="57" t="s">
        <v>227</v>
      </c>
      <c r="C246" s="57" t="str">
        <f aca="false">Flights!$F$11</f>
        <v>MH0003</v>
      </c>
      <c r="D246" s="58" t="n">
        <f aca="false">Flights!$D$11</f>
        <v>46304</v>
      </c>
      <c r="E246" s="57" t="str">
        <f aca="false">Flights!$G$11&amp;"-"&amp;Flights!$H$11</f>
        <v>LHR-KUL</v>
      </c>
      <c r="F246" s="57" t="str">
        <f aca="false">Flights!$K$11</f>
        <v>BC</v>
      </c>
      <c r="G246" s="57" t="s">
        <v>424</v>
      </c>
      <c r="H246" s="57" t="s">
        <v>425</v>
      </c>
      <c r="I246" s="57" t="s">
        <v>393</v>
      </c>
      <c r="J246" s="57" t="s">
        <v>430</v>
      </c>
      <c r="K246" s="67" t="s">
        <v>391</v>
      </c>
      <c r="L246" s="67" t="s">
        <v>427</v>
      </c>
      <c r="M246" s="67"/>
      <c r="N246" s="67" t="s">
        <v>348</v>
      </c>
      <c r="O246" s="67" t="s">
        <v>428</v>
      </c>
      <c r="P246" s="57" t="s">
        <v>178</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59" t="n">
        <f aca="false">IF(ISNUMBER(Flights!$AY$11),MAX(Q246-UpliftWindowH/24,Flights!$AY$11+UpliftWindowH/24),Q246-UpliftWindowH/24)</f>
        <v>46304.1666666667</v>
      </c>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IF(N246="N/A – rule","N/A – RULE",IF(TRIM(U246)="N/A",IF(AT246=0,"INVALID – N/A not permitted for this mandatory check",IF(AND(TRIM(AC246)&lt;&gt;"",TRIM(AE246)&lt;&gt;"",TRIM(T246)&lt;&gt;"",TRIM(AE246)&lt;&gt;TRIM(T246)),"N/A – JUSTIFIED","INVALID – N/A needs justification, PIC and a different verifier")),IF(OR(TRIM(U246)="Pass",TRIM(U246)="Pass after CA"),IF(NOT(ISNUMBER(AD246)),"INVALID – completion time missing",IF(TRIM(T246)="","INVALID – PIC missing",IF(TRIM(V246)="","INVALID – result / assessment missing",IF(TRIM(Z246)="","INVALID – evidence missing",IF(TRIM(AE246)="","INVALID – verifier missing",IF(TRIM(AE246)=TRIM(T246),"INVALID – verifier must be someone other than the PIC",IF(AND(AQ246=1,TRIM(W246)=""),"INVALID – batch ID missing",IF(AND(AR246=1,OR(NOT(ISNUMBER(X246)),NOT(ISNUMBER(Y246)))),"INVALID – expected/actual qty missing",IF(IF(AND(TRIM(U246)="Pass",ISNUMBER(AF246)),IF(AF246&lt;&gt;0,"INVALID – qty variance: use Fail or Pass after CA",""),"")&amp;IF(AND(TRIM(U246)="Pass",TRIM(AB246)&lt;&gt;"",TRIM(AB246)&lt;&gt;"Closed"),"INVALID – corrective action not closed: use Fail, then Pass after CA","")&amp;IF(AND(TRIM(AA246)&lt;&gt;"",TRIM(AB246)=""),"INVALID – CA status missing for the recorded corrective action","")&amp;IF(AND(TRIM(U246)="Pass after CA",OR(TRIM(AA246)="",TRIM(AB246)&lt;&gt;"Closed")),"INVALID – corrective action not recorded/closed","")&lt;&gt;"",IF(AND(TRIM(U246)="Pass",ISNUMBER(AF246)),IF(AF246&lt;&gt;0,"INVALID – qty variance: use Fail or Pass after CA",""),"")&amp;IF(AND(TRIM(U246)="Pass",TRIM(AB246)&lt;&gt;"",TRIM(AB246)&lt;&gt;"Closed"),"INVALID – corrective action not closed: use Fail, then Pass after CA","")&amp;IF(AND(TRIM(AA246)&lt;&gt;"",TRIM(AB246)=""),"INVALID – CA status missing for the recorded corrective action","")&amp;IF(AND(TRIM(U246)="Pass after CA",OR(TRIM(AA246)="",TRIM(AB246)&lt;&gt;"Closed")),"INVALID – corrective action not recorded/closed",""),IF(AND(AS246=1,Documents!$J$11&lt;&gt;"ON FILE"),"INVALID – GLD not on file (Documents sheet)",IF(AND(AS246=2,Documents!$O$11&lt;&gt;"ON FILE"),"INVALID – menu checklist not on file (Documents sheet)",IF(AND(AS246=3,NOT(ISNUMBER(Flights!$AX$11))),"INVALID – enter carrying flight KUL departure (Flights AX)",IF(AND(AS246=3,OR(Flights!$AX$11&gt;=Flights!$AA$11,Flights!$AX$11&lt;Flights!$AA$11-3)),"INVALID – Flights AX must be before this leg's STD (within 3 days)",IF(AG246&gt;AsOfUTC,"INVALID – completion time is in the future",IF(AND(ISNUMBER(S246),AG246&lt;S246),IF(H246="Physical uplift","INVALID – before uplift window (cannot confirm loading)","INVALID – before valid window"),IF(AG246&gt;Flights!$AA$11,"INVALID – completed after departure (cannot establish readiness)",IF(AND(H246="Physical uplift",AG246&gt;Q246),"INVALID – recorded after the loading flight departed",IF(AG246&gt;Q246,"COMPLETE – LATE","COMPLETE")))))))))))))))))),IF(TRIM(U246)="Fail","FAIL – DISCREPANCY",IF(AND(TRIM(U246)&lt;&gt;"",TRIM(U246)&lt;&gt;"Not started",TRIM(U246)&lt;&gt;"In progress"),"INVALID – unrecognised status (use the list)",IF(AsOfUTC&gt;Q246,"OVERDUE",IF(N246="Clarification required","OPEN – CLARIFICATION","OPEN")))))))</f>
        <v>OPEN</v>
      </c>
      <c r="AI246" s="61" t="n">
        <f aca="false">IF(OR(AH246="N/A – RULE",AH246="N/A – JUSTIFIED"),0,1)</f>
        <v>1</v>
      </c>
      <c r="AJ246" s="61" t="n">
        <f aca="false">IF(LEFT(AH246,8)="COMPLETE",1,0)</f>
        <v>0</v>
      </c>
      <c r="AK246" s="61" t="n">
        <f aca="false">IF(AND(AI246=1,AJ246=0,AsOfUTC&gt;Q246),1,0)</f>
        <v>0</v>
      </c>
      <c r="AL246" s="61" t="n">
        <f aca="false">IF(AND(AI246=1,OR(TRIM(U246)="Fail",AND(TRIM(AB246)&lt;&gt;"",TRIM(AB246)&lt;&gt;"Closed"),AND(ISNUMBER(AF246),AF246&lt;&gt;0,TRIM(U246)&lt;&gt;"Pass after CA"))),1,0)</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row>
    <row r="247" customFormat="false" ht="41.25" hidden="false" customHeight="true" outlineLevel="0" collapsed="false">
      <c r="A247" s="57" t="s">
        <v>780</v>
      </c>
      <c r="B247" s="57" t="s">
        <v>227</v>
      </c>
      <c r="C247" s="57" t="str">
        <f aca="false">Flights!$F$11</f>
        <v>MH0003</v>
      </c>
      <c r="D247" s="58" t="n">
        <f aca="false">Flights!$D$11</f>
        <v>46304</v>
      </c>
      <c r="E247" s="57" t="str">
        <f aca="false">Flights!$G$11&amp;"-"&amp;Flights!$H$11</f>
        <v>LHR-KUL</v>
      </c>
      <c r="F247" s="57" t="str">
        <f aca="false">Flights!$K$11</f>
        <v>BC</v>
      </c>
      <c r="G247" s="57" t="s">
        <v>424</v>
      </c>
      <c r="H247" s="57" t="s">
        <v>425</v>
      </c>
      <c r="I247" s="57" t="s">
        <v>376</v>
      </c>
      <c r="J247" s="57" t="s">
        <v>781</v>
      </c>
      <c r="K247" s="67" t="s">
        <v>782</v>
      </c>
      <c r="L247" s="67" t="s">
        <v>664</v>
      </c>
      <c r="M247" s="67"/>
      <c r="N247" s="67" t="s">
        <v>348</v>
      </c>
      <c r="O247" s="67" t="s">
        <v>665</v>
      </c>
      <c r="P247" s="57" t="s">
        <v>179</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59" t="n">
        <f aca="false">Q247-UpliftWindowH/24</f>
        <v>46303.6006944444</v>
      </c>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IF(N247="N/A – rule","N/A – RULE",IF(TRIM(U247)="N/A",IF(AT247=0,"INVALID – N/A not permitted for this mandatory check",IF(AND(TRIM(AC247)&lt;&gt;"",TRIM(AE247)&lt;&gt;"",TRIM(T247)&lt;&gt;"",TRIM(AE247)&lt;&gt;TRIM(T247)),"N/A – JUSTIFIED","INVALID – N/A needs justification, PIC and a different verifier")),IF(OR(TRIM(U247)="Pass",TRIM(U247)="Pass after CA"),IF(NOT(ISNUMBER(AD247)),"INVALID – completion time missing",IF(TRIM(T247)="","INVALID – PIC missing",IF(TRIM(V247)="","INVALID – result / assessment missing",IF(TRIM(Z247)="","INVALID – evidence missing",IF(TRIM(AE247)="","INVALID – verifier missing",IF(TRIM(AE247)=TRIM(T247),"INVALID – verifier must be someone other than the PIC",IF(AND(AQ247=1,TRIM(W247)=""),"INVALID – batch ID missing",IF(AND(AR247=1,OR(NOT(ISNUMBER(X247)),NOT(ISNUMBER(Y247)))),"INVALID – expected/actual qty missing",IF(IF(AND(TRIM(U247)="Pass",ISNUMBER(AF247)),IF(AF247&lt;&gt;0,"INVALID – qty variance: use Fail or Pass after CA",""),"")&amp;IF(AND(TRIM(U247)="Pass",TRIM(AB247)&lt;&gt;"",TRIM(AB247)&lt;&gt;"Closed"),"INVALID – corrective action not closed: use Fail, then Pass after CA","")&amp;IF(AND(TRIM(AA247)&lt;&gt;"",TRIM(AB247)=""),"INVALID – CA status missing for the recorded corrective action","")&amp;IF(AND(TRIM(U247)="Pass after CA",OR(TRIM(AA247)="",TRIM(AB247)&lt;&gt;"Closed")),"INVALID – corrective action not recorded/closed","")&lt;&gt;"",IF(AND(TRIM(U247)="Pass",ISNUMBER(AF247)),IF(AF247&lt;&gt;0,"INVALID – qty variance: use Fail or Pass after CA",""),"")&amp;IF(AND(TRIM(U247)="Pass",TRIM(AB247)&lt;&gt;"",TRIM(AB247)&lt;&gt;"Closed"),"INVALID – corrective action not closed: use Fail, then Pass after CA","")&amp;IF(AND(TRIM(AA247)&lt;&gt;"",TRIM(AB247)=""),"INVALID – CA status missing for the recorded corrective action","")&amp;IF(AND(TRIM(U247)="Pass after CA",OR(TRIM(AA247)="",TRIM(AB247)&lt;&gt;"Closed")),"INVALID – corrective action not recorded/closed",""),IF(AND(AS247=1,Documents!$J$11&lt;&gt;"ON FILE"),"INVALID – GLD not on file (Documents sheet)",IF(AND(AS247=2,Documents!$O$11&lt;&gt;"ON FILE"),"INVALID – menu checklist not on file (Documents sheet)",IF(AND(AS247=3,NOT(ISNUMBER(Flights!$AX$11))),"INVALID – enter carrying flight KUL departure (Flights AX)",IF(AND(AS247=3,OR(Flights!$AX$11&gt;=Flights!$AA$11,Flights!$AX$11&lt;Flights!$AA$11-3)),"INVALID – Flights AX must be before this leg's STD (within 3 days)",IF(AG247&gt;AsOfUTC,"INVALID – completion time is in the future",IF(AND(ISNUMBER(S247),AG247&lt;S247),IF(H247="Physical uplift","INVALID – before uplift window (cannot confirm loading)","INVALID – before valid window"),IF(AG247&gt;Flights!$AA$11,"INVALID – completed after departure (cannot establish readiness)",IF(AND(H247="Physical uplift",AG247&gt;Q247),"INVALID – recorded after the loading flight departed",IF(AG247&gt;Q247,"COMPLETE – LATE","COMPLETE")))))))))))))))))),IF(TRIM(U247)="Fail","FAIL – DISCREPANCY",IF(AND(TRIM(U247)&lt;&gt;"",TRIM(U247)&lt;&gt;"Not started",TRIM(U247)&lt;&gt;"In progress"),"INVALID – unrecognised status (use the list)",IF(AsOfUTC&gt;Q247,"OVERDUE",IF(N247="Clarification required","OPEN – CLARIFICATION","OPEN")))))))</f>
        <v>OPEN</v>
      </c>
      <c r="AI247" s="61" t="n">
        <f aca="false">IF(OR(AH247="N/A – RULE",AH247="N/A – JUSTIFIED"),0,1)</f>
        <v>1</v>
      </c>
      <c r="AJ247" s="61" t="n">
        <f aca="false">IF(LEFT(AH247,8)="COMPLETE",1,0)</f>
        <v>0</v>
      </c>
      <c r="AK247" s="61" t="n">
        <f aca="false">IF(AND(AI247=1,AJ247=0,AsOfUTC&gt;Q247),1,0)</f>
        <v>0</v>
      </c>
      <c r="AL247" s="61" t="n">
        <f aca="false">IF(AND(AI247=1,OR(TRIM(U247)="Fail",AND(TRIM(AB247)&lt;&gt;"",TRIM(AB247)&lt;&gt;"Closed"),AND(ISNUMBER(AF247),AF247&lt;&gt;0,TRIM(U247)&lt;&gt;"Pass after CA"))),1,0)</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row>
    <row r="248" customFormat="false" ht="39.75" hidden="false" customHeight="true" outlineLevel="0" collapsed="false">
      <c r="A248" s="57" t="s">
        <v>783</v>
      </c>
      <c r="B248" s="57" t="s">
        <v>227</v>
      </c>
      <c r="C248" s="57" t="str">
        <f aca="false">Flights!$F$11</f>
        <v>MH0003</v>
      </c>
      <c r="D248" s="58" t="n">
        <f aca="false">Flights!$D$11</f>
        <v>46304</v>
      </c>
      <c r="E248" s="57" t="str">
        <f aca="false">Flights!$G$11&amp;"-"&amp;Flights!$H$11</f>
        <v>LHR-KUL</v>
      </c>
      <c r="F248" s="57" t="str">
        <f aca="false">Flights!$K$11</f>
        <v>BC</v>
      </c>
      <c r="G248" s="57" t="s">
        <v>424</v>
      </c>
      <c r="H248" s="57" t="s">
        <v>425</v>
      </c>
      <c r="I248" s="57" t="s">
        <v>405</v>
      </c>
      <c r="J248" s="57" t="s">
        <v>432</v>
      </c>
      <c r="K248" s="67" t="s">
        <v>466</v>
      </c>
      <c r="L248" s="67" t="s">
        <v>408</v>
      </c>
      <c r="M248" s="67" t="s">
        <v>178</v>
      </c>
      <c r="N248" s="67" t="s">
        <v>348</v>
      </c>
      <c r="O248" s="67"/>
      <c r="P248" s="57" t="s">
        <v>178</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59" t="n">
        <f aca="false">IF(ISNUMBER(Flights!$AY$11),MAX(Q248-UpliftWindowH/24,Flights!$AY$11+UpliftWindowH/24),Q248-UpliftWindowH/24)</f>
        <v>46304.1666666667</v>
      </c>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IF(N248="N/A – rule","N/A – RULE",IF(TRIM(U248)="N/A",IF(AT248=0,"INVALID – N/A not permitted for this mandatory check",IF(AND(TRIM(AC248)&lt;&gt;"",TRIM(AE248)&lt;&gt;"",TRIM(T248)&lt;&gt;"",TRIM(AE248)&lt;&gt;TRIM(T248)),"N/A – JUSTIFIED","INVALID – N/A needs justification, PIC and a different verifier")),IF(OR(TRIM(U248)="Pass",TRIM(U248)="Pass after CA"),IF(NOT(ISNUMBER(AD248)),"INVALID – completion time missing",IF(TRIM(T248)="","INVALID – PIC missing",IF(TRIM(V248)="","INVALID – result / assessment missing",IF(TRIM(Z248)="","INVALID – evidence missing",IF(TRIM(AE248)="","INVALID – verifier missing",IF(TRIM(AE248)=TRIM(T248),"INVALID – verifier must be someone other than the PIC",IF(AND(AQ248=1,TRIM(W248)=""),"INVALID – batch ID missing",IF(AND(AR248=1,OR(NOT(ISNUMBER(X248)),NOT(ISNUMBER(Y248)))),"INVALID – expected/actual qty missing",IF(IF(AND(TRIM(U248)="Pass",ISNUMBER(AF248)),IF(AF248&lt;&gt;0,"INVALID – qty variance: use Fail or Pass after CA",""),"")&amp;IF(AND(TRIM(U248)="Pass",TRIM(AB248)&lt;&gt;"",TRIM(AB248)&lt;&gt;"Closed"),"INVALID – corrective action not closed: use Fail, then Pass after CA","")&amp;IF(AND(TRIM(AA248)&lt;&gt;"",TRIM(AB248)=""),"INVALID – CA status missing for the recorded corrective action","")&amp;IF(AND(TRIM(U248)="Pass after CA",OR(TRIM(AA248)="",TRIM(AB248)&lt;&gt;"Closed")),"INVALID – corrective action not recorded/closed","")&lt;&gt;"",IF(AND(TRIM(U248)="Pass",ISNUMBER(AF248)),IF(AF248&lt;&gt;0,"INVALID – qty variance: use Fail or Pass after CA",""),"")&amp;IF(AND(TRIM(U248)="Pass",TRIM(AB248)&lt;&gt;"",TRIM(AB248)&lt;&gt;"Closed"),"INVALID – corrective action not closed: use Fail, then Pass after CA","")&amp;IF(AND(TRIM(AA248)&lt;&gt;"",TRIM(AB248)=""),"INVALID – CA status missing for the recorded corrective action","")&amp;IF(AND(TRIM(U248)="Pass after CA",OR(TRIM(AA248)="",TRIM(AB248)&lt;&gt;"Closed")),"INVALID – corrective action not recorded/closed",""),IF(AND(AS248=1,Documents!$J$11&lt;&gt;"ON FILE"),"INVALID – GLD not on file (Documents sheet)",IF(AND(AS248=2,Documents!$O$11&lt;&gt;"ON FILE"),"INVALID – menu checklist not on file (Documents sheet)",IF(AND(AS248=3,NOT(ISNUMBER(Flights!$AX$11))),"INVALID – enter carrying flight KUL departure (Flights AX)",IF(AND(AS248=3,OR(Flights!$AX$11&gt;=Flights!$AA$11,Flights!$AX$11&lt;Flights!$AA$11-3)),"INVALID – Flights AX must be before this leg's STD (within 3 days)",IF(AG248&gt;AsOfUTC,"INVALID – completion time is in the future",IF(AND(ISNUMBER(S248),AG248&lt;S248),IF(H248="Physical uplift","INVALID – before uplift window (cannot confirm loading)","INVALID – before valid window"),IF(AG248&gt;Flights!$AA$11,"INVALID – completed after departure (cannot establish readiness)",IF(AND(H248="Physical uplift",AG248&gt;Q248),"INVALID – recorded after the loading flight departed",IF(AG248&gt;Q248,"COMPLETE – LATE","COMPLETE")))))))))))))))))),IF(TRIM(U248)="Fail","FAIL – DISCREPANCY",IF(AND(TRIM(U248)&lt;&gt;"",TRIM(U248)&lt;&gt;"Not started",TRIM(U248)&lt;&gt;"In progress"),"INVALID – unrecognised status (use the list)",IF(AsOfUTC&gt;Q248,"OVERDUE",IF(N248="Clarification required","OPEN – CLARIFICATION","OPEN")))))))</f>
        <v>OPEN</v>
      </c>
      <c r="AI248" s="61" t="n">
        <f aca="false">IF(OR(AH248="N/A – RULE",AH248="N/A – JUSTIFIED"),0,1)</f>
        <v>1</v>
      </c>
      <c r="AJ248" s="61" t="n">
        <f aca="false">IF(LEFT(AH248,8)="COMPLETE",1,0)</f>
        <v>0</v>
      </c>
      <c r="AK248" s="61" t="n">
        <f aca="false">IF(AND(AI248=1,AJ248=0,AsOfUTC&gt;Q248),1,0)</f>
        <v>0</v>
      </c>
      <c r="AL248" s="61" t="n">
        <f aca="false">IF(AND(AI248=1,OR(TRIM(U248)="Fail",AND(TRIM(AB248)&lt;&gt;"",TRIM(AB248)&lt;&gt;"Closed"),AND(ISNUMBER(AF248),AF248&lt;&gt;0,TRIM(U248)&lt;&gt;"Pass after CA"))),1,0)</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8" t="b">
        <f aca="false">TRUE()</f>
        <v>1</v>
      </c>
    </row>
    <row r="249" customFormat="false" ht="41.25" hidden="false" customHeight="true" outlineLevel="0" collapsed="false">
      <c r="A249" s="57" t="s">
        <v>784</v>
      </c>
      <c r="B249" s="57" t="s">
        <v>227</v>
      </c>
      <c r="C249" s="57" t="str">
        <f aca="false">Flights!$F$11</f>
        <v>MH0003</v>
      </c>
      <c r="D249" s="58" t="n">
        <f aca="false">Flights!$D$11</f>
        <v>46304</v>
      </c>
      <c r="E249" s="57" t="str">
        <f aca="false">Flights!$G$11&amp;"-"&amp;Flights!$H$11</f>
        <v>LHR-KUL</v>
      </c>
      <c r="F249" s="57" t="str">
        <f aca="false">Flights!$K$11</f>
        <v>BC</v>
      </c>
      <c r="G249" s="57" t="s">
        <v>424</v>
      </c>
      <c r="H249" s="57" t="s">
        <v>425</v>
      </c>
      <c r="I249" s="57" t="s">
        <v>405</v>
      </c>
      <c r="J249" s="57" t="s">
        <v>726</v>
      </c>
      <c r="K249" s="67" t="s">
        <v>695</v>
      </c>
      <c r="L249" s="67" t="s">
        <v>696</v>
      </c>
      <c r="M249" s="67" t="s">
        <v>179</v>
      </c>
      <c r="N249" s="67" t="s">
        <v>409</v>
      </c>
      <c r="O249" s="67" t="s">
        <v>785</v>
      </c>
      <c r="P249" s="57" t="s">
        <v>178</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59" t="n">
        <f aca="false">IF(ISNUMBER(Flights!$AY$11),MAX(Q249-UpliftWindowH/24,Flights!$AY$11+UpliftWindowH/24),Q249-UpliftWindowH/24)</f>
        <v>46304.1666666667</v>
      </c>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IF(N249="N/A – rule","N/A – RULE",IF(TRIM(U249)="N/A",IF(AT249=0,"INVALID – N/A not permitted for this mandatory check",IF(AND(TRIM(AC249)&lt;&gt;"",TRIM(AE249)&lt;&gt;"",TRIM(T249)&lt;&gt;"",TRIM(AE249)&lt;&gt;TRIM(T249)),"N/A – JUSTIFIED","INVALID – N/A needs justification, PIC and a different verifier")),IF(OR(TRIM(U249)="Pass",TRIM(U249)="Pass after CA"),IF(NOT(ISNUMBER(AD249)),"INVALID – completion time missing",IF(TRIM(T249)="","INVALID – PIC missing",IF(TRIM(V249)="","INVALID – result / assessment missing",IF(TRIM(Z249)="","INVALID – evidence missing",IF(TRIM(AE249)="","INVALID – verifier missing",IF(TRIM(AE249)=TRIM(T249),"INVALID – verifier must be someone other than the PIC",IF(AND(AQ249=1,TRIM(W249)=""),"INVALID – batch ID missing",IF(AND(AR249=1,OR(NOT(ISNUMBER(X249)),NOT(ISNUMBER(Y249)))),"INVALID – expected/actual qty missing",IF(IF(AND(TRIM(U249)="Pass",ISNUMBER(AF249)),IF(AF249&lt;&gt;0,"INVALID – qty variance: use Fail or Pass after CA",""),"")&amp;IF(AND(TRIM(U249)="Pass",TRIM(AB249)&lt;&gt;"",TRIM(AB249)&lt;&gt;"Closed"),"INVALID – corrective action not closed: use Fail, then Pass after CA","")&amp;IF(AND(TRIM(AA249)&lt;&gt;"",TRIM(AB249)=""),"INVALID – CA status missing for the recorded corrective action","")&amp;IF(AND(TRIM(U249)="Pass after CA",OR(TRIM(AA249)="",TRIM(AB249)&lt;&gt;"Closed")),"INVALID – corrective action not recorded/closed","")&lt;&gt;"",IF(AND(TRIM(U249)="Pass",ISNUMBER(AF249)),IF(AF249&lt;&gt;0,"INVALID – qty variance: use Fail or Pass after CA",""),"")&amp;IF(AND(TRIM(U249)="Pass",TRIM(AB249)&lt;&gt;"",TRIM(AB249)&lt;&gt;"Closed"),"INVALID – corrective action not closed: use Fail, then Pass after CA","")&amp;IF(AND(TRIM(AA249)&lt;&gt;"",TRIM(AB249)=""),"INVALID – CA status missing for the recorded corrective action","")&amp;IF(AND(TRIM(U249)="Pass after CA",OR(TRIM(AA249)="",TRIM(AB249)&lt;&gt;"Closed")),"INVALID – corrective action not recorded/closed",""),IF(AND(AS249=1,Documents!$J$11&lt;&gt;"ON FILE"),"INVALID – GLD not on file (Documents sheet)",IF(AND(AS249=2,Documents!$O$11&lt;&gt;"ON FILE"),"INVALID – menu checklist not on file (Documents sheet)",IF(AND(AS249=3,NOT(ISNUMBER(Flights!$AX$11))),"INVALID – enter carrying flight KUL departure (Flights AX)",IF(AND(AS249=3,OR(Flights!$AX$11&gt;=Flights!$AA$11,Flights!$AX$11&lt;Flights!$AA$11-3)),"INVALID – Flights AX must be before this leg's STD (within 3 days)",IF(AG249&gt;AsOfUTC,"INVALID – completion time is in the future",IF(AND(ISNUMBER(S249),AG249&lt;S249),IF(H249="Physical uplift","INVALID – before uplift window (cannot confirm loading)","INVALID – before valid window"),IF(AG249&gt;Flights!$AA$11,"INVALID – completed after departure (cannot establish readiness)",IF(AND(H249="Physical uplift",AG249&gt;Q249),"INVALID – recorded after the loading flight departed",IF(AG249&gt;Q249,"COMPLETE – LATE","COMPLETE")))))))))))))))))),IF(TRIM(U249)="Fail","FAIL – DISCREPANCY",IF(AND(TRIM(U249)&lt;&gt;"",TRIM(U249)&lt;&gt;"Not started",TRIM(U249)&lt;&gt;"In progress"),"INVALID – unrecognised status (use the list)",IF(AsOfUTC&gt;Q249,"OVERDUE",IF(N249="Clarification required","OPEN – CLARIFICATION","OPEN")))))))</f>
        <v>OPEN – CLARIFICATION</v>
      </c>
      <c r="AI249" s="61" t="n">
        <f aca="false">IF(OR(AH249="N/A – RULE",AH249="N/A – JUSTIFIED"),0,1)</f>
        <v>1</v>
      </c>
      <c r="AJ249" s="61" t="n">
        <f aca="false">IF(LEFT(AH249,8)="COMPLETE",1,0)</f>
        <v>0</v>
      </c>
      <c r="AK249" s="61" t="n">
        <f aca="false">IF(AND(AI249=1,AJ249=0,AsOfUTC&gt;Q249),1,0)</f>
        <v>0</v>
      </c>
      <c r="AL249" s="61" t="n">
        <f aca="false">IF(AND(AI249=1,OR(TRIM(U249)="Fail",AND(TRIM(AB249)&lt;&gt;"",TRIM(AB249)&lt;&gt;"Closed"),AND(ISNUMBER(AF249),AF249&lt;&gt;0,TRIM(U249)&lt;&gt;"Pass after CA"))),1,0)</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8" t="b">
        <f aca="false">TRUE()</f>
        <v>1</v>
      </c>
    </row>
    <row r="250" customFormat="false" ht="39.75" hidden="false" customHeight="true" outlineLevel="0" collapsed="false">
      <c r="A250" s="57" t="s">
        <v>786</v>
      </c>
      <c r="B250" s="57" t="s">
        <v>227</v>
      </c>
      <c r="C250" s="57" t="str">
        <f aca="false">Flights!$F$11</f>
        <v>MH0003</v>
      </c>
      <c r="D250" s="58" t="n">
        <f aca="false">Flights!$D$11</f>
        <v>46304</v>
      </c>
      <c r="E250" s="57" t="str">
        <f aca="false">Flights!$G$11&amp;"-"&amp;Flights!$H$11</f>
        <v>LHR-KUL</v>
      </c>
      <c r="F250" s="57" t="str">
        <f aca="false">Flights!$K$11</f>
        <v>BC</v>
      </c>
      <c r="G250" s="57" t="s">
        <v>424</v>
      </c>
      <c r="H250" s="57" t="s">
        <v>425</v>
      </c>
      <c r="I250" s="57" t="s">
        <v>405</v>
      </c>
      <c r="J250" s="57" t="s">
        <v>608</v>
      </c>
      <c r="K250" s="67" t="s">
        <v>466</v>
      </c>
      <c r="L250" s="67" t="s">
        <v>699</v>
      </c>
      <c r="M250" s="67" t="s">
        <v>179</v>
      </c>
      <c r="N250" s="67" t="s">
        <v>348</v>
      </c>
      <c r="O250" s="67"/>
      <c r="P250" s="57" t="s">
        <v>178</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59" t="n">
        <f aca="false">IF(ISNUMBER(Flights!$AY$11),MAX(Q250-UpliftWindowH/24,Flights!$AY$11+UpliftWindowH/24),Q250-UpliftWindowH/24)</f>
        <v>46304.1666666667</v>
      </c>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IF(N250="N/A – rule","N/A – RULE",IF(TRIM(U250)="N/A",IF(AT250=0,"INVALID – N/A not permitted for this mandatory check",IF(AND(TRIM(AC250)&lt;&gt;"",TRIM(AE250)&lt;&gt;"",TRIM(T250)&lt;&gt;"",TRIM(AE250)&lt;&gt;TRIM(T250)),"N/A – JUSTIFIED","INVALID – N/A needs justification, PIC and a different verifier")),IF(OR(TRIM(U250)="Pass",TRIM(U250)="Pass after CA"),IF(NOT(ISNUMBER(AD250)),"INVALID – completion time missing",IF(TRIM(T250)="","INVALID – PIC missing",IF(TRIM(V250)="","INVALID – result / assessment missing",IF(TRIM(Z250)="","INVALID – evidence missing",IF(TRIM(AE250)="","INVALID – verifier missing",IF(TRIM(AE250)=TRIM(T250),"INVALID – verifier must be someone other than the PIC",IF(AND(AQ250=1,TRIM(W250)=""),"INVALID – batch ID missing",IF(AND(AR250=1,OR(NOT(ISNUMBER(X250)),NOT(ISNUMBER(Y250)))),"INVALID – expected/actual qty missing",IF(IF(AND(TRIM(U250)="Pass",ISNUMBER(AF250)),IF(AF250&lt;&gt;0,"INVALID – qty variance: use Fail or Pass after CA",""),"")&amp;IF(AND(TRIM(U250)="Pass",TRIM(AB250)&lt;&gt;"",TRIM(AB250)&lt;&gt;"Closed"),"INVALID – corrective action not closed: use Fail, then Pass after CA","")&amp;IF(AND(TRIM(AA250)&lt;&gt;"",TRIM(AB250)=""),"INVALID – CA status missing for the recorded corrective action","")&amp;IF(AND(TRIM(U250)="Pass after CA",OR(TRIM(AA250)="",TRIM(AB250)&lt;&gt;"Closed")),"INVALID – corrective action not recorded/closed","")&lt;&gt;"",IF(AND(TRIM(U250)="Pass",ISNUMBER(AF250)),IF(AF250&lt;&gt;0,"INVALID – qty variance: use Fail or Pass after CA",""),"")&amp;IF(AND(TRIM(U250)="Pass",TRIM(AB250)&lt;&gt;"",TRIM(AB250)&lt;&gt;"Closed"),"INVALID – corrective action not closed: use Fail, then Pass after CA","")&amp;IF(AND(TRIM(AA250)&lt;&gt;"",TRIM(AB250)=""),"INVALID – CA status missing for the recorded corrective action","")&amp;IF(AND(TRIM(U250)="Pass after CA",OR(TRIM(AA250)="",TRIM(AB250)&lt;&gt;"Closed")),"INVALID – corrective action not recorded/closed",""),IF(AND(AS250=1,Documents!$J$11&lt;&gt;"ON FILE"),"INVALID – GLD not on file (Documents sheet)",IF(AND(AS250=2,Documents!$O$11&lt;&gt;"ON FILE"),"INVALID – menu checklist not on file (Documents sheet)",IF(AND(AS250=3,NOT(ISNUMBER(Flights!$AX$11))),"INVALID – enter carrying flight KUL departure (Flights AX)",IF(AND(AS250=3,OR(Flights!$AX$11&gt;=Flights!$AA$11,Flights!$AX$11&lt;Flights!$AA$11-3)),"INVALID – Flights AX must be before this leg's STD (within 3 days)",IF(AG250&gt;AsOfUTC,"INVALID – completion time is in the future",IF(AND(ISNUMBER(S250),AG250&lt;S250),IF(H250="Physical uplift","INVALID – before uplift window (cannot confirm loading)","INVALID – before valid window"),IF(AG250&gt;Flights!$AA$11,"INVALID – completed after departure (cannot establish readiness)",IF(AND(H250="Physical uplift",AG250&gt;Q250),"INVALID – recorded after the loading flight departed",IF(AG250&gt;Q250,"COMPLETE – LATE","COMPLETE")))))))))))))))))),IF(TRIM(U250)="Fail","FAIL – DISCREPANCY",IF(AND(TRIM(U250)&lt;&gt;"",TRIM(U250)&lt;&gt;"Not started",TRIM(U250)&lt;&gt;"In progress"),"INVALID – unrecognised status (use the list)",IF(AsOfUTC&gt;Q250,"OVERDUE",IF(N250="Clarification required","OPEN – CLARIFICATION","OPEN")))))))</f>
        <v>OPEN</v>
      </c>
      <c r="AI250" s="61" t="n">
        <f aca="false">IF(OR(AH250="N/A – RULE",AH250="N/A – JUSTIFIED"),0,1)</f>
        <v>1</v>
      </c>
      <c r="AJ250" s="61" t="n">
        <f aca="false">IF(LEFT(AH250,8)="COMPLETE",1,0)</f>
        <v>0</v>
      </c>
      <c r="AK250" s="61" t="n">
        <f aca="false">IF(AND(AI250=1,AJ250=0,AsOfUTC&gt;Q250),1,0)</f>
        <v>0</v>
      </c>
      <c r="AL250" s="61" t="n">
        <f aca="false">IF(AND(AI250=1,OR(TRIM(U250)="Fail",AND(TRIM(AB250)&lt;&gt;"",TRIM(AB250)&lt;&gt;"Closed"),AND(ISNUMBER(AF250),AF250&lt;&gt;0,TRIM(U250)&lt;&gt;"Pass after CA"))),1,0)</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8" t="b">
        <f aca="false">TRUE()</f>
        <v>1</v>
      </c>
    </row>
    <row r="251" customFormat="false" ht="39.75" hidden="false" customHeight="true" outlineLevel="0" collapsed="false">
      <c r="A251" s="57" t="s">
        <v>787</v>
      </c>
      <c r="B251" s="57" t="s">
        <v>227</v>
      </c>
      <c r="C251" s="57" t="str">
        <f aca="false">Flights!$F$11</f>
        <v>MH0003</v>
      </c>
      <c r="D251" s="58" t="n">
        <f aca="false">Flights!$D$11</f>
        <v>46304</v>
      </c>
      <c r="E251" s="57" t="str">
        <f aca="false">Flights!$G$11&amp;"-"&amp;Flights!$H$11</f>
        <v>LHR-KUL</v>
      </c>
      <c r="F251" s="57" t="str">
        <f aca="false">Flights!$K$11</f>
        <v>BC</v>
      </c>
      <c r="G251" s="57" t="s">
        <v>424</v>
      </c>
      <c r="H251" s="57" t="s">
        <v>425</v>
      </c>
      <c r="I251" s="57" t="s">
        <v>464</v>
      </c>
      <c r="J251" s="57" t="s">
        <v>502</v>
      </c>
      <c r="K251" s="67" t="s">
        <v>466</v>
      </c>
      <c r="L251" s="67" t="s">
        <v>701</v>
      </c>
      <c r="M251" s="67" t="s">
        <v>416</v>
      </c>
      <c r="N251" s="67" t="s">
        <v>348</v>
      </c>
      <c r="O251" s="67"/>
      <c r="P251" s="57" t="s">
        <v>178</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59" t="n">
        <f aca="false">IF(ISNUMBER(Flights!$AY$11),MAX(Q251-UpliftWindowH/24,Flights!$AY$11+UpliftWindowH/24),Q251-UpliftWindowH/24)</f>
        <v>46304.1666666667</v>
      </c>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IF(N251="N/A – rule","N/A – RULE",IF(TRIM(U251)="N/A",IF(AT251=0,"INVALID – N/A not permitted for this mandatory check",IF(AND(TRIM(AC251)&lt;&gt;"",TRIM(AE251)&lt;&gt;"",TRIM(T251)&lt;&gt;"",TRIM(AE251)&lt;&gt;TRIM(T251)),"N/A – JUSTIFIED","INVALID – N/A needs justification, PIC and a different verifier")),IF(OR(TRIM(U251)="Pass",TRIM(U251)="Pass after CA"),IF(NOT(ISNUMBER(AD251)),"INVALID – completion time missing",IF(TRIM(T251)="","INVALID – PIC missing",IF(TRIM(V251)="","INVALID – result / assessment missing",IF(TRIM(Z251)="","INVALID – evidence missing",IF(TRIM(AE251)="","INVALID – verifier missing",IF(TRIM(AE251)=TRIM(T251),"INVALID – verifier must be someone other than the PIC",IF(AND(AQ251=1,TRIM(W251)=""),"INVALID – batch ID missing",IF(AND(AR251=1,OR(NOT(ISNUMBER(X251)),NOT(ISNUMBER(Y251)))),"INVALID – expected/actual qty missing",IF(IF(AND(TRIM(U251)="Pass",ISNUMBER(AF251)),IF(AF251&lt;&gt;0,"INVALID – qty variance: use Fail or Pass after CA",""),"")&amp;IF(AND(TRIM(U251)="Pass",TRIM(AB251)&lt;&gt;"",TRIM(AB251)&lt;&gt;"Closed"),"INVALID – corrective action not closed: use Fail, then Pass after CA","")&amp;IF(AND(TRIM(AA251)&lt;&gt;"",TRIM(AB251)=""),"INVALID – CA status missing for the recorded corrective action","")&amp;IF(AND(TRIM(U251)="Pass after CA",OR(TRIM(AA251)="",TRIM(AB251)&lt;&gt;"Closed")),"INVALID – corrective action not recorded/closed","")&lt;&gt;"",IF(AND(TRIM(U251)="Pass",ISNUMBER(AF251)),IF(AF251&lt;&gt;0,"INVALID – qty variance: use Fail or Pass after CA",""),"")&amp;IF(AND(TRIM(U251)="Pass",TRIM(AB251)&lt;&gt;"",TRIM(AB251)&lt;&gt;"Closed"),"INVALID – corrective action not closed: use Fail, then Pass after CA","")&amp;IF(AND(TRIM(AA251)&lt;&gt;"",TRIM(AB251)=""),"INVALID – CA status missing for the recorded corrective action","")&amp;IF(AND(TRIM(U251)="Pass after CA",OR(TRIM(AA251)="",TRIM(AB251)&lt;&gt;"Closed")),"INVALID – corrective action not recorded/closed",""),IF(AND(AS251=1,Documents!$J$11&lt;&gt;"ON FILE"),"INVALID – GLD not on file (Documents sheet)",IF(AND(AS251=2,Documents!$O$11&lt;&gt;"ON FILE"),"INVALID – menu checklist not on file (Documents sheet)",IF(AND(AS251=3,NOT(ISNUMBER(Flights!$AX$11))),"INVALID – enter carrying flight KUL departure (Flights AX)",IF(AND(AS251=3,OR(Flights!$AX$11&gt;=Flights!$AA$11,Flights!$AX$11&lt;Flights!$AA$11-3)),"INVALID – Flights AX must be before this leg's STD (within 3 days)",IF(AG251&gt;AsOfUTC,"INVALID – completion time is in the future",IF(AND(ISNUMBER(S251),AG251&lt;S251),IF(H251="Physical uplift","INVALID – before uplift window (cannot confirm loading)","INVALID – before valid window"),IF(AG251&gt;Flights!$AA$11,"INVALID – completed after departure (cannot establish readiness)",IF(AND(H251="Physical uplift",AG251&gt;Q251),"INVALID – recorded after the loading flight departed",IF(AG251&gt;Q251,"COMPLETE – LATE","COMPLETE")))))))))))))))))),IF(TRIM(U251)="Fail","FAIL – DISCREPANCY",IF(AND(TRIM(U251)&lt;&gt;"",TRIM(U251)&lt;&gt;"Not started",TRIM(U251)&lt;&gt;"In progress"),"INVALID – unrecognised status (use the list)",IF(AsOfUTC&gt;Q251,"OVERDUE",IF(N251="Clarification required","OPEN – CLARIFICATION","OPEN")))))))</f>
        <v>OPEN</v>
      </c>
      <c r="AI251" s="61" t="n">
        <f aca="false">IF(OR(AH251="N/A – RULE",AH251="N/A – JUSTIFIED"),0,1)</f>
        <v>1</v>
      </c>
      <c r="AJ251" s="61" t="n">
        <f aca="false">IF(LEFT(AH251,8)="COMPLETE",1,0)</f>
        <v>0</v>
      </c>
      <c r="AK251" s="61" t="n">
        <f aca="false">IF(AND(AI251=1,AJ251=0,AsOfUTC&gt;Q251),1,0)</f>
        <v>0</v>
      </c>
      <c r="AL251" s="61" t="n">
        <f aca="false">IF(AND(AI251=1,OR(TRIM(U251)="Fail",AND(TRIM(AB251)&lt;&gt;"",TRIM(AB251)&lt;&gt;"Closed"),AND(ISNUMBER(AF251),AF251&lt;&gt;0,TRIM(U251)&lt;&gt;"Pass after CA"))),1,0)</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8" t="b">
        <f aca="false">TRUE()</f>
        <v>1</v>
      </c>
    </row>
    <row r="252" customFormat="false" ht="39.75" hidden="false" customHeight="true" outlineLevel="0" collapsed="false">
      <c r="A252" s="57" t="s">
        <v>788</v>
      </c>
      <c r="B252" s="57" t="s">
        <v>227</v>
      </c>
      <c r="C252" s="57" t="str">
        <f aca="false">Flights!$F$11</f>
        <v>MH0003</v>
      </c>
      <c r="D252" s="58" t="n">
        <f aca="false">Flights!$D$11</f>
        <v>46304</v>
      </c>
      <c r="E252" s="57" t="str">
        <f aca="false">Flights!$G$11&amp;"-"&amp;Flights!$H$11</f>
        <v>LHR-KUL</v>
      </c>
      <c r="F252" s="57" t="str">
        <f aca="false">Flights!$K$11</f>
        <v>BC</v>
      </c>
      <c r="G252" s="57" t="s">
        <v>424</v>
      </c>
      <c r="H252" s="57" t="s">
        <v>425</v>
      </c>
      <c r="I252" s="57" t="s">
        <v>464</v>
      </c>
      <c r="J252" s="57" t="s">
        <v>504</v>
      </c>
      <c r="K252" s="67" t="s">
        <v>466</v>
      </c>
      <c r="L252" s="67" t="s">
        <v>703</v>
      </c>
      <c r="M252" s="67" t="s">
        <v>416</v>
      </c>
      <c r="N252" s="67" t="s">
        <v>348</v>
      </c>
      <c r="O252" s="67"/>
      <c r="P252" s="57" t="s">
        <v>178</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59" t="n">
        <f aca="false">IF(ISNUMBER(Flights!$AY$11),MAX(Q252-UpliftWindowH/24,Flights!$AY$11+UpliftWindowH/24),Q252-UpliftWindowH/24)</f>
        <v>46304.1666666667</v>
      </c>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IF(N252="N/A – rule","N/A – RULE",IF(TRIM(U252)="N/A",IF(AT252=0,"INVALID – N/A not permitted for this mandatory check",IF(AND(TRIM(AC252)&lt;&gt;"",TRIM(AE252)&lt;&gt;"",TRIM(T252)&lt;&gt;"",TRIM(AE252)&lt;&gt;TRIM(T252)),"N/A – JUSTIFIED","INVALID – N/A needs justification, PIC and a different verifier")),IF(OR(TRIM(U252)="Pass",TRIM(U252)="Pass after CA"),IF(NOT(ISNUMBER(AD252)),"INVALID – completion time missing",IF(TRIM(T252)="","INVALID – PIC missing",IF(TRIM(V252)="","INVALID – result / assessment missing",IF(TRIM(Z252)="","INVALID – evidence missing",IF(TRIM(AE252)="","INVALID – verifier missing",IF(TRIM(AE252)=TRIM(T252),"INVALID – verifier must be someone other than the PIC",IF(AND(AQ252=1,TRIM(W252)=""),"INVALID – batch ID missing",IF(AND(AR252=1,OR(NOT(ISNUMBER(X252)),NOT(ISNUMBER(Y252)))),"INVALID – expected/actual qty missing",IF(IF(AND(TRIM(U252)="Pass",ISNUMBER(AF252)),IF(AF252&lt;&gt;0,"INVALID – qty variance: use Fail or Pass after CA",""),"")&amp;IF(AND(TRIM(U252)="Pass",TRIM(AB252)&lt;&gt;"",TRIM(AB252)&lt;&gt;"Closed"),"INVALID – corrective action not closed: use Fail, then Pass after CA","")&amp;IF(AND(TRIM(AA252)&lt;&gt;"",TRIM(AB252)=""),"INVALID – CA status missing for the recorded corrective action","")&amp;IF(AND(TRIM(U252)="Pass after CA",OR(TRIM(AA252)="",TRIM(AB252)&lt;&gt;"Closed")),"INVALID – corrective action not recorded/closed","")&lt;&gt;"",IF(AND(TRIM(U252)="Pass",ISNUMBER(AF252)),IF(AF252&lt;&gt;0,"INVALID – qty variance: use Fail or Pass after CA",""),"")&amp;IF(AND(TRIM(U252)="Pass",TRIM(AB252)&lt;&gt;"",TRIM(AB252)&lt;&gt;"Closed"),"INVALID – corrective action not closed: use Fail, then Pass after CA","")&amp;IF(AND(TRIM(AA252)&lt;&gt;"",TRIM(AB252)=""),"INVALID – CA status missing for the recorded corrective action","")&amp;IF(AND(TRIM(U252)="Pass after CA",OR(TRIM(AA252)="",TRIM(AB252)&lt;&gt;"Closed")),"INVALID – corrective action not recorded/closed",""),IF(AND(AS252=1,Documents!$J$11&lt;&gt;"ON FILE"),"INVALID – GLD not on file (Documents sheet)",IF(AND(AS252=2,Documents!$O$11&lt;&gt;"ON FILE"),"INVALID – menu checklist not on file (Documents sheet)",IF(AND(AS252=3,NOT(ISNUMBER(Flights!$AX$11))),"INVALID – enter carrying flight KUL departure (Flights AX)",IF(AND(AS252=3,OR(Flights!$AX$11&gt;=Flights!$AA$11,Flights!$AX$11&lt;Flights!$AA$11-3)),"INVALID – Flights AX must be before this leg's STD (within 3 days)",IF(AG252&gt;AsOfUTC,"INVALID – completion time is in the future",IF(AND(ISNUMBER(S252),AG252&lt;S252),IF(H252="Physical uplift","INVALID – before uplift window (cannot confirm loading)","INVALID – before valid window"),IF(AG252&gt;Flights!$AA$11,"INVALID – completed after departure (cannot establish readiness)",IF(AND(H252="Physical uplift",AG252&gt;Q252),"INVALID – recorded after the loading flight departed",IF(AG252&gt;Q252,"COMPLETE – LATE","COMPLETE")))))))))))))))))),IF(TRIM(U252)="Fail","FAIL – DISCREPANCY",IF(AND(TRIM(U252)&lt;&gt;"",TRIM(U252)&lt;&gt;"Not started",TRIM(U252)&lt;&gt;"In progress"),"INVALID – unrecognised status (use the list)",IF(AsOfUTC&gt;Q252,"OVERDUE",IF(N252="Clarification required","OPEN – CLARIFICATION","OPEN")))))))</f>
        <v>OPEN</v>
      </c>
      <c r="AI252" s="61" t="n">
        <f aca="false">IF(OR(AH252="N/A – RULE",AH252="N/A – JUSTIFIED"),0,1)</f>
        <v>1</v>
      </c>
      <c r="AJ252" s="61" t="n">
        <f aca="false">IF(LEFT(AH252,8)="COMPLETE",1,0)</f>
        <v>0</v>
      </c>
      <c r="AK252" s="61" t="n">
        <f aca="false">IF(AND(AI252=1,AJ252=0,AsOfUTC&gt;Q252),1,0)</f>
        <v>0</v>
      </c>
      <c r="AL252" s="61" t="n">
        <f aca="false">IF(AND(AI252=1,OR(TRIM(U252)="Fail",AND(TRIM(AB252)&lt;&gt;"",TRIM(AB252)&lt;&gt;"Closed"),AND(ISNUMBER(AF252),AF252&lt;&gt;0,TRIM(U252)&lt;&gt;"Pass after CA"))),1,0)</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8" t="b">
        <f aca="false">TRUE()</f>
        <v>1</v>
      </c>
    </row>
    <row r="253" customFormat="false" ht="39.75" hidden="false" customHeight="true" outlineLevel="0" collapsed="false">
      <c r="A253" s="57" t="s">
        <v>789</v>
      </c>
      <c r="B253" s="57" t="s">
        <v>227</v>
      </c>
      <c r="C253" s="57" t="str">
        <f aca="false">Flights!$F$11</f>
        <v>MH0003</v>
      </c>
      <c r="D253" s="58" t="n">
        <f aca="false">Flights!$D$11</f>
        <v>46304</v>
      </c>
      <c r="E253" s="57" t="str">
        <f aca="false">Flights!$G$11&amp;"-"&amp;Flights!$H$11</f>
        <v>LHR-KUL</v>
      </c>
      <c r="F253" s="57" t="str">
        <f aca="false">Flights!$K$11</f>
        <v>BC</v>
      </c>
      <c r="G253" s="57" t="s">
        <v>424</v>
      </c>
      <c r="H253" s="57" t="s">
        <v>425</v>
      </c>
      <c r="I253" s="57" t="s">
        <v>464</v>
      </c>
      <c r="J253" s="57" t="s">
        <v>506</v>
      </c>
      <c r="K253" s="67" t="s">
        <v>466</v>
      </c>
      <c r="L253" s="67" t="s">
        <v>705</v>
      </c>
      <c r="M253" s="67" t="s">
        <v>416</v>
      </c>
      <c r="N253" s="67" t="s">
        <v>348</v>
      </c>
      <c r="O253" s="67"/>
      <c r="P253" s="57" t="s">
        <v>178</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59" t="n">
        <f aca="false">IF(ISNUMBER(Flights!$AY$11),MAX(Q253-UpliftWindowH/24,Flights!$AY$11+UpliftWindowH/24),Q253-UpliftWindowH/24)</f>
        <v>46304.1666666667</v>
      </c>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IF(N253="N/A – rule","N/A – RULE",IF(TRIM(U253)="N/A",IF(AT253=0,"INVALID – N/A not permitted for this mandatory check",IF(AND(TRIM(AC253)&lt;&gt;"",TRIM(AE253)&lt;&gt;"",TRIM(T253)&lt;&gt;"",TRIM(AE253)&lt;&gt;TRIM(T253)),"N/A – JUSTIFIED","INVALID – N/A needs justification, PIC and a different verifier")),IF(OR(TRIM(U253)="Pass",TRIM(U253)="Pass after CA"),IF(NOT(ISNUMBER(AD253)),"INVALID – completion time missing",IF(TRIM(T253)="","INVALID – PIC missing",IF(TRIM(V253)="","INVALID – result / assessment missing",IF(TRIM(Z253)="","INVALID – evidence missing",IF(TRIM(AE253)="","INVALID – verifier missing",IF(TRIM(AE253)=TRIM(T253),"INVALID – verifier must be someone other than the PIC",IF(AND(AQ253=1,TRIM(W253)=""),"INVALID – batch ID missing",IF(AND(AR253=1,OR(NOT(ISNUMBER(X253)),NOT(ISNUMBER(Y253)))),"INVALID – expected/actual qty missing",IF(IF(AND(TRIM(U253)="Pass",ISNUMBER(AF253)),IF(AF253&lt;&gt;0,"INVALID – qty variance: use Fail or Pass after CA",""),"")&amp;IF(AND(TRIM(U253)="Pass",TRIM(AB253)&lt;&gt;"",TRIM(AB253)&lt;&gt;"Closed"),"INVALID – corrective action not closed: use Fail, then Pass after CA","")&amp;IF(AND(TRIM(AA253)&lt;&gt;"",TRIM(AB253)=""),"INVALID – CA status missing for the recorded corrective action","")&amp;IF(AND(TRIM(U253)="Pass after CA",OR(TRIM(AA253)="",TRIM(AB253)&lt;&gt;"Closed")),"INVALID – corrective action not recorded/closed","")&lt;&gt;"",IF(AND(TRIM(U253)="Pass",ISNUMBER(AF253)),IF(AF253&lt;&gt;0,"INVALID – qty variance: use Fail or Pass after CA",""),"")&amp;IF(AND(TRIM(U253)="Pass",TRIM(AB253)&lt;&gt;"",TRIM(AB253)&lt;&gt;"Closed"),"INVALID – corrective action not closed: use Fail, then Pass after CA","")&amp;IF(AND(TRIM(AA253)&lt;&gt;"",TRIM(AB253)=""),"INVALID – CA status missing for the recorded corrective action","")&amp;IF(AND(TRIM(U253)="Pass after CA",OR(TRIM(AA253)="",TRIM(AB253)&lt;&gt;"Closed")),"INVALID – corrective action not recorded/closed",""),IF(AND(AS253=1,Documents!$J$11&lt;&gt;"ON FILE"),"INVALID – GLD not on file (Documents sheet)",IF(AND(AS253=2,Documents!$O$11&lt;&gt;"ON FILE"),"INVALID – menu checklist not on file (Documents sheet)",IF(AND(AS253=3,NOT(ISNUMBER(Flights!$AX$11))),"INVALID – enter carrying flight KUL departure (Flights AX)",IF(AND(AS253=3,OR(Flights!$AX$11&gt;=Flights!$AA$11,Flights!$AX$11&lt;Flights!$AA$11-3)),"INVALID – Flights AX must be before this leg's STD (within 3 days)",IF(AG253&gt;AsOfUTC,"INVALID – completion time is in the future",IF(AND(ISNUMBER(S253),AG253&lt;S253),IF(H253="Physical uplift","INVALID – before uplift window (cannot confirm loading)","INVALID – before valid window"),IF(AG253&gt;Flights!$AA$11,"INVALID – completed after departure (cannot establish readiness)",IF(AND(H253="Physical uplift",AG253&gt;Q253),"INVALID – recorded after the loading flight departed",IF(AG253&gt;Q253,"COMPLETE – LATE","COMPLETE")))))))))))))))))),IF(TRIM(U253)="Fail","FAIL – DISCREPANCY",IF(AND(TRIM(U253)&lt;&gt;"",TRIM(U253)&lt;&gt;"Not started",TRIM(U253)&lt;&gt;"In progress"),"INVALID – unrecognised status (use the list)",IF(AsOfUTC&gt;Q253,"OVERDUE",IF(N253="Clarification required","OPEN – CLARIFICATION","OPEN")))))))</f>
        <v>OPEN</v>
      </c>
      <c r="AI253" s="61" t="n">
        <f aca="false">IF(OR(AH253="N/A – RULE",AH253="N/A – JUSTIFIED"),0,1)</f>
        <v>1</v>
      </c>
      <c r="AJ253" s="61" t="n">
        <f aca="false">IF(LEFT(AH253,8)="COMPLETE",1,0)</f>
        <v>0</v>
      </c>
      <c r="AK253" s="61" t="n">
        <f aca="false">IF(AND(AI253=1,AJ253=0,AsOfUTC&gt;Q253),1,0)</f>
        <v>0</v>
      </c>
      <c r="AL253" s="61" t="n">
        <f aca="false">IF(AND(AI253=1,OR(TRIM(U253)="Fail",AND(TRIM(AB253)&lt;&gt;"",TRIM(AB253)&lt;&gt;"Closed"),AND(ISNUMBER(AF253),AF253&lt;&gt;0,TRIM(U253)&lt;&gt;"Pass after CA"))),1,0)</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8" t="b">
        <f aca="false">TRUE()</f>
        <v>1</v>
      </c>
    </row>
    <row r="254" customFormat="false" ht="39.75" hidden="false" customHeight="true" outlineLevel="0" collapsed="false">
      <c r="A254" s="57" t="s">
        <v>790</v>
      </c>
      <c r="B254" s="57" t="s">
        <v>227</v>
      </c>
      <c r="C254" s="57" t="str">
        <f aca="false">Flights!$F$11</f>
        <v>MH0003</v>
      </c>
      <c r="D254" s="58" t="n">
        <f aca="false">Flights!$D$11</f>
        <v>46304</v>
      </c>
      <c r="E254" s="57" t="str">
        <f aca="false">Flights!$G$11&amp;"-"&amp;Flights!$H$11</f>
        <v>LHR-KUL</v>
      </c>
      <c r="F254" s="57" t="str">
        <f aca="false">Flights!$K$11</f>
        <v>BC</v>
      </c>
      <c r="G254" s="57" t="s">
        <v>424</v>
      </c>
      <c r="H254" s="57" t="s">
        <v>425</v>
      </c>
      <c r="I254" s="57" t="s">
        <v>464</v>
      </c>
      <c r="J254" s="57" t="s">
        <v>508</v>
      </c>
      <c r="K254" s="67" t="s">
        <v>466</v>
      </c>
      <c r="L254" s="67" t="s">
        <v>707</v>
      </c>
      <c r="M254" s="67" t="s">
        <v>416</v>
      </c>
      <c r="N254" s="67" t="s">
        <v>348</v>
      </c>
      <c r="O254" s="67"/>
      <c r="P254" s="57" t="s">
        <v>178</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59" t="n">
        <f aca="false">IF(ISNUMBER(Flights!$AY$11),MAX(Q254-UpliftWindowH/24,Flights!$AY$11+UpliftWindowH/24),Q254-UpliftWindowH/24)</f>
        <v>46304.1666666667</v>
      </c>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IF(N254="N/A – rule","N/A – RULE",IF(TRIM(U254)="N/A",IF(AT254=0,"INVALID – N/A not permitted for this mandatory check",IF(AND(TRIM(AC254)&lt;&gt;"",TRIM(AE254)&lt;&gt;"",TRIM(T254)&lt;&gt;"",TRIM(AE254)&lt;&gt;TRIM(T254)),"N/A – JUSTIFIED","INVALID – N/A needs justification, PIC and a different verifier")),IF(OR(TRIM(U254)="Pass",TRIM(U254)="Pass after CA"),IF(NOT(ISNUMBER(AD254)),"INVALID – completion time missing",IF(TRIM(T254)="","INVALID – PIC missing",IF(TRIM(V254)="","INVALID – result / assessment missing",IF(TRIM(Z254)="","INVALID – evidence missing",IF(TRIM(AE254)="","INVALID – verifier missing",IF(TRIM(AE254)=TRIM(T254),"INVALID – verifier must be someone other than the PIC",IF(AND(AQ254=1,TRIM(W254)=""),"INVALID – batch ID missing",IF(AND(AR254=1,OR(NOT(ISNUMBER(X254)),NOT(ISNUMBER(Y254)))),"INVALID – expected/actual qty missing",IF(IF(AND(TRIM(U254)="Pass",ISNUMBER(AF254)),IF(AF254&lt;&gt;0,"INVALID – qty variance: use Fail or Pass after CA",""),"")&amp;IF(AND(TRIM(U254)="Pass",TRIM(AB254)&lt;&gt;"",TRIM(AB254)&lt;&gt;"Closed"),"INVALID – corrective action not closed: use Fail, then Pass after CA","")&amp;IF(AND(TRIM(AA254)&lt;&gt;"",TRIM(AB254)=""),"INVALID – CA status missing for the recorded corrective action","")&amp;IF(AND(TRIM(U254)="Pass after CA",OR(TRIM(AA254)="",TRIM(AB254)&lt;&gt;"Closed")),"INVALID – corrective action not recorded/closed","")&lt;&gt;"",IF(AND(TRIM(U254)="Pass",ISNUMBER(AF254)),IF(AF254&lt;&gt;0,"INVALID – qty variance: use Fail or Pass after CA",""),"")&amp;IF(AND(TRIM(U254)="Pass",TRIM(AB254)&lt;&gt;"",TRIM(AB254)&lt;&gt;"Closed"),"INVALID – corrective action not closed: use Fail, then Pass after CA","")&amp;IF(AND(TRIM(AA254)&lt;&gt;"",TRIM(AB254)=""),"INVALID – CA status missing for the recorded corrective action","")&amp;IF(AND(TRIM(U254)="Pass after CA",OR(TRIM(AA254)="",TRIM(AB254)&lt;&gt;"Closed")),"INVALID – corrective action not recorded/closed",""),IF(AND(AS254=1,Documents!$J$11&lt;&gt;"ON FILE"),"INVALID – GLD not on file (Documents sheet)",IF(AND(AS254=2,Documents!$O$11&lt;&gt;"ON FILE"),"INVALID – menu checklist not on file (Documents sheet)",IF(AND(AS254=3,NOT(ISNUMBER(Flights!$AX$11))),"INVALID – enter carrying flight KUL departure (Flights AX)",IF(AND(AS254=3,OR(Flights!$AX$11&gt;=Flights!$AA$11,Flights!$AX$11&lt;Flights!$AA$11-3)),"INVALID – Flights AX must be before this leg's STD (within 3 days)",IF(AG254&gt;AsOfUTC,"INVALID – completion time is in the future",IF(AND(ISNUMBER(S254),AG254&lt;S254),IF(H254="Physical uplift","INVALID – before uplift window (cannot confirm loading)","INVALID – before valid window"),IF(AG254&gt;Flights!$AA$11,"INVALID – completed after departure (cannot establish readiness)",IF(AND(H254="Physical uplift",AG254&gt;Q254),"INVALID – recorded after the loading flight departed",IF(AG254&gt;Q254,"COMPLETE – LATE","COMPLETE")))))))))))))))))),IF(TRIM(U254)="Fail","FAIL – DISCREPANCY",IF(AND(TRIM(U254)&lt;&gt;"",TRIM(U254)&lt;&gt;"Not started",TRIM(U254)&lt;&gt;"In progress"),"INVALID – unrecognised status (use the list)",IF(AsOfUTC&gt;Q254,"OVERDUE",IF(N254="Clarification required","OPEN – CLARIFICATION","OPEN")))))))</f>
        <v>OPEN</v>
      </c>
      <c r="AI254" s="61" t="n">
        <f aca="false">IF(OR(AH254="N/A – RULE",AH254="N/A – JUSTIFIED"),0,1)</f>
        <v>1</v>
      </c>
      <c r="AJ254" s="61" t="n">
        <f aca="false">IF(LEFT(AH254,8)="COMPLETE",1,0)</f>
        <v>0</v>
      </c>
      <c r="AK254" s="61" t="n">
        <f aca="false">IF(AND(AI254=1,AJ254=0,AsOfUTC&gt;Q254),1,0)</f>
        <v>0</v>
      </c>
      <c r="AL254" s="61" t="n">
        <f aca="false">IF(AND(AI254=1,OR(TRIM(U254)="Fail",AND(TRIM(AB254)&lt;&gt;"",TRIM(AB254)&lt;&gt;"Closed"),AND(ISNUMBER(AF254),AF254&lt;&gt;0,TRIM(U254)&lt;&gt;"Pass after CA"))),1,0)</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8" t="b">
        <f aca="false">TRUE()</f>
        <v>1</v>
      </c>
    </row>
    <row r="255" customFormat="false" ht="39.75" hidden="false" customHeight="true" outlineLevel="0" collapsed="false">
      <c r="A255" s="57" t="s">
        <v>791</v>
      </c>
      <c r="B255" s="57" t="s">
        <v>227</v>
      </c>
      <c r="C255" s="57" t="str">
        <f aca="false">Flights!$F$11</f>
        <v>MH0003</v>
      </c>
      <c r="D255" s="58" t="n">
        <f aca="false">Flights!$D$11</f>
        <v>46304</v>
      </c>
      <c r="E255" s="57" t="str">
        <f aca="false">Flights!$G$11&amp;"-"&amp;Flights!$H$11</f>
        <v>LHR-KUL</v>
      </c>
      <c r="F255" s="57" t="str">
        <f aca="false">Flights!$K$11</f>
        <v>BC</v>
      </c>
      <c r="G255" s="57" t="s">
        <v>424</v>
      </c>
      <c r="H255" s="57" t="s">
        <v>425</v>
      </c>
      <c r="I255" s="57" t="s">
        <v>464</v>
      </c>
      <c r="J255" s="57" t="s">
        <v>511</v>
      </c>
      <c r="K255" s="67" t="s">
        <v>466</v>
      </c>
      <c r="L255" s="67" t="s">
        <v>709</v>
      </c>
      <c r="M255" s="67" t="s">
        <v>416</v>
      </c>
      <c r="N255" s="67" t="s">
        <v>348</v>
      </c>
      <c r="O255" s="67"/>
      <c r="P255" s="57" t="s">
        <v>178</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59" t="n">
        <f aca="false">IF(ISNUMBER(Flights!$AY$11),MAX(Q255-UpliftWindowH/24,Flights!$AY$11+UpliftWindowH/24),Q255-UpliftWindowH/24)</f>
        <v>46304.1666666667</v>
      </c>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IF(N255="N/A – rule","N/A – RULE",IF(TRIM(U255)="N/A",IF(AT255=0,"INVALID – N/A not permitted for this mandatory check",IF(AND(TRIM(AC255)&lt;&gt;"",TRIM(AE255)&lt;&gt;"",TRIM(T255)&lt;&gt;"",TRIM(AE255)&lt;&gt;TRIM(T255)),"N/A – JUSTIFIED","INVALID – N/A needs justification, PIC and a different verifier")),IF(OR(TRIM(U255)="Pass",TRIM(U255)="Pass after CA"),IF(NOT(ISNUMBER(AD255)),"INVALID – completion time missing",IF(TRIM(T255)="","INVALID – PIC missing",IF(TRIM(V255)="","INVALID – result / assessment missing",IF(TRIM(Z255)="","INVALID – evidence missing",IF(TRIM(AE255)="","INVALID – verifier missing",IF(TRIM(AE255)=TRIM(T255),"INVALID – verifier must be someone other than the PIC",IF(AND(AQ255=1,TRIM(W255)=""),"INVALID – batch ID missing",IF(AND(AR255=1,OR(NOT(ISNUMBER(X255)),NOT(ISNUMBER(Y255)))),"INVALID – expected/actual qty missing",IF(IF(AND(TRIM(U255)="Pass",ISNUMBER(AF255)),IF(AF255&lt;&gt;0,"INVALID – qty variance: use Fail or Pass after CA",""),"")&amp;IF(AND(TRIM(U255)="Pass",TRIM(AB255)&lt;&gt;"",TRIM(AB255)&lt;&gt;"Closed"),"INVALID – corrective action not closed: use Fail, then Pass after CA","")&amp;IF(AND(TRIM(AA255)&lt;&gt;"",TRIM(AB255)=""),"INVALID – CA status missing for the recorded corrective action","")&amp;IF(AND(TRIM(U255)="Pass after CA",OR(TRIM(AA255)="",TRIM(AB255)&lt;&gt;"Closed")),"INVALID – corrective action not recorded/closed","")&lt;&gt;"",IF(AND(TRIM(U255)="Pass",ISNUMBER(AF255)),IF(AF255&lt;&gt;0,"INVALID – qty variance: use Fail or Pass after CA",""),"")&amp;IF(AND(TRIM(U255)="Pass",TRIM(AB255)&lt;&gt;"",TRIM(AB255)&lt;&gt;"Closed"),"INVALID – corrective action not closed: use Fail, then Pass after CA","")&amp;IF(AND(TRIM(AA255)&lt;&gt;"",TRIM(AB255)=""),"INVALID – CA status missing for the recorded corrective action","")&amp;IF(AND(TRIM(U255)="Pass after CA",OR(TRIM(AA255)="",TRIM(AB255)&lt;&gt;"Closed")),"INVALID – corrective action not recorded/closed",""),IF(AND(AS255=1,Documents!$J$11&lt;&gt;"ON FILE"),"INVALID – GLD not on file (Documents sheet)",IF(AND(AS255=2,Documents!$O$11&lt;&gt;"ON FILE"),"INVALID – menu checklist not on file (Documents sheet)",IF(AND(AS255=3,NOT(ISNUMBER(Flights!$AX$11))),"INVALID – enter carrying flight KUL departure (Flights AX)",IF(AND(AS255=3,OR(Flights!$AX$11&gt;=Flights!$AA$11,Flights!$AX$11&lt;Flights!$AA$11-3)),"INVALID – Flights AX must be before this leg's STD (within 3 days)",IF(AG255&gt;AsOfUTC,"INVALID – completion time is in the future",IF(AND(ISNUMBER(S255),AG255&lt;S255),IF(H255="Physical uplift","INVALID – before uplift window (cannot confirm loading)","INVALID – before valid window"),IF(AG255&gt;Flights!$AA$11,"INVALID – completed after departure (cannot establish readiness)",IF(AND(H255="Physical uplift",AG255&gt;Q255),"INVALID – recorded after the loading flight departed",IF(AG255&gt;Q255,"COMPLETE – LATE","COMPLETE")))))))))))))))))),IF(TRIM(U255)="Fail","FAIL – DISCREPANCY",IF(AND(TRIM(U255)&lt;&gt;"",TRIM(U255)&lt;&gt;"Not started",TRIM(U255)&lt;&gt;"In progress"),"INVALID – unrecognised status (use the list)",IF(AsOfUTC&gt;Q255,"OVERDUE",IF(N255="Clarification required","OPEN – CLARIFICATION","OPEN")))))))</f>
        <v>OPEN</v>
      </c>
      <c r="AI255" s="61" t="n">
        <f aca="false">IF(OR(AH255="N/A – RULE",AH255="N/A – JUSTIFIED"),0,1)</f>
        <v>1</v>
      </c>
      <c r="AJ255" s="61" t="n">
        <f aca="false">IF(LEFT(AH255,8)="COMPLETE",1,0)</f>
        <v>0</v>
      </c>
      <c r="AK255" s="61" t="n">
        <f aca="false">IF(AND(AI255=1,AJ255=0,AsOfUTC&gt;Q255),1,0)</f>
        <v>0</v>
      </c>
      <c r="AL255" s="61" t="n">
        <f aca="false">IF(AND(AI255=1,OR(TRIM(U255)="Fail",AND(TRIM(AB255)&lt;&gt;"",TRIM(AB255)&lt;&gt;"Closed"),AND(ISNUMBER(AF255),AF255&lt;&gt;0,TRIM(U255)&lt;&gt;"Pass after CA"))),1,0)</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8" t="b">
        <f aca="false">TRUE()</f>
        <v>1</v>
      </c>
    </row>
    <row r="256" customFormat="false" ht="39.75" hidden="false" customHeight="true" outlineLevel="0" collapsed="false">
      <c r="A256" s="57" t="s">
        <v>792</v>
      </c>
      <c r="B256" s="57" t="s">
        <v>227</v>
      </c>
      <c r="C256" s="57" t="str">
        <f aca="false">Flights!$F$11</f>
        <v>MH0003</v>
      </c>
      <c r="D256" s="58" t="n">
        <f aca="false">Flights!$D$11</f>
        <v>46304</v>
      </c>
      <c r="E256" s="57" t="str">
        <f aca="false">Flights!$G$11&amp;"-"&amp;Flights!$H$11</f>
        <v>LHR-KUL</v>
      </c>
      <c r="F256" s="57" t="str">
        <f aca="false">Flights!$K$11</f>
        <v>BC</v>
      </c>
      <c r="G256" s="57" t="s">
        <v>424</v>
      </c>
      <c r="H256" s="57" t="s">
        <v>425</v>
      </c>
      <c r="I256" s="57" t="s">
        <v>464</v>
      </c>
      <c r="J256" s="57" t="s">
        <v>513</v>
      </c>
      <c r="K256" s="67" t="s">
        <v>581</v>
      </c>
      <c r="L256" s="67" t="s">
        <v>711</v>
      </c>
      <c r="M256" s="67" t="s">
        <v>416</v>
      </c>
      <c r="N256" s="67" t="s">
        <v>348</v>
      </c>
      <c r="O256" s="67" t="s">
        <v>514</v>
      </c>
      <c r="P256" s="57" t="s">
        <v>178</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59" t="n">
        <f aca="false">IF(ISNUMBER(Flights!$AY$11),MAX(Q256-UpliftWindowH/24,Flights!$AY$11+UpliftWindowH/24),Q256-UpliftWindowH/24)</f>
        <v>46304.1666666667</v>
      </c>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IF(N256="N/A – rule","N/A – RULE",IF(TRIM(U256)="N/A",IF(AT256=0,"INVALID – N/A not permitted for this mandatory check",IF(AND(TRIM(AC256)&lt;&gt;"",TRIM(AE256)&lt;&gt;"",TRIM(T256)&lt;&gt;"",TRIM(AE256)&lt;&gt;TRIM(T256)),"N/A – JUSTIFIED","INVALID – N/A needs justification, PIC and a different verifier")),IF(OR(TRIM(U256)="Pass",TRIM(U256)="Pass after CA"),IF(NOT(ISNUMBER(AD256)),"INVALID – completion time missing",IF(TRIM(T256)="","INVALID – PIC missing",IF(TRIM(V256)="","INVALID – result / assessment missing",IF(TRIM(Z256)="","INVALID – evidence missing",IF(TRIM(AE256)="","INVALID – verifier missing",IF(TRIM(AE256)=TRIM(T256),"INVALID – verifier must be someone other than the PIC",IF(AND(AQ256=1,TRIM(W256)=""),"INVALID – batch ID missing",IF(AND(AR256=1,OR(NOT(ISNUMBER(X256)),NOT(ISNUMBER(Y256)))),"INVALID – expected/actual qty missing",IF(IF(AND(TRIM(U256)="Pass",ISNUMBER(AF256)),IF(AF256&lt;&gt;0,"INVALID – qty variance: use Fail or Pass after CA",""),"")&amp;IF(AND(TRIM(U256)="Pass",TRIM(AB256)&lt;&gt;"",TRIM(AB256)&lt;&gt;"Closed"),"INVALID – corrective action not closed: use Fail, then Pass after CA","")&amp;IF(AND(TRIM(AA256)&lt;&gt;"",TRIM(AB256)=""),"INVALID – CA status missing for the recorded corrective action","")&amp;IF(AND(TRIM(U256)="Pass after CA",OR(TRIM(AA256)="",TRIM(AB256)&lt;&gt;"Closed")),"INVALID – corrective action not recorded/closed","")&lt;&gt;"",IF(AND(TRIM(U256)="Pass",ISNUMBER(AF256)),IF(AF256&lt;&gt;0,"INVALID – qty variance: use Fail or Pass after CA",""),"")&amp;IF(AND(TRIM(U256)="Pass",TRIM(AB256)&lt;&gt;"",TRIM(AB256)&lt;&gt;"Closed"),"INVALID – corrective action not closed: use Fail, then Pass after CA","")&amp;IF(AND(TRIM(AA256)&lt;&gt;"",TRIM(AB256)=""),"INVALID – CA status missing for the recorded corrective action","")&amp;IF(AND(TRIM(U256)="Pass after CA",OR(TRIM(AA256)="",TRIM(AB256)&lt;&gt;"Closed")),"INVALID – corrective action not recorded/closed",""),IF(AND(AS256=1,Documents!$J$11&lt;&gt;"ON FILE"),"INVALID – GLD not on file (Documents sheet)",IF(AND(AS256=2,Documents!$O$11&lt;&gt;"ON FILE"),"INVALID – menu checklist not on file (Documents sheet)",IF(AND(AS256=3,NOT(ISNUMBER(Flights!$AX$11))),"INVALID – enter carrying flight KUL departure (Flights AX)",IF(AND(AS256=3,OR(Flights!$AX$11&gt;=Flights!$AA$11,Flights!$AX$11&lt;Flights!$AA$11-3)),"INVALID – Flights AX must be before this leg's STD (within 3 days)",IF(AG256&gt;AsOfUTC,"INVALID – completion time is in the future",IF(AND(ISNUMBER(S256),AG256&lt;S256),IF(H256="Physical uplift","INVALID – before uplift window (cannot confirm loading)","INVALID – before valid window"),IF(AG256&gt;Flights!$AA$11,"INVALID – completed after departure (cannot establish readiness)",IF(AND(H256="Physical uplift",AG256&gt;Q256),"INVALID – recorded after the loading flight departed",IF(AG256&gt;Q256,"COMPLETE – LATE","COMPLETE")))))))))))))))))),IF(TRIM(U256)="Fail","FAIL – DISCREPANCY",IF(AND(TRIM(U256)&lt;&gt;"",TRIM(U256)&lt;&gt;"Not started",TRIM(U256)&lt;&gt;"In progress"),"INVALID – unrecognised status (use the list)",IF(AsOfUTC&gt;Q256,"OVERDUE",IF(N256="Clarification required","OPEN – CLARIFICATION","OPEN")))))))</f>
        <v>OPEN</v>
      </c>
      <c r="AI256" s="61" t="n">
        <f aca="false">IF(OR(AH256="N/A – RULE",AH256="N/A – JUSTIFIED"),0,1)</f>
        <v>1</v>
      </c>
      <c r="AJ256" s="61" t="n">
        <f aca="false">IF(LEFT(AH256,8)="COMPLETE",1,0)</f>
        <v>0</v>
      </c>
      <c r="AK256" s="61" t="n">
        <f aca="false">IF(AND(AI256=1,AJ256=0,AsOfUTC&gt;Q256),1,0)</f>
        <v>0</v>
      </c>
      <c r="AL256" s="61" t="n">
        <f aca="false">IF(AND(AI256=1,OR(TRIM(U256)="Fail",AND(TRIM(AB256)&lt;&gt;"",TRIM(AB256)&lt;&gt;"Closed"),AND(ISNUMBER(AF256),AF256&lt;&gt;0,TRIM(U256)&lt;&gt;"Pass after CA"))),1,0)</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8" t="b">
        <f aca="false">TRUE()</f>
        <v>1</v>
      </c>
    </row>
    <row r="257" customFormat="false" ht="39.75" hidden="false" customHeight="true" outlineLevel="0" collapsed="false">
      <c r="A257" s="57" t="s">
        <v>793</v>
      </c>
      <c r="B257" s="57" t="s">
        <v>227</v>
      </c>
      <c r="C257" s="57" t="str">
        <f aca="false">Flights!$F$11</f>
        <v>MH0003</v>
      </c>
      <c r="D257" s="58" t="n">
        <f aca="false">Flights!$D$11</f>
        <v>46304</v>
      </c>
      <c r="E257" s="57" t="str">
        <f aca="false">Flights!$G$11&amp;"-"&amp;Flights!$H$11</f>
        <v>LHR-KUL</v>
      </c>
      <c r="F257" s="57" t="str">
        <f aca="false">Flights!$K$11</f>
        <v>BC</v>
      </c>
      <c r="G257" s="57" t="s">
        <v>424</v>
      </c>
      <c r="H257" s="57" t="s">
        <v>425</v>
      </c>
      <c r="I257" s="57" t="s">
        <v>464</v>
      </c>
      <c r="J257" s="57" t="s">
        <v>516</v>
      </c>
      <c r="K257" s="67" t="s">
        <v>466</v>
      </c>
      <c r="L257" s="67" t="s">
        <v>713</v>
      </c>
      <c r="M257" s="67" t="s">
        <v>416</v>
      </c>
      <c r="N257" s="67" t="s">
        <v>348</v>
      </c>
      <c r="O257" s="67"/>
      <c r="P257" s="57" t="s">
        <v>178</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59" t="n">
        <f aca="false">IF(ISNUMBER(Flights!$AY$11),MAX(Q257-UpliftWindowH/24,Flights!$AY$11+UpliftWindowH/24),Q257-UpliftWindowH/24)</f>
        <v>46304.1666666667</v>
      </c>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IF(N257="N/A – rule","N/A – RULE",IF(TRIM(U257)="N/A",IF(AT257=0,"INVALID – N/A not permitted for this mandatory check",IF(AND(TRIM(AC257)&lt;&gt;"",TRIM(AE257)&lt;&gt;"",TRIM(T257)&lt;&gt;"",TRIM(AE257)&lt;&gt;TRIM(T257)),"N/A – JUSTIFIED","INVALID – N/A needs justification, PIC and a different verifier")),IF(OR(TRIM(U257)="Pass",TRIM(U257)="Pass after CA"),IF(NOT(ISNUMBER(AD257)),"INVALID – completion time missing",IF(TRIM(T257)="","INVALID – PIC missing",IF(TRIM(V257)="","INVALID – result / assessment missing",IF(TRIM(Z257)="","INVALID – evidence missing",IF(TRIM(AE257)="","INVALID – verifier missing",IF(TRIM(AE257)=TRIM(T257),"INVALID – verifier must be someone other than the PIC",IF(AND(AQ257=1,TRIM(W257)=""),"INVALID – batch ID missing",IF(AND(AR257=1,OR(NOT(ISNUMBER(X257)),NOT(ISNUMBER(Y257)))),"INVALID – expected/actual qty missing",IF(IF(AND(TRIM(U257)="Pass",ISNUMBER(AF257)),IF(AF257&lt;&gt;0,"INVALID – qty variance: use Fail or Pass after CA",""),"")&amp;IF(AND(TRIM(U257)="Pass",TRIM(AB257)&lt;&gt;"",TRIM(AB257)&lt;&gt;"Closed"),"INVALID – corrective action not closed: use Fail, then Pass after CA","")&amp;IF(AND(TRIM(AA257)&lt;&gt;"",TRIM(AB257)=""),"INVALID – CA status missing for the recorded corrective action","")&amp;IF(AND(TRIM(U257)="Pass after CA",OR(TRIM(AA257)="",TRIM(AB257)&lt;&gt;"Closed")),"INVALID – corrective action not recorded/closed","")&lt;&gt;"",IF(AND(TRIM(U257)="Pass",ISNUMBER(AF257)),IF(AF257&lt;&gt;0,"INVALID – qty variance: use Fail or Pass after CA",""),"")&amp;IF(AND(TRIM(U257)="Pass",TRIM(AB257)&lt;&gt;"",TRIM(AB257)&lt;&gt;"Closed"),"INVALID – corrective action not closed: use Fail, then Pass after CA","")&amp;IF(AND(TRIM(AA257)&lt;&gt;"",TRIM(AB257)=""),"INVALID – CA status missing for the recorded corrective action","")&amp;IF(AND(TRIM(U257)="Pass after CA",OR(TRIM(AA257)="",TRIM(AB257)&lt;&gt;"Closed")),"INVALID – corrective action not recorded/closed",""),IF(AND(AS257=1,Documents!$J$11&lt;&gt;"ON FILE"),"INVALID – GLD not on file (Documents sheet)",IF(AND(AS257=2,Documents!$O$11&lt;&gt;"ON FILE"),"INVALID – menu checklist not on file (Documents sheet)",IF(AND(AS257=3,NOT(ISNUMBER(Flights!$AX$11))),"INVALID – enter carrying flight KUL departure (Flights AX)",IF(AND(AS257=3,OR(Flights!$AX$11&gt;=Flights!$AA$11,Flights!$AX$11&lt;Flights!$AA$11-3)),"INVALID – Flights AX must be before this leg's STD (within 3 days)",IF(AG257&gt;AsOfUTC,"INVALID – completion time is in the future",IF(AND(ISNUMBER(S257),AG257&lt;S257),IF(H257="Physical uplift","INVALID – before uplift window (cannot confirm loading)","INVALID – before valid window"),IF(AG257&gt;Flights!$AA$11,"INVALID – completed after departure (cannot establish readiness)",IF(AND(H257="Physical uplift",AG257&gt;Q257),"INVALID – recorded after the loading flight departed",IF(AG257&gt;Q257,"COMPLETE – LATE","COMPLETE")))))))))))))))))),IF(TRIM(U257)="Fail","FAIL – DISCREPANCY",IF(AND(TRIM(U257)&lt;&gt;"",TRIM(U257)&lt;&gt;"Not started",TRIM(U257)&lt;&gt;"In progress"),"INVALID – unrecognised status (use the list)",IF(AsOfUTC&gt;Q257,"OVERDUE",IF(N257="Clarification required","OPEN – CLARIFICATION","OPEN")))))))</f>
        <v>OPEN</v>
      </c>
      <c r="AI257" s="61" t="n">
        <f aca="false">IF(OR(AH257="N/A – RULE",AH257="N/A – JUSTIFIED"),0,1)</f>
        <v>1</v>
      </c>
      <c r="AJ257" s="61" t="n">
        <f aca="false">IF(LEFT(AH257,8)="COMPLETE",1,0)</f>
        <v>0</v>
      </c>
      <c r="AK257" s="61" t="n">
        <f aca="false">IF(AND(AI257=1,AJ257=0,AsOfUTC&gt;Q257),1,0)</f>
        <v>0</v>
      </c>
      <c r="AL257" s="61" t="n">
        <f aca="false">IF(AND(AI257=1,OR(TRIM(U257)="Fail",AND(TRIM(AB257)&lt;&gt;"",TRIM(AB257)&lt;&gt;"Closed"),AND(ISNUMBER(AF257),AF257&lt;&gt;0,TRIM(U257)&lt;&gt;"Pass after CA"))),1,0)</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8" t="b">
        <f aca="false">TRUE()</f>
        <v>1</v>
      </c>
    </row>
    <row r="258" customFormat="false" ht="39.75" hidden="false" customHeight="true" outlineLevel="0" collapsed="false">
      <c r="A258" s="57" t="s">
        <v>794</v>
      </c>
      <c r="B258" s="57" t="s">
        <v>227</v>
      </c>
      <c r="C258" s="57" t="str">
        <f aca="false">Flights!$F$11</f>
        <v>MH0003</v>
      </c>
      <c r="D258" s="58" t="n">
        <f aca="false">Flights!$D$11</f>
        <v>46304</v>
      </c>
      <c r="E258" s="57" t="str">
        <f aca="false">Flights!$G$11&amp;"-"&amp;Flights!$H$11</f>
        <v>LHR-KUL</v>
      </c>
      <c r="F258" s="57" t="str">
        <f aca="false">Flights!$K$11</f>
        <v>BC</v>
      </c>
      <c r="G258" s="57" t="s">
        <v>424</v>
      </c>
      <c r="H258" s="57" t="s">
        <v>425</v>
      </c>
      <c r="I258" s="57" t="s">
        <v>412</v>
      </c>
      <c r="J258" s="57" t="s">
        <v>518</v>
      </c>
      <c r="K258" s="67" t="s">
        <v>414</v>
      </c>
      <c r="L258" s="67" t="s">
        <v>715</v>
      </c>
      <c r="M258" s="67" t="s">
        <v>416</v>
      </c>
      <c r="N258" s="67" t="s">
        <v>348</v>
      </c>
      <c r="O258" s="67"/>
      <c r="P258" s="57" t="s">
        <v>178</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59" t="n">
        <f aca="false">IF(ISNUMBER(Flights!$AY$11),MAX(Q258-UpliftWindowH/24,Flights!$AY$11+UpliftWindowH/24),Q258-UpliftWindowH/24)</f>
        <v>46304.1666666667</v>
      </c>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IF(N258="N/A – rule","N/A – RULE",IF(TRIM(U258)="N/A",IF(AT258=0,"INVALID – N/A not permitted for this mandatory check",IF(AND(TRIM(AC258)&lt;&gt;"",TRIM(AE258)&lt;&gt;"",TRIM(T258)&lt;&gt;"",TRIM(AE258)&lt;&gt;TRIM(T258)),"N/A – JUSTIFIED","INVALID – N/A needs justification, PIC and a different verifier")),IF(OR(TRIM(U258)="Pass",TRIM(U258)="Pass after CA"),IF(NOT(ISNUMBER(AD258)),"INVALID – completion time missing",IF(TRIM(T258)="","INVALID – PIC missing",IF(TRIM(V258)="","INVALID – result / assessment missing",IF(TRIM(Z258)="","INVALID – evidence missing",IF(TRIM(AE258)="","INVALID – verifier missing",IF(TRIM(AE258)=TRIM(T258),"INVALID – verifier must be someone other than the PIC",IF(AND(AQ258=1,TRIM(W258)=""),"INVALID – batch ID missing",IF(AND(AR258=1,OR(NOT(ISNUMBER(X258)),NOT(ISNUMBER(Y258)))),"INVALID – expected/actual qty missing",IF(IF(AND(TRIM(U258)="Pass",ISNUMBER(AF258)),IF(AF258&lt;&gt;0,"INVALID – qty variance: use Fail or Pass after CA",""),"")&amp;IF(AND(TRIM(U258)="Pass",TRIM(AB258)&lt;&gt;"",TRIM(AB258)&lt;&gt;"Closed"),"INVALID – corrective action not closed: use Fail, then Pass after CA","")&amp;IF(AND(TRIM(AA258)&lt;&gt;"",TRIM(AB258)=""),"INVALID – CA status missing for the recorded corrective action","")&amp;IF(AND(TRIM(U258)="Pass after CA",OR(TRIM(AA258)="",TRIM(AB258)&lt;&gt;"Closed")),"INVALID – corrective action not recorded/closed","")&lt;&gt;"",IF(AND(TRIM(U258)="Pass",ISNUMBER(AF258)),IF(AF258&lt;&gt;0,"INVALID – qty variance: use Fail or Pass after CA",""),"")&amp;IF(AND(TRIM(U258)="Pass",TRIM(AB258)&lt;&gt;"",TRIM(AB258)&lt;&gt;"Closed"),"INVALID – corrective action not closed: use Fail, then Pass after CA","")&amp;IF(AND(TRIM(AA258)&lt;&gt;"",TRIM(AB258)=""),"INVALID – CA status missing for the recorded corrective action","")&amp;IF(AND(TRIM(U258)="Pass after CA",OR(TRIM(AA258)="",TRIM(AB258)&lt;&gt;"Closed")),"INVALID – corrective action not recorded/closed",""),IF(AND(AS258=1,Documents!$J$11&lt;&gt;"ON FILE"),"INVALID – GLD not on file (Documents sheet)",IF(AND(AS258=2,Documents!$O$11&lt;&gt;"ON FILE"),"INVALID – menu checklist not on file (Documents sheet)",IF(AND(AS258=3,NOT(ISNUMBER(Flights!$AX$11))),"INVALID – enter carrying flight KUL departure (Flights AX)",IF(AND(AS258=3,OR(Flights!$AX$11&gt;=Flights!$AA$11,Flights!$AX$11&lt;Flights!$AA$11-3)),"INVALID – Flights AX must be before this leg's STD (within 3 days)",IF(AG258&gt;AsOfUTC,"INVALID – completion time is in the future",IF(AND(ISNUMBER(S258),AG258&lt;S258),IF(H258="Physical uplift","INVALID – before uplift window (cannot confirm loading)","INVALID – before valid window"),IF(AG258&gt;Flights!$AA$11,"INVALID – completed after departure (cannot establish readiness)",IF(AND(H258="Physical uplift",AG258&gt;Q258),"INVALID – recorded after the loading flight departed",IF(AG258&gt;Q258,"COMPLETE – LATE","COMPLETE")))))))))))))))))),IF(TRIM(U258)="Fail","FAIL – DISCREPANCY",IF(AND(TRIM(U258)&lt;&gt;"",TRIM(U258)&lt;&gt;"Not started",TRIM(U258)&lt;&gt;"In progress"),"INVALID – unrecognised status (use the list)",IF(AsOfUTC&gt;Q258,"OVERDUE",IF(N258="Clarification required","OPEN – CLARIFICATION","OPEN")))))))</f>
        <v>OPEN</v>
      </c>
      <c r="AI258" s="61" t="n">
        <f aca="false">IF(OR(AH258="N/A – RULE",AH258="N/A – JUSTIFIED"),0,1)</f>
        <v>1</v>
      </c>
      <c r="AJ258" s="61" t="n">
        <f aca="false">IF(LEFT(AH258,8)="COMPLETE",1,0)</f>
        <v>0</v>
      </c>
      <c r="AK258" s="61" t="n">
        <f aca="false">IF(AND(AI258=1,AJ258=0,AsOfUTC&gt;Q258),1,0)</f>
        <v>0</v>
      </c>
      <c r="AL258" s="61" t="n">
        <f aca="false">IF(AND(AI258=1,OR(TRIM(U258)="Fail",AND(TRIM(AB258)&lt;&gt;"",TRIM(AB258)&lt;&gt;"Closed"),AND(ISNUMBER(AF258),AF258&lt;&gt;0,TRIM(U258)&lt;&gt;"Pass after CA"))),1,0)</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8" t="b">
        <f aca="false">TRUE()</f>
        <v>1</v>
      </c>
    </row>
    <row r="259" customFormat="false" ht="39.75" hidden="false" customHeight="true" outlineLevel="0" collapsed="false">
      <c r="A259" s="57" t="s">
        <v>795</v>
      </c>
      <c r="B259" s="57" t="s">
        <v>227</v>
      </c>
      <c r="C259" s="57" t="str">
        <f aca="false">Flights!$F$11</f>
        <v>MH0003</v>
      </c>
      <c r="D259" s="58" t="n">
        <f aca="false">Flights!$D$11</f>
        <v>46304</v>
      </c>
      <c r="E259" s="57" t="str">
        <f aca="false">Flights!$G$11&amp;"-"&amp;Flights!$H$11</f>
        <v>LHR-KUL</v>
      </c>
      <c r="F259" s="57" t="str">
        <f aca="false">Flights!$K$11</f>
        <v>BC</v>
      </c>
      <c r="G259" s="57" t="s">
        <v>424</v>
      </c>
      <c r="H259" s="57" t="s">
        <v>425</v>
      </c>
      <c r="I259" s="57" t="s">
        <v>412</v>
      </c>
      <c r="J259" s="57" t="s">
        <v>618</v>
      </c>
      <c r="K259" s="67" t="s">
        <v>414</v>
      </c>
      <c r="L259" s="67" t="s">
        <v>717</v>
      </c>
      <c r="M259" s="67" t="s">
        <v>416</v>
      </c>
      <c r="N259" s="67" t="s">
        <v>348</v>
      </c>
      <c r="O259" s="67"/>
      <c r="P259" s="57" t="s">
        <v>178</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59" t="n">
        <f aca="false">IF(ISNUMBER(Flights!$AY$11),MAX(Q259-UpliftWindowH/24,Flights!$AY$11+UpliftWindowH/24),Q259-UpliftWindowH/24)</f>
        <v>46304.1666666667</v>
      </c>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IF(N259="N/A – rule","N/A – RULE",IF(TRIM(U259)="N/A",IF(AT259=0,"INVALID – N/A not permitted for this mandatory check",IF(AND(TRIM(AC259)&lt;&gt;"",TRIM(AE259)&lt;&gt;"",TRIM(T259)&lt;&gt;"",TRIM(AE259)&lt;&gt;TRIM(T259)),"N/A – JUSTIFIED","INVALID – N/A needs justification, PIC and a different verifier")),IF(OR(TRIM(U259)="Pass",TRIM(U259)="Pass after CA"),IF(NOT(ISNUMBER(AD259)),"INVALID – completion time missing",IF(TRIM(T259)="","INVALID – PIC missing",IF(TRIM(V259)="","INVALID – result / assessment missing",IF(TRIM(Z259)="","INVALID – evidence missing",IF(TRIM(AE259)="","INVALID – verifier missing",IF(TRIM(AE259)=TRIM(T259),"INVALID – verifier must be someone other than the PIC",IF(AND(AQ259=1,TRIM(W259)=""),"INVALID – batch ID missing",IF(AND(AR259=1,OR(NOT(ISNUMBER(X259)),NOT(ISNUMBER(Y259)))),"INVALID – expected/actual qty missing",IF(IF(AND(TRIM(U259)="Pass",ISNUMBER(AF259)),IF(AF259&lt;&gt;0,"INVALID – qty variance: use Fail or Pass after CA",""),"")&amp;IF(AND(TRIM(U259)="Pass",TRIM(AB259)&lt;&gt;"",TRIM(AB259)&lt;&gt;"Closed"),"INVALID – corrective action not closed: use Fail, then Pass after CA","")&amp;IF(AND(TRIM(AA259)&lt;&gt;"",TRIM(AB259)=""),"INVALID – CA status missing for the recorded corrective action","")&amp;IF(AND(TRIM(U259)="Pass after CA",OR(TRIM(AA259)="",TRIM(AB259)&lt;&gt;"Closed")),"INVALID – corrective action not recorded/closed","")&lt;&gt;"",IF(AND(TRIM(U259)="Pass",ISNUMBER(AF259)),IF(AF259&lt;&gt;0,"INVALID – qty variance: use Fail or Pass after CA",""),"")&amp;IF(AND(TRIM(U259)="Pass",TRIM(AB259)&lt;&gt;"",TRIM(AB259)&lt;&gt;"Closed"),"INVALID – corrective action not closed: use Fail, then Pass after CA","")&amp;IF(AND(TRIM(AA259)&lt;&gt;"",TRIM(AB259)=""),"INVALID – CA status missing for the recorded corrective action","")&amp;IF(AND(TRIM(U259)="Pass after CA",OR(TRIM(AA259)="",TRIM(AB259)&lt;&gt;"Closed")),"INVALID – corrective action not recorded/closed",""),IF(AND(AS259=1,Documents!$J$11&lt;&gt;"ON FILE"),"INVALID – GLD not on file (Documents sheet)",IF(AND(AS259=2,Documents!$O$11&lt;&gt;"ON FILE"),"INVALID – menu checklist not on file (Documents sheet)",IF(AND(AS259=3,NOT(ISNUMBER(Flights!$AX$11))),"INVALID – enter carrying flight KUL departure (Flights AX)",IF(AND(AS259=3,OR(Flights!$AX$11&gt;=Flights!$AA$11,Flights!$AX$11&lt;Flights!$AA$11-3)),"INVALID – Flights AX must be before this leg's STD (within 3 days)",IF(AG259&gt;AsOfUTC,"INVALID – completion time is in the future",IF(AND(ISNUMBER(S259),AG259&lt;S259),IF(H259="Physical uplift","INVALID – before uplift window (cannot confirm loading)","INVALID – before valid window"),IF(AG259&gt;Flights!$AA$11,"INVALID – completed after departure (cannot establish readiness)",IF(AND(H259="Physical uplift",AG259&gt;Q259),"INVALID – recorded after the loading flight departed",IF(AG259&gt;Q259,"COMPLETE – LATE","COMPLETE")))))))))))))))))),IF(TRIM(U259)="Fail","FAIL – DISCREPANCY",IF(AND(TRIM(U259)&lt;&gt;"",TRIM(U259)&lt;&gt;"Not started",TRIM(U259)&lt;&gt;"In progress"),"INVALID – unrecognised status (use the list)",IF(AsOfUTC&gt;Q259,"OVERDUE",IF(N259="Clarification required","OPEN – CLARIFICATION","OPEN")))))))</f>
        <v>OPEN</v>
      </c>
      <c r="AI259" s="61" t="n">
        <f aca="false">IF(OR(AH259="N/A – RULE",AH259="N/A – JUSTIFIED"),0,1)</f>
        <v>1</v>
      </c>
      <c r="AJ259" s="61" t="n">
        <f aca="false">IF(LEFT(AH259,8)="COMPLETE",1,0)</f>
        <v>0</v>
      </c>
      <c r="AK259" s="61" t="n">
        <f aca="false">IF(AND(AI259=1,AJ259=0,AsOfUTC&gt;Q259),1,0)</f>
        <v>0</v>
      </c>
      <c r="AL259" s="61" t="n">
        <f aca="false">IF(AND(AI259=1,OR(TRIM(U259)="Fail",AND(TRIM(AB259)&lt;&gt;"",TRIM(AB259)&lt;&gt;"Closed"),AND(ISNUMBER(AF259),AF259&lt;&gt;0,TRIM(U259)&lt;&gt;"Pass after CA"))),1,0)</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8" t="b">
        <f aca="false">TRUE()</f>
        <v>1</v>
      </c>
    </row>
    <row r="260" customFormat="false" ht="39.75" hidden="false" customHeight="true" outlineLevel="0" collapsed="false">
      <c r="A260" s="57" t="s">
        <v>796</v>
      </c>
      <c r="B260" s="57" t="s">
        <v>227</v>
      </c>
      <c r="C260" s="57" t="str">
        <f aca="false">Flights!$F$11</f>
        <v>MH0003</v>
      </c>
      <c r="D260" s="58" t="n">
        <f aca="false">Flights!$D$11</f>
        <v>46304</v>
      </c>
      <c r="E260" s="57" t="str">
        <f aca="false">Flights!$G$11&amp;"-"&amp;Flights!$H$11</f>
        <v>LHR-KUL</v>
      </c>
      <c r="F260" s="57" t="str">
        <f aca="false">Flights!$K$11</f>
        <v>BC</v>
      </c>
      <c r="G260" s="57" t="s">
        <v>424</v>
      </c>
      <c r="H260" s="57" t="s">
        <v>425</v>
      </c>
      <c r="I260" s="57" t="s">
        <v>412</v>
      </c>
      <c r="J260" s="57" t="s">
        <v>620</v>
      </c>
      <c r="K260" s="67" t="s">
        <v>414</v>
      </c>
      <c r="L260" s="67" t="s">
        <v>719</v>
      </c>
      <c r="M260" s="67" t="s">
        <v>416</v>
      </c>
      <c r="N260" s="67" t="s">
        <v>348</v>
      </c>
      <c r="O260" s="67"/>
      <c r="P260" s="57" t="s">
        <v>178</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59" t="n">
        <f aca="false">IF(ISNUMBER(Flights!$AY$11),MAX(Q260-UpliftWindowH/24,Flights!$AY$11+UpliftWindowH/24),Q260-UpliftWindowH/24)</f>
        <v>46304.1666666667</v>
      </c>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IF(N260="N/A – rule","N/A – RULE",IF(TRIM(U260)="N/A",IF(AT260=0,"INVALID – N/A not permitted for this mandatory check",IF(AND(TRIM(AC260)&lt;&gt;"",TRIM(AE260)&lt;&gt;"",TRIM(T260)&lt;&gt;"",TRIM(AE260)&lt;&gt;TRIM(T260)),"N/A – JUSTIFIED","INVALID – N/A needs justification, PIC and a different verifier")),IF(OR(TRIM(U260)="Pass",TRIM(U260)="Pass after CA"),IF(NOT(ISNUMBER(AD260)),"INVALID – completion time missing",IF(TRIM(T260)="","INVALID – PIC missing",IF(TRIM(V260)="","INVALID – result / assessment missing",IF(TRIM(Z260)="","INVALID – evidence missing",IF(TRIM(AE260)="","INVALID – verifier missing",IF(TRIM(AE260)=TRIM(T260),"INVALID – verifier must be someone other than the PIC",IF(AND(AQ260=1,TRIM(W260)=""),"INVALID – batch ID missing",IF(AND(AR260=1,OR(NOT(ISNUMBER(X260)),NOT(ISNUMBER(Y260)))),"INVALID – expected/actual qty missing",IF(IF(AND(TRIM(U260)="Pass",ISNUMBER(AF260)),IF(AF260&lt;&gt;0,"INVALID – qty variance: use Fail or Pass after CA",""),"")&amp;IF(AND(TRIM(U260)="Pass",TRIM(AB260)&lt;&gt;"",TRIM(AB260)&lt;&gt;"Closed"),"INVALID – corrective action not closed: use Fail, then Pass after CA","")&amp;IF(AND(TRIM(AA260)&lt;&gt;"",TRIM(AB260)=""),"INVALID – CA status missing for the recorded corrective action","")&amp;IF(AND(TRIM(U260)="Pass after CA",OR(TRIM(AA260)="",TRIM(AB260)&lt;&gt;"Closed")),"INVALID – corrective action not recorded/closed","")&lt;&gt;"",IF(AND(TRIM(U260)="Pass",ISNUMBER(AF260)),IF(AF260&lt;&gt;0,"INVALID – qty variance: use Fail or Pass after CA",""),"")&amp;IF(AND(TRIM(U260)="Pass",TRIM(AB260)&lt;&gt;"",TRIM(AB260)&lt;&gt;"Closed"),"INVALID – corrective action not closed: use Fail, then Pass after CA","")&amp;IF(AND(TRIM(AA260)&lt;&gt;"",TRIM(AB260)=""),"INVALID – CA status missing for the recorded corrective action","")&amp;IF(AND(TRIM(U260)="Pass after CA",OR(TRIM(AA260)="",TRIM(AB260)&lt;&gt;"Closed")),"INVALID – corrective action not recorded/closed",""),IF(AND(AS260=1,Documents!$J$11&lt;&gt;"ON FILE"),"INVALID – GLD not on file (Documents sheet)",IF(AND(AS260=2,Documents!$O$11&lt;&gt;"ON FILE"),"INVALID – menu checklist not on file (Documents sheet)",IF(AND(AS260=3,NOT(ISNUMBER(Flights!$AX$11))),"INVALID – enter carrying flight KUL departure (Flights AX)",IF(AND(AS260=3,OR(Flights!$AX$11&gt;=Flights!$AA$11,Flights!$AX$11&lt;Flights!$AA$11-3)),"INVALID – Flights AX must be before this leg's STD (within 3 days)",IF(AG260&gt;AsOfUTC,"INVALID – completion time is in the future",IF(AND(ISNUMBER(S260),AG260&lt;S260),IF(H260="Physical uplift","INVALID – before uplift window (cannot confirm loading)","INVALID – before valid window"),IF(AG260&gt;Flights!$AA$11,"INVALID – completed after departure (cannot establish readiness)",IF(AND(H260="Physical uplift",AG260&gt;Q260),"INVALID – recorded after the loading flight departed",IF(AG260&gt;Q260,"COMPLETE – LATE","COMPLETE")))))))))))))))))),IF(TRIM(U260)="Fail","FAIL – DISCREPANCY",IF(AND(TRIM(U260)&lt;&gt;"",TRIM(U260)&lt;&gt;"Not started",TRIM(U260)&lt;&gt;"In progress"),"INVALID – unrecognised status (use the list)",IF(AsOfUTC&gt;Q260,"OVERDUE",IF(N260="Clarification required","OPEN – CLARIFICATION","OPEN")))))))</f>
        <v>OPEN</v>
      </c>
      <c r="AI260" s="61" t="n">
        <f aca="false">IF(OR(AH260="N/A – RULE",AH260="N/A – JUSTIFIED"),0,1)</f>
        <v>1</v>
      </c>
      <c r="AJ260" s="61" t="n">
        <f aca="false">IF(LEFT(AH260,8)="COMPLETE",1,0)</f>
        <v>0</v>
      </c>
      <c r="AK260" s="61" t="n">
        <f aca="false">IF(AND(AI260=1,AJ260=0,AsOfUTC&gt;Q260),1,0)</f>
        <v>0</v>
      </c>
      <c r="AL260" s="61" t="n">
        <f aca="false">IF(AND(AI260=1,OR(TRIM(U260)="Fail",AND(TRIM(AB260)&lt;&gt;"",TRIM(AB260)&lt;&gt;"Closed"),AND(ISNUMBER(AF260),AF260&lt;&gt;0,TRIM(U260)&lt;&gt;"Pass after CA"))),1,0)</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8" t="b">
        <f aca="false">TRUE()</f>
        <v>1</v>
      </c>
    </row>
    <row r="261" customFormat="false" ht="39.75" hidden="false" customHeight="true" outlineLevel="0" collapsed="false">
      <c r="A261" s="57" t="s">
        <v>797</v>
      </c>
      <c r="B261" s="57" t="s">
        <v>227</v>
      </c>
      <c r="C261" s="57" t="str">
        <f aca="false">Flights!$F$11</f>
        <v>MH0003</v>
      </c>
      <c r="D261" s="58" t="n">
        <f aca="false">Flights!$D$11</f>
        <v>46304</v>
      </c>
      <c r="E261" s="57" t="str">
        <f aca="false">Flights!$G$11&amp;"-"&amp;Flights!$H$11</f>
        <v>LHR-KUL</v>
      </c>
      <c r="F261" s="57" t="str">
        <f aca="false">Flights!$K$11</f>
        <v>BC</v>
      </c>
      <c r="G261" s="57" t="s">
        <v>424</v>
      </c>
      <c r="H261" s="57" t="s">
        <v>425</v>
      </c>
      <c r="I261" s="57" t="s">
        <v>594</v>
      </c>
      <c r="J261" s="57" t="s">
        <v>622</v>
      </c>
      <c r="K261" s="67" t="s">
        <v>466</v>
      </c>
      <c r="L261" s="67" t="s">
        <v>721</v>
      </c>
      <c r="M261" s="67" t="s">
        <v>179</v>
      </c>
      <c r="N261" s="67" t="s">
        <v>348</v>
      </c>
      <c r="O261" s="67" t="s">
        <v>597</v>
      </c>
      <c r="P261" s="57" t="s">
        <v>178</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59" t="n">
        <f aca="false">IF(ISNUMBER(Flights!$AY$11),MAX(Q261-UpliftWindowH/24,Flights!$AY$11+UpliftWindowH/24),Q261-UpliftWindowH/24)</f>
        <v>46304.1666666667</v>
      </c>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IF(N261="N/A – rule","N/A – RULE",IF(TRIM(U261)="N/A",IF(AT261=0,"INVALID – N/A not permitted for this mandatory check",IF(AND(TRIM(AC261)&lt;&gt;"",TRIM(AE261)&lt;&gt;"",TRIM(T261)&lt;&gt;"",TRIM(AE261)&lt;&gt;TRIM(T261)),"N/A – JUSTIFIED","INVALID – N/A needs justification, PIC and a different verifier")),IF(OR(TRIM(U261)="Pass",TRIM(U261)="Pass after CA"),IF(NOT(ISNUMBER(AD261)),"INVALID – completion time missing",IF(TRIM(T261)="","INVALID – PIC missing",IF(TRIM(V261)="","INVALID – result / assessment missing",IF(TRIM(Z261)="","INVALID – evidence missing",IF(TRIM(AE261)="","INVALID – verifier missing",IF(TRIM(AE261)=TRIM(T261),"INVALID – verifier must be someone other than the PIC",IF(AND(AQ261=1,TRIM(W261)=""),"INVALID – batch ID missing",IF(AND(AR261=1,OR(NOT(ISNUMBER(X261)),NOT(ISNUMBER(Y261)))),"INVALID – expected/actual qty missing",IF(IF(AND(TRIM(U261)="Pass",ISNUMBER(AF261)),IF(AF261&lt;&gt;0,"INVALID – qty variance: use Fail or Pass after CA",""),"")&amp;IF(AND(TRIM(U261)="Pass",TRIM(AB261)&lt;&gt;"",TRIM(AB261)&lt;&gt;"Closed"),"INVALID – corrective action not closed: use Fail, then Pass after CA","")&amp;IF(AND(TRIM(AA261)&lt;&gt;"",TRIM(AB261)=""),"INVALID – CA status missing for the recorded corrective action","")&amp;IF(AND(TRIM(U261)="Pass after CA",OR(TRIM(AA261)="",TRIM(AB261)&lt;&gt;"Closed")),"INVALID – corrective action not recorded/closed","")&lt;&gt;"",IF(AND(TRIM(U261)="Pass",ISNUMBER(AF261)),IF(AF261&lt;&gt;0,"INVALID – qty variance: use Fail or Pass after CA",""),"")&amp;IF(AND(TRIM(U261)="Pass",TRIM(AB261)&lt;&gt;"",TRIM(AB261)&lt;&gt;"Closed"),"INVALID – corrective action not closed: use Fail, then Pass after CA","")&amp;IF(AND(TRIM(AA261)&lt;&gt;"",TRIM(AB261)=""),"INVALID – CA status missing for the recorded corrective action","")&amp;IF(AND(TRIM(U261)="Pass after CA",OR(TRIM(AA261)="",TRIM(AB261)&lt;&gt;"Closed")),"INVALID – corrective action not recorded/closed",""),IF(AND(AS261=1,Documents!$J$11&lt;&gt;"ON FILE"),"INVALID – GLD not on file (Documents sheet)",IF(AND(AS261=2,Documents!$O$11&lt;&gt;"ON FILE"),"INVALID – menu checklist not on file (Documents sheet)",IF(AND(AS261=3,NOT(ISNUMBER(Flights!$AX$11))),"INVALID – enter carrying flight KUL departure (Flights AX)",IF(AND(AS261=3,OR(Flights!$AX$11&gt;=Flights!$AA$11,Flights!$AX$11&lt;Flights!$AA$11-3)),"INVALID – Flights AX must be before this leg's STD (within 3 days)",IF(AG261&gt;AsOfUTC,"INVALID – completion time is in the future",IF(AND(ISNUMBER(S261),AG261&lt;S261),IF(H261="Physical uplift","INVALID – before uplift window (cannot confirm loading)","INVALID – before valid window"),IF(AG261&gt;Flights!$AA$11,"INVALID – completed after departure (cannot establish readiness)",IF(AND(H261="Physical uplift",AG261&gt;Q261),"INVALID – recorded after the loading flight departed",IF(AG261&gt;Q261,"COMPLETE – LATE","COMPLETE")))))))))))))))))),IF(TRIM(U261)="Fail","FAIL – DISCREPANCY",IF(AND(TRIM(U261)&lt;&gt;"",TRIM(U261)&lt;&gt;"Not started",TRIM(U261)&lt;&gt;"In progress"),"INVALID – unrecognised status (use the list)",IF(AsOfUTC&gt;Q261,"OVERDUE",IF(N261="Clarification required","OPEN – CLARIFICATION","OPEN")))))))</f>
        <v>OPEN</v>
      </c>
      <c r="AI261" s="61" t="n">
        <f aca="false">IF(OR(AH261="N/A – RULE",AH261="N/A – JUSTIFIED"),0,1)</f>
        <v>1</v>
      </c>
      <c r="AJ261" s="61" t="n">
        <f aca="false">IF(LEFT(AH261,8)="COMPLETE",1,0)</f>
        <v>0</v>
      </c>
      <c r="AK261" s="61" t="n">
        <f aca="false">IF(AND(AI261=1,AJ261=0,AsOfUTC&gt;Q261),1,0)</f>
        <v>0</v>
      </c>
      <c r="AL261" s="61" t="n">
        <f aca="false">IF(AND(AI261=1,OR(TRIM(U261)="Fail",AND(TRIM(AB261)&lt;&gt;"",TRIM(AB261)&lt;&gt;"Closed"),AND(ISNUMBER(AF261),AF261&lt;&gt;0,TRIM(U261)&lt;&gt;"Pass after CA"))),1,0)</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8" t="b">
        <f aca="false">TRUE()</f>
        <v>1</v>
      </c>
    </row>
    <row r="262" customFormat="false" ht="39.75" hidden="false" customHeight="true" outlineLevel="0" collapsed="false">
      <c r="A262" s="57" t="s">
        <v>798</v>
      </c>
      <c r="B262" s="57" t="s">
        <v>230</v>
      </c>
      <c r="C262" s="57" t="str">
        <f aca="false">Flights!$F$12</f>
        <v>MH0752</v>
      </c>
      <c r="D262" s="58" t="n">
        <f aca="false">Flights!$D$12</f>
        <v>46305</v>
      </c>
      <c r="E262" s="57" t="str">
        <f aca="false">Flights!$G$12&amp;"-"&amp;Flights!$H$12</f>
        <v>KUL-HAN</v>
      </c>
      <c r="F262" s="57" t="str">
        <f aca="false">Flights!$K$12</f>
        <v>EY</v>
      </c>
      <c r="G262" s="57" t="s">
        <v>76</v>
      </c>
      <c r="H262" s="57" t="s">
        <v>343</v>
      </c>
      <c r="I262" s="57" t="s">
        <v>344</v>
      </c>
      <c r="J262" s="57" t="s">
        <v>345</v>
      </c>
      <c r="K262" s="67" t="s">
        <v>346</v>
      </c>
      <c r="L262" s="67" t="s">
        <v>347</v>
      </c>
      <c r="M262" s="67"/>
      <c r="N262" s="67" t="s">
        <v>348</v>
      </c>
      <c r="O262" s="67"/>
      <c r="P262" s="57" t="s">
        <v>179</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59" t="n">
        <f aca="false">Q262-T7EarlyD*24/24</f>
        <v>46284.0659722222</v>
      </c>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IF(N262="N/A – rule","N/A – RULE",IF(TRIM(U262)="N/A",IF(AT262=0,"INVALID – N/A not permitted for this mandatory check",IF(AND(TRIM(AC262)&lt;&gt;"",TRIM(AE262)&lt;&gt;"",TRIM(T262)&lt;&gt;"",TRIM(AE262)&lt;&gt;TRIM(T262)),"N/A – JUSTIFIED","INVALID – N/A needs justification, PIC and a different verifier")),IF(OR(TRIM(U262)="Pass",TRIM(U262)="Pass after CA"),IF(NOT(ISNUMBER(AD262)),"INVALID – completion time missing",IF(TRIM(T262)="","INVALID – PIC missing",IF(TRIM(V262)="","INVALID – result / assessment missing",IF(TRIM(Z262)="","INVALID – evidence missing",IF(TRIM(AE262)="","INVALID – verifier missing",IF(TRIM(AE262)=TRIM(T262),"INVALID – verifier must be someone other than the PIC",IF(AND(AQ262=1,TRIM(W262)=""),"INVALID – batch ID missing",IF(AND(AR262=1,OR(NOT(ISNUMBER(X262)),NOT(ISNUMBER(Y262)))),"INVALID – expected/actual qty missing",IF(IF(AND(TRIM(U262)="Pass",ISNUMBER(AF262)),IF(AF262&lt;&gt;0,"INVALID – qty variance: use Fail or Pass after CA",""),"")&amp;IF(AND(TRIM(U262)="Pass",TRIM(AB262)&lt;&gt;"",TRIM(AB262)&lt;&gt;"Closed"),"INVALID – corrective action not closed: use Fail, then Pass after CA","")&amp;IF(AND(TRIM(AA262)&lt;&gt;"",TRIM(AB262)=""),"INVALID – CA status missing for the recorded corrective action","")&amp;IF(AND(TRIM(U262)="Pass after CA",OR(TRIM(AA262)="",TRIM(AB262)&lt;&gt;"Closed")),"INVALID – corrective action not recorded/closed","")&lt;&gt;"",IF(AND(TRIM(U262)="Pass",ISNUMBER(AF262)),IF(AF262&lt;&gt;0,"INVALID – qty variance: use Fail or Pass after CA",""),"")&amp;IF(AND(TRIM(U262)="Pass",TRIM(AB262)&lt;&gt;"",TRIM(AB262)&lt;&gt;"Closed"),"INVALID – corrective action not closed: use Fail, then Pass after CA","")&amp;IF(AND(TRIM(AA262)&lt;&gt;"",TRIM(AB262)=""),"INVALID – CA status missing for the recorded corrective action","")&amp;IF(AND(TRIM(U262)="Pass after CA",OR(TRIM(AA262)="",TRIM(AB262)&lt;&gt;"Closed")),"INVALID – corrective action not recorded/closed",""),IF(AND(AS262=1,Documents!$J$12&lt;&gt;"ON FILE"),"INVALID – GLD not on file (Documents sheet)",IF(AND(AS262=2,Documents!$O$12&lt;&gt;"ON FILE"),"INVALID – menu checklist not on file (Documents sheet)",IF(AND(AS262=3,NOT(ISNUMBER(Flights!$AX$12))),"INVALID – enter carrying flight KUL departure (Flights AX)",IF(AND(AS262=3,OR(Flights!$AX$12&gt;=Flights!$AA$12,Flights!$AX$12&lt;Flights!$AA$12-3)),"INVALID – Flights AX must be before this leg's STD (within 3 days)",IF(AG262&gt;AsOfUTC,"INVALID – completion time is in the future",IF(AND(ISNUMBER(S262),AG262&lt;S262),IF(H262="Physical uplift","INVALID – before uplift window (cannot confirm loading)","INVALID – before valid window"),IF(AG262&gt;Flights!$AA$12,"INVALID – completed after departure (cannot establish readiness)",IF(AND(H262="Physical uplift",AG262&gt;Q262),"INVALID – recorded after the loading flight departed",IF(AG262&gt;Q262,"COMPLETE – LATE","COMPLETE")))))))))))))))))),IF(TRIM(U262)="Fail","FAIL – DISCREPANCY",IF(AND(TRIM(U262)&lt;&gt;"",TRIM(U262)&lt;&gt;"Not started",TRIM(U262)&lt;&gt;"In progress"),"INVALID – unrecognised status (use the list)",IF(AsOfUTC&gt;Q262,"OVERDUE",IF(N262="Clarification required","OPEN – CLARIFICATION","OPEN")))))))</f>
        <v>OPEN</v>
      </c>
      <c r="AI262" s="61" t="n">
        <f aca="false">IF(OR(AH262="N/A – RULE",AH262="N/A – JUSTIFIED"),0,1)</f>
        <v>1</v>
      </c>
      <c r="AJ262" s="61" t="n">
        <f aca="false">IF(LEFT(AH262,8)="COMPLETE",1,0)</f>
        <v>0</v>
      </c>
      <c r="AK262" s="61" t="n">
        <f aca="false">IF(AND(AI262=1,AJ262=0,AsOfUTC&gt;Q262),1,0)</f>
        <v>0</v>
      </c>
      <c r="AL262" s="61" t="n">
        <f aca="false">IF(AND(AI262=1,OR(TRIM(U262)="Fail",AND(TRIM(AB262)&lt;&gt;"",TRIM(AB262)&lt;&gt;"Closed"),AND(ISNUMBER(AF262),AF262&lt;&gt;0,TRIM(U262)&lt;&gt;"Pass after CA"))),1,0)</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row>
    <row r="263" customFormat="false" ht="39.75" hidden="false" customHeight="true" outlineLevel="0" collapsed="false">
      <c r="A263" s="57" t="s">
        <v>799</v>
      </c>
      <c r="B263" s="57" t="s">
        <v>230</v>
      </c>
      <c r="C263" s="57" t="str">
        <f aca="false">Flights!$F$12</f>
        <v>MH0752</v>
      </c>
      <c r="D263" s="58" t="n">
        <f aca="false">Flights!$D$12</f>
        <v>46305</v>
      </c>
      <c r="E263" s="57" t="str">
        <f aca="false">Flights!$G$12&amp;"-"&amp;Flights!$H$12</f>
        <v>KUL-HAN</v>
      </c>
      <c r="F263" s="57" t="str">
        <f aca="false">Flights!$K$12</f>
        <v>EY</v>
      </c>
      <c r="G263" s="57" t="s">
        <v>76</v>
      </c>
      <c r="H263" s="57" t="s">
        <v>343</v>
      </c>
      <c r="I263" s="57" t="s">
        <v>350</v>
      </c>
      <c r="J263" s="57" t="s">
        <v>351</v>
      </c>
      <c r="K263" s="67" t="s">
        <v>352</v>
      </c>
      <c r="L263" s="67" t="s">
        <v>347</v>
      </c>
      <c r="M263" s="67"/>
      <c r="N263" s="67" t="s">
        <v>348</v>
      </c>
      <c r="O263" s="67"/>
      <c r="P263" s="57" t="s">
        <v>179</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59" t="n">
        <f aca="false">Q263-T7EarlyD*24/24</f>
        <v>46284.0659722222</v>
      </c>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IF(N263="N/A – rule","N/A – RULE",IF(TRIM(U263)="N/A",IF(AT263=0,"INVALID – N/A not permitted for this mandatory check",IF(AND(TRIM(AC263)&lt;&gt;"",TRIM(AE263)&lt;&gt;"",TRIM(T263)&lt;&gt;"",TRIM(AE263)&lt;&gt;TRIM(T263)),"N/A – JUSTIFIED","INVALID – N/A needs justification, PIC and a different verifier")),IF(OR(TRIM(U263)="Pass",TRIM(U263)="Pass after CA"),IF(NOT(ISNUMBER(AD263)),"INVALID – completion time missing",IF(TRIM(T263)="","INVALID – PIC missing",IF(TRIM(V263)="","INVALID – result / assessment missing",IF(TRIM(Z263)="","INVALID – evidence missing",IF(TRIM(AE263)="","INVALID – verifier missing",IF(TRIM(AE263)=TRIM(T263),"INVALID – verifier must be someone other than the PIC",IF(AND(AQ263=1,TRIM(W263)=""),"INVALID – batch ID missing",IF(AND(AR263=1,OR(NOT(ISNUMBER(X263)),NOT(ISNUMBER(Y263)))),"INVALID – expected/actual qty missing",IF(IF(AND(TRIM(U263)="Pass",ISNUMBER(AF263)),IF(AF263&lt;&gt;0,"INVALID – qty variance: use Fail or Pass after CA",""),"")&amp;IF(AND(TRIM(U263)="Pass",TRIM(AB263)&lt;&gt;"",TRIM(AB263)&lt;&gt;"Closed"),"INVALID – corrective action not closed: use Fail, then Pass after CA","")&amp;IF(AND(TRIM(AA263)&lt;&gt;"",TRIM(AB263)=""),"INVALID – CA status missing for the recorded corrective action","")&amp;IF(AND(TRIM(U263)="Pass after CA",OR(TRIM(AA263)="",TRIM(AB263)&lt;&gt;"Closed")),"INVALID – corrective action not recorded/closed","")&lt;&gt;"",IF(AND(TRIM(U263)="Pass",ISNUMBER(AF263)),IF(AF263&lt;&gt;0,"INVALID – qty variance: use Fail or Pass after CA",""),"")&amp;IF(AND(TRIM(U263)="Pass",TRIM(AB263)&lt;&gt;"",TRIM(AB263)&lt;&gt;"Closed"),"INVALID – corrective action not closed: use Fail, then Pass after CA","")&amp;IF(AND(TRIM(AA263)&lt;&gt;"",TRIM(AB263)=""),"INVALID – CA status missing for the recorded corrective action","")&amp;IF(AND(TRIM(U263)="Pass after CA",OR(TRIM(AA263)="",TRIM(AB263)&lt;&gt;"Closed")),"INVALID – corrective action not recorded/closed",""),IF(AND(AS263=1,Documents!$J$12&lt;&gt;"ON FILE"),"INVALID – GLD not on file (Documents sheet)",IF(AND(AS263=2,Documents!$O$12&lt;&gt;"ON FILE"),"INVALID – menu checklist not on file (Documents sheet)",IF(AND(AS263=3,NOT(ISNUMBER(Flights!$AX$12))),"INVALID – enter carrying flight KUL departure (Flights AX)",IF(AND(AS263=3,OR(Flights!$AX$12&gt;=Flights!$AA$12,Flights!$AX$12&lt;Flights!$AA$12-3)),"INVALID – Flights AX must be before this leg's STD (within 3 days)",IF(AG263&gt;AsOfUTC,"INVALID – completion time is in the future",IF(AND(ISNUMBER(S263),AG263&lt;S263),IF(H263="Physical uplift","INVALID – before uplift window (cannot confirm loading)","INVALID – before valid window"),IF(AG263&gt;Flights!$AA$12,"INVALID – completed after departure (cannot establish readiness)",IF(AND(H263="Physical uplift",AG263&gt;Q263),"INVALID – recorded after the loading flight departed",IF(AG263&gt;Q263,"COMPLETE – LATE","COMPLETE")))))))))))))))))),IF(TRIM(U263)="Fail","FAIL – DISCREPANCY",IF(AND(TRIM(U263)&lt;&gt;"",TRIM(U263)&lt;&gt;"Not started",TRIM(U263)&lt;&gt;"In progress"),"INVALID – unrecognised status (use the list)",IF(AsOfUTC&gt;Q263,"OVERDUE",IF(N263="Clarification required","OPEN – CLARIFICATION","OPEN")))))))</f>
        <v>OPEN</v>
      </c>
      <c r="AI263" s="61" t="n">
        <f aca="false">IF(OR(AH263="N/A – RULE",AH263="N/A – JUSTIFIED"),0,1)</f>
        <v>1</v>
      </c>
      <c r="AJ263" s="61" t="n">
        <f aca="false">IF(LEFT(AH263,8)="COMPLETE",1,0)</f>
        <v>0</v>
      </c>
      <c r="AK263" s="61" t="n">
        <f aca="false">IF(AND(AI263=1,AJ263=0,AsOfUTC&gt;Q263),1,0)</f>
        <v>0</v>
      </c>
      <c r="AL263" s="61" t="n">
        <f aca="false">IF(AND(AI263=1,OR(TRIM(U263)="Fail",AND(TRIM(AB263)&lt;&gt;"",TRIM(AB263)&lt;&gt;"Closed"),AND(ISNUMBER(AF263),AF263&lt;&gt;0,TRIM(U263)&lt;&gt;"Pass after CA"))),1,0)</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8" t="b">
        <f aca="false">TRUE()</f>
        <v>1</v>
      </c>
    </row>
    <row r="264" customFormat="false" ht="41.25" hidden="false" customHeight="true" outlineLevel="0" collapsed="false">
      <c r="A264" s="57" t="s">
        <v>800</v>
      </c>
      <c r="B264" s="57" t="s">
        <v>230</v>
      </c>
      <c r="C264" s="57" t="str">
        <f aca="false">Flights!$F$12</f>
        <v>MH0752</v>
      </c>
      <c r="D264" s="58" t="n">
        <f aca="false">Flights!$D$12</f>
        <v>46305</v>
      </c>
      <c r="E264" s="57" t="str">
        <f aca="false">Flights!$G$12&amp;"-"&amp;Flights!$H$12</f>
        <v>KUL-HAN</v>
      </c>
      <c r="F264" s="57" t="str">
        <f aca="false">Flights!$K$12</f>
        <v>EY</v>
      </c>
      <c r="G264" s="57" t="s">
        <v>76</v>
      </c>
      <c r="H264" s="57" t="s">
        <v>343</v>
      </c>
      <c r="I264" s="57" t="s">
        <v>354</v>
      </c>
      <c r="J264" s="57" t="s">
        <v>355</v>
      </c>
      <c r="K264" s="67" t="s">
        <v>356</v>
      </c>
      <c r="L264" s="67" t="s">
        <v>347</v>
      </c>
      <c r="M264" s="67"/>
      <c r="N264" s="67" t="str">
        <f aca="false">IF(TRIM(Flights!$L$12)="A339","Required","N/A – rule")</f>
        <v>N/A – rule</v>
      </c>
      <c r="O264" s="67" t="s">
        <v>357</v>
      </c>
      <c r="P264" s="57" t="s">
        <v>179</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59" t="n">
        <f aca="false">Q264-T7EarlyD*24/24</f>
        <v>46284.0659722222</v>
      </c>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IF(N264="N/A – rule","N/A – RULE",IF(TRIM(U264)="N/A",IF(AT264=0,"INVALID – N/A not permitted for this mandatory check",IF(AND(TRIM(AC264)&lt;&gt;"",TRIM(AE264)&lt;&gt;"",TRIM(T264)&lt;&gt;"",TRIM(AE264)&lt;&gt;TRIM(T264)),"N/A – JUSTIFIED","INVALID – N/A needs justification, PIC and a different verifier")),IF(OR(TRIM(U264)="Pass",TRIM(U264)="Pass after CA"),IF(NOT(ISNUMBER(AD264)),"INVALID – completion time missing",IF(TRIM(T264)="","INVALID – PIC missing",IF(TRIM(V264)="","INVALID – result / assessment missing",IF(TRIM(Z264)="","INVALID – evidence missing",IF(TRIM(AE264)="","INVALID – verifier missing",IF(TRIM(AE264)=TRIM(T264),"INVALID – verifier must be someone other than the PIC",IF(AND(AQ264=1,TRIM(W264)=""),"INVALID – batch ID missing",IF(AND(AR264=1,OR(NOT(ISNUMBER(X264)),NOT(ISNUMBER(Y264)))),"INVALID – expected/actual qty missing",IF(IF(AND(TRIM(U264)="Pass",ISNUMBER(AF264)),IF(AF264&lt;&gt;0,"INVALID – qty variance: use Fail or Pass after CA",""),"")&amp;IF(AND(TRIM(U264)="Pass",TRIM(AB264)&lt;&gt;"",TRIM(AB264)&lt;&gt;"Closed"),"INVALID – corrective action not closed: use Fail, then Pass after CA","")&amp;IF(AND(TRIM(AA264)&lt;&gt;"",TRIM(AB264)=""),"INVALID – CA status missing for the recorded corrective action","")&amp;IF(AND(TRIM(U264)="Pass after CA",OR(TRIM(AA264)="",TRIM(AB264)&lt;&gt;"Closed")),"INVALID – corrective action not recorded/closed","")&lt;&gt;"",IF(AND(TRIM(U264)="Pass",ISNUMBER(AF264)),IF(AF264&lt;&gt;0,"INVALID – qty variance: use Fail or Pass after CA",""),"")&amp;IF(AND(TRIM(U264)="Pass",TRIM(AB264)&lt;&gt;"",TRIM(AB264)&lt;&gt;"Closed"),"INVALID – corrective action not closed: use Fail, then Pass after CA","")&amp;IF(AND(TRIM(AA264)&lt;&gt;"",TRIM(AB264)=""),"INVALID – CA status missing for the recorded corrective action","")&amp;IF(AND(TRIM(U264)="Pass after CA",OR(TRIM(AA264)="",TRIM(AB264)&lt;&gt;"Closed")),"INVALID – corrective action not recorded/closed",""),IF(AND(AS264=1,Documents!$J$12&lt;&gt;"ON FILE"),"INVALID – GLD not on file (Documents sheet)",IF(AND(AS264=2,Documents!$O$12&lt;&gt;"ON FILE"),"INVALID – menu checklist not on file (Documents sheet)",IF(AND(AS264=3,NOT(ISNUMBER(Flights!$AX$12))),"INVALID – enter carrying flight KUL departure (Flights AX)",IF(AND(AS264=3,OR(Flights!$AX$12&gt;=Flights!$AA$12,Flights!$AX$12&lt;Flights!$AA$12-3)),"INVALID – Flights AX must be before this leg's STD (within 3 days)",IF(AG264&gt;AsOfUTC,"INVALID – completion time is in the future",IF(AND(ISNUMBER(S264),AG264&lt;S264),IF(H264="Physical uplift","INVALID – before uplift window (cannot confirm loading)","INVALID – before valid window"),IF(AG264&gt;Flights!$AA$12,"INVALID – completed after departure (cannot establish readiness)",IF(AND(H264="Physical uplift",AG264&gt;Q264),"INVALID – recorded after the loading flight departed",IF(AG264&gt;Q264,"COMPLETE – LATE","COMPLETE")))))))))))))))))),IF(TRIM(U264)="Fail","FAIL – DISCREPANCY",IF(AND(TRIM(U264)&lt;&gt;"",TRIM(U264)&lt;&gt;"Not started",TRIM(U264)&lt;&gt;"In progress"),"INVALID – unrecognised status (use the list)",IF(AsOfUTC&gt;Q264,"OVERDUE",IF(N264="Clarification required","OPEN – CLARIFICATION","OPEN")))))))</f>
        <v>N/A – RULE</v>
      </c>
      <c r="AI264" s="61" t="n">
        <f aca="false">IF(OR(AH264="N/A – RULE",AH264="N/A – JUSTIFIED"),0,1)</f>
        <v>0</v>
      </c>
      <c r="AJ264" s="61" t="n">
        <f aca="false">IF(LEFT(AH264,8)="COMPLETE",1,0)</f>
        <v>0</v>
      </c>
      <c r="AK264" s="61" t="n">
        <f aca="false">IF(AND(AI264=1,AJ264=0,AsOfUTC&gt;Q264),1,0)</f>
        <v>0</v>
      </c>
      <c r="AL264" s="61" t="n">
        <f aca="false">IF(AND(AI264=1,OR(TRIM(U264)="Fail",AND(TRIM(AB264)&lt;&gt;"",TRIM(AB264)&lt;&gt;"Closed"),AND(ISNUMBER(AF264),AF264&lt;&gt;0,TRIM(U264)&lt;&gt;"Pass after CA"))),1,0)</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row>
    <row r="265" customFormat="false" ht="39.75" hidden="false" customHeight="true" outlineLevel="0" collapsed="false">
      <c r="A265" s="57" t="s">
        <v>801</v>
      </c>
      <c r="B265" s="57" t="s">
        <v>230</v>
      </c>
      <c r="C265" s="57" t="str">
        <f aca="false">Flights!$F$12</f>
        <v>MH0752</v>
      </c>
      <c r="D265" s="58" t="n">
        <f aca="false">Flights!$D$12</f>
        <v>46305</v>
      </c>
      <c r="E265" s="57" t="str">
        <f aca="false">Flights!$G$12&amp;"-"&amp;Flights!$H$12</f>
        <v>KUL-HAN</v>
      </c>
      <c r="F265" s="57" t="str">
        <f aca="false">Flights!$K$12</f>
        <v>EY</v>
      </c>
      <c r="G265" s="57" t="s">
        <v>76</v>
      </c>
      <c r="H265" s="57" t="s">
        <v>343</v>
      </c>
      <c r="I265" s="57" t="s">
        <v>359</v>
      </c>
      <c r="J265" s="57" t="s">
        <v>360</v>
      </c>
      <c r="K265" s="67" t="s">
        <v>361</v>
      </c>
      <c r="L265" s="67" t="s">
        <v>347</v>
      </c>
      <c r="M265" s="67"/>
      <c r="N265" s="67" t="s">
        <v>348</v>
      </c>
      <c r="O265" s="67"/>
      <c r="P265" s="57" t="s">
        <v>179</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59" t="n">
        <f aca="false">Q265-T7EarlyD*24/24</f>
        <v>46284.0659722222</v>
      </c>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IF(N265="N/A – rule","N/A – RULE",IF(TRIM(U265)="N/A",IF(AT265=0,"INVALID – N/A not permitted for this mandatory check",IF(AND(TRIM(AC265)&lt;&gt;"",TRIM(AE265)&lt;&gt;"",TRIM(T265)&lt;&gt;"",TRIM(AE265)&lt;&gt;TRIM(T265)),"N/A – JUSTIFIED","INVALID – N/A needs justification, PIC and a different verifier")),IF(OR(TRIM(U265)="Pass",TRIM(U265)="Pass after CA"),IF(NOT(ISNUMBER(AD265)),"INVALID – completion time missing",IF(TRIM(T265)="","INVALID – PIC missing",IF(TRIM(V265)="","INVALID – result / assessment missing",IF(TRIM(Z265)="","INVALID – evidence missing",IF(TRIM(AE265)="","INVALID – verifier missing",IF(TRIM(AE265)=TRIM(T265),"INVALID – verifier must be someone other than the PIC",IF(AND(AQ265=1,TRIM(W265)=""),"INVALID – batch ID missing",IF(AND(AR265=1,OR(NOT(ISNUMBER(X265)),NOT(ISNUMBER(Y265)))),"INVALID – expected/actual qty missing",IF(IF(AND(TRIM(U265)="Pass",ISNUMBER(AF265)),IF(AF265&lt;&gt;0,"INVALID – qty variance: use Fail or Pass after CA",""),"")&amp;IF(AND(TRIM(U265)="Pass",TRIM(AB265)&lt;&gt;"",TRIM(AB265)&lt;&gt;"Closed"),"INVALID – corrective action not closed: use Fail, then Pass after CA","")&amp;IF(AND(TRIM(AA265)&lt;&gt;"",TRIM(AB265)=""),"INVALID – CA status missing for the recorded corrective action","")&amp;IF(AND(TRIM(U265)="Pass after CA",OR(TRIM(AA265)="",TRIM(AB265)&lt;&gt;"Closed")),"INVALID – corrective action not recorded/closed","")&lt;&gt;"",IF(AND(TRIM(U265)="Pass",ISNUMBER(AF265)),IF(AF265&lt;&gt;0,"INVALID – qty variance: use Fail or Pass after CA",""),"")&amp;IF(AND(TRIM(U265)="Pass",TRIM(AB265)&lt;&gt;"",TRIM(AB265)&lt;&gt;"Closed"),"INVALID – corrective action not closed: use Fail, then Pass after CA","")&amp;IF(AND(TRIM(AA265)&lt;&gt;"",TRIM(AB265)=""),"INVALID – CA status missing for the recorded corrective action","")&amp;IF(AND(TRIM(U265)="Pass after CA",OR(TRIM(AA265)="",TRIM(AB265)&lt;&gt;"Closed")),"INVALID – corrective action not recorded/closed",""),IF(AND(AS265=1,Documents!$J$12&lt;&gt;"ON FILE"),"INVALID – GLD not on file (Documents sheet)",IF(AND(AS265=2,Documents!$O$12&lt;&gt;"ON FILE"),"INVALID – menu checklist not on file (Documents sheet)",IF(AND(AS265=3,NOT(ISNUMBER(Flights!$AX$12))),"INVALID – enter carrying flight KUL departure (Flights AX)",IF(AND(AS265=3,OR(Flights!$AX$12&gt;=Flights!$AA$12,Flights!$AX$12&lt;Flights!$AA$12-3)),"INVALID – Flights AX must be before this leg's STD (within 3 days)",IF(AG265&gt;AsOfUTC,"INVALID – completion time is in the future",IF(AND(ISNUMBER(S265),AG265&lt;S265),IF(H265="Physical uplift","INVALID – before uplift window (cannot confirm loading)","INVALID – before valid window"),IF(AG265&gt;Flights!$AA$12,"INVALID – completed after departure (cannot establish readiness)",IF(AND(H265="Physical uplift",AG265&gt;Q265),"INVALID – recorded after the loading flight departed",IF(AG265&gt;Q265,"COMPLETE – LATE","COMPLETE")))))))))))))))))),IF(TRIM(U265)="Fail","FAIL – DISCREPANCY",IF(AND(TRIM(U265)&lt;&gt;"",TRIM(U265)&lt;&gt;"Not started",TRIM(U265)&lt;&gt;"In progress"),"INVALID – unrecognised status (use the list)",IF(AsOfUTC&gt;Q265,"OVERDUE",IF(N265="Clarification required","OPEN – CLARIFICATION","OPEN")))))))</f>
        <v>OPEN</v>
      </c>
      <c r="AI265" s="61" t="n">
        <f aca="false">IF(OR(AH265="N/A – RULE",AH265="N/A – JUSTIFIED"),0,1)</f>
        <v>1</v>
      </c>
      <c r="AJ265" s="61" t="n">
        <f aca="false">IF(LEFT(AH265,8)="COMPLETE",1,0)</f>
        <v>0</v>
      </c>
      <c r="AK265" s="61" t="n">
        <f aca="false">IF(AND(AI265=1,AJ265=0,AsOfUTC&gt;Q265),1,0)</f>
        <v>0</v>
      </c>
      <c r="AL265" s="61" t="n">
        <f aca="false">IF(AND(AI265=1,OR(TRIM(U265)="Fail",AND(TRIM(AB265)&lt;&gt;"",TRIM(AB265)&lt;&gt;"Closed"),AND(ISNUMBER(AF265),AF265&lt;&gt;0,TRIM(U265)&lt;&gt;"Pass after CA"))),1,0)</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row>
    <row r="266" customFormat="false" ht="39.75" hidden="false" customHeight="true" outlineLevel="0" collapsed="false">
      <c r="A266" s="57" t="s">
        <v>802</v>
      </c>
      <c r="B266" s="57" t="s">
        <v>230</v>
      </c>
      <c r="C266" s="57" t="str">
        <f aca="false">Flights!$F$12</f>
        <v>MH0752</v>
      </c>
      <c r="D266" s="58" t="n">
        <f aca="false">Flights!$D$12</f>
        <v>46305</v>
      </c>
      <c r="E266" s="57" t="str">
        <f aca="false">Flights!$G$12&amp;"-"&amp;Flights!$H$12</f>
        <v>KUL-HAN</v>
      </c>
      <c r="F266" s="57" t="str">
        <f aca="false">Flights!$K$12</f>
        <v>EY</v>
      </c>
      <c r="G266" s="57" t="s">
        <v>76</v>
      </c>
      <c r="H266" s="57" t="s">
        <v>343</v>
      </c>
      <c r="I266" s="57" t="s">
        <v>363</v>
      </c>
      <c r="J266" s="57" t="s">
        <v>364</v>
      </c>
      <c r="K266" s="67" t="s">
        <v>365</v>
      </c>
      <c r="L266" s="67" t="s">
        <v>347</v>
      </c>
      <c r="M266" s="67"/>
      <c r="N266" s="67" t="s">
        <v>348</v>
      </c>
      <c r="O266" s="67"/>
      <c r="P266" s="57" t="s">
        <v>179</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59" t="n">
        <f aca="false">Q266-T7EarlyD*24/24</f>
        <v>46284.0659722222</v>
      </c>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IF(N266="N/A – rule","N/A – RULE",IF(TRIM(U266)="N/A",IF(AT266=0,"INVALID – N/A not permitted for this mandatory check",IF(AND(TRIM(AC266)&lt;&gt;"",TRIM(AE266)&lt;&gt;"",TRIM(T266)&lt;&gt;"",TRIM(AE266)&lt;&gt;TRIM(T266)),"N/A – JUSTIFIED","INVALID – N/A needs justification, PIC and a different verifier")),IF(OR(TRIM(U266)="Pass",TRIM(U266)="Pass after CA"),IF(NOT(ISNUMBER(AD266)),"INVALID – completion time missing",IF(TRIM(T266)="","INVALID – PIC missing",IF(TRIM(V266)="","INVALID – result / assessment missing",IF(TRIM(Z266)="","INVALID – evidence missing",IF(TRIM(AE266)="","INVALID – verifier missing",IF(TRIM(AE266)=TRIM(T266),"INVALID – verifier must be someone other than the PIC",IF(AND(AQ266=1,TRIM(W266)=""),"INVALID – batch ID missing",IF(AND(AR266=1,OR(NOT(ISNUMBER(X266)),NOT(ISNUMBER(Y266)))),"INVALID – expected/actual qty missing",IF(IF(AND(TRIM(U266)="Pass",ISNUMBER(AF266)),IF(AF266&lt;&gt;0,"INVALID – qty variance: use Fail or Pass after CA",""),"")&amp;IF(AND(TRIM(U266)="Pass",TRIM(AB266)&lt;&gt;"",TRIM(AB266)&lt;&gt;"Closed"),"INVALID – corrective action not closed: use Fail, then Pass after CA","")&amp;IF(AND(TRIM(AA266)&lt;&gt;"",TRIM(AB266)=""),"INVALID – CA status missing for the recorded corrective action","")&amp;IF(AND(TRIM(U266)="Pass after CA",OR(TRIM(AA266)="",TRIM(AB266)&lt;&gt;"Closed")),"INVALID – corrective action not recorded/closed","")&lt;&gt;"",IF(AND(TRIM(U266)="Pass",ISNUMBER(AF266)),IF(AF266&lt;&gt;0,"INVALID – qty variance: use Fail or Pass after CA",""),"")&amp;IF(AND(TRIM(U266)="Pass",TRIM(AB266)&lt;&gt;"",TRIM(AB266)&lt;&gt;"Closed"),"INVALID – corrective action not closed: use Fail, then Pass after CA","")&amp;IF(AND(TRIM(AA266)&lt;&gt;"",TRIM(AB266)=""),"INVALID – CA status missing for the recorded corrective action","")&amp;IF(AND(TRIM(U266)="Pass after CA",OR(TRIM(AA266)="",TRIM(AB266)&lt;&gt;"Closed")),"INVALID – corrective action not recorded/closed",""),IF(AND(AS266=1,Documents!$J$12&lt;&gt;"ON FILE"),"INVALID – GLD not on file (Documents sheet)",IF(AND(AS266=2,Documents!$O$12&lt;&gt;"ON FILE"),"INVALID – menu checklist not on file (Documents sheet)",IF(AND(AS266=3,NOT(ISNUMBER(Flights!$AX$12))),"INVALID – enter carrying flight KUL departure (Flights AX)",IF(AND(AS266=3,OR(Flights!$AX$12&gt;=Flights!$AA$12,Flights!$AX$12&lt;Flights!$AA$12-3)),"INVALID – Flights AX must be before this leg's STD (within 3 days)",IF(AG266&gt;AsOfUTC,"INVALID – completion time is in the future",IF(AND(ISNUMBER(S266),AG266&lt;S266),IF(H266="Physical uplift","INVALID – before uplift window (cannot confirm loading)","INVALID – before valid window"),IF(AG266&gt;Flights!$AA$12,"INVALID – completed after departure (cannot establish readiness)",IF(AND(H266="Physical uplift",AG266&gt;Q266),"INVALID – recorded after the loading flight departed",IF(AG266&gt;Q266,"COMPLETE – LATE","COMPLETE")))))))))))))))))),IF(TRIM(U266)="Fail","FAIL – DISCREPANCY",IF(AND(TRIM(U266)&lt;&gt;"",TRIM(U266)&lt;&gt;"Not started",TRIM(U266)&lt;&gt;"In progress"),"INVALID – unrecognised status (use the list)",IF(AsOfUTC&gt;Q266,"OVERDUE",IF(N266="Clarification required","OPEN – CLARIFICATION","OPEN")))))))</f>
        <v>OPEN</v>
      </c>
      <c r="AI266" s="61" t="n">
        <f aca="false">IF(OR(AH266="N/A – RULE",AH266="N/A – JUSTIFIED"),0,1)</f>
        <v>1</v>
      </c>
      <c r="AJ266" s="61" t="n">
        <f aca="false">IF(LEFT(AH266,8)="COMPLETE",1,0)</f>
        <v>0</v>
      </c>
      <c r="AK266" s="61" t="n">
        <f aca="false">IF(AND(AI266=1,AJ266=0,AsOfUTC&gt;Q266),1,0)</f>
        <v>0</v>
      </c>
      <c r="AL266" s="61" t="n">
        <f aca="false">IF(AND(AI266=1,OR(TRIM(U266)="Fail",AND(TRIM(AB266)&lt;&gt;"",TRIM(AB266)&lt;&gt;"Closed"),AND(ISNUMBER(AF266),AF266&lt;&gt;0,TRIM(U266)&lt;&gt;"Pass after CA"))),1,0)</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row>
    <row r="267" customFormat="false" ht="39.75" hidden="false" customHeight="true" outlineLevel="0" collapsed="false">
      <c r="A267" s="57" t="s">
        <v>803</v>
      </c>
      <c r="B267" s="57" t="s">
        <v>230</v>
      </c>
      <c r="C267" s="57" t="str">
        <f aca="false">Flights!$F$12</f>
        <v>MH0752</v>
      </c>
      <c r="D267" s="58" t="n">
        <f aca="false">Flights!$D$12</f>
        <v>46305</v>
      </c>
      <c r="E267" s="57" t="str">
        <f aca="false">Flights!$G$12&amp;"-"&amp;Flights!$H$12</f>
        <v>KUL-HAN</v>
      </c>
      <c r="F267" s="57" t="str">
        <f aca="false">Flights!$K$12</f>
        <v>EY</v>
      </c>
      <c r="G267" s="57" t="s">
        <v>76</v>
      </c>
      <c r="H267" s="57" t="s">
        <v>343</v>
      </c>
      <c r="I267" s="57" t="s">
        <v>363</v>
      </c>
      <c r="J267" s="57" t="s">
        <v>367</v>
      </c>
      <c r="K267" s="67" t="s">
        <v>368</v>
      </c>
      <c r="L267" s="67" t="s">
        <v>347</v>
      </c>
      <c r="M267" s="67"/>
      <c r="N267" s="67" t="s">
        <v>348</v>
      </c>
      <c r="O267" s="67"/>
      <c r="P267" s="57" t="s">
        <v>179</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59" t="n">
        <f aca="false">Q267-T7EarlyD*24/24</f>
        <v>46284.0659722222</v>
      </c>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IF(N267="N/A – rule","N/A – RULE",IF(TRIM(U267)="N/A",IF(AT267=0,"INVALID – N/A not permitted for this mandatory check",IF(AND(TRIM(AC267)&lt;&gt;"",TRIM(AE267)&lt;&gt;"",TRIM(T267)&lt;&gt;"",TRIM(AE267)&lt;&gt;TRIM(T267)),"N/A – JUSTIFIED","INVALID – N/A needs justification, PIC and a different verifier")),IF(OR(TRIM(U267)="Pass",TRIM(U267)="Pass after CA"),IF(NOT(ISNUMBER(AD267)),"INVALID – completion time missing",IF(TRIM(T267)="","INVALID – PIC missing",IF(TRIM(V267)="","INVALID – result / assessment missing",IF(TRIM(Z267)="","INVALID – evidence missing",IF(TRIM(AE267)="","INVALID – verifier missing",IF(TRIM(AE267)=TRIM(T267),"INVALID – verifier must be someone other than the PIC",IF(AND(AQ267=1,TRIM(W267)=""),"INVALID – batch ID missing",IF(AND(AR267=1,OR(NOT(ISNUMBER(X267)),NOT(ISNUMBER(Y267)))),"INVALID – expected/actual qty missing",IF(IF(AND(TRIM(U267)="Pass",ISNUMBER(AF267)),IF(AF267&lt;&gt;0,"INVALID – qty variance: use Fail or Pass after CA",""),"")&amp;IF(AND(TRIM(U267)="Pass",TRIM(AB267)&lt;&gt;"",TRIM(AB267)&lt;&gt;"Closed"),"INVALID – corrective action not closed: use Fail, then Pass after CA","")&amp;IF(AND(TRIM(AA267)&lt;&gt;"",TRIM(AB267)=""),"INVALID – CA status missing for the recorded corrective action","")&amp;IF(AND(TRIM(U267)="Pass after CA",OR(TRIM(AA267)="",TRIM(AB267)&lt;&gt;"Closed")),"INVALID – corrective action not recorded/closed","")&lt;&gt;"",IF(AND(TRIM(U267)="Pass",ISNUMBER(AF267)),IF(AF267&lt;&gt;0,"INVALID – qty variance: use Fail or Pass after CA",""),"")&amp;IF(AND(TRIM(U267)="Pass",TRIM(AB267)&lt;&gt;"",TRIM(AB267)&lt;&gt;"Closed"),"INVALID – corrective action not closed: use Fail, then Pass after CA","")&amp;IF(AND(TRIM(AA267)&lt;&gt;"",TRIM(AB267)=""),"INVALID – CA status missing for the recorded corrective action","")&amp;IF(AND(TRIM(U267)="Pass after CA",OR(TRIM(AA267)="",TRIM(AB267)&lt;&gt;"Closed")),"INVALID – corrective action not recorded/closed",""),IF(AND(AS267=1,Documents!$J$12&lt;&gt;"ON FILE"),"INVALID – GLD not on file (Documents sheet)",IF(AND(AS267=2,Documents!$O$12&lt;&gt;"ON FILE"),"INVALID – menu checklist not on file (Documents sheet)",IF(AND(AS267=3,NOT(ISNUMBER(Flights!$AX$12))),"INVALID – enter carrying flight KUL departure (Flights AX)",IF(AND(AS267=3,OR(Flights!$AX$12&gt;=Flights!$AA$12,Flights!$AX$12&lt;Flights!$AA$12-3)),"INVALID – Flights AX must be before this leg's STD (within 3 days)",IF(AG267&gt;AsOfUTC,"INVALID – completion time is in the future",IF(AND(ISNUMBER(S267),AG267&lt;S267),IF(H267="Physical uplift","INVALID – before uplift window (cannot confirm loading)","INVALID – before valid window"),IF(AG267&gt;Flights!$AA$12,"INVALID – completed after departure (cannot establish readiness)",IF(AND(H267="Physical uplift",AG267&gt;Q267),"INVALID – recorded after the loading flight departed",IF(AG267&gt;Q267,"COMPLETE – LATE","COMPLETE")))))))))))))))))),IF(TRIM(U267)="Fail","FAIL – DISCREPANCY",IF(AND(TRIM(U267)&lt;&gt;"",TRIM(U267)&lt;&gt;"Not started",TRIM(U267)&lt;&gt;"In progress"),"INVALID – unrecognised status (use the list)",IF(AsOfUTC&gt;Q267,"OVERDUE",IF(N267="Clarification required","OPEN – CLARIFICATION","OPEN")))))))</f>
        <v>OPEN</v>
      </c>
      <c r="AI267" s="61" t="n">
        <f aca="false">IF(OR(AH267="N/A – RULE",AH267="N/A – JUSTIFIED"),0,1)</f>
        <v>1</v>
      </c>
      <c r="AJ267" s="61" t="n">
        <f aca="false">IF(LEFT(AH267,8)="COMPLETE",1,0)</f>
        <v>0</v>
      </c>
      <c r="AK267" s="61" t="n">
        <f aca="false">IF(AND(AI267=1,AJ267=0,AsOfUTC&gt;Q267),1,0)</f>
        <v>0</v>
      </c>
      <c r="AL267" s="61" t="n">
        <f aca="false">IF(AND(AI267=1,OR(TRIM(U267)="Fail",AND(TRIM(AB267)&lt;&gt;"",TRIM(AB267)&lt;&gt;"Closed"),AND(ISNUMBER(AF267),AF267&lt;&gt;0,TRIM(U267)&lt;&gt;"Pass after CA"))),1,0)</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row>
    <row r="268" customFormat="false" ht="39.75" hidden="false" customHeight="true" outlineLevel="0" collapsed="false">
      <c r="A268" s="57" t="s">
        <v>804</v>
      </c>
      <c r="B268" s="57" t="s">
        <v>230</v>
      </c>
      <c r="C268" s="57" t="str">
        <f aca="false">Flights!$F$12</f>
        <v>MH0752</v>
      </c>
      <c r="D268" s="58" t="n">
        <f aca="false">Flights!$D$12</f>
        <v>46305</v>
      </c>
      <c r="E268" s="57" t="str">
        <f aca="false">Flights!$G$12&amp;"-"&amp;Flights!$H$12</f>
        <v>KUL-HAN</v>
      </c>
      <c r="F268" s="57" t="str">
        <f aca="false">Flights!$K$12</f>
        <v>EY</v>
      </c>
      <c r="G268" s="57" t="s">
        <v>76</v>
      </c>
      <c r="H268" s="57" t="s">
        <v>343</v>
      </c>
      <c r="I268" s="57" t="s">
        <v>370</v>
      </c>
      <c r="J268" s="57" t="s">
        <v>371</v>
      </c>
      <c r="K268" s="67" t="s">
        <v>372</v>
      </c>
      <c r="L268" s="67" t="s">
        <v>347</v>
      </c>
      <c r="M268" s="67"/>
      <c r="N268" s="67" t="s">
        <v>348</v>
      </c>
      <c r="O268" s="67"/>
      <c r="P268" s="57" t="s">
        <v>179</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59" t="n">
        <f aca="false">Q268-T7EarlyD*24/24</f>
        <v>46284.0659722222</v>
      </c>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IF(N268="N/A – rule","N/A – RULE",IF(TRIM(U268)="N/A",IF(AT268=0,"INVALID – N/A not permitted for this mandatory check",IF(AND(TRIM(AC268)&lt;&gt;"",TRIM(AE268)&lt;&gt;"",TRIM(T268)&lt;&gt;"",TRIM(AE268)&lt;&gt;TRIM(T268)),"N/A – JUSTIFIED","INVALID – N/A needs justification, PIC and a different verifier")),IF(OR(TRIM(U268)="Pass",TRIM(U268)="Pass after CA"),IF(NOT(ISNUMBER(AD268)),"INVALID – completion time missing",IF(TRIM(T268)="","INVALID – PIC missing",IF(TRIM(V268)="","INVALID – result / assessment missing",IF(TRIM(Z268)="","INVALID – evidence missing",IF(TRIM(AE268)="","INVALID – verifier missing",IF(TRIM(AE268)=TRIM(T268),"INVALID – verifier must be someone other than the PIC",IF(AND(AQ268=1,TRIM(W268)=""),"INVALID – batch ID missing",IF(AND(AR268=1,OR(NOT(ISNUMBER(X268)),NOT(ISNUMBER(Y268)))),"INVALID – expected/actual qty missing",IF(IF(AND(TRIM(U268)="Pass",ISNUMBER(AF268)),IF(AF268&lt;&gt;0,"INVALID – qty variance: use Fail or Pass after CA",""),"")&amp;IF(AND(TRIM(U268)="Pass",TRIM(AB268)&lt;&gt;"",TRIM(AB268)&lt;&gt;"Closed"),"INVALID – corrective action not closed: use Fail, then Pass after CA","")&amp;IF(AND(TRIM(AA268)&lt;&gt;"",TRIM(AB268)=""),"INVALID – CA status missing for the recorded corrective action","")&amp;IF(AND(TRIM(U268)="Pass after CA",OR(TRIM(AA268)="",TRIM(AB268)&lt;&gt;"Closed")),"INVALID – corrective action not recorded/closed","")&lt;&gt;"",IF(AND(TRIM(U268)="Pass",ISNUMBER(AF268)),IF(AF268&lt;&gt;0,"INVALID – qty variance: use Fail or Pass after CA",""),"")&amp;IF(AND(TRIM(U268)="Pass",TRIM(AB268)&lt;&gt;"",TRIM(AB268)&lt;&gt;"Closed"),"INVALID – corrective action not closed: use Fail, then Pass after CA","")&amp;IF(AND(TRIM(AA268)&lt;&gt;"",TRIM(AB268)=""),"INVALID – CA status missing for the recorded corrective action","")&amp;IF(AND(TRIM(U268)="Pass after CA",OR(TRIM(AA268)="",TRIM(AB268)&lt;&gt;"Closed")),"INVALID – corrective action not recorded/closed",""),IF(AND(AS268=1,Documents!$J$12&lt;&gt;"ON FILE"),"INVALID – GLD not on file (Documents sheet)",IF(AND(AS268=2,Documents!$O$12&lt;&gt;"ON FILE"),"INVALID – menu checklist not on file (Documents sheet)",IF(AND(AS268=3,NOT(ISNUMBER(Flights!$AX$12))),"INVALID – enter carrying flight KUL departure (Flights AX)",IF(AND(AS268=3,OR(Flights!$AX$12&gt;=Flights!$AA$12,Flights!$AX$12&lt;Flights!$AA$12-3)),"INVALID – Flights AX must be before this leg's STD (within 3 days)",IF(AG268&gt;AsOfUTC,"INVALID – completion time is in the future",IF(AND(ISNUMBER(S268),AG268&lt;S268),IF(H268="Physical uplift","INVALID – before uplift window (cannot confirm loading)","INVALID – before valid window"),IF(AG268&gt;Flights!$AA$12,"INVALID – completed after departure (cannot establish readiness)",IF(AND(H268="Physical uplift",AG268&gt;Q268),"INVALID – recorded after the loading flight departed",IF(AG268&gt;Q268,"COMPLETE – LATE","COMPLETE")))))))))))))))))),IF(TRIM(U268)="Fail","FAIL – DISCREPANCY",IF(AND(TRIM(U268)&lt;&gt;"",TRIM(U268)&lt;&gt;"Not started",TRIM(U268)&lt;&gt;"In progress"),"INVALID – unrecognised status (use the list)",IF(AsOfUTC&gt;Q268,"OVERDUE",IF(N268="Clarification required","OPEN – CLARIFICATION","OPEN")))))))</f>
        <v>OPEN</v>
      </c>
      <c r="AI268" s="61" t="n">
        <f aca="false">IF(OR(AH268="N/A – RULE",AH268="N/A – JUSTIFIED"),0,1)</f>
        <v>1</v>
      </c>
      <c r="AJ268" s="61" t="n">
        <f aca="false">IF(LEFT(AH268,8)="COMPLETE",1,0)</f>
        <v>0</v>
      </c>
      <c r="AK268" s="61" t="n">
        <f aca="false">IF(AND(AI268=1,AJ268=0,AsOfUTC&gt;Q268),1,0)</f>
        <v>0</v>
      </c>
      <c r="AL268" s="61" t="n">
        <f aca="false">IF(AND(AI268=1,OR(TRIM(U268)="Fail",AND(TRIM(AB268)&lt;&gt;"",TRIM(AB268)&lt;&gt;"Closed"),AND(ISNUMBER(AF268),AF268&lt;&gt;0,TRIM(U268)&lt;&gt;"Pass after CA"))),1,0)</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row>
    <row r="269" customFormat="false" ht="39.75" hidden="false" customHeight="true" outlineLevel="0" collapsed="false">
      <c r="A269" s="57" t="s">
        <v>805</v>
      </c>
      <c r="B269" s="57" t="s">
        <v>230</v>
      </c>
      <c r="C269" s="57" t="str">
        <f aca="false">Flights!$F$12</f>
        <v>MH0752</v>
      </c>
      <c r="D269" s="58" t="n">
        <f aca="false">Flights!$D$12</f>
        <v>46305</v>
      </c>
      <c r="E269" s="57" t="str">
        <f aca="false">Flights!$G$12&amp;"-"&amp;Flights!$H$12</f>
        <v>KUL-HAN</v>
      </c>
      <c r="F269" s="57" t="str">
        <f aca="false">Flights!$K$12</f>
        <v>EY</v>
      </c>
      <c r="G269" s="57" t="s">
        <v>76</v>
      </c>
      <c r="H269" s="57" t="s">
        <v>343</v>
      </c>
      <c r="I269" s="57" t="s">
        <v>370</v>
      </c>
      <c r="J269" s="57" t="s">
        <v>374</v>
      </c>
      <c r="K269" s="67" t="s">
        <v>372</v>
      </c>
      <c r="L269" s="67" t="s">
        <v>347</v>
      </c>
      <c r="M269" s="67"/>
      <c r="N269" s="67" t="s">
        <v>348</v>
      </c>
      <c r="O269" s="67"/>
      <c r="P269" s="57" t="s">
        <v>179</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59" t="n">
        <f aca="false">Q269-T7EarlyD*24/24</f>
        <v>46284.0659722222</v>
      </c>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IF(N269="N/A – rule","N/A – RULE",IF(TRIM(U269)="N/A",IF(AT269=0,"INVALID – N/A not permitted for this mandatory check",IF(AND(TRIM(AC269)&lt;&gt;"",TRIM(AE269)&lt;&gt;"",TRIM(T269)&lt;&gt;"",TRIM(AE269)&lt;&gt;TRIM(T269)),"N/A – JUSTIFIED","INVALID – N/A needs justification, PIC and a different verifier")),IF(OR(TRIM(U269)="Pass",TRIM(U269)="Pass after CA"),IF(NOT(ISNUMBER(AD269)),"INVALID – completion time missing",IF(TRIM(T269)="","INVALID – PIC missing",IF(TRIM(V269)="","INVALID – result / assessment missing",IF(TRIM(Z269)="","INVALID – evidence missing",IF(TRIM(AE269)="","INVALID – verifier missing",IF(TRIM(AE269)=TRIM(T269),"INVALID – verifier must be someone other than the PIC",IF(AND(AQ269=1,TRIM(W269)=""),"INVALID – batch ID missing",IF(AND(AR269=1,OR(NOT(ISNUMBER(X269)),NOT(ISNUMBER(Y269)))),"INVALID – expected/actual qty missing",IF(IF(AND(TRIM(U269)="Pass",ISNUMBER(AF269)),IF(AF269&lt;&gt;0,"INVALID – qty variance: use Fail or Pass after CA",""),"")&amp;IF(AND(TRIM(U269)="Pass",TRIM(AB269)&lt;&gt;"",TRIM(AB269)&lt;&gt;"Closed"),"INVALID – corrective action not closed: use Fail, then Pass after CA","")&amp;IF(AND(TRIM(AA269)&lt;&gt;"",TRIM(AB269)=""),"INVALID – CA status missing for the recorded corrective action","")&amp;IF(AND(TRIM(U269)="Pass after CA",OR(TRIM(AA269)="",TRIM(AB269)&lt;&gt;"Closed")),"INVALID – corrective action not recorded/closed","")&lt;&gt;"",IF(AND(TRIM(U269)="Pass",ISNUMBER(AF269)),IF(AF269&lt;&gt;0,"INVALID – qty variance: use Fail or Pass after CA",""),"")&amp;IF(AND(TRIM(U269)="Pass",TRIM(AB269)&lt;&gt;"",TRIM(AB269)&lt;&gt;"Closed"),"INVALID – corrective action not closed: use Fail, then Pass after CA","")&amp;IF(AND(TRIM(AA269)&lt;&gt;"",TRIM(AB269)=""),"INVALID – CA status missing for the recorded corrective action","")&amp;IF(AND(TRIM(U269)="Pass after CA",OR(TRIM(AA269)="",TRIM(AB269)&lt;&gt;"Closed")),"INVALID – corrective action not recorded/closed",""),IF(AND(AS269=1,Documents!$J$12&lt;&gt;"ON FILE"),"INVALID – GLD not on file (Documents sheet)",IF(AND(AS269=2,Documents!$O$12&lt;&gt;"ON FILE"),"INVALID – menu checklist not on file (Documents sheet)",IF(AND(AS269=3,NOT(ISNUMBER(Flights!$AX$12))),"INVALID – enter carrying flight KUL departure (Flights AX)",IF(AND(AS269=3,OR(Flights!$AX$12&gt;=Flights!$AA$12,Flights!$AX$12&lt;Flights!$AA$12-3)),"INVALID – Flights AX must be before this leg's STD (within 3 days)",IF(AG269&gt;AsOfUTC,"INVALID – completion time is in the future",IF(AND(ISNUMBER(S269),AG269&lt;S269),IF(H269="Physical uplift","INVALID – before uplift window (cannot confirm loading)","INVALID – before valid window"),IF(AG269&gt;Flights!$AA$12,"INVALID – completed after departure (cannot establish readiness)",IF(AND(H269="Physical uplift",AG269&gt;Q269),"INVALID – recorded after the loading flight departed",IF(AG269&gt;Q269,"COMPLETE – LATE","COMPLETE")))))))))))))))))),IF(TRIM(U269)="Fail","FAIL – DISCREPANCY",IF(AND(TRIM(U269)&lt;&gt;"",TRIM(U269)&lt;&gt;"Not started",TRIM(U269)&lt;&gt;"In progress"),"INVALID – unrecognised status (use the list)",IF(AsOfUTC&gt;Q269,"OVERDUE",IF(N269="Clarification required","OPEN – CLARIFICATION","OPEN")))))))</f>
        <v>OPEN</v>
      </c>
      <c r="AI269" s="61" t="n">
        <f aca="false">IF(OR(AH269="N/A – RULE",AH269="N/A – JUSTIFIED"),0,1)</f>
        <v>1</v>
      </c>
      <c r="AJ269" s="61" t="n">
        <f aca="false">IF(LEFT(AH269,8)="COMPLETE",1,0)</f>
        <v>0</v>
      </c>
      <c r="AK269" s="61" t="n">
        <f aca="false">IF(AND(AI269=1,AJ269=0,AsOfUTC&gt;Q269),1,0)</f>
        <v>0</v>
      </c>
      <c r="AL269" s="61" t="n">
        <f aca="false">IF(AND(AI269=1,OR(TRIM(U269)="Fail",AND(TRIM(AB269)&lt;&gt;"",TRIM(AB269)&lt;&gt;"Closed"),AND(ISNUMBER(AF269),AF269&lt;&gt;0,TRIM(U269)&lt;&gt;"Pass after CA"))),1,0)</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row>
    <row r="270" customFormat="false" ht="39.75" hidden="false" customHeight="true" outlineLevel="0" collapsed="false">
      <c r="A270" s="57" t="s">
        <v>806</v>
      </c>
      <c r="B270" s="57" t="s">
        <v>230</v>
      </c>
      <c r="C270" s="57" t="str">
        <f aca="false">Flights!$F$12</f>
        <v>MH0752</v>
      </c>
      <c r="D270" s="58" t="n">
        <f aca="false">Flights!$D$12</f>
        <v>46305</v>
      </c>
      <c r="E270" s="57" t="str">
        <f aca="false">Flights!$G$12&amp;"-"&amp;Flights!$H$12</f>
        <v>KUL-HAN</v>
      </c>
      <c r="F270" s="57" t="str">
        <f aca="false">Flights!$K$12</f>
        <v>EY</v>
      </c>
      <c r="G270" s="57" t="s">
        <v>76</v>
      </c>
      <c r="H270" s="57" t="s">
        <v>343</v>
      </c>
      <c r="I270" s="57" t="s">
        <v>376</v>
      </c>
      <c r="J270" s="57" t="s">
        <v>377</v>
      </c>
      <c r="K270" s="67" t="s">
        <v>807</v>
      </c>
      <c r="L270" s="67" t="s">
        <v>808</v>
      </c>
      <c r="M270" s="67"/>
      <c r="N270" s="67" t="s">
        <v>348</v>
      </c>
      <c r="O270" s="67"/>
      <c r="P270" s="57" t="s">
        <v>179</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59" t="n">
        <f aca="false">Q270-T7EarlyD*24/24</f>
        <v>46284.0659722222</v>
      </c>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IF(N270="N/A – rule","N/A – RULE",IF(TRIM(U270)="N/A",IF(AT270=0,"INVALID – N/A not permitted for this mandatory check",IF(AND(TRIM(AC270)&lt;&gt;"",TRIM(AE270)&lt;&gt;"",TRIM(T270)&lt;&gt;"",TRIM(AE270)&lt;&gt;TRIM(T270)),"N/A – JUSTIFIED","INVALID – N/A needs justification, PIC and a different verifier")),IF(OR(TRIM(U270)="Pass",TRIM(U270)="Pass after CA"),IF(NOT(ISNUMBER(AD270)),"INVALID – completion time missing",IF(TRIM(T270)="","INVALID – PIC missing",IF(TRIM(V270)="","INVALID – result / assessment missing",IF(TRIM(Z270)="","INVALID – evidence missing",IF(TRIM(AE270)="","INVALID – verifier missing",IF(TRIM(AE270)=TRIM(T270),"INVALID – verifier must be someone other than the PIC",IF(AND(AQ270=1,TRIM(W270)=""),"INVALID – batch ID missing",IF(AND(AR270=1,OR(NOT(ISNUMBER(X270)),NOT(ISNUMBER(Y270)))),"INVALID – expected/actual qty missing",IF(IF(AND(TRIM(U270)="Pass",ISNUMBER(AF270)),IF(AF270&lt;&gt;0,"INVALID – qty variance: use Fail or Pass after CA",""),"")&amp;IF(AND(TRIM(U270)="Pass",TRIM(AB270)&lt;&gt;"",TRIM(AB270)&lt;&gt;"Closed"),"INVALID – corrective action not closed: use Fail, then Pass after CA","")&amp;IF(AND(TRIM(AA270)&lt;&gt;"",TRIM(AB270)=""),"INVALID – CA status missing for the recorded corrective action","")&amp;IF(AND(TRIM(U270)="Pass after CA",OR(TRIM(AA270)="",TRIM(AB270)&lt;&gt;"Closed")),"INVALID – corrective action not recorded/closed","")&lt;&gt;"",IF(AND(TRIM(U270)="Pass",ISNUMBER(AF270)),IF(AF270&lt;&gt;0,"INVALID – qty variance: use Fail or Pass after CA",""),"")&amp;IF(AND(TRIM(U270)="Pass",TRIM(AB270)&lt;&gt;"",TRIM(AB270)&lt;&gt;"Closed"),"INVALID – corrective action not closed: use Fail, then Pass after CA","")&amp;IF(AND(TRIM(AA270)&lt;&gt;"",TRIM(AB270)=""),"INVALID – CA status missing for the recorded corrective action","")&amp;IF(AND(TRIM(U270)="Pass after CA",OR(TRIM(AA270)="",TRIM(AB270)&lt;&gt;"Closed")),"INVALID – corrective action not recorded/closed",""),IF(AND(AS270=1,Documents!$J$12&lt;&gt;"ON FILE"),"INVALID – GLD not on file (Documents sheet)",IF(AND(AS270=2,Documents!$O$12&lt;&gt;"ON FILE"),"INVALID – menu checklist not on file (Documents sheet)",IF(AND(AS270=3,NOT(ISNUMBER(Flights!$AX$12))),"INVALID – enter carrying flight KUL departure (Flights AX)",IF(AND(AS270=3,OR(Flights!$AX$12&gt;=Flights!$AA$12,Flights!$AX$12&lt;Flights!$AA$12-3)),"INVALID – Flights AX must be before this leg's STD (within 3 days)",IF(AG270&gt;AsOfUTC,"INVALID – completion time is in the future",IF(AND(ISNUMBER(S270),AG270&lt;S270),IF(H270="Physical uplift","INVALID – before uplift window (cannot confirm loading)","INVALID – before valid window"),IF(AG270&gt;Flights!$AA$12,"INVALID – completed after departure (cannot establish readiness)",IF(AND(H270="Physical uplift",AG270&gt;Q270),"INVALID – recorded after the loading flight departed",IF(AG270&gt;Q270,"COMPLETE – LATE","COMPLETE")))))))))))))))))),IF(TRIM(U270)="Fail","FAIL – DISCREPANCY",IF(AND(TRIM(U270)&lt;&gt;"",TRIM(U270)&lt;&gt;"Not started",TRIM(U270)&lt;&gt;"In progress"),"INVALID – unrecognised status (use the list)",IF(AsOfUTC&gt;Q270,"OVERDUE",IF(N270="Clarification required","OPEN – CLARIFICATION","OPEN")))))))</f>
        <v>OPEN</v>
      </c>
      <c r="AI270" s="61" t="n">
        <f aca="false">IF(OR(AH270="N/A – RULE",AH270="N/A – JUSTIFIED"),0,1)</f>
        <v>1</v>
      </c>
      <c r="AJ270" s="61" t="n">
        <f aca="false">IF(LEFT(AH270,8)="COMPLETE",1,0)</f>
        <v>0</v>
      </c>
      <c r="AK270" s="61" t="n">
        <f aca="false">IF(AND(AI270=1,AJ270=0,AsOfUTC&gt;Q270),1,0)</f>
        <v>0</v>
      </c>
      <c r="AL270" s="61" t="n">
        <f aca="false">IF(AND(AI270=1,OR(TRIM(U270)="Fail",AND(TRIM(AB270)&lt;&gt;"",TRIM(AB270)&lt;&gt;"Closed"),AND(ISNUMBER(AF270),AF270&lt;&gt;0,TRIM(U270)&lt;&gt;"Pass after CA"))),1,0)</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row>
    <row r="271" customFormat="false" ht="39.75" hidden="false" customHeight="true" outlineLevel="0" collapsed="false">
      <c r="A271" s="57" t="s">
        <v>809</v>
      </c>
      <c r="B271" s="57" t="s">
        <v>230</v>
      </c>
      <c r="C271" s="57" t="str">
        <f aca="false">Flights!$F$12</f>
        <v>MH0752</v>
      </c>
      <c r="D271" s="58" t="n">
        <f aca="false">Flights!$D$12</f>
        <v>46305</v>
      </c>
      <c r="E271" s="57" t="str">
        <f aca="false">Flights!$G$12&amp;"-"&amp;Flights!$H$12</f>
        <v>KUL-HAN</v>
      </c>
      <c r="F271" s="57" t="str">
        <f aca="false">Flights!$K$12</f>
        <v>EY</v>
      </c>
      <c r="G271" s="57" t="s">
        <v>78</v>
      </c>
      <c r="H271" s="57" t="s">
        <v>343</v>
      </c>
      <c r="I271" s="57" t="s">
        <v>344</v>
      </c>
      <c r="J271" s="57" t="s">
        <v>381</v>
      </c>
      <c r="K271" s="67" t="s">
        <v>382</v>
      </c>
      <c r="L271" s="67" t="s">
        <v>383</v>
      </c>
      <c r="M271" s="67"/>
      <c r="N271" s="67" t="s">
        <v>348</v>
      </c>
      <c r="O271" s="67"/>
      <c r="P271" s="57" t="s">
        <v>179</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59" t="n">
        <f aca="false">Q271-T24EarlyH/24</f>
        <v>46303.0659722222</v>
      </c>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IF(N271="N/A – rule","N/A – RULE",IF(TRIM(U271)="N/A",IF(AT271=0,"INVALID – N/A not permitted for this mandatory check",IF(AND(TRIM(AC271)&lt;&gt;"",TRIM(AE271)&lt;&gt;"",TRIM(T271)&lt;&gt;"",TRIM(AE271)&lt;&gt;TRIM(T271)),"N/A – JUSTIFIED","INVALID – N/A needs justification, PIC and a different verifier")),IF(OR(TRIM(U271)="Pass",TRIM(U271)="Pass after CA"),IF(NOT(ISNUMBER(AD271)),"INVALID – completion time missing",IF(TRIM(T271)="","INVALID – PIC missing",IF(TRIM(V271)="","INVALID – result / assessment missing",IF(TRIM(Z271)="","INVALID – evidence missing",IF(TRIM(AE271)="","INVALID – verifier missing",IF(TRIM(AE271)=TRIM(T271),"INVALID – verifier must be someone other than the PIC",IF(AND(AQ271=1,TRIM(W271)=""),"INVALID – batch ID missing",IF(AND(AR271=1,OR(NOT(ISNUMBER(X271)),NOT(ISNUMBER(Y271)))),"INVALID – expected/actual qty missing",IF(IF(AND(TRIM(U271)="Pass",ISNUMBER(AF271)),IF(AF271&lt;&gt;0,"INVALID – qty variance: use Fail or Pass after CA",""),"")&amp;IF(AND(TRIM(U271)="Pass",TRIM(AB271)&lt;&gt;"",TRIM(AB271)&lt;&gt;"Closed"),"INVALID – corrective action not closed: use Fail, then Pass after CA","")&amp;IF(AND(TRIM(AA271)&lt;&gt;"",TRIM(AB271)=""),"INVALID – CA status missing for the recorded corrective action","")&amp;IF(AND(TRIM(U271)="Pass after CA",OR(TRIM(AA271)="",TRIM(AB271)&lt;&gt;"Closed")),"INVALID – corrective action not recorded/closed","")&lt;&gt;"",IF(AND(TRIM(U271)="Pass",ISNUMBER(AF271)),IF(AF271&lt;&gt;0,"INVALID – qty variance: use Fail or Pass after CA",""),"")&amp;IF(AND(TRIM(U271)="Pass",TRIM(AB271)&lt;&gt;"",TRIM(AB271)&lt;&gt;"Closed"),"INVALID – corrective action not closed: use Fail, then Pass after CA","")&amp;IF(AND(TRIM(AA271)&lt;&gt;"",TRIM(AB271)=""),"INVALID – CA status missing for the recorded corrective action","")&amp;IF(AND(TRIM(U271)="Pass after CA",OR(TRIM(AA271)="",TRIM(AB271)&lt;&gt;"Closed")),"INVALID – corrective action not recorded/closed",""),IF(AND(AS271=1,Documents!$J$12&lt;&gt;"ON FILE"),"INVALID – GLD not on file (Documents sheet)",IF(AND(AS271=2,Documents!$O$12&lt;&gt;"ON FILE"),"INVALID – menu checklist not on file (Documents sheet)",IF(AND(AS271=3,NOT(ISNUMBER(Flights!$AX$12))),"INVALID – enter carrying flight KUL departure (Flights AX)",IF(AND(AS271=3,OR(Flights!$AX$12&gt;=Flights!$AA$12,Flights!$AX$12&lt;Flights!$AA$12-3)),"INVALID – Flights AX must be before this leg's STD (within 3 days)",IF(AG271&gt;AsOfUTC,"INVALID – completion time is in the future",IF(AND(ISNUMBER(S271),AG271&lt;S271),IF(H271="Physical uplift","INVALID – before uplift window (cannot confirm loading)","INVALID – before valid window"),IF(AG271&gt;Flights!$AA$12,"INVALID – completed after departure (cannot establish readiness)",IF(AND(H271="Physical uplift",AG271&gt;Q271),"INVALID – recorded after the loading flight departed",IF(AG271&gt;Q271,"COMPLETE – LATE","COMPLETE")))))))))))))))))),IF(TRIM(U271)="Fail","FAIL – DISCREPANCY",IF(AND(TRIM(U271)&lt;&gt;"",TRIM(U271)&lt;&gt;"Not started",TRIM(U271)&lt;&gt;"In progress"),"INVALID – unrecognised status (use the list)",IF(AsOfUTC&gt;Q271,"OVERDUE",IF(N271="Clarification required","OPEN – CLARIFICATION","OPEN")))))))</f>
        <v>OPEN</v>
      </c>
      <c r="AI271" s="61" t="n">
        <f aca="false">IF(OR(AH271="N/A – RULE",AH271="N/A – JUSTIFIED"),0,1)</f>
        <v>1</v>
      </c>
      <c r="AJ271" s="61" t="n">
        <f aca="false">IF(LEFT(AH271,8)="COMPLETE",1,0)</f>
        <v>0</v>
      </c>
      <c r="AK271" s="61" t="n">
        <f aca="false">IF(AND(AI271=1,AJ271=0,AsOfUTC&gt;Q271),1,0)</f>
        <v>0</v>
      </c>
      <c r="AL271" s="61" t="n">
        <f aca="false">IF(AND(AI271=1,OR(TRIM(U271)="Fail",AND(TRIM(AB271)&lt;&gt;"",TRIM(AB271)&lt;&gt;"Closed"),AND(ISNUMBER(AF271),AF271&lt;&gt;0,TRIM(U271)&lt;&gt;"Pass after CA"))),1,0)</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row>
    <row r="272" customFormat="false" ht="39.75" hidden="false" customHeight="true" outlineLevel="0" collapsed="false">
      <c r="A272" s="57" t="s">
        <v>810</v>
      </c>
      <c r="B272" s="57" t="s">
        <v>230</v>
      </c>
      <c r="C272" s="57" t="str">
        <f aca="false">Flights!$F$12</f>
        <v>MH0752</v>
      </c>
      <c r="D272" s="58" t="n">
        <f aca="false">Flights!$D$12</f>
        <v>46305</v>
      </c>
      <c r="E272" s="57" t="str">
        <f aca="false">Flights!$G$12&amp;"-"&amp;Flights!$H$12</f>
        <v>KUL-HAN</v>
      </c>
      <c r="F272" s="57" t="str">
        <f aca="false">Flights!$K$12</f>
        <v>EY</v>
      </c>
      <c r="G272" s="57" t="s">
        <v>385</v>
      </c>
      <c r="H272" s="57" t="s">
        <v>343</v>
      </c>
      <c r="I272" s="57" t="s">
        <v>344</v>
      </c>
      <c r="J272" s="57" t="s">
        <v>386</v>
      </c>
      <c r="K272" s="67"/>
      <c r="L272" s="67" t="s">
        <v>387</v>
      </c>
      <c r="M272" s="67"/>
      <c r="N272" s="67" t="s">
        <v>348</v>
      </c>
      <c r="O272" s="67" t="s">
        <v>388</v>
      </c>
      <c r="P272" s="57" t="s">
        <v>179</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59" t="n">
        <f aca="false">Q272-T12EarlyH/24</f>
        <v>46304.0659722222</v>
      </c>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IF(N272="N/A – rule","N/A – RULE",IF(TRIM(U272)="N/A",IF(AT272=0,"INVALID – N/A not permitted for this mandatory check",IF(AND(TRIM(AC272)&lt;&gt;"",TRIM(AE272)&lt;&gt;"",TRIM(T272)&lt;&gt;"",TRIM(AE272)&lt;&gt;TRIM(T272)),"N/A – JUSTIFIED","INVALID – N/A needs justification, PIC and a different verifier")),IF(OR(TRIM(U272)="Pass",TRIM(U272)="Pass after CA"),IF(NOT(ISNUMBER(AD272)),"INVALID – completion time missing",IF(TRIM(T272)="","INVALID – PIC missing",IF(TRIM(V272)="","INVALID – result / assessment missing",IF(TRIM(Z272)="","INVALID – evidence missing",IF(TRIM(AE272)="","INVALID – verifier missing",IF(TRIM(AE272)=TRIM(T272),"INVALID – verifier must be someone other than the PIC",IF(AND(AQ272=1,TRIM(W272)=""),"INVALID – batch ID missing",IF(AND(AR272=1,OR(NOT(ISNUMBER(X272)),NOT(ISNUMBER(Y272)))),"INVALID – expected/actual qty missing",IF(IF(AND(TRIM(U272)="Pass",ISNUMBER(AF272)),IF(AF272&lt;&gt;0,"INVALID – qty variance: use Fail or Pass after CA",""),"")&amp;IF(AND(TRIM(U272)="Pass",TRIM(AB272)&lt;&gt;"",TRIM(AB272)&lt;&gt;"Closed"),"INVALID – corrective action not closed: use Fail, then Pass after CA","")&amp;IF(AND(TRIM(AA272)&lt;&gt;"",TRIM(AB272)=""),"INVALID – CA status missing for the recorded corrective action","")&amp;IF(AND(TRIM(U272)="Pass after CA",OR(TRIM(AA272)="",TRIM(AB272)&lt;&gt;"Closed")),"INVALID – corrective action not recorded/closed","")&lt;&gt;"",IF(AND(TRIM(U272)="Pass",ISNUMBER(AF272)),IF(AF272&lt;&gt;0,"INVALID – qty variance: use Fail or Pass after CA",""),"")&amp;IF(AND(TRIM(U272)="Pass",TRIM(AB272)&lt;&gt;"",TRIM(AB272)&lt;&gt;"Closed"),"INVALID – corrective action not closed: use Fail, then Pass after CA","")&amp;IF(AND(TRIM(AA272)&lt;&gt;"",TRIM(AB272)=""),"INVALID – CA status missing for the recorded corrective action","")&amp;IF(AND(TRIM(U272)="Pass after CA",OR(TRIM(AA272)="",TRIM(AB272)&lt;&gt;"Closed")),"INVALID – corrective action not recorded/closed",""),IF(AND(AS272=1,Documents!$J$12&lt;&gt;"ON FILE"),"INVALID – GLD not on file (Documents sheet)",IF(AND(AS272=2,Documents!$O$12&lt;&gt;"ON FILE"),"INVALID – menu checklist not on file (Documents sheet)",IF(AND(AS272=3,NOT(ISNUMBER(Flights!$AX$12))),"INVALID – enter carrying flight KUL departure (Flights AX)",IF(AND(AS272=3,OR(Flights!$AX$12&gt;=Flights!$AA$12,Flights!$AX$12&lt;Flights!$AA$12-3)),"INVALID – Flights AX must be before this leg's STD (within 3 days)",IF(AG272&gt;AsOfUTC,"INVALID – completion time is in the future",IF(AND(ISNUMBER(S272),AG272&lt;S272),IF(H272="Physical uplift","INVALID – before uplift window (cannot confirm loading)","INVALID – before valid window"),IF(AG272&gt;Flights!$AA$12,"INVALID – completed after departure (cannot establish readiness)",IF(AND(H272="Physical uplift",AG272&gt;Q272),"INVALID – recorded after the loading flight departed",IF(AG272&gt;Q272,"COMPLETE – LATE","COMPLETE")))))))))))))))))),IF(TRIM(U272)="Fail","FAIL – DISCREPANCY",IF(AND(TRIM(U272)&lt;&gt;"",TRIM(U272)&lt;&gt;"Not started",TRIM(U272)&lt;&gt;"In progress"),"INVALID – unrecognised status (use the list)",IF(AsOfUTC&gt;Q272,"OVERDUE",IF(N272="Clarification required","OPEN – CLARIFICATION","OPEN")))))))</f>
        <v>OPEN</v>
      </c>
      <c r="AI272" s="61" t="n">
        <f aca="false">IF(OR(AH272="N/A – RULE",AH272="N/A – JUSTIFIED"),0,1)</f>
        <v>1</v>
      </c>
      <c r="AJ272" s="61" t="n">
        <f aca="false">IF(LEFT(AH272,8)="COMPLETE",1,0)</f>
        <v>0</v>
      </c>
      <c r="AK272" s="61" t="n">
        <f aca="false">IF(AND(AI272=1,AJ272=0,AsOfUTC&gt;Q272),1,0)</f>
        <v>0</v>
      </c>
      <c r="AL272" s="61" t="n">
        <f aca="false">IF(AND(AI272=1,OR(TRIM(U272)="Fail",AND(TRIM(AB272)&lt;&gt;"",TRIM(AB272)&lt;&gt;"Closed"),AND(ISNUMBER(AF272),AF272&lt;&gt;0,TRIM(U272)&lt;&gt;"Pass after CA"))),1,0)</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row>
    <row r="273" customFormat="false" ht="39.75" hidden="false" customHeight="true" outlineLevel="0" collapsed="false">
      <c r="A273" s="57" t="s">
        <v>811</v>
      </c>
      <c r="B273" s="57" t="s">
        <v>230</v>
      </c>
      <c r="C273" s="57" t="str">
        <f aca="false">Flights!$F$12</f>
        <v>MH0752</v>
      </c>
      <c r="D273" s="58" t="n">
        <f aca="false">Flights!$D$12</f>
        <v>46305</v>
      </c>
      <c r="E273" s="57" t="str">
        <f aca="false">Flights!$G$12&amp;"-"&amp;Flights!$H$12</f>
        <v>KUL-HAN</v>
      </c>
      <c r="F273" s="57" t="str">
        <f aca="false">Flights!$K$12</f>
        <v>EY</v>
      </c>
      <c r="G273" s="57" t="s">
        <v>385</v>
      </c>
      <c r="H273" s="57" t="s">
        <v>343</v>
      </c>
      <c r="I273" s="57" t="s">
        <v>344</v>
      </c>
      <c r="J273" s="57" t="s">
        <v>390</v>
      </c>
      <c r="K273" s="67" t="s">
        <v>391</v>
      </c>
      <c r="L273" s="67" t="s">
        <v>387</v>
      </c>
      <c r="M273" s="67"/>
      <c r="N273" s="67" t="s">
        <v>348</v>
      </c>
      <c r="O273" s="67" t="s">
        <v>388</v>
      </c>
      <c r="P273" s="57" t="s">
        <v>179</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59" t="n">
        <f aca="false">Q273-T12EarlyH/24</f>
        <v>46304.0659722222</v>
      </c>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IF(N273="N/A – rule","N/A – RULE",IF(TRIM(U273)="N/A",IF(AT273=0,"INVALID – N/A not permitted for this mandatory check",IF(AND(TRIM(AC273)&lt;&gt;"",TRIM(AE273)&lt;&gt;"",TRIM(T273)&lt;&gt;"",TRIM(AE273)&lt;&gt;TRIM(T273)),"N/A – JUSTIFIED","INVALID – N/A needs justification, PIC and a different verifier")),IF(OR(TRIM(U273)="Pass",TRIM(U273)="Pass after CA"),IF(NOT(ISNUMBER(AD273)),"INVALID – completion time missing",IF(TRIM(T273)="","INVALID – PIC missing",IF(TRIM(V273)="","INVALID – result / assessment missing",IF(TRIM(Z273)="","INVALID – evidence missing",IF(TRIM(AE273)="","INVALID – verifier missing",IF(TRIM(AE273)=TRIM(T273),"INVALID – verifier must be someone other than the PIC",IF(AND(AQ273=1,TRIM(W273)=""),"INVALID – batch ID missing",IF(AND(AR273=1,OR(NOT(ISNUMBER(X273)),NOT(ISNUMBER(Y273)))),"INVALID – expected/actual qty missing",IF(IF(AND(TRIM(U273)="Pass",ISNUMBER(AF273)),IF(AF273&lt;&gt;0,"INVALID – qty variance: use Fail or Pass after CA",""),"")&amp;IF(AND(TRIM(U273)="Pass",TRIM(AB273)&lt;&gt;"",TRIM(AB273)&lt;&gt;"Closed"),"INVALID – corrective action not closed: use Fail, then Pass after CA","")&amp;IF(AND(TRIM(AA273)&lt;&gt;"",TRIM(AB273)=""),"INVALID – CA status missing for the recorded corrective action","")&amp;IF(AND(TRIM(U273)="Pass after CA",OR(TRIM(AA273)="",TRIM(AB273)&lt;&gt;"Closed")),"INVALID – corrective action not recorded/closed","")&lt;&gt;"",IF(AND(TRIM(U273)="Pass",ISNUMBER(AF273)),IF(AF273&lt;&gt;0,"INVALID – qty variance: use Fail or Pass after CA",""),"")&amp;IF(AND(TRIM(U273)="Pass",TRIM(AB273)&lt;&gt;"",TRIM(AB273)&lt;&gt;"Closed"),"INVALID – corrective action not closed: use Fail, then Pass after CA","")&amp;IF(AND(TRIM(AA273)&lt;&gt;"",TRIM(AB273)=""),"INVALID – CA status missing for the recorded corrective action","")&amp;IF(AND(TRIM(U273)="Pass after CA",OR(TRIM(AA273)="",TRIM(AB273)&lt;&gt;"Closed")),"INVALID – corrective action not recorded/closed",""),IF(AND(AS273=1,Documents!$J$12&lt;&gt;"ON FILE"),"INVALID – GLD not on file (Documents sheet)",IF(AND(AS273=2,Documents!$O$12&lt;&gt;"ON FILE"),"INVALID – menu checklist not on file (Documents sheet)",IF(AND(AS273=3,NOT(ISNUMBER(Flights!$AX$12))),"INVALID – enter carrying flight KUL departure (Flights AX)",IF(AND(AS273=3,OR(Flights!$AX$12&gt;=Flights!$AA$12,Flights!$AX$12&lt;Flights!$AA$12-3)),"INVALID – Flights AX must be before this leg's STD (within 3 days)",IF(AG273&gt;AsOfUTC,"INVALID – completion time is in the future",IF(AND(ISNUMBER(S273),AG273&lt;S273),IF(H273="Physical uplift","INVALID – before uplift window (cannot confirm loading)","INVALID – before valid window"),IF(AG273&gt;Flights!$AA$12,"INVALID – completed after departure (cannot establish readiness)",IF(AND(H273="Physical uplift",AG273&gt;Q273),"INVALID – recorded after the loading flight departed",IF(AG273&gt;Q273,"COMPLETE – LATE","COMPLETE")))))))))))))))))),IF(TRIM(U273)="Fail","FAIL – DISCREPANCY",IF(AND(TRIM(U273)&lt;&gt;"",TRIM(U273)&lt;&gt;"Not started",TRIM(U273)&lt;&gt;"In progress"),"INVALID – unrecognised status (use the list)",IF(AsOfUTC&gt;Q273,"OVERDUE",IF(N273="Clarification required","OPEN – CLARIFICATION","OPEN")))))))</f>
        <v>OPEN</v>
      </c>
      <c r="AI273" s="61" t="n">
        <f aca="false">IF(OR(AH273="N/A – RULE",AH273="N/A – JUSTIFIED"),0,1)</f>
        <v>1</v>
      </c>
      <c r="AJ273" s="61" t="n">
        <f aca="false">IF(LEFT(AH273,8)="COMPLETE",1,0)</f>
        <v>0</v>
      </c>
      <c r="AK273" s="61" t="n">
        <f aca="false">IF(AND(AI273=1,AJ273=0,AsOfUTC&gt;Q273),1,0)</f>
        <v>0</v>
      </c>
      <c r="AL273" s="61" t="n">
        <f aca="false">IF(AND(AI273=1,OR(TRIM(U273)="Fail",AND(TRIM(AB273)&lt;&gt;"",TRIM(AB273)&lt;&gt;"Closed"),AND(ISNUMBER(AF273),AF273&lt;&gt;0,TRIM(U273)&lt;&gt;"Pass after CA"))),1,0)</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row>
    <row r="274" customFormat="false" ht="39.75" hidden="false" customHeight="true" outlineLevel="0" collapsed="false">
      <c r="A274" s="57" t="s">
        <v>812</v>
      </c>
      <c r="B274" s="57" t="s">
        <v>230</v>
      </c>
      <c r="C274" s="57" t="str">
        <f aca="false">Flights!$F$12</f>
        <v>MH0752</v>
      </c>
      <c r="D274" s="58" t="n">
        <f aca="false">Flights!$D$12</f>
        <v>46305</v>
      </c>
      <c r="E274" s="57" t="str">
        <f aca="false">Flights!$G$12&amp;"-"&amp;Flights!$H$12</f>
        <v>KUL-HAN</v>
      </c>
      <c r="F274" s="57" t="str">
        <f aca="false">Flights!$K$12</f>
        <v>EY</v>
      </c>
      <c r="G274" s="57" t="s">
        <v>385</v>
      </c>
      <c r="H274" s="57" t="s">
        <v>343</v>
      </c>
      <c r="I274" s="57" t="s">
        <v>393</v>
      </c>
      <c r="J274" s="57" t="s">
        <v>394</v>
      </c>
      <c r="K274" s="67"/>
      <c r="L274" s="67" t="s">
        <v>387</v>
      </c>
      <c r="M274" s="67"/>
      <c r="N274" s="67" t="s">
        <v>348</v>
      </c>
      <c r="O274" s="67" t="s">
        <v>388</v>
      </c>
      <c r="P274" s="57" t="s">
        <v>179</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59" t="n">
        <f aca="false">Q274-T12EarlyH/24</f>
        <v>46304.0659722222</v>
      </c>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IF(N274="N/A – rule","N/A – RULE",IF(TRIM(U274)="N/A",IF(AT274=0,"INVALID – N/A not permitted for this mandatory check",IF(AND(TRIM(AC274)&lt;&gt;"",TRIM(AE274)&lt;&gt;"",TRIM(T274)&lt;&gt;"",TRIM(AE274)&lt;&gt;TRIM(T274)),"N/A – JUSTIFIED","INVALID – N/A needs justification, PIC and a different verifier")),IF(OR(TRIM(U274)="Pass",TRIM(U274)="Pass after CA"),IF(NOT(ISNUMBER(AD274)),"INVALID – completion time missing",IF(TRIM(T274)="","INVALID – PIC missing",IF(TRIM(V274)="","INVALID – result / assessment missing",IF(TRIM(Z274)="","INVALID – evidence missing",IF(TRIM(AE274)="","INVALID – verifier missing",IF(TRIM(AE274)=TRIM(T274),"INVALID – verifier must be someone other than the PIC",IF(AND(AQ274=1,TRIM(W274)=""),"INVALID – batch ID missing",IF(AND(AR274=1,OR(NOT(ISNUMBER(X274)),NOT(ISNUMBER(Y274)))),"INVALID – expected/actual qty missing",IF(IF(AND(TRIM(U274)="Pass",ISNUMBER(AF274)),IF(AF274&lt;&gt;0,"INVALID – qty variance: use Fail or Pass after CA",""),"")&amp;IF(AND(TRIM(U274)="Pass",TRIM(AB274)&lt;&gt;"",TRIM(AB274)&lt;&gt;"Closed"),"INVALID – corrective action not closed: use Fail, then Pass after CA","")&amp;IF(AND(TRIM(AA274)&lt;&gt;"",TRIM(AB274)=""),"INVALID – CA status missing for the recorded corrective action","")&amp;IF(AND(TRIM(U274)="Pass after CA",OR(TRIM(AA274)="",TRIM(AB274)&lt;&gt;"Closed")),"INVALID – corrective action not recorded/closed","")&lt;&gt;"",IF(AND(TRIM(U274)="Pass",ISNUMBER(AF274)),IF(AF274&lt;&gt;0,"INVALID – qty variance: use Fail or Pass after CA",""),"")&amp;IF(AND(TRIM(U274)="Pass",TRIM(AB274)&lt;&gt;"",TRIM(AB274)&lt;&gt;"Closed"),"INVALID – corrective action not closed: use Fail, then Pass after CA","")&amp;IF(AND(TRIM(AA274)&lt;&gt;"",TRIM(AB274)=""),"INVALID – CA status missing for the recorded corrective action","")&amp;IF(AND(TRIM(U274)="Pass after CA",OR(TRIM(AA274)="",TRIM(AB274)&lt;&gt;"Closed")),"INVALID – corrective action not recorded/closed",""),IF(AND(AS274=1,Documents!$J$12&lt;&gt;"ON FILE"),"INVALID – GLD not on file (Documents sheet)",IF(AND(AS274=2,Documents!$O$12&lt;&gt;"ON FILE"),"INVALID – menu checklist not on file (Documents sheet)",IF(AND(AS274=3,NOT(ISNUMBER(Flights!$AX$12))),"INVALID – enter carrying flight KUL departure (Flights AX)",IF(AND(AS274=3,OR(Flights!$AX$12&gt;=Flights!$AA$12,Flights!$AX$12&lt;Flights!$AA$12-3)),"INVALID – Flights AX must be before this leg's STD (within 3 days)",IF(AG274&gt;AsOfUTC,"INVALID – completion time is in the future",IF(AND(ISNUMBER(S274),AG274&lt;S274),IF(H274="Physical uplift","INVALID – before uplift window (cannot confirm loading)","INVALID – before valid window"),IF(AG274&gt;Flights!$AA$12,"INVALID – completed after departure (cannot establish readiness)",IF(AND(H274="Physical uplift",AG274&gt;Q274),"INVALID – recorded after the loading flight departed",IF(AG274&gt;Q274,"COMPLETE – LATE","COMPLETE")))))))))))))))))),IF(TRIM(U274)="Fail","FAIL – DISCREPANCY",IF(AND(TRIM(U274)&lt;&gt;"",TRIM(U274)&lt;&gt;"Not started",TRIM(U274)&lt;&gt;"In progress"),"INVALID – unrecognised status (use the list)",IF(AsOfUTC&gt;Q274,"OVERDUE",IF(N274="Clarification required","OPEN – CLARIFICATION","OPEN")))))))</f>
        <v>OPEN</v>
      </c>
      <c r="AI274" s="61" t="n">
        <f aca="false">IF(OR(AH274="N/A – RULE",AH274="N/A – JUSTIFIED"),0,1)</f>
        <v>1</v>
      </c>
      <c r="AJ274" s="61" t="n">
        <f aca="false">IF(LEFT(AH274,8)="COMPLETE",1,0)</f>
        <v>0</v>
      </c>
      <c r="AK274" s="61" t="n">
        <f aca="false">IF(AND(AI274=1,AJ274=0,AsOfUTC&gt;Q274),1,0)</f>
        <v>0</v>
      </c>
      <c r="AL274" s="61" t="n">
        <f aca="false">IF(AND(AI274=1,OR(TRIM(U274)="Fail",AND(TRIM(AB274)&lt;&gt;"",TRIM(AB274)&lt;&gt;"Closed"),AND(ISNUMBER(AF274),AF274&lt;&gt;0,TRIM(U274)&lt;&gt;"Pass after CA"))),1,0)</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row>
    <row r="275" customFormat="false" ht="39.75" hidden="false" customHeight="true" outlineLevel="0" collapsed="false">
      <c r="A275" s="57" t="s">
        <v>813</v>
      </c>
      <c r="B275" s="57" t="s">
        <v>230</v>
      </c>
      <c r="C275" s="57" t="str">
        <f aca="false">Flights!$F$12</f>
        <v>MH0752</v>
      </c>
      <c r="D275" s="58" t="n">
        <f aca="false">Flights!$D$12</f>
        <v>46305</v>
      </c>
      <c r="E275" s="57" t="str">
        <f aca="false">Flights!$G$12&amp;"-"&amp;Flights!$H$12</f>
        <v>KUL-HAN</v>
      </c>
      <c r="F275" s="57" t="str">
        <f aca="false">Flights!$K$12</f>
        <v>EY</v>
      </c>
      <c r="G275" s="57" t="s">
        <v>385</v>
      </c>
      <c r="H275" s="57" t="s">
        <v>343</v>
      </c>
      <c r="I275" s="57" t="s">
        <v>393</v>
      </c>
      <c r="J275" s="57" t="s">
        <v>396</v>
      </c>
      <c r="K275" s="67"/>
      <c r="L275" s="67" t="s">
        <v>387</v>
      </c>
      <c r="M275" s="67"/>
      <c r="N275" s="67" t="s">
        <v>348</v>
      </c>
      <c r="O275" s="67" t="s">
        <v>388</v>
      </c>
      <c r="P275" s="57" t="s">
        <v>179</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59" t="n">
        <f aca="false">Q275-T12EarlyH/24</f>
        <v>46304.0659722222</v>
      </c>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IF(N275="N/A – rule","N/A – RULE",IF(TRIM(U275)="N/A",IF(AT275=0,"INVALID – N/A not permitted for this mandatory check",IF(AND(TRIM(AC275)&lt;&gt;"",TRIM(AE275)&lt;&gt;"",TRIM(T275)&lt;&gt;"",TRIM(AE275)&lt;&gt;TRIM(T275)),"N/A – JUSTIFIED","INVALID – N/A needs justification, PIC and a different verifier")),IF(OR(TRIM(U275)="Pass",TRIM(U275)="Pass after CA"),IF(NOT(ISNUMBER(AD275)),"INVALID – completion time missing",IF(TRIM(T275)="","INVALID – PIC missing",IF(TRIM(V275)="","INVALID – result / assessment missing",IF(TRIM(Z275)="","INVALID – evidence missing",IF(TRIM(AE275)="","INVALID – verifier missing",IF(TRIM(AE275)=TRIM(T275),"INVALID – verifier must be someone other than the PIC",IF(AND(AQ275=1,TRIM(W275)=""),"INVALID – batch ID missing",IF(AND(AR275=1,OR(NOT(ISNUMBER(X275)),NOT(ISNUMBER(Y275)))),"INVALID – expected/actual qty missing",IF(IF(AND(TRIM(U275)="Pass",ISNUMBER(AF275)),IF(AF275&lt;&gt;0,"INVALID – qty variance: use Fail or Pass after CA",""),"")&amp;IF(AND(TRIM(U275)="Pass",TRIM(AB275)&lt;&gt;"",TRIM(AB275)&lt;&gt;"Closed"),"INVALID – corrective action not closed: use Fail, then Pass after CA","")&amp;IF(AND(TRIM(AA275)&lt;&gt;"",TRIM(AB275)=""),"INVALID – CA status missing for the recorded corrective action","")&amp;IF(AND(TRIM(U275)="Pass after CA",OR(TRIM(AA275)="",TRIM(AB275)&lt;&gt;"Closed")),"INVALID – corrective action not recorded/closed","")&lt;&gt;"",IF(AND(TRIM(U275)="Pass",ISNUMBER(AF275)),IF(AF275&lt;&gt;0,"INVALID – qty variance: use Fail or Pass after CA",""),"")&amp;IF(AND(TRIM(U275)="Pass",TRIM(AB275)&lt;&gt;"",TRIM(AB275)&lt;&gt;"Closed"),"INVALID – corrective action not closed: use Fail, then Pass after CA","")&amp;IF(AND(TRIM(AA275)&lt;&gt;"",TRIM(AB275)=""),"INVALID – CA status missing for the recorded corrective action","")&amp;IF(AND(TRIM(U275)="Pass after CA",OR(TRIM(AA275)="",TRIM(AB275)&lt;&gt;"Closed")),"INVALID – corrective action not recorded/closed",""),IF(AND(AS275=1,Documents!$J$12&lt;&gt;"ON FILE"),"INVALID – GLD not on file (Documents sheet)",IF(AND(AS275=2,Documents!$O$12&lt;&gt;"ON FILE"),"INVALID – menu checklist not on file (Documents sheet)",IF(AND(AS275=3,NOT(ISNUMBER(Flights!$AX$12))),"INVALID – enter carrying flight KUL departure (Flights AX)",IF(AND(AS275=3,OR(Flights!$AX$12&gt;=Flights!$AA$12,Flights!$AX$12&lt;Flights!$AA$12-3)),"INVALID – Flights AX must be before this leg's STD (within 3 days)",IF(AG275&gt;AsOfUTC,"INVALID – completion time is in the future",IF(AND(ISNUMBER(S275),AG275&lt;S275),IF(H275="Physical uplift","INVALID – before uplift window (cannot confirm loading)","INVALID – before valid window"),IF(AG275&gt;Flights!$AA$12,"INVALID – completed after departure (cannot establish readiness)",IF(AND(H275="Physical uplift",AG275&gt;Q275),"INVALID – recorded after the loading flight departed",IF(AG275&gt;Q275,"COMPLETE – LATE","COMPLETE")))))))))))))))))),IF(TRIM(U275)="Fail","FAIL – DISCREPANCY",IF(AND(TRIM(U275)&lt;&gt;"",TRIM(U275)&lt;&gt;"Not started",TRIM(U275)&lt;&gt;"In progress"),"INVALID – unrecognised status (use the list)",IF(AsOfUTC&gt;Q275,"OVERDUE",IF(N275="Clarification required","OPEN – CLARIFICATION","OPEN")))))))</f>
        <v>OPEN</v>
      </c>
      <c r="AI275" s="61" t="n">
        <f aca="false">IF(OR(AH275="N/A – RULE",AH275="N/A – JUSTIFIED"),0,1)</f>
        <v>1</v>
      </c>
      <c r="AJ275" s="61" t="n">
        <f aca="false">IF(LEFT(AH275,8)="COMPLETE",1,0)</f>
        <v>0</v>
      </c>
      <c r="AK275" s="61" t="n">
        <f aca="false">IF(AND(AI275=1,AJ275=0,AsOfUTC&gt;Q275),1,0)</f>
        <v>0</v>
      </c>
      <c r="AL275" s="61" t="n">
        <f aca="false">IF(AND(AI275=1,OR(TRIM(U275)="Fail",AND(TRIM(AB275)&lt;&gt;"",TRIM(AB275)&lt;&gt;"Closed"),AND(ISNUMBER(AF275),AF275&lt;&gt;0,TRIM(U275)&lt;&gt;"Pass after CA"))),1,0)</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row>
    <row r="276" customFormat="false" ht="39.75" hidden="false" customHeight="true" outlineLevel="0" collapsed="false">
      <c r="A276" s="57" t="s">
        <v>814</v>
      </c>
      <c r="B276" s="57" t="s">
        <v>230</v>
      </c>
      <c r="C276" s="57" t="str">
        <f aca="false">Flights!$F$12</f>
        <v>MH0752</v>
      </c>
      <c r="D276" s="58" t="n">
        <f aca="false">Flights!$D$12</f>
        <v>46305</v>
      </c>
      <c r="E276" s="57" t="str">
        <f aca="false">Flights!$G$12&amp;"-"&amp;Flights!$H$12</f>
        <v>KUL-HAN</v>
      </c>
      <c r="F276" s="57" t="str">
        <f aca="false">Flights!$K$12</f>
        <v>EY</v>
      </c>
      <c r="G276" s="57" t="s">
        <v>385</v>
      </c>
      <c r="H276" s="57" t="s">
        <v>343</v>
      </c>
      <c r="I276" s="57" t="s">
        <v>393</v>
      </c>
      <c r="J276" s="57" t="s">
        <v>398</v>
      </c>
      <c r="K276" s="67"/>
      <c r="L276" s="67" t="s">
        <v>387</v>
      </c>
      <c r="M276" s="67"/>
      <c r="N276" s="67" t="s">
        <v>348</v>
      </c>
      <c r="O276" s="67" t="s">
        <v>388</v>
      </c>
      <c r="P276" s="57" t="s">
        <v>179</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59" t="n">
        <f aca="false">Q276-T12EarlyH/24</f>
        <v>46304.0659722222</v>
      </c>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IF(N276="N/A – rule","N/A – RULE",IF(TRIM(U276)="N/A",IF(AT276=0,"INVALID – N/A not permitted for this mandatory check",IF(AND(TRIM(AC276)&lt;&gt;"",TRIM(AE276)&lt;&gt;"",TRIM(T276)&lt;&gt;"",TRIM(AE276)&lt;&gt;TRIM(T276)),"N/A – JUSTIFIED","INVALID – N/A needs justification, PIC and a different verifier")),IF(OR(TRIM(U276)="Pass",TRIM(U276)="Pass after CA"),IF(NOT(ISNUMBER(AD276)),"INVALID – completion time missing",IF(TRIM(T276)="","INVALID – PIC missing",IF(TRIM(V276)="","INVALID – result / assessment missing",IF(TRIM(Z276)="","INVALID – evidence missing",IF(TRIM(AE276)="","INVALID – verifier missing",IF(TRIM(AE276)=TRIM(T276),"INVALID – verifier must be someone other than the PIC",IF(AND(AQ276=1,TRIM(W276)=""),"INVALID – batch ID missing",IF(AND(AR276=1,OR(NOT(ISNUMBER(X276)),NOT(ISNUMBER(Y276)))),"INVALID – expected/actual qty missing",IF(IF(AND(TRIM(U276)="Pass",ISNUMBER(AF276)),IF(AF276&lt;&gt;0,"INVALID – qty variance: use Fail or Pass after CA",""),"")&amp;IF(AND(TRIM(U276)="Pass",TRIM(AB276)&lt;&gt;"",TRIM(AB276)&lt;&gt;"Closed"),"INVALID – corrective action not closed: use Fail, then Pass after CA","")&amp;IF(AND(TRIM(AA276)&lt;&gt;"",TRIM(AB276)=""),"INVALID – CA status missing for the recorded corrective action","")&amp;IF(AND(TRIM(U276)="Pass after CA",OR(TRIM(AA276)="",TRIM(AB276)&lt;&gt;"Closed")),"INVALID – corrective action not recorded/closed","")&lt;&gt;"",IF(AND(TRIM(U276)="Pass",ISNUMBER(AF276)),IF(AF276&lt;&gt;0,"INVALID – qty variance: use Fail or Pass after CA",""),"")&amp;IF(AND(TRIM(U276)="Pass",TRIM(AB276)&lt;&gt;"",TRIM(AB276)&lt;&gt;"Closed"),"INVALID – corrective action not closed: use Fail, then Pass after CA","")&amp;IF(AND(TRIM(AA276)&lt;&gt;"",TRIM(AB276)=""),"INVALID – CA status missing for the recorded corrective action","")&amp;IF(AND(TRIM(U276)="Pass after CA",OR(TRIM(AA276)="",TRIM(AB276)&lt;&gt;"Closed")),"INVALID – corrective action not recorded/closed",""),IF(AND(AS276=1,Documents!$J$12&lt;&gt;"ON FILE"),"INVALID – GLD not on file (Documents sheet)",IF(AND(AS276=2,Documents!$O$12&lt;&gt;"ON FILE"),"INVALID – menu checklist not on file (Documents sheet)",IF(AND(AS276=3,NOT(ISNUMBER(Flights!$AX$12))),"INVALID – enter carrying flight KUL departure (Flights AX)",IF(AND(AS276=3,OR(Flights!$AX$12&gt;=Flights!$AA$12,Flights!$AX$12&lt;Flights!$AA$12-3)),"INVALID – Flights AX must be before this leg's STD (within 3 days)",IF(AG276&gt;AsOfUTC,"INVALID – completion time is in the future",IF(AND(ISNUMBER(S276),AG276&lt;S276),IF(H276="Physical uplift","INVALID – before uplift window (cannot confirm loading)","INVALID – before valid window"),IF(AG276&gt;Flights!$AA$12,"INVALID – completed after departure (cannot establish readiness)",IF(AND(H276="Physical uplift",AG276&gt;Q276),"INVALID – recorded after the loading flight departed",IF(AG276&gt;Q276,"COMPLETE – LATE","COMPLETE")))))))))))))))))),IF(TRIM(U276)="Fail","FAIL – DISCREPANCY",IF(AND(TRIM(U276)&lt;&gt;"",TRIM(U276)&lt;&gt;"Not started",TRIM(U276)&lt;&gt;"In progress"),"INVALID – unrecognised status (use the list)",IF(AsOfUTC&gt;Q276,"OVERDUE",IF(N276="Clarification required","OPEN – CLARIFICATION","OPEN")))))))</f>
        <v>OPEN</v>
      </c>
      <c r="AI276" s="61" t="n">
        <f aca="false">IF(OR(AH276="N/A – RULE",AH276="N/A – JUSTIFIED"),0,1)</f>
        <v>1</v>
      </c>
      <c r="AJ276" s="61" t="n">
        <f aca="false">IF(LEFT(AH276,8)="COMPLETE",1,0)</f>
        <v>0</v>
      </c>
      <c r="AK276" s="61" t="n">
        <f aca="false">IF(AND(AI276=1,AJ276=0,AsOfUTC&gt;Q276),1,0)</f>
        <v>0</v>
      </c>
      <c r="AL276" s="61" t="n">
        <f aca="false">IF(AND(AI276=1,OR(TRIM(U276)="Fail",AND(TRIM(AB276)&lt;&gt;"",TRIM(AB276)&lt;&gt;"Closed"),AND(ISNUMBER(AF276),AF276&lt;&gt;0,TRIM(U276)&lt;&gt;"Pass after CA"))),1,0)</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row>
    <row r="277" customFormat="false" ht="78.75" hidden="false" customHeight="true" outlineLevel="0" collapsed="false">
      <c r="A277" s="57" t="s">
        <v>815</v>
      </c>
      <c r="B277" s="57" t="s">
        <v>230</v>
      </c>
      <c r="C277" s="57" t="str">
        <f aca="false">Flights!$F$12</f>
        <v>MH0752</v>
      </c>
      <c r="D277" s="58" t="n">
        <f aca="false">Flights!$D$12</f>
        <v>46305</v>
      </c>
      <c r="E277" s="57" t="str">
        <f aca="false">Flights!$G$12&amp;"-"&amp;Flights!$H$12</f>
        <v>KUL-HAN</v>
      </c>
      <c r="F277" s="57" t="str">
        <f aca="false">Flights!$K$12</f>
        <v>EY</v>
      </c>
      <c r="G277" s="57" t="s">
        <v>385</v>
      </c>
      <c r="H277" s="57" t="s">
        <v>343</v>
      </c>
      <c r="I277" s="57" t="s">
        <v>393</v>
      </c>
      <c r="J277" s="57" t="s">
        <v>400</v>
      </c>
      <c r="K277" s="67" t="s">
        <v>456</v>
      </c>
      <c r="L277" s="67" t="s">
        <v>387</v>
      </c>
      <c r="M277" s="67"/>
      <c r="N277" s="67" t="s">
        <v>348</v>
      </c>
      <c r="O277" s="67" t="s">
        <v>388</v>
      </c>
      <c r="P277" s="57" t="s">
        <v>179</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59" t="n">
        <f aca="false">Q277-T12EarlyH/24</f>
        <v>46304.0659722222</v>
      </c>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IF(N277="N/A – rule","N/A – RULE",IF(TRIM(U277)="N/A",IF(AT277=0,"INVALID – N/A not permitted for this mandatory check",IF(AND(TRIM(AC277)&lt;&gt;"",TRIM(AE277)&lt;&gt;"",TRIM(T277)&lt;&gt;"",TRIM(AE277)&lt;&gt;TRIM(T277)),"N/A – JUSTIFIED","INVALID – N/A needs justification, PIC and a different verifier")),IF(OR(TRIM(U277)="Pass",TRIM(U277)="Pass after CA"),IF(NOT(ISNUMBER(AD277)),"INVALID – completion time missing",IF(TRIM(T277)="","INVALID – PIC missing",IF(TRIM(V277)="","INVALID – result / assessment missing",IF(TRIM(Z277)="","INVALID – evidence missing",IF(TRIM(AE277)="","INVALID – verifier missing",IF(TRIM(AE277)=TRIM(T277),"INVALID – verifier must be someone other than the PIC",IF(AND(AQ277=1,TRIM(W277)=""),"INVALID – batch ID missing",IF(AND(AR277=1,OR(NOT(ISNUMBER(X277)),NOT(ISNUMBER(Y277)))),"INVALID – expected/actual qty missing",IF(IF(AND(TRIM(U277)="Pass",ISNUMBER(AF277)),IF(AF277&lt;&gt;0,"INVALID – qty variance: use Fail or Pass after CA",""),"")&amp;IF(AND(TRIM(U277)="Pass",TRIM(AB277)&lt;&gt;"",TRIM(AB277)&lt;&gt;"Closed"),"INVALID – corrective action not closed: use Fail, then Pass after CA","")&amp;IF(AND(TRIM(AA277)&lt;&gt;"",TRIM(AB277)=""),"INVALID – CA status missing for the recorded corrective action","")&amp;IF(AND(TRIM(U277)="Pass after CA",OR(TRIM(AA277)="",TRIM(AB277)&lt;&gt;"Closed")),"INVALID – corrective action not recorded/closed","")&lt;&gt;"",IF(AND(TRIM(U277)="Pass",ISNUMBER(AF277)),IF(AF277&lt;&gt;0,"INVALID – qty variance: use Fail or Pass after CA",""),"")&amp;IF(AND(TRIM(U277)="Pass",TRIM(AB277)&lt;&gt;"",TRIM(AB277)&lt;&gt;"Closed"),"INVALID – corrective action not closed: use Fail, then Pass after CA","")&amp;IF(AND(TRIM(AA277)&lt;&gt;"",TRIM(AB277)=""),"INVALID – CA status missing for the recorded corrective action","")&amp;IF(AND(TRIM(U277)="Pass after CA",OR(TRIM(AA277)="",TRIM(AB277)&lt;&gt;"Closed")),"INVALID – corrective action not recorded/closed",""),IF(AND(AS277=1,Documents!$J$12&lt;&gt;"ON FILE"),"INVALID – GLD not on file (Documents sheet)",IF(AND(AS277=2,Documents!$O$12&lt;&gt;"ON FILE"),"INVALID – menu checklist not on file (Documents sheet)",IF(AND(AS277=3,NOT(ISNUMBER(Flights!$AX$12))),"INVALID – enter carrying flight KUL departure (Flights AX)",IF(AND(AS277=3,OR(Flights!$AX$12&gt;=Flights!$AA$12,Flights!$AX$12&lt;Flights!$AA$12-3)),"INVALID – Flights AX must be before this leg's STD (within 3 days)",IF(AG277&gt;AsOfUTC,"INVALID – completion time is in the future",IF(AND(ISNUMBER(S277),AG277&lt;S277),IF(H277="Physical uplift","INVALID – before uplift window (cannot confirm loading)","INVALID – before valid window"),IF(AG277&gt;Flights!$AA$12,"INVALID – completed after departure (cannot establish readiness)",IF(AND(H277="Physical uplift",AG277&gt;Q277),"INVALID – recorded after the loading flight departed",IF(AG277&gt;Q277,"COMPLETE – LATE","COMPLETE")))))))))))))))))),IF(TRIM(U277)="Fail","FAIL – DISCREPANCY",IF(AND(TRIM(U277)&lt;&gt;"",TRIM(U277)&lt;&gt;"Not started",TRIM(U277)&lt;&gt;"In progress"),"INVALID – unrecognised status (use the list)",IF(AsOfUTC&gt;Q277,"OVERDUE",IF(N277="Clarification required","OPEN – CLARIFICATION","OPEN")))))))</f>
        <v>OPEN</v>
      </c>
      <c r="AI277" s="61" t="n">
        <f aca="false">IF(OR(AH277="N/A – RULE",AH277="N/A – JUSTIFIED"),0,1)</f>
        <v>1</v>
      </c>
      <c r="AJ277" s="61" t="n">
        <f aca="false">IF(LEFT(AH277,8)="COMPLETE",1,0)</f>
        <v>0</v>
      </c>
      <c r="AK277" s="61" t="n">
        <f aca="false">IF(AND(AI277=1,AJ277=0,AsOfUTC&gt;Q277),1,0)</f>
        <v>0</v>
      </c>
      <c r="AL277" s="61" t="n">
        <f aca="false">IF(AND(AI277=1,OR(TRIM(U277)="Fail",AND(TRIM(AB277)&lt;&gt;"",TRIM(AB277)&lt;&gt;"Closed"),AND(ISNUMBER(AF277),AF277&lt;&gt;0,TRIM(U277)&lt;&gt;"Pass after CA"))),1,0)</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row>
    <row r="278" customFormat="false" ht="39.75" hidden="false" customHeight="true" outlineLevel="0" collapsed="false">
      <c r="A278" s="57" t="s">
        <v>816</v>
      </c>
      <c r="B278" s="57" t="s">
        <v>230</v>
      </c>
      <c r="C278" s="57" t="str">
        <f aca="false">Flights!$F$12</f>
        <v>MH0752</v>
      </c>
      <c r="D278" s="58" t="n">
        <f aca="false">Flights!$D$12</f>
        <v>46305</v>
      </c>
      <c r="E278" s="57" t="str">
        <f aca="false">Flights!$G$12&amp;"-"&amp;Flights!$H$12</f>
        <v>KUL-HAN</v>
      </c>
      <c r="F278" s="57" t="str">
        <f aca="false">Flights!$K$12</f>
        <v>EY</v>
      </c>
      <c r="G278" s="57" t="s">
        <v>385</v>
      </c>
      <c r="H278" s="57" t="s">
        <v>343</v>
      </c>
      <c r="I278" s="57" t="s">
        <v>393</v>
      </c>
      <c r="J278" s="57" t="s">
        <v>403</v>
      </c>
      <c r="K278" s="67"/>
      <c r="L278" s="67" t="s">
        <v>387</v>
      </c>
      <c r="M278" s="67"/>
      <c r="N278" s="67" t="s">
        <v>348</v>
      </c>
      <c r="O278" s="67" t="s">
        <v>388</v>
      </c>
      <c r="P278" s="57" t="s">
        <v>179</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59" t="n">
        <f aca="false">Q278-T12EarlyH/24</f>
        <v>46304.0659722222</v>
      </c>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IF(N278="N/A – rule","N/A – RULE",IF(TRIM(U278)="N/A",IF(AT278=0,"INVALID – N/A not permitted for this mandatory check",IF(AND(TRIM(AC278)&lt;&gt;"",TRIM(AE278)&lt;&gt;"",TRIM(T278)&lt;&gt;"",TRIM(AE278)&lt;&gt;TRIM(T278)),"N/A – JUSTIFIED","INVALID – N/A needs justification, PIC and a different verifier")),IF(OR(TRIM(U278)="Pass",TRIM(U278)="Pass after CA"),IF(NOT(ISNUMBER(AD278)),"INVALID – completion time missing",IF(TRIM(T278)="","INVALID – PIC missing",IF(TRIM(V278)="","INVALID – result / assessment missing",IF(TRIM(Z278)="","INVALID – evidence missing",IF(TRIM(AE278)="","INVALID – verifier missing",IF(TRIM(AE278)=TRIM(T278),"INVALID – verifier must be someone other than the PIC",IF(AND(AQ278=1,TRIM(W278)=""),"INVALID – batch ID missing",IF(AND(AR278=1,OR(NOT(ISNUMBER(X278)),NOT(ISNUMBER(Y278)))),"INVALID – expected/actual qty missing",IF(IF(AND(TRIM(U278)="Pass",ISNUMBER(AF278)),IF(AF278&lt;&gt;0,"INVALID – qty variance: use Fail or Pass after CA",""),"")&amp;IF(AND(TRIM(U278)="Pass",TRIM(AB278)&lt;&gt;"",TRIM(AB278)&lt;&gt;"Closed"),"INVALID – corrective action not closed: use Fail, then Pass after CA","")&amp;IF(AND(TRIM(AA278)&lt;&gt;"",TRIM(AB278)=""),"INVALID – CA status missing for the recorded corrective action","")&amp;IF(AND(TRIM(U278)="Pass after CA",OR(TRIM(AA278)="",TRIM(AB278)&lt;&gt;"Closed")),"INVALID – corrective action not recorded/closed","")&lt;&gt;"",IF(AND(TRIM(U278)="Pass",ISNUMBER(AF278)),IF(AF278&lt;&gt;0,"INVALID – qty variance: use Fail or Pass after CA",""),"")&amp;IF(AND(TRIM(U278)="Pass",TRIM(AB278)&lt;&gt;"",TRIM(AB278)&lt;&gt;"Closed"),"INVALID – corrective action not closed: use Fail, then Pass after CA","")&amp;IF(AND(TRIM(AA278)&lt;&gt;"",TRIM(AB278)=""),"INVALID – CA status missing for the recorded corrective action","")&amp;IF(AND(TRIM(U278)="Pass after CA",OR(TRIM(AA278)="",TRIM(AB278)&lt;&gt;"Closed")),"INVALID – corrective action not recorded/closed",""),IF(AND(AS278=1,Documents!$J$12&lt;&gt;"ON FILE"),"INVALID – GLD not on file (Documents sheet)",IF(AND(AS278=2,Documents!$O$12&lt;&gt;"ON FILE"),"INVALID – menu checklist not on file (Documents sheet)",IF(AND(AS278=3,NOT(ISNUMBER(Flights!$AX$12))),"INVALID – enter carrying flight KUL departure (Flights AX)",IF(AND(AS278=3,OR(Flights!$AX$12&gt;=Flights!$AA$12,Flights!$AX$12&lt;Flights!$AA$12-3)),"INVALID – Flights AX must be before this leg's STD (within 3 days)",IF(AG278&gt;AsOfUTC,"INVALID – completion time is in the future",IF(AND(ISNUMBER(S278),AG278&lt;S278),IF(H278="Physical uplift","INVALID – before uplift window (cannot confirm loading)","INVALID – before valid window"),IF(AG278&gt;Flights!$AA$12,"INVALID – completed after departure (cannot establish readiness)",IF(AND(H278="Physical uplift",AG278&gt;Q278),"INVALID – recorded after the loading flight departed",IF(AG278&gt;Q278,"COMPLETE – LATE","COMPLETE")))))))))))))))))),IF(TRIM(U278)="Fail","FAIL – DISCREPANCY",IF(AND(TRIM(U278)&lt;&gt;"",TRIM(U278)&lt;&gt;"Not started",TRIM(U278)&lt;&gt;"In progress"),"INVALID – unrecognised status (use the list)",IF(AsOfUTC&gt;Q278,"OVERDUE",IF(N278="Clarification required","OPEN – CLARIFICATION","OPEN")))))))</f>
        <v>OPEN</v>
      </c>
      <c r="AI278" s="61" t="n">
        <f aca="false">IF(OR(AH278="N/A – RULE",AH278="N/A – JUSTIFIED"),0,1)</f>
        <v>1</v>
      </c>
      <c r="AJ278" s="61" t="n">
        <f aca="false">IF(LEFT(AH278,8)="COMPLETE",1,0)</f>
        <v>0</v>
      </c>
      <c r="AK278" s="61" t="n">
        <f aca="false">IF(AND(AI278=1,AJ278=0,AsOfUTC&gt;Q278),1,0)</f>
        <v>0</v>
      </c>
      <c r="AL278" s="61" t="n">
        <f aca="false">IF(AND(AI278=1,OR(TRIM(U278)="Fail",AND(TRIM(AB278)&lt;&gt;"",TRIM(AB278)&lt;&gt;"Closed"),AND(ISNUMBER(AF278),AF278&lt;&gt;0,TRIM(U278)&lt;&gt;"Pass after CA"))),1,0)</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row>
    <row r="279" customFormat="false" ht="41.25" hidden="false" customHeight="true" outlineLevel="0" collapsed="false">
      <c r="A279" s="57" t="s">
        <v>817</v>
      </c>
      <c r="B279" s="57" t="s">
        <v>230</v>
      </c>
      <c r="C279" s="57" t="str">
        <f aca="false">Flights!$F$12</f>
        <v>MH0752</v>
      </c>
      <c r="D279" s="58" t="n">
        <f aca="false">Flights!$D$12</f>
        <v>46305</v>
      </c>
      <c r="E279" s="57" t="str">
        <f aca="false">Flights!$G$12&amp;"-"&amp;Flights!$H$12</f>
        <v>KUL-HAN</v>
      </c>
      <c r="F279" s="57" t="str">
        <f aca="false">Flights!$K$12</f>
        <v>EY</v>
      </c>
      <c r="G279" s="57" t="s">
        <v>385</v>
      </c>
      <c r="H279" s="57" t="s">
        <v>343</v>
      </c>
      <c r="I279" s="57" t="s">
        <v>412</v>
      </c>
      <c r="J279" s="57" t="s">
        <v>413</v>
      </c>
      <c r="K279" s="67" t="s">
        <v>414</v>
      </c>
      <c r="L279" s="67" t="s">
        <v>818</v>
      </c>
      <c r="M279" s="67" t="s">
        <v>416</v>
      </c>
      <c r="N279" s="67" t="s">
        <v>348</v>
      </c>
      <c r="O279" s="67" t="s">
        <v>468</v>
      </c>
      <c r="P279" s="57" t="s">
        <v>179</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59" t="n">
        <f aca="false">Q279-T12EarlyH/24</f>
        <v>46304.0659722222</v>
      </c>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IF(N279="N/A – rule","N/A – RULE",IF(TRIM(U279)="N/A",IF(AT279=0,"INVALID – N/A not permitted for this mandatory check",IF(AND(TRIM(AC279)&lt;&gt;"",TRIM(AE279)&lt;&gt;"",TRIM(T279)&lt;&gt;"",TRIM(AE279)&lt;&gt;TRIM(T279)),"N/A – JUSTIFIED","INVALID – N/A needs justification, PIC and a different verifier")),IF(OR(TRIM(U279)="Pass",TRIM(U279)="Pass after CA"),IF(NOT(ISNUMBER(AD279)),"INVALID – completion time missing",IF(TRIM(T279)="","INVALID – PIC missing",IF(TRIM(V279)="","INVALID – result / assessment missing",IF(TRIM(Z279)="","INVALID – evidence missing",IF(TRIM(AE279)="","INVALID – verifier missing",IF(TRIM(AE279)=TRIM(T279),"INVALID – verifier must be someone other than the PIC",IF(AND(AQ279=1,TRIM(W279)=""),"INVALID – batch ID missing",IF(AND(AR279=1,OR(NOT(ISNUMBER(X279)),NOT(ISNUMBER(Y279)))),"INVALID – expected/actual qty missing",IF(IF(AND(TRIM(U279)="Pass",ISNUMBER(AF279)),IF(AF279&lt;&gt;0,"INVALID – qty variance: use Fail or Pass after CA",""),"")&amp;IF(AND(TRIM(U279)="Pass",TRIM(AB279)&lt;&gt;"",TRIM(AB279)&lt;&gt;"Closed"),"INVALID – corrective action not closed: use Fail, then Pass after CA","")&amp;IF(AND(TRIM(AA279)&lt;&gt;"",TRIM(AB279)=""),"INVALID – CA status missing for the recorded corrective action","")&amp;IF(AND(TRIM(U279)="Pass after CA",OR(TRIM(AA279)="",TRIM(AB279)&lt;&gt;"Closed")),"INVALID – corrective action not recorded/closed","")&lt;&gt;"",IF(AND(TRIM(U279)="Pass",ISNUMBER(AF279)),IF(AF279&lt;&gt;0,"INVALID – qty variance: use Fail or Pass after CA",""),"")&amp;IF(AND(TRIM(U279)="Pass",TRIM(AB279)&lt;&gt;"",TRIM(AB279)&lt;&gt;"Closed"),"INVALID – corrective action not closed: use Fail, then Pass after CA","")&amp;IF(AND(TRIM(AA279)&lt;&gt;"",TRIM(AB279)=""),"INVALID – CA status missing for the recorded corrective action","")&amp;IF(AND(TRIM(U279)="Pass after CA",OR(TRIM(AA279)="",TRIM(AB279)&lt;&gt;"Closed")),"INVALID – corrective action not recorded/closed",""),IF(AND(AS279=1,Documents!$J$12&lt;&gt;"ON FILE"),"INVALID – GLD not on file (Documents sheet)",IF(AND(AS279=2,Documents!$O$12&lt;&gt;"ON FILE"),"INVALID – menu checklist not on file (Documents sheet)",IF(AND(AS279=3,NOT(ISNUMBER(Flights!$AX$12))),"INVALID – enter carrying flight KUL departure (Flights AX)",IF(AND(AS279=3,OR(Flights!$AX$12&gt;=Flights!$AA$12,Flights!$AX$12&lt;Flights!$AA$12-3)),"INVALID – Flights AX must be before this leg's STD (within 3 days)",IF(AG279&gt;AsOfUTC,"INVALID – completion time is in the future",IF(AND(ISNUMBER(S279),AG279&lt;S279),IF(H279="Physical uplift","INVALID – before uplift window (cannot confirm loading)","INVALID – before valid window"),IF(AG279&gt;Flights!$AA$12,"INVALID – completed after departure (cannot establish readiness)",IF(AND(H279="Physical uplift",AG279&gt;Q279),"INVALID – recorded after the loading flight departed",IF(AG279&gt;Q279,"COMPLETE – LATE","COMPLETE")))))))))))))))))),IF(TRIM(U279)="Fail","FAIL – DISCREPANCY",IF(AND(TRIM(U279)&lt;&gt;"",TRIM(U279)&lt;&gt;"Not started",TRIM(U279)&lt;&gt;"In progress"),"INVALID – unrecognised status (use the list)",IF(AsOfUTC&gt;Q279,"OVERDUE",IF(N279="Clarification required","OPEN – CLARIFICATION","OPEN")))))))</f>
        <v>OPEN</v>
      </c>
      <c r="AI279" s="61" t="n">
        <f aca="false">IF(OR(AH279="N/A – RULE",AH279="N/A – JUSTIFIED"),0,1)</f>
        <v>1</v>
      </c>
      <c r="AJ279" s="61" t="n">
        <f aca="false">IF(LEFT(AH279,8)="COMPLETE",1,0)</f>
        <v>0</v>
      </c>
      <c r="AK279" s="61" t="n">
        <f aca="false">IF(AND(AI279=1,AJ279=0,AsOfUTC&gt;Q279),1,0)</f>
        <v>0</v>
      </c>
      <c r="AL279" s="61" t="n">
        <f aca="false">IF(AND(AI279=1,OR(TRIM(U279)="Fail",AND(TRIM(AB279)&lt;&gt;"",TRIM(AB279)&lt;&gt;"Closed"),AND(ISNUMBER(AF279),AF279&lt;&gt;0,TRIM(U279)&lt;&gt;"Pass after CA"))),1,0)</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8" t="b">
        <f aca="false">TRUE()</f>
        <v>1</v>
      </c>
    </row>
    <row r="280" customFormat="false" ht="39.75" hidden="false" customHeight="true" outlineLevel="0" collapsed="false">
      <c r="A280" s="57" t="s">
        <v>819</v>
      </c>
      <c r="B280" s="57" t="s">
        <v>230</v>
      </c>
      <c r="C280" s="57" t="str">
        <f aca="false">Flights!$F$12</f>
        <v>MH0752</v>
      </c>
      <c r="D280" s="58" t="n">
        <f aca="false">Flights!$D$12</f>
        <v>46305</v>
      </c>
      <c r="E280" s="57" t="str">
        <f aca="false">Flights!$G$12&amp;"-"&amp;Flights!$H$12</f>
        <v>KUL-HAN</v>
      </c>
      <c r="F280" s="57" t="str">
        <f aca="false">Flights!$K$12</f>
        <v>EY</v>
      </c>
      <c r="G280" s="57" t="s">
        <v>424</v>
      </c>
      <c r="H280" s="57" t="s">
        <v>425</v>
      </c>
      <c r="I280" s="57" t="s">
        <v>344</v>
      </c>
      <c r="J280" s="57" t="s">
        <v>426</v>
      </c>
      <c r="K280" s="67" t="s">
        <v>391</v>
      </c>
      <c r="L280" s="67" t="s">
        <v>427</v>
      </c>
      <c r="M280" s="67"/>
      <c r="N280" s="67" t="s">
        <v>348</v>
      </c>
      <c r="O280" s="67" t="s">
        <v>428</v>
      </c>
      <c r="P280" s="57" t="s">
        <v>179</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59" t="n">
        <f aca="false">IF(ISNUMBER(Flights!$AY$12),MAX(Q280-UpliftWindowH/24,Flights!$AY$12+UpliftWindowH/24),Q280-UpliftWindowH/24)</f>
        <v>46304.8159722222</v>
      </c>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IF(N280="N/A – rule","N/A – RULE",IF(TRIM(U280)="N/A",IF(AT280=0,"INVALID – N/A not permitted for this mandatory check",IF(AND(TRIM(AC280)&lt;&gt;"",TRIM(AE280)&lt;&gt;"",TRIM(T280)&lt;&gt;"",TRIM(AE280)&lt;&gt;TRIM(T280)),"N/A – JUSTIFIED","INVALID – N/A needs justification, PIC and a different verifier")),IF(OR(TRIM(U280)="Pass",TRIM(U280)="Pass after CA"),IF(NOT(ISNUMBER(AD280)),"INVALID – completion time missing",IF(TRIM(T280)="","INVALID – PIC missing",IF(TRIM(V280)="","INVALID – result / assessment missing",IF(TRIM(Z280)="","INVALID – evidence missing",IF(TRIM(AE280)="","INVALID – verifier missing",IF(TRIM(AE280)=TRIM(T280),"INVALID – verifier must be someone other than the PIC",IF(AND(AQ280=1,TRIM(W280)=""),"INVALID – batch ID missing",IF(AND(AR280=1,OR(NOT(ISNUMBER(X280)),NOT(ISNUMBER(Y280)))),"INVALID – expected/actual qty missing",IF(IF(AND(TRIM(U280)="Pass",ISNUMBER(AF280)),IF(AF280&lt;&gt;0,"INVALID – qty variance: use Fail or Pass after CA",""),"")&amp;IF(AND(TRIM(U280)="Pass",TRIM(AB280)&lt;&gt;"",TRIM(AB280)&lt;&gt;"Closed"),"INVALID – corrective action not closed: use Fail, then Pass after CA","")&amp;IF(AND(TRIM(AA280)&lt;&gt;"",TRIM(AB280)=""),"INVALID – CA status missing for the recorded corrective action","")&amp;IF(AND(TRIM(U280)="Pass after CA",OR(TRIM(AA280)="",TRIM(AB280)&lt;&gt;"Closed")),"INVALID – corrective action not recorded/closed","")&lt;&gt;"",IF(AND(TRIM(U280)="Pass",ISNUMBER(AF280)),IF(AF280&lt;&gt;0,"INVALID – qty variance: use Fail or Pass after CA",""),"")&amp;IF(AND(TRIM(U280)="Pass",TRIM(AB280)&lt;&gt;"",TRIM(AB280)&lt;&gt;"Closed"),"INVALID – corrective action not closed: use Fail, then Pass after CA","")&amp;IF(AND(TRIM(AA280)&lt;&gt;"",TRIM(AB280)=""),"INVALID – CA status missing for the recorded corrective action","")&amp;IF(AND(TRIM(U280)="Pass after CA",OR(TRIM(AA280)="",TRIM(AB280)&lt;&gt;"Closed")),"INVALID – corrective action not recorded/closed",""),IF(AND(AS280=1,Documents!$J$12&lt;&gt;"ON FILE"),"INVALID – GLD not on file (Documents sheet)",IF(AND(AS280=2,Documents!$O$12&lt;&gt;"ON FILE"),"INVALID – menu checklist not on file (Documents sheet)",IF(AND(AS280=3,NOT(ISNUMBER(Flights!$AX$12))),"INVALID – enter carrying flight KUL departure (Flights AX)",IF(AND(AS280=3,OR(Flights!$AX$12&gt;=Flights!$AA$12,Flights!$AX$12&lt;Flights!$AA$12-3)),"INVALID – Flights AX must be before this leg's STD (within 3 days)",IF(AG280&gt;AsOfUTC,"INVALID – completion time is in the future",IF(AND(ISNUMBER(S280),AG280&lt;S280),IF(H280="Physical uplift","INVALID – before uplift window (cannot confirm loading)","INVALID – before valid window"),IF(AG280&gt;Flights!$AA$12,"INVALID – completed after departure (cannot establish readiness)",IF(AND(H280="Physical uplift",AG280&gt;Q280),"INVALID – recorded after the loading flight departed",IF(AG280&gt;Q280,"COMPLETE – LATE","COMPLETE")))))))))))))))))),IF(TRIM(U280)="Fail","FAIL – DISCREPANCY",IF(AND(TRIM(U280)&lt;&gt;"",TRIM(U280)&lt;&gt;"Not started",TRIM(U280)&lt;&gt;"In progress"),"INVALID – unrecognised status (use the list)",IF(AsOfUTC&gt;Q280,"OVERDUE",IF(N280="Clarification required","OPEN – CLARIFICATION","OPEN")))))))</f>
        <v>OPEN</v>
      </c>
      <c r="AI280" s="61" t="n">
        <f aca="false">IF(OR(AH280="N/A – RULE",AH280="N/A – JUSTIFIED"),0,1)</f>
        <v>1</v>
      </c>
      <c r="AJ280" s="61" t="n">
        <f aca="false">IF(LEFT(AH280,8)="COMPLETE",1,0)</f>
        <v>0</v>
      </c>
      <c r="AK280" s="61" t="n">
        <f aca="false">IF(AND(AI280=1,AJ280=0,AsOfUTC&gt;Q280),1,0)</f>
        <v>0</v>
      </c>
      <c r="AL280" s="61" t="n">
        <f aca="false">IF(AND(AI280=1,OR(TRIM(U280)="Fail",AND(TRIM(AB280)&lt;&gt;"",TRIM(AB280)&lt;&gt;"Closed"),AND(ISNUMBER(AF280),AF280&lt;&gt;0,TRIM(U280)&lt;&gt;"Pass after CA"))),1,0)</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row>
    <row r="281" customFormat="false" ht="39.75" hidden="false" customHeight="true" outlineLevel="0" collapsed="false">
      <c r="A281" s="57" t="s">
        <v>820</v>
      </c>
      <c r="B281" s="57" t="s">
        <v>230</v>
      </c>
      <c r="C281" s="57" t="str">
        <f aca="false">Flights!$F$12</f>
        <v>MH0752</v>
      </c>
      <c r="D281" s="58" t="n">
        <f aca="false">Flights!$D$12</f>
        <v>46305</v>
      </c>
      <c r="E281" s="57" t="str">
        <f aca="false">Flights!$G$12&amp;"-"&amp;Flights!$H$12</f>
        <v>KUL-HAN</v>
      </c>
      <c r="F281" s="57" t="str">
        <f aca="false">Flights!$K$12</f>
        <v>EY</v>
      </c>
      <c r="G281" s="57" t="s">
        <v>424</v>
      </c>
      <c r="H281" s="57" t="s">
        <v>425</v>
      </c>
      <c r="I281" s="57" t="s">
        <v>393</v>
      </c>
      <c r="J281" s="57" t="s">
        <v>430</v>
      </c>
      <c r="K281" s="67" t="s">
        <v>391</v>
      </c>
      <c r="L281" s="67" t="s">
        <v>427</v>
      </c>
      <c r="M281" s="67"/>
      <c r="N281" s="67" t="s">
        <v>348</v>
      </c>
      <c r="O281" s="67" t="s">
        <v>428</v>
      </c>
      <c r="P281" s="57" t="s">
        <v>179</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59" t="n">
        <f aca="false">IF(ISNUMBER(Flights!$AY$12),MAX(Q281-UpliftWindowH/24,Flights!$AY$12+UpliftWindowH/24),Q281-UpliftWindowH/24)</f>
        <v>46304.8159722222</v>
      </c>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IF(N281="N/A – rule","N/A – RULE",IF(TRIM(U281)="N/A",IF(AT281=0,"INVALID – N/A not permitted for this mandatory check",IF(AND(TRIM(AC281)&lt;&gt;"",TRIM(AE281)&lt;&gt;"",TRIM(T281)&lt;&gt;"",TRIM(AE281)&lt;&gt;TRIM(T281)),"N/A – JUSTIFIED","INVALID – N/A needs justification, PIC and a different verifier")),IF(OR(TRIM(U281)="Pass",TRIM(U281)="Pass after CA"),IF(NOT(ISNUMBER(AD281)),"INVALID – completion time missing",IF(TRIM(T281)="","INVALID – PIC missing",IF(TRIM(V281)="","INVALID – result / assessment missing",IF(TRIM(Z281)="","INVALID – evidence missing",IF(TRIM(AE281)="","INVALID – verifier missing",IF(TRIM(AE281)=TRIM(T281),"INVALID – verifier must be someone other than the PIC",IF(AND(AQ281=1,TRIM(W281)=""),"INVALID – batch ID missing",IF(AND(AR281=1,OR(NOT(ISNUMBER(X281)),NOT(ISNUMBER(Y281)))),"INVALID – expected/actual qty missing",IF(IF(AND(TRIM(U281)="Pass",ISNUMBER(AF281)),IF(AF281&lt;&gt;0,"INVALID – qty variance: use Fail or Pass after CA",""),"")&amp;IF(AND(TRIM(U281)="Pass",TRIM(AB281)&lt;&gt;"",TRIM(AB281)&lt;&gt;"Closed"),"INVALID – corrective action not closed: use Fail, then Pass after CA","")&amp;IF(AND(TRIM(AA281)&lt;&gt;"",TRIM(AB281)=""),"INVALID – CA status missing for the recorded corrective action","")&amp;IF(AND(TRIM(U281)="Pass after CA",OR(TRIM(AA281)="",TRIM(AB281)&lt;&gt;"Closed")),"INVALID – corrective action not recorded/closed","")&lt;&gt;"",IF(AND(TRIM(U281)="Pass",ISNUMBER(AF281)),IF(AF281&lt;&gt;0,"INVALID – qty variance: use Fail or Pass after CA",""),"")&amp;IF(AND(TRIM(U281)="Pass",TRIM(AB281)&lt;&gt;"",TRIM(AB281)&lt;&gt;"Closed"),"INVALID – corrective action not closed: use Fail, then Pass after CA","")&amp;IF(AND(TRIM(AA281)&lt;&gt;"",TRIM(AB281)=""),"INVALID – CA status missing for the recorded corrective action","")&amp;IF(AND(TRIM(U281)="Pass after CA",OR(TRIM(AA281)="",TRIM(AB281)&lt;&gt;"Closed")),"INVALID – corrective action not recorded/closed",""),IF(AND(AS281=1,Documents!$J$12&lt;&gt;"ON FILE"),"INVALID – GLD not on file (Documents sheet)",IF(AND(AS281=2,Documents!$O$12&lt;&gt;"ON FILE"),"INVALID – menu checklist not on file (Documents sheet)",IF(AND(AS281=3,NOT(ISNUMBER(Flights!$AX$12))),"INVALID – enter carrying flight KUL departure (Flights AX)",IF(AND(AS281=3,OR(Flights!$AX$12&gt;=Flights!$AA$12,Flights!$AX$12&lt;Flights!$AA$12-3)),"INVALID – Flights AX must be before this leg's STD (within 3 days)",IF(AG281&gt;AsOfUTC,"INVALID – completion time is in the future",IF(AND(ISNUMBER(S281),AG281&lt;S281),IF(H281="Physical uplift","INVALID – before uplift window (cannot confirm loading)","INVALID – before valid window"),IF(AG281&gt;Flights!$AA$12,"INVALID – completed after departure (cannot establish readiness)",IF(AND(H281="Physical uplift",AG281&gt;Q281),"INVALID – recorded after the loading flight departed",IF(AG281&gt;Q281,"COMPLETE – LATE","COMPLETE")))))))))))))))))),IF(TRIM(U281)="Fail","FAIL – DISCREPANCY",IF(AND(TRIM(U281)&lt;&gt;"",TRIM(U281)&lt;&gt;"Not started",TRIM(U281)&lt;&gt;"In progress"),"INVALID – unrecognised status (use the list)",IF(AsOfUTC&gt;Q281,"OVERDUE",IF(N281="Clarification required","OPEN – CLARIFICATION","OPEN")))))))</f>
        <v>OPEN</v>
      </c>
      <c r="AI281" s="61" t="n">
        <f aca="false">IF(OR(AH281="N/A – RULE",AH281="N/A – JUSTIFIED"),0,1)</f>
        <v>1</v>
      </c>
      <c r="AJ281" s="61" t="n">
        <f aca="false">IF(LEFT(AH281,8)="COMPLETE",1,0)</f>
        <v>0</v>
      </c>
      <c r="AK281" s="61" t="n">
        <f aca="false">IF(AND(AI281=1,AJ281=0,AsOfUTC&gt;Q281),1,0)</f>
        <v>0</v>
      </c>
      <c r="AL281" s="61" t="n">
        <f aca="false">IF(AND(AI281=1,OR(TRIM(U281)="Fail",AND(TRIM(AB281)&lt;&gt;"",TRIM(AB281)&lt;&gt;"Closed"),AND(ISNUMBER(AF281),AF281&lt;&gt;0,TRIM(U281)&lt;&gt;"Pass after CA"))),1,0)</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row>
    <row r="282" customFormat="false" ht="39.75" hidden="false" customHeight="true" outlineLevel="0" collapsed="false">
      <c r="A282" s="57" t="s">
        <v>821</v>
      </c>
      <c r="B282" s="57" t="s">
        <v>230</v>
      </c>
      <c r="C282" s="57" t="str">
        <f aca="false">Flights!$F$12</f>
        <v>MH0752</v>
      </c>
      <c r="D282" s="58" t="n">
        <f aca="false">Flights!$D$12</f>
        <v>46305</v>
      </c>
      <c r="E282" s="57" t="str">
        <f aca="false">Flights!$G$12&amp;"-"&amp;Flights!$H$12</f>
        <v>KUL-HAN</v>
      </c>
      <c r="F282" s="57" t="str">
        <f aca="false">Flights!$K$12</f>
        <v>EY</v>
      </c>
      <c r="G282" s="57" t="s">
        <v>424</v>
      </c>
      <c r="H282" s="57" t="s">
        <v>425</v>
      </c>
      <c r="I282" s="57" t="s">
        <v>412</v>
      </c>
      <c r="J282" s="57" t="s">
        <v>434</v>
      </c>
      <c r="K282" s="67" t="s">
        <v>414</v>
      </c>
      <c r="L282" s="67" t="s">
        <v>818</v>
      </c>
      <c r="M282" s="67" t="s">
        <v>416</v>
      </c>
      <c r="N282" s="67" t="s">
        <v>348</v>
      </c>
      <c r="O282" s="67"/>
      <c r="P282" s="57" t="s">
        <v>179</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59" t="n">
        <f aca="false">IF(ISNUMBER(Flights!$AY$12),MAX(Q282-UpliftWindowH/24,Flights!$AY$12+UpliftWindowH/24),Q282-UpliftWindowH/24)</f>
        <v>46304.8159722222</v>
      </c>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IF(N282="N/A – rule","N/A – RULE",IF(TRIM(U282)="N/A",IF(AT282=0,"INVALID – N/A not permitted for this mandatory check",IF(AND(TRIM(AC282)&lt;&gt;"",TRIM(AE282)&lt;&gt;"",TRIM(T282)&lt;&gt;"",TRIM(AE282)&lt;&gt;TRIM(T282)),"N/A – JUSTIFIED","INVALID – N/A needs justification, PIC and a different verifier")),IF(OR(TRIM(U282)="Pass",TRIM(U282)="Pass after CA"),IF(NOT(ISNUMBER(AD282)),"INVALID – completion time missing",IF(TRIM(T282)="","INVALID – PIC missing",IF(TRIM(V282)="","INVALID – result / assessment missing",IF(TRIM(Z282)="","INVALID – evidence missing",IF(TRIM(AE282)="","INVALID – verifier missing",IF(TRIM(AE282)=TRIM(T282),"INVALID – verifier must be someone other than the PIC",IF(AND(AQ282=1,TRIM(W282)=""),"INVALID – batch ID missing",IF(AND(AR282=1,OR(NOT(ISNUMBER(X282)),NOT(ISNUMBER(Y282)))),"INVALID – expected/actual qty missing",IF(IF(AND(TRIM(U282)="Pass",ISNUMBER(AF282)),IF(AF282&lt;&gt;0,"INVALID – qty variance: use Fail or Pass after CA",""),"")&amp;IF(AND(TRIM(U282)="Pass",TRIM(AB282)&lt;&gt;"",TRIM(AB282)&lt;&gt;"Closed"),"INVALID – corrective action not closed: use Fail, then Pass after CA","")&amp;IF(AND(TRIM(AA282)&lt;&gt;"",TRIM(AB282)=""),"INVALID – CA status missing for the recorded corrective action","")&amp;IF(AND(TRIM(U282)="Pass after CA",OR(TRIM(AA282)="",TRIM(AB282)&lt;&gt;"Closed")),"INVALID – corrective action not recorded/closed","")&lt;&gt;"",IF(AND(TRIM(U282)="Pass",ISNUMBER(AF282)),IF(AF282&lt;&gt;0,"INVALID – qty variance: use Fail or Pass after CA",""),"")&amp;IF(AND(TRIM(U282)="Pass",TRIM(AB282)&lt;&gt;"",TRIM(AB282)&lt;&gt;"Closed"),"INVALID – corrective action not closed: use Fail, then Pass after CA","")&amp;IF(AND(TRIM(AA282)&lt;&gt;"",TRIM(AB282)=""),"INVALID – CA status missing for the recorded corrective action","")&amp;IF(AND(TRIM(U282)="Pass after CA",OR(TRIM(AA282)="",TRIM(AB282)&lt;&gt;"Closed")),"INVALID – corrective action not recorded/closed",""),IF(AND(AS282=1,Documents!$J$12&lt;&gt;"ON FILE"),"INVALID – GLD not on file (Documents sheet)",IF(AND(AS282=2,Documents!$O$12&lt;&gt;"ON FILE"),"INVALID – menu checklist not on file (Documents sheet)",IF(AND(AS282=3,NOT(ISNUMBER(Flights!$AX$12))),"INVALID – enter carrying flight KUL departure (Flights AX)",IF(AND(AS282=3,OR(Flights!$AX$12&gt;=Flights!$AA$12,Flights!$AX$12&lt;Flights!$AA$12-3)),"INVALID – Flights AX must be before this leg's STD (within 3 days)",IF(AG282&gt;AsOfUTC,"INVALID – completion time is in the future",IF(AND(ISNUMBER(S282),AG282&lt;S282),IF(H282="Physical uplift","INVALID – before uplift window (cannot confirm loading)","INVALID – before valid window"),IF(AG282&gt;Flights!$AA$12,"INVALID – completed after departure (cannot establish readiness)",IF(AND(H282="Physical uplift",AG282&gt;Q282),"INVALID – recorded after the loading flight departed",IF(AG282&gt;Q282,"COMPLETE – LATE","COMPLETE")))))))))))))))))),IF(TRIM(U282)="Fail","FAIL – DISCREPANCY",IF(AND(TRIM(U282)&lt;&gt;"",TRIM(U282)&lt;&gt;"Not started",TRIM(U282)&lt;&gt;"In progress"),"INVALID – unrecognised status (use the list)",IF(AsOfUTC&gt;Q282,"OVERDUE",IF(N282="Clarification required","OPEN – CLARIFICATION","OPEN")))))))</f>
        <v>OPEN</v>
      </c>
      <c r="AI282" s="61" t="n">
        <f aca="false">IF(OR(AH282="N/A – RULE",AH282="N/A – JUSTIFIED"),0,1)</f>
        <v>1</v>
      </c>
      <c r="AJ282" s="61" t="n">
        <f aca="false">IF(LEFT(AH282,8)="COMPLETE",1,0)</f>
        <v>0</v>
      </c>
      <c r="AK282" s="61" t="n">
        <f aca="false">IF(AND(AI282=1,AJ282=0,AsOfUTC&gt;Q282),1,0)</f>
        <v>0</v>
      </c>
      <c r="AL282" s="61" t="n">
        <f aca="false">IF(AND(AI282=1,OR(TRIM(U282)="Fail",AND(TRIM(AB282)&lt;&gt;"",TRIM(AB282)&lt;&gt;"Closed"),AND(ISNUMBER(AF282),AF282&lt;&gt;0,TRIM(U282)&lt;&gt;"Pass after CA"))),1,0)</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8" t="b">
        <f aca="false">TRUE()</f>
        <v>1</v>
      </c>
    </row>
    <row r="283" customFormat="false" ht="39.75" hidden="false" customHeight="true" outlineLevel="0" collapsed="false">
      <c r="A283" s="57" t="s">
        <v>822</v>
      </c>
      <c r="B283" s="57" t="s">
        <v>238</v>
      </c>
      <c r="C283" s="57" t="str">
        <f aca="false">Flights!$F$13</f>
        <v>MH0753</v>
      </c>
      <c r="D283" s="58" t="n">
        <f aca="false">Flights!$D$13</f>
        <v>46306</v>
      </c>
      <c r="E283" s="57" t="str">
        <f aca="false">Flights!$G$13&amp;"-"&amp;Flights!$H$13</f>
        <v>HAN-KUL</v>
      </c>
      <c r="F283" s="57" t="str">
        <f aca="false">Flights!$K$13</f>
        <v>BC</v>
      </c>
      <c r="G283" s="57" t="s">
        <v>76</v>
      </c>
      <c r="H283" s="57" t="s">
        <v>343</v>
      </c>
      <c r="I283" s="57" t="s">
        <v>344</v>
      </c>
      <c r="J283" s="57" t="s">
        <v>345</v>
      </c>
      <c r="K283" s="67" t="s">
        <v>346</v>
      </c>
      <c r="L283" s="67" t="s">
        <v>347</v>
      </c>
      <c r="M283" s="67"/>
      <c r="N283" s="67" t="s">
        <v>348</v>
      </c>
      <c r="O283" s="67"/>
      <c r="P283" s="57" t="s">
        <v>232</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59" t="n">
        <f aca="false">Q283-T7EarlyD*24/24</f>
        <v>46285.2534722222</v>
      </c>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IF(N283="N/A – rule","N/A – RULE",IF(TRIM(U283)="N/A",IF(AT283=0,"INVALID – N/A not permitted for this mandatory check",IF(AND(TRIM(AC283)&lt;&gt;"",TRIM(AE283)&lt;&gt;"",TRIM(T283)&lt;&gt;"",TRIM(AE283)&lt;&gt;TRIM(T283)),"N/A – JUSTIFIED","INVALID – N/A needs justification, PIC and a different verifier")),IF(OR(TRIM(U283)="Pass",TRIM(U283)="Pass after CA"),IF(NOT(ISNUMBER(AD283)),"INVALID – completion time missing",IF(TRIM(T283)="","INVALID – PIC missing",IF(TRIM(V283)="","INVALID – result / assessment missing",IF(TRIM(Z283)="","INVALID – evidence missing",IF(TRIM(AE283)="","INVALID – verifier missing",IF(TRIM(AE283)=TRIM(T283),"INVALID – verifier must be someone other than the PIC",IF(AND(AQ283=1,TRIM(W283)=""),"INVALID – batch ID missing",IF(AND(AR283=1,OR(NOT(ISNUMBER(X283)),NOT(ISNUMBER(Y283)))),"INVALID – expected/actual qty missing",IF(IF(AND(TRIM(U283)="Pass",ISNUMBER(AF283)),IF(AF283&lt;&gt;0,"INVALID – qty variance: use Fail or Pass after CA",""),"")&amp;IF(AND(TRIM(U283)="Pass",TRIM(AB283)&lt;&gt;"",TRIM(AB283)&lt;&gt;"Closed"),"INVALID – corrective action not closed: use Fail, then Pass after CA","")&amp;IF(AND(TRIM(AA283)&lt;&gt;"",TRIM(AB283)=""),"INVALID – CA status missing for the recorded corrective action","")&amp;IF(AND(TRIM(U283)="Pass after CA",OR(TRIM(AA283)="",TRIM(AB283)&lt;&gt;"Closed")),"INVALID – corrective action not recorded/closed","")&lt;&gt;"",IF(AND(TRIM(U283)="Pass",ISNUMBER(AF283)),IF(AF283&lt;&gt;0,"INVALID – qty variance: use Fail or Pass after CA",""),"")&amp;IF(AND(TRIM(U283)="Pass",TRIM(AB283)&lt;&gt;"",TRIM(AB283)&lt;&gt;"Closed"),"INVALID – corrective action not closed: use Fail, then Pass after CA","")&amp;IF(AND(TRIM(AA283)&lt;&gt;"",TRIM(AB283)=""),"INVALID – CA status missing for the recorded corrective action","")&amp;IF(AND(TRIM(U283)="Pass after CA",OR(TRIM(AA283)="",TRIM(AB283)&lt;&gt;"Closed")),"INVALID – corrective action not recorded/closed",""),IF(AND(AS283=1,Documents!$J$13&lt;&gt;"ON FILE"),"INVALID – GLD not on file (Documents sheet)",IF(AND(AS283=2,Documents!$O$13&lt;&gt;"ON FILE"),"INVALID – menu checklist not on file (Documents sheet)",IF(AND(AS283=3,NOT(ISNUMBER(Flights!$AX$13))),"INVALID – enter carrying flight KUL departure (Flights AX)",IF(AND(AS283=3,OR(Flights!$AX$13&gt;=Flights!$AA$13,Flights!$AX$13&lt;Flights!$AA$13-3)),"INVALID – Flights AX must be before this leg's STD (within 3 days)",IF(AG283&gt;AsOfUTC,"INVALID – completion time is in the future",IF(AND(ISNUMBER(S283),AG283&lt;S283),IF(H283="Physical uplift","INVALID – before uplift window (cannot confirm loading)","INVALID – before valid window"),IF(AG283&gt;Flights!$AA$13,"INVALID – completed after departure (cannot establish readiness)",IF(AND(H283="Physical uplift",AG283&gt;Q283),"INVALID – recorded after the loading flight departed",IF(AG283&gt;Q283,"COMPLETE – LATE","COMPLETE")))))))))))))))))),IF(TRIM(U283)="Fail","FAIL – DISCREPANCY",IF(AND(TRIM(U283)&lt;&gt;"",TRIM(U283)&lt;&gt;"Not started",TRIM(U283)&lt;&gt;"In progress"),"INVALID – unrecognised status (use the list)",IF(AsOfUTC&gt;Q283,"OVERDUE",IF(N283="Clarification required","OPEN – CLARIFICATION","OPEN")))))))</f>
        <v>OPEN</v>
      </c>
      <c r="AI283" s="61" t="n">
        <f aca="false">IF(OR(AH283="N/A – RULE",AH283="N/A – JUSTIFIED"),0,1)</f>
        <v>1</v>
      </c>
      <c r="AJ283" s="61" t="n">
        <f aca="false">IF(LEFT(AH283,8)="COMPLETE",1,0)</f>
        <v>0</v>
      </c>
      <c r="AK283" s="61" t="n">
        <f aca="false">IF(AND(AI283=1,AJ283=0,AsOfUTC&gt;Q283),1,0)</f>
        <v>0</v>
      </c>
      <c r="AL283" s="61" t="n">
        <f aca="false">IF(AND(AI283=1,OR(TRIM(U283)="Fail",AND(TRIM(AB283)&lt;&gt;"",TRIM(AB283)&lt;&gt;"Closed"),AND(ISNUMBER(AF283),AF283&lt;&gt;0,TRIM(U283)&lt;&gt;"Pass after CA"))),1,0)</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row>
    <row r="284" customFormat="false" ht="39.75" hidden="false" customHeight="true" outlineLevel="0" collapsed="false">
      <c r="A284" s="57" t="s">
        <v>823</v>
      </c>
      <c r="B284" s="57" t="s">
        <v>238</v>
      </c>
      <c r="C284" s="57" t="str">
        <f aca="false">Flights!$F$13</f>
        <v>MH0753</v>
      </c>
      <c r="D284" s="58" t="n">
        <f aca="false">Flights!$D$13</f>
        <v>46306</v>
      </c>
      <c r="E284" s="57" t="str">
        <f aca="false">Flights!$G$13&amp;"-"&amp;Flights!$H$13</f>
        <v>HAN-KUL</v>
      </c>
      <c r="F284" s="57" t="str">
        <f aca="false">Flights!$K$13</f>
        <v>BC</v>
      </c>
      <c r="G284" s="57" t="s">
        <v>76</v>
      </c>
      <c r="H284" s="57" t="s">
        <v>343</v>
      </c>
      <c r="I284" s="57" t="s">
        <v>350</v>
      </c>
      <c r="J284" s="57" t="s">
        <v>351</v>
      </c>
      <c r="K284" s="67" t="s">
        <v>352</v>
      </c>
      <c r="L284" s="67" t="s">
        <v>347</v>
      </c>
      <c r="M284" s="67"/>
      <c r="N284" s="67" t="s">
        <v>348</v>
      </c>
      <c r="O284" s="67"/>
      <c r="P284" s="57" t="s">
        <v>232</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59" t="n">
        <f aca="false">Q284-T7EarlyD*24/24</f>
        <v>46285.2534722222</v>
      </c>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IF(N284="N/A – rule","N/A – RULE",IF(TRIM(U284)="N/A",IF(AT284=0,"INVALID – N/A not permitted for this mandatory check",IF(AND(TRIM(AC284)&lt;&gt;"",TRIM(AE284)&lt;&gt;"",TRIM(T284)&lt;&gt;"",TRIM(AE284)&lt;&gt;TRIM(T284)),"N/A – JUSTIFIED","INVALID – N/A needs justification, PIC and a different verifier")),IF(OR(TRIM(U284)="Pass",TRIM(U284)="Pass after CA"),IF(NOT(ISNUMBER(AD284)),"INVALID – completion time missing",IF(TRIM(T284)="","INVALID – PIC missing",IF(TRIM(V284)="","INVALID – result / assessment missing",IF(TRIM(Z284)="","INVALID – evidence missing",IF(TRIM(AE284)="","INVALID – verifier missing",IF(TRIM(AE284)=TRIM(T284),"INVALID – verifier must be someone other than the PIC",IF(AND(AQ284=1,TRIM(W284)=""),"INVALID – batch ID missing",IF(AND(AR284=1,OR(NOT(ISNUMBER(X284)),NOT(ISNUMBER(Y284)))),"INVALID – expected/actual qty missing",IF(IF(AND(TRIM(U284)="Pass",ISNUMBER(AF284)),IF(AF284&lt;&gt;0,"INVALID – qty variance: use Fail or Pass after CA",""),"")&amp;IF(AND(TRIM(U284)="Pass",TRIM(AB284)&lt;&gt;"",TRIM(AB284)&lt;&gt;"Closed"),"INVALID – corrective action not closed: use Fail, then Pass after CA","")&amp;IF(AND(TRIM(AA284)&lt;&gt;"",TRIM(AB284)=""),"INVALID – CA status missing for the recorded corrective action","")&amp;IF(AND(TRIM(U284)="Pass after CA",OR(TRIM(AA284)="",TRIM(AB284)&lt;&gt;"Closed")),"INVALID – corrective action not recorded/closed","")&lt;&gt;"",IF(AND(TRIM(U284)="Pass",ISNUMBER(AF284)),IF(AF284&lt;&gt;0,"INVALID – qty variance: use Fail or Pass after CA",""),"")&amp;IF(AND(TRIM(U284)="Pass",TRIM(AB284)&lt;&gt;"",TRIM(AB284)&lt;&gt;"Closed"),"INVALID – corrective action not closed: use Fail, then Pass after CA","")&amp;IF(AND(TRIM(AA284)&lt;&gt;"",TRIM(AB284)=""),"INVALID – CA status missing for the recorded corrective action","")&amp;IF(AND(TRIM(U284)="Pass after CA",OR(TRIM(AA284)="",TRIM(AB284)&lt;&gt;"Closed")),"INVALID – corrective action not recorded/closed",""),IF(AND(AS284=1,Documents!$J$13&lt;&gt;"ON FILE"),"INVALID – GLD not on file (Documents sheet)",IF(AND(AS284=2,Documents!$O$13&lt;&gt;"ON FILE"),"INVALID – menu checklist not on file (Documents sheet)",IF(AND(AS284=3,NOT(ISNUMBER(Flights!$AX$13))),"INVALID – enter carrying flight KUL departure (Flights AX)",IF(AND(AS284=3,OR(Flights!$AX$13&gt;=Flights!$AA$13,Flights!$AX$13&lt;Flights!$AA$13-3)),"INVALID – Flights AX must be before this leg's STD (within 3 days)",IF(AG284&gt;AsOfUTC,"INVALID – completion time is in the future",IF(AND(ISNUMBER(S284),AG284&lt;S284),IF(H284="Physical uplift","INVALID – before uplift window (cannot confirm loading)","INVALID – before valid window"),IF(AG284&gt;Flights!$AA$13,"INVALID – completed after departure (cannot establish readiness)",IF(AND(H284="Physical uplift",AG284&gt;Q284),"INVALID – recorded after the loading flight departed",IF(AG284&gt;Q284,"COMPLETE – LATE","COMPLETE")))))))))))))))))),IF(TRIM(U284)="Fail","FAIL – DISCREPANCY",IF(AND(TRIM(U284)&lt;&gt;"",TRIM(U284)&lt;&gt;"Not started",TRIM(U284)&lt;&gt;"In progress"),"INVALID – unrecognised status (use the list)",IF(AsOfUTC&gt;Q284,"OVERDUE",IF(N284="Clarification required","OPEN – CLARIFICATION","OPEN")))))))</f>
        <v>OPEN</v>
      </c>
      <c r="AI284" s="61" t="n">
        <f aca="false">IF(OR(AH284="N/A – RULE",AH284="N/A – JUSTIFIED"),0,1)</f>
        <v>1</v>
      </c>
      <c r="AJ284" s="61" t="n">
        <f aca="false">IF(LEFT(AH284,8)="COMPLETE",1,0)</f>
        <v>0</v>
      </c>
      <c r="AK284" s="61" t="n">
        <f aca="false">IF(AND(AI284=1,AJ284=0,AsOfUTC&gt;Q284),1,0)</f>
        <v>0</v>
      </c>
      <c r="AL284" s="61" t="n">
        <f aca="false">IF(AND(AI284=1,OR(TRIM(U284)="Fail",AND(TRIM(AB284)&lt;&gt;"",TRIM(AB284)&lt;&gt;"Closed"),AND(ISNUMBER(AF284),AF284&lt;&gt;0,TRIM(U284)&lt;&gt;"Pass after CA"))),1,0)</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8" t="b">
        <f aca="false">TRUE()</f>
        <v>1</v>
      </c>
    </row>
    <row r="285" customFormat="false" ht="41.25" hidden="false" customHeight="true" outlineLevel="0" collapsed="false">
      <c r="A285" s="57" t="s">
        <v>824</v>
      </c>
      <c r="B285" s="57" t="s">
        <v>238</v>
      </c>
      <c r="C285" s="57" t="str">
        <f aca="false">Flights!$F$13</f>
        <v>MH0753</v>
      </c>
      <c r="D285" s="58" t="n">
        <f aca="false">Flights!$D$13</f>
        <v>46306</v>
      </c>
      <c r="E285" s="57" t="str">
        <f aca="false">Flights!$G$13&amp;"-"&amp;Flights!$H$13</f>
        <v>HAN-KUL</v>
      </c>
      <c r="F285" s="57" t="str">
        <f aca="false">Flights!$K$13</f>
        <v>BC</v>
      </c>
      <c r="G285" s="57" t="s">
        <v>76</v>
      </c>
      <c r="H285" s="57" t="s">
        <v>343</v>
      </c>
      <c r="I285" s="57" t="s">
        <v>354</v>
      </c>
      <c r="J285" s="57" t="s">
        <v>355</v>
      </c>
      <c r="K285" s="67" t="s">
        <v>356</v>
      </c>
      <c r="L285" s="67" t="s">
        <v>347</v>
      </c>
      <c r="M285" s="67"/>
      <c r="N285" s="67" t="str">
        <f aca="false">IF(TRIM(Flights!$L$13)="A339","Required","N/A – rule")</f>
        <v>N/A – rule</v>
      </c>
      <c r="O285" s="67" t="s">
        <v>357</v>
      </c>
      <c r="P285" s="57" t="s">
        <v>232</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59" t="n">
        <f aca="false">Q285-T7EarlyD*24/24</f>
        <v>46285.2534722222</v>
      </c>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IF(N285="N/A – rule","N/A – RULE",IF(TRIM(U285)="N/A",IF(AT285=0,"INVALID – N/A not permitted for this mandatory check",IF(AND(TRIM(AC285)&lt;&gt;"",TRIM(AE285)&lt;&gt;"",TRIM(T285)&lt;&gt;"",TRIM(AE285)&lt;&gt;TRIM(T285)),"N/A – JUSTIFIED","INVALID – N/A needs justification, PIC and a different verifier")),IF(OR(TRIM(U285)="Pass",TRIM(U285)="Pass after CA"),IF(NOT(ISNUMBER(AD285)),"INVALID – completion time missing",IF(TRIM(T285)="","INVALID – PIC missing",IF(TRIM(V285)="","INVALID – result / assessment missing",IF(TRIM(Z285)="","INVALID – evidence missing",IF(TRIM(AE285)="","INVALID – verifier missing",IF(TRIM(AE285)=TRIM(T285),"INVALID – verifier must be someone other than the PIC",IF(AND(AQ285=1,TRIM(W285)=""),"INVALID – batch ID missing",IF(AND(AR285=1,OR(NOT(ISNUMBER(X285)),NOT(ISNUMBER(Y285)))),"INVALID – expected/actual qty missing",IF(IF(AND(TRIM(U285)="Pass",ISNUMBER(AF285)),IF(AF285&lt;&gt;0,"INVALID – qty variance: use Fail or Pass after CA",""),"")&amp;IF(AND(TRIM(U285)="Pass",TRIM(AB285)&lt;&gt;"",TRIM(AB285)&lt;&gt;"Closed"),"INVALID – corrective action not closed: use Fail, then Pass after CA","")&amp;IF(AND(TRIM(AA285)&lt;&gt;"",TRIM(AB285)=""),"INVALID – CA status missing for the recorded corrective action","")&amp;IF(AND(TRIM(U285)="Pass after CA",OR(TRIM(AA285)="",TRIM(AB285)&lt;&gt;"Closed")),"INVALID – corrective action not recorded/closed","")&lt;&gt;"",IF(AND(TRIM(U285)="Pass",ISNUMBER(AF285)),IF(AF285&lt;&gt;0,"INVALID – qty variance: use Fail or Pass after CA",""),"")&amp;IF(AND(TRIM(U285)="Pass",TRIM(AB285)&lt;&gt;"",TRIM(AB285)&lt;&gt;"Closed"),"INVALID – corrective action not closed: use Fail, then Pass after CA","")&amp;IF(AND(TRIM(AA285)&lt;&gt;"",TRIM(AB285)=""),"INVALID – CA status missing for the recorded corrective action","")&amp;IF(AND(TRIM(U285)="Pass after CA",OR(TRIM(AA285)="",TRIM(AB285)&lt;&gt;"Closed")),"INVALID – corrective action not recorded/closed",""),IF(AND(AS285=1,Documents!$J$13&lt;&gt;"ON FILE"),"INVALID – GLD not on file (Documents sheet)",IF(AND(AS285=2,Documents!$O$13&lt;&gt;"ON FILE"),"INVALID – menu checklist not on file (Documents sheet)",IF(AND(AS285=3,NOT(ISNUMBER(Flights!$AX$13))),"INVALID – enter carrying flight KUL departure (Flights AX)",IF(AND(AS285=3,OR(Flights!$AX$13&gt;=Flights!$AA$13,Flights!$AX$13&lt;Flights!$AA$13-3)),"INVALID – Flights AX must be before this leg's STD (within 3 days)",IF(AG285&gt;AsOfUTC,"INVALID – completion time is in the future",IF(AND(ISNUMBER(S285),AG285&lt;S285),IF(H285="Physical uplift","INVALID – before uplift window (cannot confirm loading)","INVALID – before valid window"),IF(AG285&gt;Flights!$AA$13,"INVALID – completed after departure (cannot establish readiness)",IF(AND(H285="Physical uplift",AG285&gt;Q285),"INVALID – recorded after the loading flight departed",IF(AG285&gt;Q285,"COMPLETE – LATE","COMPLETE")))))))))))))))))),IF(TRIM(U285)="Fail","FAIL – DISCREPANCY",IF(AND(TRIM(U285)&lt;&gt;"",TRIM(U285)&lt;&gt;"Not started",TRIM(U285)&lt;&gt;"In progress"),"INVALID – unrecognised status (use the list)",IF(AsOfUTC&gt;Q285,"OVERDUE",IF(N285="Clarification required","OPEN – CLARIFICATION","OPEN")))))))</f>
        <v>N/A – RULE</v>
      </c>
      <c r="AI285" s="61" t="n">
        <f aca="false">IF(OR(AH285="N/A – RULE",AH285="N/A – JUSTIFIED"),0,1)</f>
        <v>0</v>
      </c>
      <c r="AJ285" s="61" t="n">
        <f aca="false">IF(LEFT(AH285,8)="COMPLETE",1,0)</f>
        <v>0</v>
      </c>
      <c r="AK285" s="61" t="n">
        <f aca="false">IF(AND(AI285=1,AJ285=0,AsOfUTC&gt;Q285),1,0)</f>
        <v>0</v>
      </c>
      <c r="AL285" s="61" t="n">
        <f aca="false">IF(AND(AI285=1,OR(TRIM(U285)="Fail",AND(TRIM(AB285)&lt;&gt;"",TRIM(AB285)&lt;&gt;"Closed"),AND(ISNUMBER(AF285),AF285&lt;&gt;0,TRIM(U285)&lt;&gt;"Pass after CA"))),1,0)</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row>
    <row r="286" customFormat="false" ht="39.75" hidden="false" customHeight="true" outlineLevel="0" collapsed="false">
      <c r="A286" s="57" t="s">
        <v>825</v>
      </c>
      <c r="B286" s="57" t="s">
        <v>238</v>
      </c>
      <c r="C286" s="57" t="str">
        <f aca="false">Flights!$F$13</f>
        <v>MH0753</v>
      </c>
      <c r="D286" s="58" t="n">
        <f aca="false">Flights!$D$13</f>
        <v>46306</v>
      </c>
      <c r="E286" s="57" t="str">
        <f aca="false">Flights!$G$13&amp;"-"&amp;Flights!$H$13</f>
        <v>HAN-KUL</v>
      </c>
      <c r="F286" s="57" t="str">
        <f aca="false">Flights!$K$13</f>
        <v>BC</v>
      </c>
      <c r="G286" s="57" t="s">
        <v>76</v>
      </c>
      <c r="H286" s="57" t="s">
        <v>343</v>
      </c>
      <c r="I286" s="57" t="s">
        <v>359</v>
      </c>
      <c r="J286" s="57" t="s">
        <v>360</v>
      </c>
      <c r="K286" s="67" t="s">
        <v>361</v>
      </c>
      <c r="L286" s="67" t="s">
        <v>347</v>
      </c>
      <c r="M286" s="67"/>
      <c r="N286" s="67" t="s">
        <v>348</v>
      </c>
      <c r="O286" s="67"/>
      <c r="P286" s="57" t="s">
        <v>232</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59" t="n">
        <f aca="false">Q286-T7EarlyD*24/24</f>
        <v>46285.2534722222</v>
      </c>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IF(N286="N/A – rule","N/A – RULE",IF(TRIM(U286)="N/A",IF(AT286=0,"INVALID – N/A not permitted for this mandatory check",IF(AND(TRIM(AC286)&lt;&gt;"",TRIM(AE286)&lt;&gt;"",TRIM(T286)&lt;&gt;"",TRIM(AE286)&lt;&gt;TRIM(T286)),"N/A – JUSTIFIED","INVALID – N/A needs justification, PIC and a different verifier")),IF(OR(TRIM(U286)="Pass",TRIM(U286)="Pass after CA"),IF(NOT(ISNUMBER(AD286)),"INVALID – completion time missing",IF(TRIM(T286)="","INVALID – PIC missing",IF(TRIM(V286)="","INVALID – result / assessment missing",IF(TRIM(Z286)="","INVALID – evidence missing",IF(TRIM(AE286)="","INVALID – verifier missing",IF(TRIM(AE286)=TRIM(T286),"INVALID – verifier must be someone other than the PIC",IF(AND(AQ286=1,TRIM(W286)=""),"INVALID – batch ID missing",IF(AND(AR286=1,OR(NOT(ISNUMBER(X286)),NOT(ISNUMBER(Y286)))),"INVALID – expected/actual qty missing",IF(IF(AND(TRIM(U286)="Pass",ISNUMBER(AF286)),IF(AF286&lt;&gt;0,"INVALID – qty variance: use Fail or Pass after CA",""),"")&amp;IF(AND(TRIM(U286)="Pass",TRIM(AB286)&lt;&gt;"",TRIM(AB286)&lt;&gt;"Closed"),"INVALID – corrective action not closed: use Fail, then Pass after CA","")&amp;IF(AND(TRIM(AA286)&lt;&gt;"",TRIM(AB286)=""),"INVALID – CA status missing for the recorded corrective action","")&amp;IF(AND(TRIM(U286)="Pass after CA",OR(TRIM(AA286)="",TRIM(AB286)&lt;&gt;"Closed")),"INVALID – corrective action not recorded/closed","")&lt;&gt;"",IF(AND(TRIM(U286)="Pass",ISNUMBER(AF286)),IF(AF286&lt;&gt;0,"INVALID – qty variance: use Fail or Pass after CA",""),"")&amp;IF(AND(TRIM(U286)="Pass",TRIM(AB286)&lt;&gt;"",TRIM(AB286)&lt;&gt;"Closed"),"INVALID – corrective action not closed: use Fail, then Pass after CA","")&amp;IF(AND(TRIM(AA286)&lt;&gt;"",TRIM(AB286)=""),"INVALID – CA status missing for the recorded corrective action","")&amp;IF(AND(TRIM(U286)="Pass after CA",OR(TRIM(AA286)="",TRIM(AB286)&lt;&gt;"Closed")),"INVALID – corrective action not recorded/closed",""),IF(AND(AS286=1,Documents!$J$13&lt;&gt;"ON FILE"),"INVALID – GLD not on file (Documents sheet)",IF(AND(AS286=2,Documents!$O$13&lt;&gt;"ON FILE"),"INVALID – menu checklist not on file (Documents sheet)",IF(AND(AS286=3,NOT(ISNUMBER(Flights!$AX$13))),"INVALID – enter carrying flight KUL departure (Flights AX)",IF(AND(AS286=3,OR(Flights!$AX$13&gt;=Flights!$AA$13,Flights!$AX$13&lt;Flights!$AA$13-3)),"INVALID – Flights AX must be before this leg's STD (within 3 days)",IF(AG286&gt;AsOfUTC,"INVALID – completion time is in the future",IF(AND(ISNUMBER(S286),AG286&lt;S286),IF(H286="Physical uplift","INVALID – before uplift window (cannot confirm loading)","INVALID – before valid window"),IF(AG286&gt;Flights!$AA$13,"INVALID – completed after departure (cannot establish readiness)",IF(AND(H286="Physical uplift",AG286&gt;Q286),"INVALID – recorded after the loading flight departed",IF(AG286&gt;Q286,"COMPLETE – LATE","COMPLETE")))))))))))))))))),IF(TRIM(U286)="Fail","FAIL – DISCREPANCY",IF(AND(TRIM(U286)&lt;&gt;"",TRIM(U286)&lt;&gt;"Not started",TRIM(U286)&lt;&gt;"In progress"),"INVALID – unrecognised status (use the list)",IF(AsOfUTC&gt;Q286,"OVERDUE",IF(N286="Clarification required","OPEN – CLARIFICATION","OPEN")))))))</f>
        <v>OPEN</v>
      </c>
      <c r="AI286" s="61" t="n">
        <f aca="false">IF(OR(AH286="N/A – RULE",AH286="N/A – JUSTIFIED"),0,1)</f>
        <v>1</v>
      </c>
      <c r="AJ286" s="61" t="n">
        <f aca="false">IF(LEFT(AH286,8)="COMPLETE",1,0)</f>
        <v>0</v>
      </c>
      <c r="AK286" s="61" t="n">
        <f aca="false">IF(AND(AI286=1,AJ286=0,AsOfUTC&gt;Q286),1,0)</f>
        <v>0</v>
      </c>
      <c r="AL286" s="61" t="n">
        <f aca="false">IF(AND(AI286=1,OR(TRIM(U286)="Fail",AND(TRIM(AB286)&lt;&gt;"",TRIM(AB286)&lt;&gt;"Closed"),AND(ISNUMBER(AF286),AF286&lt;&gt;0,TRIM(U286)&lt;&gt;"Pass after CA"))),1,0)</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row>
    <row r="287" customFormat="false" ht="39.75" hidden="false" customHeight="true" outlineLevel="0" collapsed="false">
      <c r="A287" s="57" t="s">
        <v>826</v>
      </c>
      <c r="B287" s="57" t="s">
        <v>238</v>
      </c>
      <c r="C287" s="57" t="str">
        <f aca="false">Flights!$F$13</f>
        <v>MH0753</v>
      </c>
      <c r="D287" s="58" t="n">
        <f aca="false">Flights!$D$13</f>
        <v>46306</v>
      </c>
      <c r="E287" s="57" t="str">
        <f aca="false">Flights!$G$13&amp;"-"&amp;Flights!$H$13</f>
        <v>HAN-KUL</v>
      </c>
      <c r="F287" s="57" t="str">
        <f aca="false">Flights!$K$13</f>
        <v>BC</v>
      </c>
      <c r="G287" s="57" t="s">
        <v>76</v>
      </c>
      <c r="H287" s="57" t="s">
        <v>343</v>
      </c>
      <c r="I287" s="57" t="s">
        <v>363</v>
      </c>
      <c r="J287" s="57" t="s">
        <v>364</v>
      </c>
      <c r="K287" s="67" t="s">
        <v>365</v>
      </c>
      <c r="L287" s="67" t="s">
        <v>347</v>
      </c>
      <c r="M287" s="67"/>
      <c r="N287" s="67" t="s">
        <v>348</v>
      </c>
      <c r="O287" s="67"/>
      <c r="P287" s="57" t="s">
        <v>232</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59" t="n">
        <f aca="false">Q287-T7EarlyD*24/24</f>
        <v>46285.2534722222</v>
      </c>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IF(N287="N/A – rule","N/A – RULE",IF(TRIM(U287)="N/A",IF(AT287=0,"INVALID – N/A not permitted for this mandatory check",IF(AND(TRIM(AC287)&lt;&gt;"",TRIM(AE287)&lt;&gt;"",TRIM(T287)&lt;&gt;"",TRIM(AE287)&lt;&gt;TRIM(T287)),"N/A – JUSTIFIED","INVALID – N/A needs justification, PIC and a different verifier")),IF(OR(TRIM(U287)="Pass",TRIM(U287)="Pass after CA"),IF(NOT(ISNUMBER(AD287)),"INVALID – completion time missing",IF(TRIM(T287)="","INVALID – PIC missing",IF(TRIM(V287)="","INVALID – result / assessment missing",IF(TRIM(Z287)="","INVALID – evidence missing",IF(TRIM(AE287)="","INVALID – verifier missing",IF(TRIM(AE287)=TRIM(T287),"INVALID – verifier must be someone other than the PIC",IF(AND(AQ287=1,TRIM(W287)=""),"INVALID – batch ID missing",IF(AND(AR287=1,OR(NOT(ISNUMBER(X287)),NOT(ISNUMBER(Y287)))),"INVALID – expected/actual qty missing",IF(IF(AND(TRIM(U287)="Pass",ISNUMBER(AF287)),IF(AF287&lt;&gt;0,"INVALID – qty variance: use Fail or Pass after CA",""),"")&amp;IF(AND(TRIM(U287)="Pass",TRIM(AB287)&lt;&gt;"",TRIM(AB287)&lt;&gt;"Closed"),"INVALID – corrective action not closed: use Fail, then Pass after CA","")&amp;IF(AND(TRIM(AA287)&lt;&gt;"",TRIM(AB287)=""),"INVALID – CA status missing for the recorded corrective action","")&amp;IF(AND(TRIM(U287)="Pass after CA",OR(TRIM(AA287)="",TRIM(AB287)&lt;&gt;"Closed")),"INVALID – corrective action not recorded/closed","")&lt;&gt;"",IF(AND(TRIM(U287)="Pass",ISNUMBER(AF287)),IF(AF287&lt;&gt;0,"INVALID – qty variance: use Fail or Pass after CA",""),"")&amp;IF(AND(TRIM(U287)="Pass",TRIM(AB287)&lt;&gt;"",TRIM(AB287)&lt;&gt;"Closed"),"INVALID – corrective action not closed: use Fail, then Pass after CA","")&amp;IF(AND(TRIM(AA287)&lt;&gt;"",TRIM(AB287)=""),"INVALID – CA status missing for the recorded corrective action","")&amp;IF(AND(TRIM(U287)="Pass after CA",OR(TRIM(AA287)="",TRIM(AB287)&lt;&gt;"Closed")),"INVALID – corrective action not recorded/closed",""),IF(AND(AS287=1,Documents!$J$13&lt;&gt;"ON FILE"),"INVALID – GLD not on file (Documents sheet)",IF(AND(AS287=2,Documents!$O$13&lt;&gt;"ON FILE"),"INVALID – menu checklist not on file (Documents sheet)",IF(AND(AS287=3,NOT(ISNUMBER(Flights!$AX$13))),"INVALID – enter carrying flight KUL departure (Flights AX)",IF(AND(AS287=3,OR(Flights!$AX$13&gt;=Flights!$AA$13,Flights!$AX$13&lt;Flights!$AA$13-3)),"INVALID – Flights AX must be before this leg's STD (within 3 days)",IF(AG287&gt;AsOfUTC,"INVALID – completion time is in the future",IF(AND(ISNUMBER(S287),AG287&lt;S287),IF(H287="Physical uplift","INVALID – before uplift window (cannot confirm loading)","INVALID – before valid window"),IF(AG287&gt;Flights!$AA$13,"INVALID – completed after departure (cannot establish readiness)",IF(AND(H287="Physical uplift",AG287&gt;Q287),"INVALID – recorded after the loading flight departed",IF(AG287&gt;Q287,"COMPLETE – LATE","COMPLETE")))))))))))))))))),IF(TRIM(U287)="Fail","FAIL – DISCREPANCY",IF(AND(TRIM(U287)&lt;&gt;"",TRIM(U287)&lt;&gt;"Not started",TRIM(U287)&lt;&gt;"In progress"),"INVALID – unrecognised status (use the list)",IF(AsOfUTC&gt;Q287,"OVERDUE",IF(N287="Clarification required","OPEN – CLARIFICATION","OPEN")))))))</f>
        <v>OPEN</v>
      </c>
      <c r="AI287" s="61" t="n">
        <f aca="false">IF(OR(AH287="N/A – RULE",AH287="N/A – JUSTIFIED"),0,1)</f>
        <v>1</v>
      </c>
      <c r="AJ287" s="61" t="n">
        <f aca="false">IF(LEFT(AH287,8)="COMPLETE",1,0)</f>
        <v>0</v>
      </c>
      <c r="AK287" s="61" t="n">
        <f aca="false">IF(AND(AI287=1,AJ287=0,AsOfUTC&gt;Q287),1,0)</f>
        <v>0</v>
      </c>
      <c r="AL287" s="61" t="n">
        <f aca="false">IF(AND(AI287=1,OR(TRIM(U287)="Fail",AND(TRIM(AB287)&lt;&gt;"",TRIM(AB287)&lt;&gt;"Closed"),AND(ISNUMBER(AF287),AF287&lt;&gt;0,TRIM(U287)&lt;&gt;"Pass after CA"))),1,0)</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row>
    <row r="288" customFormat="false" ht="39.75" hidden="false" customHeight="true" outlineLevel="0" collapsed="false">
      <c r="A288" s="57" t="s">
        <v>827</v>
      </c>
      <c r="B288" s="57" t="s">
        <v>238</v>
      </c>
      <c r="C288" s="57" t="str">
        <f aca="false">Flights!$F$13</f>
        <v>MH0753</v>
      </c>
      <c r="D288" s="58" t="n">
        <f aca="false">Flights!$D$13</f>
        <v>46306</v>
      </c>
      <c r="E288" s="57" t="str">
        <f aca="false">Flights!$G$13&amp;"-"&amp;Flights!$H$13</f>
        <v>HAN-KUL</v>
      </c>
      <c r="F288" s="57" t="str">
        <f aca="false">Flights!$K$13</f>
        <v>BC</v>
      </c>
      <c r="G288" s="57" t="s">
        <v>76</v>
      </c>
      <c r="H288" s="57" t="s">
        <v>343</v>
      </c>
      <c r="I288" s="57" t="s">
        <v>363</v>
      </c>
      <c r="J288" s="57" t="s">
        <v>367</v>
      </c>
      <c r="K288" s="67" t="s">
        <v>368</v>
      </c>
      <c r="L288" s="67" t="s">
        <v>347</v>
      </c>
      <c r="M288" s="67"/>
      <c r="N288" s="67" t="s">
        <v>348</v>
      </c>
      <c r="O288" s="67"/>
      <c r="P288" s="57" t="s">
        <v>232</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59" t="n">
        <f aca="false">Q288-T7EarlyD*24/24</f>
        <v>46285.2534722222</v>
      </c>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IF(N288="N/A – rule","N/A – RULE",IF(TRIM(U288)="N/A",IF(AT288=0,"INVALID – N/A not permitted for this mandatory check",IF(AND(TRIM(AC288)&lt;&gt;"",TRIM(AE288)&lt;&gt;"",TRIM(T288)&lt;&gt;"",TRIM(AE288)&lt;&gt;TRIM(T288)),"N/A – JUSTIFIED","INVALID – N/A needs justification, PIC and a different verifier")),IF(OR(TRIM(U288)="Pass",TRIM(U288)="Pass after CA"),IF(NOT(ISNUMBER(AD288)),"INVALID – completion time missing",IF(TRIM(T288)="","INVALID – PIC missing",IF(TRIM(V288)="","INVALID – result / assessment missing",IF(TRIM(Z288)="","INVALID – evidence missing",IF(TRIM(AE288)="","INVALID – verifier missing",IF(TRIM(AE288)=TRIM(T288),"INVALID – verifier must be someone other than the PIC",IF(AND(AQ288=1,TRIM(W288)=""),"INVALID – batch ID missing",IF(AND(AR288=1,OR(NOT(ISNUMBER(X288)),NOT(ISNUMBER(Y288)))),"INVALID – expected/actual qty missing",IF(IF(AND(TRIM(U288)="Pass",ISNUMBER(AF288)),IF(AF288&lt;&gt;0,"INVALID – qty variance: use Fail or Pass after CA",""),"")&amp;IF(AND(TRIM(U288)="Pass",TRIM(AB288)&lt;&gt;"",TRIM(AB288)&lt;&gt;"Closed"),"INVALID – corrective action not closed: use Fail, then Pass after CA","")&amp;IF(AND(TRIM(AA288)&lt;&gt;"",TRIM(AB288)=""),"INVALID – CA status missing for the recorded corrective action","")&amp;IF(AND(TRIM(U288)="Pass after CA",OR(TRIM(AA288)="",TRIM(AB288)&lt;&gt;"Closed")),"INVALID – corrective action not recorded/closed","")&lt;&gt;"",IF(AND(TRIM(U288)="Pass",ISNUMBER(AF288)),IF(AF288&lt;&gt;0,"INVALID – qty variance: use Fail or Pass after CA",""),"")&amp;IF(AND(TRIM(U288)="Pass",TRIM(AB288)&lt;&gt;"",TRIM(AB288)&lt;&gt;"Closed"),"INVALID – corrective action not closed: use Fail, then Pass after CA","")&amp;IF(AND(TRIM(AA288)&lt;&gt;"",TRIM(AB288)=""),"INVALID – CA status missing for the recorded corrective action","")&amp;IF(AND(TRIM(U288)="Pass after CA",OR(TRIM(AA288)="",TRIM(AB288)&lt;&gt;"Closed")),"INVALID – corrective action not recorded/closed",""),IF(AND(AS288=1,Documents!$J$13&lt;&gt;"ON FILE"),"INVALID – GLD not on file (Documents sheet)",IF(AND(AS288=2,Documents!$O$13&lt;&gt;"ON FILE"),"INVALID – menu checklist not on file (Documents sheet)",IF(AND(AS288=3,NOT(ISNUMBER(Flights!$AX$13))),"INVALID – enter carrying flight KUL departure (Flights AX)",IF(AND(AS288=3,OR(Flights!$AX$13&gt;=Flights!$AA$13,Flights!$AX$13&lt;Flights!$AA$13-3)),"INVALID – Flights AX must be before this leg's STD (within 3 days)",IF(AG288&gt;AsOfUTC,"INVALID – completion time is in the future",IF(AND(ISNUMBER(S288),AG288&lt;S288),IF(H288="Physical uplift","INVALID – before uplift window (cannot confirm loading)","INVALID – before valid window"),IF(AG288&gt;Flights!$AA$13,"INVALID – completed after departure (cannot establish readiness)",IF(AND(H288="Physical uplift",AG288&gt;Q288),"INVALID – recorded after the loading flight departed",IF(AG288&gt;Q288,"COMPLETE – LATE","COMPLETE")))))))))))))))))),IF(TRIM(U288)="Fail","FAIL – DISCREPANCY",IF(AND(TRIM(U288)&lt;&gt;"",TRIM(U288)&lt;&gt;"Not started",TRIM(U288)&lt;&gt;"In progress"),"INVALID – unrecognised status (use the list)",IF(AsOfUTC&gt;Q288,"OVERDUE",IF(N288="Clarification required","OPEN – CLARIFICATION","OPEN")))))))</f>
        <v>OPEN</v>
      </c>
      <c r="AI288" s="61" t="n">
        <f aca="false">IF(OR(AH288="N/A – RULE",AH288="N/A – JUSTIFIED"),0,1)</f>
        <v>1</v>
      </c>
      <c r="AJ288" s="61" t="n">
        <f aca="false">IF(LEFT(AH288,8)="COMPLETE",1,0)</f>
        <v>0</v>
      </c>
      <c r="AK288" s="61" t="n">
        <f aca="false">IF(AND(AI288=1,AJ288=0,AsOfUTC&gt;Q288),1,0)</f>
        <v>0</v>
      </c>
      <c r="AL288" s="61" t="n">
        <f aca="false">IF(AND(AI288=1,OR(TRIM(U288)="Fail",AND(TRIM(AB288)&lt;&gt;"",TRIM(AB288)&lt;&gt;"Closed"),AND(ISNUMBER(AF288),AF288&lt;&gt;0,TRIM(U288)&lt;&gt;"Pass after CA"))),1,0)</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row>
    <row r="289" customFormat="false" ht="39.75" hidden="false" customHeight="true" outlineLevel="0" collapsed="false">
      <c r="A289" s="57" t="s">
        <v>828</v>
      </c>
      <c r="B289" s="57" t="s">
        <v>238</v>
      </c>
      <c r="C289" s="57" t="str">
        <f aca="false">Flights!$F$13</f>
        <v>MH0753</v>
      </c>
      <c r="D289" s="58" t="n">
        <f aca="false">Flights!$D$13</f>
        <v>46306</v>
      </c>
      <c r="E289" s="57" t="str">
        <f aca="false">Flights!$G$13&amp;"-"&amp;Flights!$H$13</f>
        <v>HAN-KUL</v>
      </c>
      <c r="F289" s="57" t="str">
        <f aca="false">Flights!$K$13</f>
        <v>BC</v>
      </c>
      <c r="G289" s="57" t="s">
        <v>76</v>
      </c>
      <c r="H289" s="57" t="s">
        <v>343</v>
      </c>
      <c r="I289" s="57" t="s">
        <v>370</v>
      </c>
      <c r="J289" s="57" t="s">
        <v>371</v>
      </c>
      <c r="K289" s="67" t="s">
        <v>372</v>
      </c>
      <c r="L289" s="67" t="s">
        <v>347</v>
      </c>
      <c r="M289" s="67"/>
      <c r="N289" s="67" t="s">
        <v>348</v>
      </c>
      <c r="O289" s="67"/>
      <c r="P289" s="57" t="s">
        <v>232</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59" t="n">
        <f aca="false">Q289-T7EarlyD*24/24</f>
        <v>46285.2534722222</v>
      </c>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IF(N289="N/A – rule","N/A – RULE",IF(TRIM(U289)="N/A",IF(AT289=0,"INVALID – N/A not permitted for this mandatory check",IF(AND(TRIM(AC289)&lt;&gt;"",TRIM(AE289)&lt;&gt;"",TRIM(T289)&lt;&gt;"",TRIM(AE289)&lt;&gt;TRIM(T289)),"N/A – JUSTIFIED","INVALID – N/A needs justification, PIC and a different verifier")),IF(OR(TRIM(U289)="Pass",TRIM(U289)="Pass after CA"),IF(NOT(ISNUMBER(AD289)),"INVALID – completion time missing",IF(TRIM(T289)="","INVALID – PIC missing",IF(TRIM(V289)="","INVALID – result / assessment missing",IF(TRIM(Z289)="","INVALID – evidence missing",IF(TRIM(AE289)="","INVALID – verifier missing",IF(TRIM(AE289)=TRIM(T289),"INVALID – verifier must be someone other than the PIC",IF(AND(AQ289=1,TRIM(W289)=""),"INVALID – batch ID missing",IF(AND(AR289=1,OR(NOT(ISNUMBER(X289)),NOT(ISNUMBER(Y289)))),"INVALID – expected/actual qty missing",IF(IF(AND(TRIM(U289)="Pass",ISNUMBER(AF289)),IF(AF289&lt;&gt;0,"INVALID – qty variance: use Fail or Pass after CA",""),"")&amp;IF(AND(TRIM(U289)="Pass",TRIM(AB289)&lt;&gt;"",TRIM(AB289)&lt;&gt;"Closed"),"INVALID – corrective action not closed: use Fail, then Pass after CA","")&amp;IF(AND(TRIM(AA289)&lt;&gt;"",TRIM(AB289)=""),"INVALID – CA status missing for the recorded corrective action","")&amp;IF(AND(TRIM(U289)="Pass after CA",OR(TRIM(AA289)="",TRIM(AB289)&lt;&gt;"Closed")),"INVALID – corrective action not recorded/closed","")&lt;&gt;"",IF(AND(TRIM(U289)="Pass",ISNUMBER(AF289)),IF(AF289&lt;&gt;0,"INVALID – qty variance: use Fail or Pass after CA",""),"")&amp;IF(AND(TRIM(U289)="Pass",TRIM(AB289)&lt;&gt;"",TRIM(AB289)&lt;&gt;"Closed"),"INVALID – corrective action not closed: use Fail, then Pass after CA","")&amp;IF(AND(TRIM(AA289)&lt;&gt;"",TRIM(AB289)=""),"INVALID – CA status missing for the recorded corrective action","")&amp;IF(AND(TRIM(U289)="Pass after CA",OR(TRIM(AA289)="",TRIM(AB289)&lt;&gt;"Closed")),"INVALID – corrective action not recorded/closed",""),IF(AND(AS289=1,Documents!$J$13&lt;&gt;"ON FILE"),"INVALID – GLD not on file (Documents sheet)",IF(AND(AS289=2,Documents!$O$13&lt;&gt;"ON FILE"),"INVALID – menu checklist not on file (Documents sheet)",IF(AND(AS289=3,NOT(ISNUMBER(Flights!$AX$13))),"INVALID – enter carrying flight KUL departure (Flights AX)",IF(AND(AS289=3,OR(Flights!$AX$13&gt;=Flights!$AA$13,Flights!$AX$13&lt;Flights!$AA$13-3)),"INVALID – Flights AX must be before this leg's STD (within 3 days)",IF(AG289&gt;AsOfUTC,"INVALID – completion time is in the future",IF(AND(ISNUMBER(S289),AG289&lt;S289),IF(H289="Physical uplift","INVALID – before uplift window (cannot confirm loading)","INVALID – before valid window"),IF(AG289&gt;Flights!$AA$13,"INVALID – completed after departure (cannot establish readiness)",IF(AND(H289="Physical uplift",AG289&gt;Q289),"INVALID – recorded after the loading flight departed",IF(AG289&gt;Q289,"COMPLETE – LATE","COMPLETE")))))))))))))))))),IF(TRIM(U289)="Fail","FAIL – DISCREPANCY",IF(AND(TRIM(U289)&lt;&gt;"",TRIM(U289)&lt;&gt;"Not started",TRIM(U289)&lt;&gt;"In progress"),"INVALID – unrecognised status (use the list)",IF(AsOfUTC&gt;Q289,"OVERDUE",IF(N289="Clarification required","OPEN – CLARIFICATION","OPEN")))))))</f>
        <v>OPEN</v>
      </c>
      <c r="AI289" s="61" t="n">
        <f aca="false">IF(OR(AH289="N/A – RULE",AH289="N/A – JUSTIFIED"),0,1)</f>
        <v>1</v>
      </c>
      <c r="AJ289" s="61" t="n">
        <f aca="false">IF(LEFT(AH289,8)="COMPLETE",1,0)</f>
        <v>0</v>
      </c>
      <c r="AK289" s="61" t="n">
        <f aca="false">IF(AND(AI289=1,AJ289=0,AsOfUTC&gt;Q289),1,0)</f>
        <v>0</v>
      </c>
      <c r="AL289" s="61" t="n">
        <f aca="false">IF(AND(AI289=1,OR(TRIM(U289)="Fail",AND(TRIM(AB289)&lt;&gt;"",TRIM(AB289)&lt;&gt;"Closed"),AND(ISNUMBER(AF289),AF289&lt;&gt;0,TRIM(U289)&lt;&gt;"Pass after CA"))),1,0)</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row>
    <row r="290" customFormat="false" ht="39.75" hidden="false" customHeight="true" outlineLevel="0" collapsed="false">
      <c r="A290" s="57" t="s">
        <v>829</v>
      </c>
      <c r="B290" s="57" t="s">
        <v>238</v>
      </c>
      <c r="C290" s="57" t="str">
        <f aca="false">Flights!$F$13</f>
        <v>MH0753</v>
      </c>
      <c r="D290" s="58" t="n">
        <f aca="false">Flights!$D$13</f>
        <v>46306</v>
      </c>
      <c r="E290" s="57" t="str">
        <f aca="false">Flights!$G$13&amp;"-"&amp;Flights!$H$13</f>
        <v>HAN-KUL</v>
      </c>
      <c r="F290" s="57" t="str">
        <f aca="false">Flights!$K$13</f>
        <v>BC</v>
      </c>
      <c r="G290" s="57" t="s">
        <v>76</v>
      </c>
      <c r="H290" s="57" t="s">
        <v>343</v>
      </c>
      <c r="I290" s="57" t="s">
        <v>370</v>
      </c>
      <c r="J290" s="57" t="s">
        <v>374</v>
      </c>
      <c r="K290" s="67" t="s">
        <v>372</v>
      </c>
      <c r="L290" s="67" t="s">
        <v>347</v>
      </c>
      <c r="M290" s="67"/>
      <c r="N290" s="67" t="s">
        <v>348</v>
      </c>
      <c r="O290" s="67"/>
      <c r="P290" s="57" t="s">
        <v>232</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59" t="n">
        <f aca="false">Q290-T7EarlyD*24/24</f>
        <v>46285.2534722222</v>
      </c>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IF(N290="N/A – rule","N/A – RULE",IF(TRIM(U290)="N/A",IF(AT290=0,"INVALID – N/A not permitted for this mandatory check",IF(AND(TRIM(AC290)&lt;&gt;"",TRIM(AE290)&lt;&gt;"",TRIM(T290)&lt;&gt;"",TRIM(AE290)&lt;&gt;TRIM(T290)),"N/A – JUSTIFIED","INVALID – N/A needs justification, PIC and a different verifier")),IF(OR(TRIM(U290)="Pass",TRIM(U290)="Pass after CA"),IF(NOT(ISNUMBER(AD290)),"INVALID – completion time missing",IF(TRIM(T290)="","INVALID – PIC missing",IF(TRIM(V290)="","INVALID – result / assessment missing",IF(TRIM(Z290)="","INVALID – evidence missing",IF(TRIM(AE290)="","INVALID – verifier missing",IF(TRIM(AE290)=TRIM(T290),"INVALID – verifier must be someone other than the PIC",IF(AND(AQ290=1,TRIM(W290)=""),"INVALID – batch ID missing",IF(AND(AR290=1,OR(NOT(ISNUMBER(X290)),NOT(ISNUMBER(Y290)))),"INVALID – expected/actual qty missing",IF(IF(AND(TRIM(U290)="Pass",ISNUMBER(AF290)),IF(AF290&lt;&gt;0,"INVALID – qty variance: use Fail or Pass after CA",""),"")&amp;IF(AND(TRIM(U290)="Pass",TRIM(AB290)&lt;&gt;"",TRIM(AB290)&lt;&gt;"Closed"),"INVALID – corrective action not closed: use Fail, then Pass after CA","")&amp;IF(AND(TRIM(AA290)&lt;&gt;"",TRIM(AB290)=""),"INVALID – CA status missing for the recorded corrective action","")&amp;IF(AND(TRIM(U290)="Pass after CA",OR(TRIM(AA290)="",TRIM(AB290)&lt;&gt;"Closed")),"INVALID – corrective action not recorded/closed","")&lt;&gt;"",IF(AND(TRIM(U290)="Pass",ISNUMBER(AF290)),IF(AF290&lt;&gt;0,"INVALID – qty variance: use Fail or Pass after CA",""),"")&amp;IF(AND(TRIM(U290)="Pass",TRIM(AB290)&lt;&gt;"",TRIM(AB290)&lt;&gt;"Closed"),"INVALID – corrective action not closed: use Fail, then Pass after CA","")&amp;IF(AND(TRIM(AA290)&lt;&gt;"",TRIM(AB290)=""),"INVALID – CA status missing for the recorded corrective action","")&amp;IF(AND(TRIM(U290)="Pass after CA",OR(TRIM(AA290)="",TRIM(AB290)&lt;&gt;"Closed")),"INVALID – corrective action not recorded/closed",""),IF(AND(AS290=1,Documents!$J$13&lt;&gt;"ON FILE"),"INVALID – GLD not on file (Documents sheet)",IF(AND(AS290=2,Documents!$O$13&lt;&gt;"ON FILE"),"INVALID – menu checklist not on file (Documents sheet)",IF(AND(AS290=3,NOT(ISNUMBER(Flights!$AX$13))),"INVALID – enter carrying flight KUL departure (Flights AX)",IF(AND(AS290=3,OR(Flights!$AX$13&gt;=Flights!$AA$13,Flights!$AX$13&lt;Flights!$AA$13-3)),"INVALID – Flights AX must be before this leg's STD (within 3 days)",IF(AG290&gt;AsOfUTC,"INVALID – completion time is in the future",IF(AND(ISNUMBER(S290),AG290&lt;S290),IF(H290="Physical uplift","INVALID – before uplift window (cannot confirm loading)","INVALID – before valid window"),IF(AG290&gt;Flights!$AA$13,"INVALID – completed after departure (cannot establish readiness)",IF(AND(H290="Physical uplift",AG290&gt;Q290),"INVALID – recorded after the loading flight departed",IF(AG290&gt;Q290,"COMPLETE – LATE","COMPLETE")))))))))))))))))),IF(TRIM(U290)="Fail","FAIL – DISCREPANCY",IF(AND(TRIM(U290)&lt;&gt;"",TRIM(U290)&lt;&gt;"Not started",TRIM(U290)&lt;&gt;"In progress"),"INVALID – unrecognised status (use the list)",IF(AsOfUTC&gt;Q290,"OVERDUE",IF(N290="Clarification required","OPEN – CLARIFICATION","OPEN")))))))</f>
        <v>OPEN</v>
      </c>
      <c r="AI290" s="61" t="n">
        <f aca="false">IF(OR(AH290="N/A – RULE",AH290="N/A – JUSTIFIED"),0,1)</f>
        <v>1</v>
      </c>
      <c r="AJ290" s="61" t="n">
        <f aca="false">IF(LEFT(AH290,8)="COMPLETE",1,0)</f>
        <v>0</v>
      </c>
      <c r="AK290" s="61" t="n">
        <f aca="false">IF(AND(AI290=1,AJ290=0,AsOfUTC&gt;Q290),1,0)</f>
        <v>0</v>
      </c>
      <c r="AL290" s="61" t="n">
        <f aca="false">IF(AND(AI290=1,OR(TRIM(U290)="Fail",AND(TRIM(AB290)&lt;&gt;"",TRIM(AB290)&lt;&gt;"Closed"),AND(ISNUMBER(AF290),AF290&lt;&gt;0,TRIM(U290)&lt;&gt;"Pass after CA"))),1,0)</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row>
    <row r="291" customFormat="false" ht="39.75" hidden="false" customHeight="true" outlineLevel="0" collapsed="false">
      <c r="A291" s="57" t="s">
        <v>830</v>
      </c>
      <c r="B291" s="57" t="s">
        <v>238</v>
      </c>
      <c r="C291" s="57" t="str">
        <f aca="false">Flights!$F$13</f>
        <v>MH0753</v>
      </c>
      <c r="D291" s="58" t="n">
        <f aca="false">Flights!$D$13</f>
        <v>46306</v>
      </c>
      <c r="E291" s="57" t="str">
        <f aca="false">Flights!$G$13&amp;"-"&amp;Flights!$H$13</f>
        <v>HAN-KUL</v>
      </c>
      <c r="F291" s="57" t="str">
        <f aca="false">Flights!$K$13</f>
        <v>BC</v>
      </c>
      <c r="G291" s="57" t="s">
        <v>76</v>
      </c>
      <c r="H291" s="57" t="s">
        <v>343</v>
      </c>
      <c r="I291" s="57" t="s">
        <v>376</v>
      </c>
      <c r="J291" s="57" t="s">
        <v>377</v>
      </c>
      <c r="K291" s="67" t="s">
        <v>831</v>
      </c>
      <c r="L291" s="67" t="s">
        <v>808</v>
      </c>
      <c r="M291" s="67"/>
      <c r="N291" s="67" t="s">
        <v>348</v>
      </c>
      <c r="O291" s="67"/>
      <c r="P291" s="57" t="s">
        <v>232</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59" t="n">
        <f aca="false">Q291-T7EarlyD*24/24</f>
        <v>46285.2534722222</v>
      </c>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IF(N291="N/A – rule","N/A – RULE",IF(TRIM(U291)="N/A",IF(AT291=0,"INVALID – N/A not permitted for this mandatory check",IF(AND(TRIM(AC291)&lt;&gt;"",TRIM(AE291)&lt;&gt;"",TRIM(T291)&lt;&gt;"",TRIM(AE291)&lt;&gt;TRIM(T291)),"N/A – JUSTIFIED","INVALID – N/A needs justification, PIC and a different verifier")),IF(OR(TRIM(U291)="Pass",TRIM(U291)="Pass after CA"),IF(NOT(ISNUMBER(AD291)),"INVALID – completion time missing",IF(TRIM(T291)="","INVALID – PIC missing",IF(TRIM(V291)="","INVALID – result / assessment missing",IF(TRIM(Z291)="","INVALID – evidence missing",IF(TRIM(AE291)="","INVALID – verifier missing",IF(TRIM(AE291)=TRIM(T291),"INVALID – verifier must be someone other than the PIC",IF(AND(AQ291=1,TRIM(W291)=""),"INVALID – batch ID missing",IF(AND(AR291=1,OR(NOT(ISNUMBER(X291)),NOT(ISNUMBER(Y291)))),"INVALID – expected/actual qty missing",IF(IF(AND(TRIM(U291)="Pass",ISNUMBER(AF291)),IF(AF291&lt;&gt;0,"INVALID – qty variance: use Fail or Pass after CA",""),"")&amp;IF(AND(TRIM(U291)="Pass",TRIM(AB291)&lt;&gt;"",TRIM(AB291)&lt;&gt;"Closed"),"INVALID – corrective action not closed: use Fail, then Pass after CA","")&amp;IF(AND(TRIM(AA291)&lt;&gt;"",TRIM(AB291)=""),"INVALID – CA status missing for the recorded corrective action","")&amp;IF(AND(TRIM(U291)="Pass after CA",OR(TRIM(AA291)="",TRIM(AB291)&lt;&gt;"Closed")),"INVALID – corrective action not recorded/closed","")&lt;&gt;"",IF(AND(TRIM(U291)="Pass",ISNUMBER(AF291)),IF(AF291&lt;&gt;0,"INVALID – qty variance: use Fail or Pass after CA",""),"")&amp;IF(AND(TRIM(U291)="Pass",TRIM(AB291)&lt;&gt;"",TRIM(AB291)&lt;&gt;"Closed"),"INVALID – corrective action not closed: use Fail, then Pass after CA","")&amp;IF(AND(TRIM(AA291)&lt;&gt;"",TRIM(AB291)=""),"INVALID – CA status missing for the recorded corrective action","")&amp;IF(AND(TRIM(U291)="Pass after CA",OR(TRIM(AA291)="",TRIM(AB291)&lt;&gt;"Closed")),"INVALID – corrective action not recorded/closed",""),IF(AND(AS291=1,Documents!$J$13&lt;&gt;"ON FILE"),"INVALID – GLD not on file (Documents sheet)",IF(AND(AS291=2,Documents!$O$13&lt;&gt;"ON FILE"),"INVALID – menu checklist not on file (Documents sheet)",IF(AND(AS291=3,NOT(ISNUMBER(Flights!$AX$13))),"INVALID – enter carrying flight KUL departure (Flights AX)",IF(AND(AS291=3,OR(Flights!$AX$13&gt;=Flights!$AA$13,Flights!$AX$13&lt;Flights!$AA$13-3)),"INVALID – Flights AX must be before this leg's STD (within 3 days)",IF(AG291&gt;AsOfUTC,"INVALID – completion time is in the future",IF(AND(ISNUMBER(S291),AG291&lt;S291),IF(H291="Physical uplift","INVALID – before uplift window (cannot confirm loading)","INVALID – before valid window"),IF(AG291&gt;Flights!$AA$13,"INVALID – completed after departure (cannot establish readiness)",IF(AND(H291="Physical uplift",AG291&gt;Q291),"INVALID – recorded after the loading flight departed",IF(AG291&gt;Q291,"COMPLETE – LATE","COMPLETE")))))))))))))))))),IF(TRIM(U291)="Fail","FAIL – DISCREPANCY",IF(AND(TRIM(U291)&lt;&gt;"",TRIM(U291)&lt;&gt;"Not started",TRIM(U291)&lt;&gt;"In progress"),"INVALID – unrecognised status (use the list)",IF(AsOfUTC&gt;Q291,"OVERDUE",IF(N291="Clarification required","OPEN – CLARIFICATION","OPEN")))))))</f>
        <v>OPEN</v>
      </c>
      <c r="AI291" s="61" t="n">
        <f aca="false">IF(OR(AH291="N/A – RULE",AH291="N/A – JUSTIFIED"),0,1)</f>
        <v>1</v>
      </c>
      <c r="AJ291" s="61" t="n">
        <f aca="false">IF(LEFT(AH291,8)="COMPLETE",1,0)</f>
        <v>0</v>
      </c>
      <c r="AK291" s="61" t="n">
        <f aca="false">IF(AND(AI291=1,AJ291=0,AsOfUTC&gt;Q291),1,0)</f>
        <v>0</v>
      </c>
      <c r="AL291" s="61" t="n">
        <f aca="false">IF(AND(AI291=1,OR(TRIM(U291)="Fail",AND(TRIM(AB291)&lt;&gt;"",TRIM(AB291)&lt;&gt;"Closed"),AND(ISNUMBER(AF291),AF291&lt;&gt;0,TRIM(U291)&lt;&gt;"Pass after CA"))),1,0)</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row>
    <row r="292" customFormat="false" ht="39.75" hidden="false" customHeight="true" outlineLevel="0" collapsed="false">
      <c r="A292" s="57" t="s">
        <v>832</v>
      </c>
      <c r="B292" s="57" t="s">
        <v>238</v>
      </c>
      <c r="C292" s="57" t="str">
        <f aca="false">Flights!$F$13</f>
        <v>MH0753</v>
      </c>
      <c r="D292" s="58" t="n">
        <f aca="false">Flights!$D$13</f>
        <v>46306</v>
      </c>
      <c r="E292" s="57" t="str">
        <f aca="false">Flights!$G$13&amp;"-"&amp;Flights!$H$13</f>
        <v>HAN-KUL</v>
      </c>
      <c r="F292" s="57" t="str">
        <f aca="false">Flights!$K$13</f>
        <v>BC</v>
      </c>
      <c r="G292" s="57" t="s">
        <v>78</v>
      </c>
      <c r="H292" s="57" t="s">
        <v>343</v>
      </c>
      <c r="I292" s="57" t="s">
        <v>344</v>
      </c>
      <c r="J292" s="57" t="s">
        <v>381</v>
      </c>
      <c r="K292" s="67" t="s">
        <v>382</v>
      </c>
      <c r="L292" s="67" t="s">
        <v>383</v>
      </c>
      <c r="M292" s="67"/>
      <c r="N292" s="67" t="s">
        <v>348</v>
      </c>
      <c r="O292" s="67"/>
      <c r="P292" s="57" t="s">
        <v>232</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59" t="n">
        <f aca="false">Q292-T24EarlyH/24</f>
        <v>46304.2534722222</v>
      </c>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IF(N292="N/A – rule","N/A – RULE",IF(TRIM(U292)="N/A",IF(AT292=0,"INVALID – N/A not permitted for this mandatory check",IF(AND(TRIM(AC292)&lt;&gt;"",TRIM(AE292)&lt;&gt;"",TRIM(T292)&lt;&gt;"",TRIM(AE292)&lt;&gt;TRIM(T292)),"N/A – JUSTIFIED","INVALID – N/A needs justification, PIC and a different verifier")),IF(OR(TRIM(U292)="Pass",TRIM(U292)="Pass after CA"),IF(NOT(ISNUMBER(AD292)),"INVALID – completion time missing",IF(TRIM(T292)="","INVALID – PIC missing",IF(TRIM(V292)="","INVALID – result / assessment missing",IF(TRIM(Z292)="","INVALID – evidence missing",IF(TRIM(AE292)="","INVALID – verifier missing",IF(TRIM(AE292)=TRIM(T292),"INVALID – verifier must be someone other than the PIC",IF(AND(AQ292=1,TRIM(W292)=""),"INVALID – batch ID missing",IF(AND(AR292=1,OR(NOT(ISNUMBER(X292)),NOT(ISNUMBER(Y292)))),"INVALID – expected/actual qty missing",IF(IF(AND(TRIM(U292)="Pass",ISNUMBER(AF292)),IF(AF292&lt;&gt;0,"INVALID – qty variance: use Fail or Pass after CA",""),"")&amp;IF(AND(TRIM(U292)="Pass",TRIM(AB292)&lt;&gt;"",TRIM(AB292)&lt;&gt;"Closed"),"INVALID – corrective action not closed: use Fail, then Pass after CA","")&amp;IF(AND(TRIM(AA292)&lt;&gt;"",TRIM(AB292)=""),"INVALID – CA status missing for the recorded corrective action","")&amp;IF(AND(TRIM(U292)="Pass after CA",OR(TRIM(AA292)="",TRIM(AB292)&lt;&gt;"Closed")),"INVALID – corrective action not recorded/closed","")&lt;&gt;"",IF(AND(TRIM(U292)="Pass",ISNUMBER(AF292)),IF(AF292&lt;&gt;0,"INVALID – qty variance: use Fail or Pass after CA",""),"")&amp;IF(AND(TRIM(U292)="Pass",TRIM(AB292)&lt;&gt;"",TRIM(AB292)&lt;&gt;"Closed"),"INVALID – corrective action not closed: use Fail, then Pass after CA","")&amp;IF(AND(TRIM(AA292)&lt;&gt;"",TRIM(AB292)=""),"INVALID – CA status missing for the recorded corrective action","")&amp;IF(AND(TRIM(U292)="Pass after CA",OR(TRIM(AA292)="",TRIM(AB292)&lt;&gt;"Closed")),"INVALID – corrective action not recorded/closed",""),IF(AND(AS292=1,Documents!$J$13&lt;&gt;"ON FILE"),"INVALID – GLD not on file (Documents sheet)",IF(AND(AS292=2,Documents!$O$13&lt;&gt;"ON FILE"),"INVALID – menu checklist not on file (Documents sheet)",IF(AND(AS292=3,NOT(ISNUMBER(Flights!$AX$13))),"INVALID – enter carrying flight KUL departure (Flights AX)",IF(AND(AS292=3,OR(Flights!$AX$13&gt;=Flights!$AA$13,Flights!$AX$13&lt;Flights!$AA$13-3)),"INVALID – Flights AX must be before this leg's STD (within 3 days)",IF(AG292&gt;AsOfUTC,"INVALID – completion time is in the future",IF(AND(ISNUMBER(S292),AG292&lt;S292),IF(H292="Physical uplift","INVALID – before uplift window (cannot confirm loading)","INVALID – before valid window"),IF(AG292&gt;Flights!$AA$13,"INVALID – completed after departure (cannot establish readiness)",IF(AND(H292="Physical uplift",AG292&gt;Q292),"INVALID – recorded after the loading flight departed",IF(AG292&gt;Q292,"COMPLETE – LATE","COMPLETE")))))))))))))))))),IF(TRIM(U292)="Fail","FAIL – DISCREPANCY",IF(AND(TRIM(U292)&lt;&gt;"",TRIM(U292)&lt;&gt;"Not started",TRIM(U292)&lt;&gt;"In progress"),"INVALID – unrecognised status (use the list)",IF(AsOfUTC&gt;Q292,"OVERDUE",IF(N292="Clarification required","OPEN – CLARIFICATION","OPEN")))))))</f>
        <v>OPEN</v>
      </c>
      <c r="AI292" s="61" t="n">
        <f aca="false">IF(OR(AH292="N/A – RULE",AH292="N/A – JUSTIFIED"),0,1)</f>
        <v>1</v>
      </c>
      <c r="AJ292" s="61" t="n">
        <f aca="false">IF(LEFT(AH292,8)="COMPLETE",1,0)</f>
        <v>0</v>
      </c>
      <c r="AK292" s="61" t="n">
        <f aca="false">IF(AND(AI292=1,AJ292=0,AsOfUTC&gt;Q292),1,0)</f>
        <v>0</v>
      </c>
      <c r="AL292" s="61" t="n">
        <f aca="false">IF(AND(AI292=1,OR(TRIM(U292)="Fail",AND(TRIM(AB292)&lt;&gt;"",TRIM(AB292)&lt;&gt;"Closed"),AND(ISNUMBER(AF292),AF292&lt;&gt;0,TRIM(U292)&lt;&gt;"Pass after CA"))),1,0)</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row>
    <row r="293" customFormat="false" ht="39.75" hidden="false" customHeight="true" outlineLevel="0" collapsed="false">
      <c r="A293" s="57" t="s">
        <v>833</v>
      </c>
      <c r="B293" s="57" t="s">
        <v>238</v>
      </c>
      <c r="C293" s="57" t="str">
        <f aca="false">Flights!$F$13</f>
        <v>MH0753</v>
      </c>
      <c r="D293" s="58" t="n">
        <f aca="false">Flights!$D$13</f>
        <v>46306</v>
      </c>
      <c r="E293" s="57" t="str">
        <f aca="false">Flights!$G$13&amp;"-"&amp;Flights!$H$13</f>
        <v>HAN-KUL</v>
      </c>
      <c r="F293" s="57" t="str">
        <f aca="false">Flights!$K$13</f>
        <v>BC</v>
      </c>
      <c r="G293" s="57" t="s">
        <v>385</v>
      </c>
      <c r="H293" s="57" t="s">
        <v>343</v>
      </c>
      <c r="I293" s="57" t="s">
        <v>344</v>
      </c>
      <c r="J293" s="57" t="s">
        <v>386</v>
      </c>
      <c r="K293" s="67"/>
      <c r="L293" s="67" t="s">
        <v>387</v>
      </c>
      <c r="M293" s="67"/>
      <c r="N293" s="67" t="s">
        <v>348</v>
      </c>
      <c r="O293" s="67" t="s">
        <v>388</v>
      </c>
      <c r="P293" s="57" t="s">
        <v>232</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59" t="n">
        <f aca="false">Q293-T12EarlyH/24</f>
        <v>46305.2534722222</v>
      </c>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IF(N293="N/A – rule","N/A – RULE",IF(TRIM(U293)="N/A",IF(AT293=0,"INVALID – N/A not permitted for this mandatory check",IF(AND(TRIM(AC293)&lt;&gt;"",TRIM(AE293)&lt;&gt;"",TRIM(T293)&lt;&gt;"",TRIM(AE293)&lt;&gt;TRIM(T293)),"N/A – JUSTIFIED","INVALID – N/A needs justification, PIC and a different verifier")),IF(OR(TRIM(U293)="Pass",TRIM(U293)="Pass after CA"),IF(NOT(ISNUMBER(AD293)),"INVALID – completion time missing",IF(TRIM(T293)="","INVALID – PIC missing",IF(TRIM(V293)="","INVALID – result / assessment missing",IF(TRIM(Z293)="","INVALID – evidence missing",IF(TRIM(AE293)="","INVALID – verifier missing",IF(TRIM(AE293)=TRIM(T293),"INVALID – verifier must be someone other than the PIC",IF(AND(AQ293=1,TRIM(W293)=""),"INVALID – batch ID missing",IF(AND(AR293=1,OR(NOT(ISNUMBER(X293)),NOT(ISNUMBER(Y293)))),"INVALID – expected/actual qty missing",IF(IF(AND(TRIM(U293)="Pass",ISNUMBER(AF293)),IF(AF293&lt;&gt;0,"INVALID – qty variance: use Fail or Pass after CA",""),"")&amp;IF(AND(TRIM(U293)="Pass",TRIM(AB293)&lt;&gt;"",TRIM(AB293)&lt;&gt;"Closed"),"INVALID – corrective action not closed: use Fail, then Pass after CA","")&amp;IF(AND(TRIM(AA293)&lt;&gt;"",TRIM(AB293)=""),"INVALID – CA status missing for the recorded corrective action","")&amp;IF(AND(TRIM(U293)="Pass after CA",OR(TRIM(AA293)="",TRIM(AB293)&lt;&gt;"Closed")),"INVALID – corrective action not recorded/closed","")&lt;&gt;"",IF(AND(TRIM(U293)="Pass",ISNUMBER(AF293)),IF(AF293&lt;&gt;0,"INVALID – qty variance: use Fail or Pass after CA",""),"")&amp;IF(AND(TRIM(U293)="Pass",TRIM(AB293)&lt;&gt;"",TRIM(AB293)&lt;&gt;"Closed"),"INVALID – corrective action not closed: use Fail, then Pass after CA","")&amp;IF(AND(TRIM(AA293)&lt;&gt;"",TRIM(AB293)=""),"INVALID – CA status missing for the recorded corrective action","")&amp;IF(AND(TRIM(U293)="Pass after CA",OR(TRIM(AA293)="",TRIM(AB293)&lt;&gt;"Closed")),"INVALID – corrective action not recorded/closed",""),IF(AND(AS293=1,Documents!$J$13&lt;&gt;"ON FILE"),"INVALID – GLD not on file (Documents sheet)",IF(AND(AS293=2,Documents!$O$13&lt;&gt;"ON FILE"),"INVALID – menu checklist not on file (Documents sheet)",IF(AND(AS293=3,NOT(ISNUMBER(Flights!$AX$13))),"INVALID – enter carrying flight KUL departure (Flights AX)",IF(AND(AS293=3,OR(Flights!$AX$13&gt;=Flights!$AA$13,Flights!$AX$13&lt;Flights!$AA$13-3)),"INVALID – Flights AX must be before this leg's STD (within 3 days)",IF(AG293&gt;AsOfUTC,"INVALID – completion time is in the future",IF(AND(ISNUMBER(S293),AG293&lt;S293),IF(H293="Physical uplift","INVALID – before uplift window (cannot confirm loading)","INVALID – before valid window"),IF(AG293&gt;Flights!$AA$13,"INVALID – completed after departure (cannot establish readiness)",IF(AND(H293="Physical uplift",AG293&gt;Q293),"INVALID – recorded after the loading flight departed",IF(AG293&gt;Q293,"COMPLETE – LATE","COMPLETE")))))))))))))))))),IF(TRIM(U293)="Fail","FAIL – DISCREPANCY",IF(AND(TRIM(U293)&lt;&gt;"",TRIM(U293)&lt;&gt;"Not started",TRIM(U293)&lt;&gt;"In progress"),"INVALID – unrecognised status (use the list)",IF(AsOfUTC&gt;Q293,"OVERDUE",IF(N293="Clarification required","OPEN – CLARIFICATION","OPEN")))))))</f>
        <v>OPEN</v>
      </c>
      <c r="AI293" s="61" t="n">
        <f aca="false">IF(OR(AH293="N/A – RULE",AH293="N/A – JUSTIFIED"),0,1)</f>
        <v>1</v>
      </c>
      <c r="AJ293" s="61" t="n">
        <f aca="false">IF(LEFT(AH293,8)="COMPLETE",1,0)</f>
        <v>0</v>
      </c>
      <c r="AK293" s="61" t="n">
        <f aca="false">IF(AND(AI293=1,AJ293=0,AsOfUTC&gt;Q293),1,0)</f>
        <v>0</v>
      </c>
      <c r="AL293" s="61" t="n">
        <f aca="false">IF(AND(AI293=1,OR(TRIM(U293)="Fail",AND(TRIM(AB293)&lt;&gt;"",TRIM(AB293)&lt;&gt;"Closed"),AND(ISNUMBER(AF293),AF293&lt;&gt;0,TRIM(U293)&lt;&gt;"Pass after CA"))),1,0)</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row>
    <row r="294" customFormat="false" ht="39.75" hidden="false" customHeight="true" outlineLevel="0" collapsed="false">
      <c r="A294" s="57" t="s">
        <v>834</v>
      </c>
      <c r="B294" s="57" t="s">
        <v>238</v>
      </c>
      <c r="C294" s="57" t="str">
        <f aca="false">Flights!$F$13</f>
        <v>MH0753</v>
      </c>
      <c r="D294" s="58" t="n">
        <f aca="false">Flights!$D$13</f>
        <v>46306</v>
      </c>
      <c r="E294" s="57" t="str">
        <f aca="false">Flights!$G$13&amp;"-"&amp;Flights!$H$13</f>
        <v>HAN-KUL</v>
      </c>
      <c r="F294" s="57" t="str">
        <f aca="false">Flights!$K$13</f>
        <v>BC</v>
      </c>
      <c r="G294" s="57" t="s">
        <v>385</v>
      </c>
      <c r="H294" s="57" t="s">
        <v>343</v>
      </c>
      <c r="I294" s="57" t="s">
        <v>344</v>
      </c>
      <c r="J294" s="57" t="s">
        <v>390</v>
      </c>
      <c r="K294" s="67" t="s">
        <v>391</v>
      </c>
      <c r="L294" s="67" t="s">
        <v>387</v>
      </c>
      <c r="M294" s="67"/>
      <c r="N294" s="67" t="s">
        <v>348</v>
      </c>
      <c r="O294" s="67" t="s">
        <v>388</v>
      </c>
      <c r="P294" s="57" t="s">
        <v>232</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59" t="n">
        <f aca="false">Q294-T12EarlyH/24</f>
        <v>46305.2534722222</v>
      </c>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IF(N294="N/A – rule","N/A – RULE",IF(TRIM(U294)="N/A",IF(AT294=0,"INVALID – N/A not permitted for this mandatory check",IF(AND(TRIM(AC294)&lt;&gt;"",TRIM(AE294)&lt;&gt;"",TRIM(T294)&lt;&gt;"",TRIM(AE294)&lt;&gt;TRIM(T294)),"N/A – JUSTIFIED","INVALID – N/A needs justification, PIC and a different verifier")),IF(OR(TRIM(U294)="Pass",TRIM(U294)="Pass after CA"),IF(NOT(ISNUMBER(AD294)),"INVALID – completion time missing",IF(TRIM(T294)="","INVALID – PIC missing",IF(TRIM(V294)="","INVALID – result / assessment missing",IF(TRIM(Z294)="","INVALID – evidence missing",IF(TRIM(AE294)="","INVALID – verifier missing",IF(TRIM(AE294)=TRIM(T294),"INVALID – verifier must be someone other than the PIC",IF(AND(AQ294=1,TRIM(W294)=""),"INVALID – batch ID missing",IF(AND(AR294=1,OR(NOT(ISNUMBER(X294)),NOT(ISNUMBER(Y294)))),"INVALID – expected/actual qty missing",IF(IF(AND(TRIM(U294)="Pass",ISNUMBER(AF294)),IF(AF294&lt;&gt;0,"INVALID – qty variance: use Fail or Pass after CA",""),"")&amp;IF(AND(TRIM(U294)="Pass",TRIM(AB294)&lt;&gt;"",TRIM(AB294)&lt;&gt;"Closed"),"INVALID – corrective action not closed: use Fail, then Pass after CA","")&amp;IF(AND(TRIM(AA294)&lt;&gt;"",TRIM(AB294)=""),"INVALID – CA status missing for the recorded corrective action","")&amp;IF(AND(TRIM(U294)="Pass after CA",OR(TRIM(AA294)="",TRIM(AB294)&lt;&gt;"Closed")),"INVALID – corrective action not recorded/closed","")&lt;&gt;"",IF(AND(TRIM(U294)="Pass",ISNUMBER(AF294)),IF(AF294&lt;&gt;0,"INVALID – qty variance: use Fail or Pass after CA",""),"")&amp;IF(AND(TRIM(U294)="Pass",TRIM(AB294)&lt;&gt;"",TRIM(AB294)&lt;&gt;"Closed"),"INVALID – corrective action not closed: use Fail, then Pass after CA","")&amp;IF(AND(TRIM(AA294)&lt;&gt;"",TRIM(AB294)=""),"INVALID – CA status missing for the recorded corrective action","")&amp;IF(AND(TRIM(U294)="Pass after CA",OR(TRIM(AA294)="",TRIM(AB294)&lt;&gt;"Closed")),"INVALID – corrective action not recorded/closed",""),IF(AND(AS294=1,Documents!$J$13&lt;&gt;"ON FILE"),"INVALID – GLD not on file (Documents sheet)",IF(AND(AS294=2,Documents!$O$13&lt;&gt;"ON FILE"),"INVALID – menu checklist not on file (Documents sheet)",IF(AND(AS294=3,NOT(ISNUMBER(Flights!$AX$13))),"INVALID – enter carrying flight KUL departure (Flights AX)",IF(AND(AS294=3,OR(Flights!$AX$13&gt;=Flights!$AA$13,Flights!$AX$13&lt;Flights!$AA$13-3)),"INVALID – Flights AX must be before this leg's STD (within 3 days)",IF(AG294&gt;AsOfUTC,"INVALID – completion time is in the future",IF(AND(ISNUMBER(S294),AG294&lt;S294),IF(H294="Physical uplift","INVALID – before uplift window (cannot confirm loading)","INVALID – before valid window"),IF(AG294&gt;Flights!$AA$13,"INVALID – completed after departure (cannot establish readiness)",IF(AND(H294="Physical uplift",AG294&gt;Q294),"INVALID – recorded after the loading flight departed",IF(AG294&gt;Q294,"COMPLETE – LATE","COMPLETE")))))))))))))))))),IF(TRIM(U294)="Fail","FAIL – DISCREPANCY",IF(AND(TRIM(U294)&lt;&gt;"",TRIM(U294)&lt;&gt;"Not started",TRIM(U294)&lt;&gt;"In progress"),"INVALID – unrecognised status (use the list)",IF(AsOfUTC&gt;Q294,"OVERDUE",IF(N294="Clarification required","OPEN – CLARIFICATION","OPEN")))))))</f>
        <v>OPEN</v>
      </c>
      <c r="AI294" s="61" t="n">
        <f aca="false">IF(OR(AH294="N/A – RULE",AH294="N/A – JUSTIFIED"),0,1)</f>
        <v>1</v>
      </c>
      <c r="AJ294" s="61" t="n">
        <f aca="false">IF(LEFT(AH294,8)="COMPLETE",1,0)</f>
        <v>0</v>
      </c>
      <c r="AK294" s="61" t="n">
        <f aca="false">IF(AND(AI294=1,AJ294=0,AsOfUTC&gt;Q294),1,0)</f>
        <v>0</v>
      </c>
      <c r="AL294" s="61" t="n">
        <f aca="false">IF(AND(AI294=1,OR(TRIM(U294)="Fail",AND(TRIM(AB294)&lt;&gt;"",TRIM(AB294)&lt;&gt;"Closed"),AND(ISNUMBER(AF294),AF294&lt;&gt;0,TRIM(U294)&lt;&gt;"Pass after CA"))),1,0)</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row>
    <row r="295" customFormat="false" ht="39.75" hidden="false" customHeight="true" outlineLevel="0" collapsed="false">
      <c r="A295" s="57" t="s">
        <v>835</v>
      </c>
      <c r="B295" s="57" t="s">
        <v>238</v>
      </c>
      <c r="C295" s="57" t="str">
        <f aca="false">Flights!$F$13</f>
        <v>MH0753</v>
      </c>
      <c r="D295" s="58" t="n">
        <f aca="false">Flights!$D$13</f>
        <v>46306</v>
      </c>
      <c r="E295" s="57" t="str">
        <f aca="false">Flights!$G$13&amp;"-"&amp;Flights!$H$13</f>
        <v>HAN-KUL</v>
      </c>
      <c r="F295" s="57" t="str">
        <f aca="false">Flights!$K$13</f>
        <v>BC</v>
      </c>
      <c r="G295" s="57" t="s">
        <v>385</v>
      </c>
      <c r="H295" s="57" t="s">
        <v>343</v>
      </c>
      <c r="I295" s="57" t="s">
        <v>393</v>
      </c>
      <c r="J295" s="57" t="s">
        <v>394</v>
      </c>
      <c r="K295" s="67"/>
      <c r="L295" s="67" t="s">
        <v>387</v>
      </c>
      <c r="M295" s="67"/>
      <c r="N295" s="67" t="s">
        <v>348</v>
      </c>
      <c r="O295" s="67" t="s">
        <v>388</v>
      </c>
      <c r="P295" s="57" t="s">
        <v>232</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59" t="n">
        <f aca="false">Q295-T12EarlyH/24</f>
        <v>46305.2534722222</v>
      </c>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IF(N295="N/A – rule","N/A – RULE",IF(TRIM(U295)="N/A",IF(AT295=0,"INVALID – N/A not permitted for this mandatory check",IF(AND(TRIM(AC295)&lt;&gt;"",TRIM(AE295)&lt;&gt;"",TRIM(T295)&lt;&gt;"",TRIM(AE295)&lt;&gt;TRIM(T295)),"N/A – JUSTIFIED","INVALID – N/A needs justification, PIC and a different verifier")),IF(OR(TRIM(U295)="Pass",TRIM(U295)="Pass after CA"),IF(NOT(ISNUMBER(AD295)),"INVALID – completion time missing",IF(TRIM(T295)="","INVALID – PIC missing",IF(TRIM(V295)="","INVALID – result / assessment missing",IF(TRIM(Z295)="","INVALID – evidence missing",IF(TRIM(AE295)="","INVALID – verifier missing",IF(TRIM(AE295)=TRIM(T295),"INVALID – verifier must be someone other than the PIC",IF(AND(AQ295=1,TRIM(W295)=""),"INVALID – batch ID missing",IF(AND(AR295=1,OR(NOT(ISNUMBER(X295)),NOT(ISNUMBER(Y295)))),"INVALID – expected/actual qty missing",IF(IF(AND(TRIM(U295)="Pass",ISNUMBER(AF295)),IF(AF295&lt;&gt;0,"INVALID – qty variance: use Fail or Pass after CA",""),"")&amp;IF(AND(TRIM(U295)="Pass",TRIM(AB295)&lt;&gt;"",TRIM(AB295)&lt;&gt;"Closed"),"INVALID – corrective action not closed: use Fail, then Pass after CA","")&amp;IF(AND(TRIM(AA295)&lt;&gt;"",TRIM(AB295)=""),"INVALID – CA status missing for the recorded corrective action","")&amp;IF(AND(TRIM(U295)="Pass after CA",OR(TRIM(AA295)="",TRIM(AB295)&lt;&gt;"Closed")),"INVALID – corrective action not recorded/closed","")&lt;&gt;"",IF(AND(TRIM(U295)="Pass",ISNUMBER(AF295)),IF(AF295&lt;&gt;0,"INVALID – qty variance: use Fail or Pass after CA",""),"")&amp;IF(AND(TRIM(U295)="Pass",TRIM(AB295)&lt;&gt;"",TRIM(AB295)&lt;&gt;"Closed"),"INVALID – corrective action not closed: use Fail, then Pass after CA","")&amp;IF(AND(TRIM(AA295)&lt;&gt;"",TRIM(AB295)=""),"INVALID – CA status missing for the recorded corrective action","")&amp;IF(AND(TRIM(U295)="Pass after CA",OR(TRIM(AA295)="",TRIM(AB295)&lt;&gt;"Closed")),"INVALID – corrective action not recorded/closed",""),IF(AND(AS295=1,Documents!$J$13&lt;&gt;"ON FILE"),"INVALID – GLD not on file (Documents sheet)",IF(AND(AS295=2,Documents!$O$13&lt;&gt;"ON FILE"),"INVALID – menu checklist not on file (Documents sheet)",IF(AND(AS295=3,NOT(ISNUMBER(Flights!$AX$13))),"INVALID – enter carrying flight KUL departure (Flights AX)",IF(AND(AS295=3,OR(Flights!$AX$13&gt;=Flights!$AA$13,Flights!$AX$13&lt;Flights!$AA$13-3)),"INVALID – Flights AX must be before this leg's STD (within 3 days)",IF(AG295&gt;AsOfUTC,"INVALID – completion time is in the future",IF(AND(ISNUMBER(S295),AG295&lt;S295),IF(H295="Physical uplift","INVALID – before uplift window (cannot confirm loading)","INVALID – before valid window"),IF(AG295&gt;Flights!$AA$13,"INVALID – completed after departure (cannot establish readiness)",IF(AND(H295="Physical uplift",AG295&gt;Q295),"INVALID – recorded after the loading flight departed",IF(AG295&gt;Q295,"COMPLETE – LATE","COMPLETE")))))))))))))))))),IF(TRIM(U295)="Fail","FAIL – DISCREPANCY",IF(AND(TRIM(U295)&lt;&gt;"",TRIM(U295)&lt;&gt;"Not started",TRIM(U295)&lt;&gt;"In progress"),"INVALID – unrecognised status (use the list)",IF(AsOfUTC&gt;Q295,"OVERDUE",IF(N295="Clarification required","OPEN – CLARIFICATION","OPEN")))))))</f>
        <v>OPEN</v>
      </c>
      <c r="AI295" s="61" t="n">
        <f aca="false">IF(OR(AH295="N/A – RULE",AH295="N/A – JUSTIFIED"),0,1)</f>
        <v>1</v>
      </c>
      <c r="AJ295" s="61" t="n">
        <f aca="false">IF(LEFT(AH295,8)="COMPLETE",1,0)</f>
        <v>0</v>
      </c>
      <c r="AK295" s="61" t="n">
        <f aca="false">IF(AND(AI295=1,AJ295=0,AsOfUTC&gt;Q295),1,0)</f>
        <v>0</v>
      </c>
      <c r="AL295" s="61" t="n">
        <f aca="false">IF(AND(AI295=1,OR(TRIM(U295)="Fail",AND(TRIM(AB295)&lt;&gt;"",TRIM(AB295)&lt;&gt;"Closed"),AND(ISNUMBER(AF295),AF295&lt;&gt;0,TRIM(U295)&lt;&gt;"Pass after CA"))),1,0)</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row>
    <row r="296" customFormat="false" ht="39.75" hidden="false" customHeight="true" outlineLevel="0" collapsed="false">
      <c r="A296" s="57" t="s">
        <v>836</v>
      </c>
      <c r="B296" s="57" t="s">
        <v>238</v>
      </c>
      <c r="C296" s="57" t="str">
        <f aca="false">Flights!$F$13</f>
        <v>MH0753</v>
      </c>
      <c r="D296" s="58" t="n">
        <f aca="false">Flights!$D$13</f>
        <v>46306</v>
      </c>
      <c r="E296" s="57" t="str">
        <f aca="false">Flights!$G$13&amp;"-"&amp;Flights!$H$13</f>
        <v>HAN-KUL</v>
      </c>
      <c r="F296" s="57" t="str">
        <f aca="false">Flights!$K$13</f>
        <v>BC</v>
      </c>
      <c r="G296" s="57" t="s">
        <v>385</v>
      </c>
      <c r="H296" s="57" t="s">
        <v>343</v>
      </c>
      <c r="I296" s="57" t="s">
        <v>393</v>
      </c>
      <c r="J296" s="57" t="s">
        <v>396</v>
      </c>
      <c r="K296" s="67"/>
      <c r="L296" s="67" t="s">
        <v>387</v>
      </c>
      <c r="M296" s="67"/>
      <c r="N296" s="67" t="s">
        <v>348</v>
      </c>
      <c r="O296" s="67" t="s">
        <v>388</v>
      </c>
      <c r="P296" s="57" t="s">
        <v>232</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59" t="n">
        <f aca="false">Q296-T12EarlyH/24</f>
        <v>46305.2534722222</v>
      </c>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IF(N296="N/A – rule","N/A – RULE",IF(TRIM(U296)="N/A",IF(AT296=0,"INVALID – N/A not permitted for this mandatory check",IF(AND(TRIM(AC296)&lt;&gt;"",TRIM(AE296)&lt;&gt;"",TRIM(T296)&lt;&gt;"",TRIM(AE296)&lt;&gt;TRIM(T296)),"N/A – JUSTIFIED","INVALID – N/A needs justification, PIC and a different verifier")),IF(OR(TRIM(U296)="Pass",TRIM(U296)="Pass after CA"),IF(NOT(ISNUMBER(AD296)),"INVALID – completion time missing",IF(TRIM(T296)="","INVALID – PIC missing",IF(TRIM(V296)="","INVALID – result / assessment missing",IF(TRIM(Z296)="","INVALID – evidence missing",IF(TRIM(AE296)="","INVALID – verifier missing",IF(TRIM(AE296)=TRIM(T296),"INVALID – verifier must be someone other than the PIC",IF(AND(AQ296=1,TRIM(W296)=""),"INVALID – batch ID missing",IF(AND(AR296=1,OR(NOT(ISNUMBER(X296)),NOT(ISNUMBER(Y296)))),"INVALID – expected/actual qty missing",IF(IF(AND(TRIM(U296)="Pass",ISNUMBER(AF296)),IF(AF296&lt;&gt;0,"INVALID – qty variance: use Fail or Pass after CA",""),"")&amp;IF(AND(TRIM(U296)="Pass",TRIM(AB296)&lt;&gt;"",TRIM(AB296)&lt;&gt;"Closed"),"INVALID – corrective action not closed: use Fail, then Pass after CA","")&amp;IF(AND(TRIM(AA296)&lt;&gt;"",TRIM(AB296)=""),"INVALID – CA status missing for the recorded corrective action","")&amp;IF(AND(TRIM(U296)="Pass after CA",OR(TRIM(AA296)="",TRIM(AB296)&lt;&gt;"Closed")),"INVALID – corrective action not recorded/closed","")&lt;&gt;"",IF(AND(TRIM(U296)="Pass",ISNUMBER(AF296)),IF(AF296&lt;&gt;0,"INVALID – qty variance: use Fail or Pass after CA",""),"")&amp;IF(AND(TRIM(U296)="Pass",TRIM(AB296)&lt;&gt;"",TRIM(AB296)&lt;&gt;"Closed"),"INVALID – corrective action not closed: use Fail, then Pass after CA","")&amp;IF(AND(TRIM(AA296)&lt;&gt;"",TRIM(AB296)=""),"INVALID – CA status missing for the recorded corrective action","")&amp;IF(AND(TRIM(U296)="Pass after CA",OR(TRIM(AA296)="",TRIM(AB296)&lt;&gt;"Closed")),"INVALID – corrective action not recorded/closed",""),IF(AND(AS296=1,Documents!$J$13&lt;&gt;"ON FILE"),"INVALID – GLD not on file (Documents sheet)",IF(AND(AS296=2,Documents!$O$13&lt;&gt;"ON FILE"),"INVALID – menu checklist not on file (Documents sheet)",IF(AND(AS296=3,NOT(ISNUMBER(Flights!$AX$13))),"INVALID – enter carrying flight KUL departure (Flights AX)",IF(AND(AS296=3,OR(Flights!$AX$13&gt;=Flights!$AA$13,Flights!$AX$13&lt;Flights!$AA$13-3)),"INVALID – Flights AX must be before this leg's STD (within 3 days)",IF(AG296&gt;AsOfUTC,"INVALID – completion time is in the future",IF(AND(ISNUMBER(S296),AG296&lt;S296),IF(H296="Physical uplift","INVALID – before uplift window (cannot confirm loading)","INVALID – before valid window"),IF(AG296&gt;Flights!$AA$13,"INVALID – completed after departure (cannot establish readiness)",IF(AND(H296="Physical uplift",AG296&gt;Q296),"INVALID – recorded after the loading flight departed",IF(AG296&gt;Q296,"COMPLETE – LATE","COMPLETE")))))))))))))))))),IF(TRIM(U296)="Fail","FAIL – DISCREPANCY",IF(AND(TRIM(U296)&lt;&gt;"",TRIM(U296)&lt;&gt;"Not started",TRIM(U296)&lt;&gt;"In progress"),"INVALID – unrecognised status (use the list)",IF(AsOfUTC&gt;Q296,"OVERDUE",IF(N296="Clarification required","OPEN – CLARIFICATION","OPEN")))))))</f>
        <v>OPEN</v>
      </c>
      <c r="AI296" s="61" t="n">
        <f aca="false">IF(OR(AH296="N/A – RULE",AH296="N/A – JUSTIFIED"),0,1)</f>
        <v>1</v>
      </c>
      <c r="AJ296" s="61" t="n">
        <f aca="false">IF(LEFT(AH296,8)="COMPLETE",1,0)</f>
        <v>0</v>
      </c>
      <c r="AK296" s="61" t="n">
        <f aca="false">IF(AND(AI296=1,AJ296=0,AsOfUTC&gt;Q296),1,0)</f>
        <v>0</v>
      </c>
      <c r="AL296" s="61" t="n">
        <f aca="false">IF(AND(AI296=1,OR(TRIM(U296)="Fail",AND(TRIM(AB296)&lt;&gt;"",TRIM(AB296)&lt;&gt;"Closed"),AND(ISNUMBER(AF296),AF296&lt;&gt;0,TRIM(U296)&lt;&gt;"Pass after CA"))),1,0)</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row>
    <row r="297" customFormat="false" ht="39.75" hidden="false" customHeight="true" outlineLevel="0" collapsed="false">
      <c r="A297" s="57" t="s">
        <v>837</v>
      </c>
      <c r="B297" s="57" t="s">
        <v>238</v>
      </c>
      <c r="C297" s="57" t="str">
        <f aca="false">Flights!$F$13</f>
        <v>MH0753</v>
      </c>
      <c r="D297" s="58" t="n">
        <f aca="false">Flights!$D$13</f>
        <v>46306</v>
      </c>
      <c r="E297" s="57" t="str">
        <f aca="false">Flights!$G$13&amp;"-"&amp;Flights!$H$13</f>
        <v>HAN-KUL</v>
      </c>
      <c r="F297" s="57" t="str">
        <f aca="false">Flights!$K$13</f>
        <v>BC</v>
      </c>
      <c r="G297" s="57" t="s">
        <v>385</v>
      </c>
      <c r="H297" s="57" t="s">
        <v>343</v>
      </c>
      <c r="I297" s="57" t="s">
        <v>393</v>
      </c>
      <c r="J297" s="57" t="s">
        <v>398</v>
      </c>
      <c r="K297" s="67"/>
      <c r="L297" s="67" t="s">
        <v>387</v>
      </c>
      <c r="M297" s="67"/>
      <c r="N297" s="67" t="s">
        <v>348</v>
      </c>
      <c r="O297" s="67" t="s">
        <v>388</v>
      </c>
      <c r="P297" s="57" t="s">
        <v>232</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59" t="n">
        <f aca="false">Q297-T12EarlyH/24</f>
        <v>46305.2534722222</v>
      </c>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IF(N297="N/A – rule","N/A – RULE",IF(TRIM(U297)="N/A",IF(AT297=0,"INVALID – N/A not permitted for this mandatory check",IF(AND(TRIM(AC297)&lt;&gt;"",TRIM(AE297)&lt;&gt;"",TRIM(T297)&lt;&gt;"",TRIM(AE297)&lt;&gt;TRIM(T297)),"N/A – JUSTIFIED","INVALID – N/A needs justification, PIC and a different verifier")),IF(OR(TRIM(U297)="Pass",TRIM(U297)="Pass after CA"),IF(NOT(ISNUMBER(AD297)),"INVALID – completion time missing",IF(TRIM(T297)="","INVALID – PIC missing",IF(TRIM(V297)="","INVALID – result / assessment missing",IF(TRIM(Z297)="","INVALID – evidence missing",IF(TRIM(AE297)="","INVALID – verifier missing",IF(TRIM(AE297)=TRIM(T297),"INVALID – verifier must be someone other than the PIC",IF(AND(AQ297=1,TRIM(W297)=""),"INVALID – batch ID missing",IF(AND(AR297=1,OR(NOT(ISNUMBER(X297)),NOT(ISNUMBER(Y297)))),"INVALID – expected/actual qty missing",IF(IF(AND(TRIM(U297)="Pass",ISNUMBER(AF297)),IF(AF297&lt;&gt;0,"INVALID – qty variance: use Fail or Pass after CA",""),"")&amp;IF(AND(TRIM(U297)="Pass",TRIM(AB297)&lt;&gt;"",TRIM(AB297)&lt;&gt;"Closed"),"INVALID – corrective action not closed: use Fail, then Pass after CA","")&amp;IF(AND(TRIM(AA297)&lt;&gt;"",TRIM(AB297)=""),"INVALID – CA status missing for the recorded corrective action","")&amp;IF(AND(TRIM(U297)="Pass after CA",OR(TRIM(AA297)="",TRIM(AB297)&lt;&gt;"Closed")),"INVALID – corrective action not recorded/closed","")&lt;&gt;"",IF(AND(TRIM(U297)="Pass",ISNUMBER(AF297)),IF(AF297&lt;&gt;0,"INVALID – qty variance: use Fail or Pass after CA",""),"")&amp;IF(AND(TRIM(U297)="Pass",TRIM(AB297)&lt;&gt;"",TRIM(AB297)&lt;&gt;"Closed"),"INVALID – corrective action not closed: use Fail, then Pass after CA","")&amp;IF(AND(TRIM(AA297)&lt;&gt;"",TRIM(AB297)=""),"INVALID – CA status missing for the recorded corrective action","")&amp;IF(AND(TRIM(U297)="Pass after CA",OR(TRIM(AA297)="",TRIM(AB297)&lt;&gt;"Closed")),"INVALID – corrective action not recorded/closed",""),IF(AND(AS297=1,Documents!$J$13&lt;&gt;"ON FILE"),"INVALID – GLD not on file (Documents sheet)",IF(AND(AS297=2,Documents!$O$13&lt;&gt;"ON FILE"),"INVALID – menu checklist not on file (Documents sheet)",IF(AND(AS297=3,NOT(ISNUMBER(Flights!$AX$13))),"INVALID – enter carrying flight KUL departure (Flights AX)",IF(AND(AS297=3,OR(Flights!$AX$13&gt;=Flights!$AA$13,Flights!$AX$13&lt;Flights!$AA$13-3)),"INVALID – Flights AX must be before this leg's STD (within 3 days)",IF(AG297&gt;AsOfUTC,"INVALID – completion time is in the future",IF(AND(ISNUMBER(S297),AG297&lt;S297),IF(H297="Physical uplift","INVALID – before uplift window (cannot confirm loading)","INVALID – before valid window"),IF(AG297&gt;Flights!$AA$13,"INVALID – completed after departure (cannot establish readiness)",IF(AND(H297="Physical uplift",AG297&gt;Q297),"INVALID – recorded after the loading flight departed",IF(AG297&gt;Q297,"COMPLETE – LATE","COMPLETE")))))))))))))))))),IF(TRIM(U297)="Fail","FAIL – DISCREPANCY",IF(AND(TRIM(U297)&lt;&gt;"",TRIM(U297)&lt;&gt;"Not started",TRIM(U297)&lt;&gt;"In progress"),"INVALID – unrecognised status (use the list)",IF(AsOfUTC&gt;Q297,"OVERDUE",IF(N297="Clarification required","OPEN – CLARIFICATION","OPEN")))))))</f>
        <v>OPEN</v>
      </c>
      <c r="AI297" s="61" t="n">
        <f aca="false">IF(OR(AH297="N/A – RULE",AH297="N/A – JUSTIFIED"),0,1)</f>
        <v>1</v>
      </c>
      <c r="AJ297" s="61" t="n">
        <f aca="false">IF(LEFT(AH297,8)="COMPLETE",1,0)</f>
        <v>0</v>
      </c>
      <c r="AK297" s="61" t="n">
        <f aca="false">IF(AND(AI297=1,AJ297=0,AsOfUTC&gt;Q297),1,0)</f>
        <v>0</v>
      </c>
      <c r="AL297" s="61" t="n">
        <f aca="false">IF(AND(AI297=1,OR(TRIM(U297)="Fail",AND(TRIM(AB297)&lt;&gt;"",TRIM(AB297)&lt;&gt;"Closed"),AND(ISNUMBER(AF297),AF297&lt;&gt;0,TRIM(U297)&lt;&gt;"Pass after CA"))),1,0)</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row>
    <row r="298" customFormat="false" ht="78.75" hidden="false" customHeight="true" outlineLevel="0" collapsed="false">
      <c r="A298" s="57" t="s">
        <v>838</v>
      </c>
      <c r="B298" s="57" t="s">
        <v>238</v>
      </c>
      <c r="C298" s="57" t="str">
        <f aca="false">Flights!$F$13</f>
        <v>MH0753</v>
      </c>
      <c r="D298" s="58" t="n">
        <f aca="false">Flights!$D$13</f>
        <v>46306</v>
      </c>
      <c r="E298" s="57" t="str">
        <f aca="false">Flights!$G$13&amp;"-"&amp;Flights!$H$13</f>
        <v>HAN-KUL</v>
      </c>
      <c r="F298" s="57" t="str">
        <f aca="false">Flights!$K$13</f>
        <v>BC</v>
      </c>
      <c r="G298" s="57" t="s">
        <v>385</v>
      </c>
      <c r="H298" s="57" t="s">
        <v>343</v>
      </c>
      <c r="I298" s="57" t="s">
        <v>393</v>
      </c>
      <c r="J298" s="57" t="s">
        <v>400</v>
      </c>
      <c r="K298" s="67" t="s">
        <v>456</v>
      </c>
      <c r="L298" s="67" t="s">
        <v>387</v>
      </c>
      <c r="M298" s="67"/>
      <c r="N298" s="67" t="s">
        <v>348</v>
      </c>
      <c r="O298" s="67" t="s">
        <v>388</v>
      </c>
      <c r="P298" s="57" t="s">
        <v>232</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59" t="n">
        <f aca="false">Q298-T12EarlyH/24</f>
        <v>46305.2534722222</v>
      </c>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IF(N298="N/A – rule","N/A – RULE",IF(TRIM(U298)="N/A",IF(AT298=0,"INVALID – N/A not permitted for this mandatory check",IF(AND(TRIM(AC298)&lt;&gt;"",TRIM(AE298)&lt;&gt;"",TRIM(T298)&lt;&gt;"",TRIM(AE298)&lt;&gt;TRIM(T298)),"N/A – JUSTIFIED","INVALID – N/A needs justification, PIC and a different verifier")),IF(OR(TRIM(U298)="Pass",TRIM(U298)="Pass after CA"),IF(NOT(ISNUMBER(AD298)),"INVALID – completion time missing",IF(TRIM(T298)="","INVALID – PIC missing",IF(TRIM(V298)="","INVALID – result / assessment missing",IF(TRIM(Z298)="","INVALID – evidence missing",IF(TRIM(AE298)="","INVALID – verifier missing",IF(TRIM(AE298)=TRIM(T298),"INVALID – verifier must be someone other than the PIC",IF(AND(AQ298=1,TRIM(W298)=""),"INVALID – batch ID missing",IF(AND(AR298=1,OR(NOT(ISNUMBER(X298)),NOT(ISNUMBER(Y298)))),"INVALID – expected/actual qty missing",IF(IF(AND(TRIM(U298)="Pass",ISNUMBER(AF298)),IF(AF298&lt;&gt;0,"INVALID – qty variance: use Fail or Pass after CA",""),"")&amp;IF(AND(TRIM(U298)="Pass",TRIM(AB298)&lt;&gt;"",TRIM(AB298)&lt;&gt;"Closed"),"INVALID – corrective action not closed: use Fail, then Pass after CA","")&amp;IF(AND(TRIM(AA298)&lt;&gt;"",TRIM(AB298)=""),"INVALID – CA status missing for the recorded corrective action","")&amp;IF(AND(TRIM(U298)="Pass after CA",OR(TRIM(AA298)="",TRIM(AB298)&lt;&gt;"Closed")),"INVALID – corrective action not recorded/closed","")&lt;&gt;"",IF(AND(TRIM(U298)="Pass",ISNUMBER(AF298)),IF(AF298&lt;&gt;0,"INVALID – qty variance: use Fail or Pass after CA",""),"")&amp;IF(AND(TRIM(U298)="Pass",TRIM(AB298)&lt;&gt;"",TRIM(AB298)&lt;&gt;"Closed"),"INVALID – corrective action not closed: use Fail, then Pass after CA","")&amp;IF(AND(TRIM(AA298)&lt;&gt;"",TRIM(AB298)=""),"INVALID – CA status missing for the recorded corrective action","")&amp;IF(AND(TRIM(U298)="Pass after CA",OR(TRIM(AA298)="",TRIM(AB298)&lt;&gt;"Closed")),"INVALID – corrective action not recorded/closed",""),IF(AND(AS298=1,Documents!$J$13&lt;&gt;"ON FILE"),"INVALID – GLD not on file (Documents sheet)",IF(AND(AS298=2,Documents!$O$13&lt;&gt;"ON FILE"),"INVALID – menu checklist not on file (Documents sheet)",IF(AND(AS298=3,NOT(ISNUMBER(Flights!$AX$13))),"INVALID – enter carrying flight KUL departure (Flights AX)",IF(AND(AS298=3,OR(Flights!$AX$13&gt;=Flights!$AA$13,Flights!$AX$13&lt;Flights!$AA$13-3)),"INVALID – Flights AX must be before this leg's STD (within 3 days)",IF(AG298&gt;AsOfUTC,"INVALID – completion time is in the future",IF(AND(ISNUMBER(S298),AG298&lt;S298),IF(H298="Physical uplift","INVALID – before uplift window (cannot confirm loading)","INVALID – before valid window"),IF(AG298&gt;Flights!$AA$13,"INVALID – completed after departure (cannot establish readiness)",IF(AND(H298="Physical uplift",AG298&gt;Q298),"INVALID – recorded after the loading flight departed",IF(AG298&gt;Q298,"COMPLETE – LATE","COMPLETE")))))))))))))))))),IF(TRIM(U298)="Fail","FAIL – DISCREPANCY",IF(AND(TRIM(U298)&lt;&gt;"",TRIM(U298)&lt;&gt;"Not started",TRIM(U298)&lt;&gt;"In progress"),"INVALID – unrecognised status (use the list)",IF(AsOfUTC&gt;Q298,"OVERDUE",IF(N298="Clarification required","OPEN – CLARIFICATION","OPEN")))))))</f>
        <v>OPEN</v>
      </c>
      <c r="AI298" s="61" t="n">
        <f aca="false">IF(OR(AH298="N/A – RULE",AH298="N/A – JUSTIFIED"),0,1)</f>
        <v>1</v>
      </c>
      <c r="AJ298" s="61" t="n">
        <f aca="false">IF(LEFT(AH298,8)="COMPLETE",1,0)</f>
        <v>0</v>
      </c>
      <c r="AK298" s="61" t="n">
        <f aca="false">IF(AND(AI298=1,AJ298=0,AsOfUTC&gt;Q298),1,0)</f>
        <v>0</v>
      </c>
      <c r="AL298" s="61" t="n">
        <f aca="false">IF(AND(AI298=1,OR(TRIM(U298)="Fail",AND(TRIM(AB298)&lt;&gt;"",TRIM(AB298)&lt;&gt;"Closed"),AND(ISNUMBER(AF298),AF298&lt;&gt;0,TRIM(U298)&lt;&gt;"Pass after CA"))),1,0)</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row>
    <row r="299" customFormat="false" ht="39.75" hidden="false" customHeight="true" outlineLevel="0" collapsed="false">
      <c r="A299" s="57" t="s">
        <v>839</v>
      </c>
      <c r="B299" s="57" t="s">
        <v>238</v>
      </c>
      <c r="C299" s="57" t="str">
        <f aca="false">Flights!$F$13</f>
        <v>MH0753</v>
      </c>
      <c r="D299" s="58" t="n">
        <f aca="false">Flights!$D$13</f>
        <v>46306</v>
      </c>
      <c r="E299" s="57" t="str">
        <f aca="false">Flights!$G$13&amp;"-"&amp;Flights!$H$13</f>
        <v>HAN-KUL</v>
      </c>
      <c r="F299" s="57" t="str">
        <f aca="false">Flights!$K$13</f>
        <v>BC</v>
      </c>
      <c r="G299" s="57" t="s">
        <v>385</v>
      </c>
      <c r="H299" s="57" t="s">
        <v>343</v>
      </c>
      <c r="I299" s="57" t="s">
        <v>393</v>
      </c>
      <c r="J299" s="57" t="s">
        <v>403</v>
      </c>
      <c r="K299" s="67"/>
      <c r="L299" s="67" t="s">
        <v>387</v>
      </c>
      <c r="M299" s="67"/>
      <c r="N299" s="67" t="s">
        <v>348</v>
      </c>
      <c r="O299" s="67" t="s">
        <v>388</v>
      </c>
      <c r="P299" s="57" t="s">
        <v>232</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59" t="n">
        <f aca="false">Q299-T12EarlyH/24</f>
        <v>46305.2534722222</v>
      </c>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IF(N299="N/A – rule","N/A – RULE",IF(TRIM(U299)="N/A",IF(AT299=0,"INVALID – N/A not permitted for this mandatory check",IF(AND(TRIM(AC299)&lt;&gt;"",TRIM(AE299)&lt;&gt;"",TRIM(T299)&lt;&gt;"",TRIM(AE299)&lt;&gt;TRIM(T299)),"N/A – JUSTIFIED","INVALID – N/A needs justification, PIC and a different verifier")),IF(OR(TRIM(U299)="Pass",TRIM(U299)="Pass after CA"),IF(NOT(ISNUMBER(AD299)),"INVALID – completion time missing",IF(TRIM(T299)="","INVALID – PIC missing",IF(TRIM(V299)="","INVALID – result / assessment missing",IF(TRIM(Z299)="","INVALID – evidence missing",IF(TRIM(AE299)="","INVALID – verifier missing",IF(TRIM(AE299)=TRIM(T299),"INVALID – verifier must be someone other than the PIC",IF(AND(AQ299=1,TRIM(W299)=""),"INVALID – batch ID missing",IF(AND(AR299=1,OR(NOT(ISNUMBER(X299)),NOT(ISNUMBER(Y299)))),"INVALID – expected/actual qty missing",IF(IF(AND(TRIM(U299)="Pass",ISNUMBER(AF299)),IF(AF299&lt;&gt;0,"INVALID – qty variance: use Fail or Pass after CA",""),"")&amp;IF(AND(TRIM(U299)="Pass",TRIM(AB299)&lt;&gt;"",TRIM(AB299)&lt;&gt;"Closed"),"INVALID – corrective action not closed: use Fail, then Pass after CA","")&amp;IF(AND(TRIM(AA299)&lt;&gt;"",TRIM(AB299)=""),"INVALID – CA status missing for the recorded corrective action","")&amp;IF(AND(TRIM(U299)="Pass after CA",OR(TRIM(AA299)="",TRIM(AB299)&lt;&gt;"Closed")),"INVALID – corrective action not recorded/closed","")&lt;&gt;"",IF(AND(TRIM(U299)="Pass",ISNUMBER(AF299)),IF(AF299&lt;&gt;0,"INVALID – qty variance: use Fail or Pass after CA",""),"")&amp;IF(AND(TRIM(U299)="Pass",TRIM(AB299)&lt;&gt;"",TRIM(AB299)&lt;&gt;"Closed"),"INVALID – corrective action not closed: use Fail, then Pass after CA","")&amp;IF(AND(TRIM(AA299)&lt;&gt;"",TRIM(AB299)=""),"INVALID – CA status missing for the recorded corrective action","")&amp;IF(AND(TRIM(U299)="Pass after CA",OR(TRIM(AA299)="",TRIM(AB299)&lt;&gt;"Closed")),"INVALID – corrective action not recorded/closed",""),IF(AND(AS299=1,Documents!$J$13&lt;&gt;"ON FILE"),"INVALID – GLD not on file (Documents sheet)",IF(AND(AS299=2,Documents!$O$13&lt;&gt;"ON FILE"),"INVALID – menu checklist not on file (Documents sheet)",IF(AND(AS299=3,NOT(ISNUMBER(Flights!$AX$13))),"INVALID – enter carrying flight KUL departure (Flights AX)",IF(AND(AS299=3,OR(Flights!$AX$13&gt;=Flights!$AA$13,Flights!$AX$13&lt;Flights!$AA$13-3)),"INVALID – Flights AX must be before this leg's STD (within 3 days)",IF(AG299&gt;AsOfUTC,"INVALID – completion time is in the future",IF(AND(ISNUMBER(S299),AG299&lt;S299),IF(H299="Physical uplift","INVALID – before uplift window (cannot confirm loading)","INVALID – before valid window"),IF(AG299&gt;Flights!$AA$13,"INVALID – completed after departure (cannot establish readiness)",IF(AND(H299="Physical uplift",AG299&gt;Q299),"INVALID – recorded after the loading flight departed",IF(AG299&gt;Q299,"COMPLETE – LATE","COMPLETE")))))))))))))))))),IF(TRIM(U299)="Fail","FAIL – DISCREPANCY",IF(AND(TRIM(U299)&lt;&gt;"",TRIM(U299)&lt;&gt;"Not started",TRIM(U299)&lt;&gt;"In progress"),"INVALID – unrecognised status (use the list)",IF(AsOfUTC&gt;Q299,"OVERDUE",IF(N299="Clarification required","OPEN – CLARIFICATION","OPEN")))))))</f>
        <v>OPEN</v>
      </c>
      <c r="AI299" s="61" t="n">
        <f aca="false">IF(OR(AH299="N/A – RULE",AH299="N/A – JUSTIFIED"),0,1)</f>
        <v>1</v>
      </c>
      <c r="AJ299" s="61" t="n">
        <f aca="false">IF(LEFT(AH299,8)="COMPLETE",1,0)</f>
        <v>0</v>
      </c>
      <c r="AK299" s="61" t="n">
        <f aca="false">IF(AND(AI299=1,AJ299=0,AsOfUTC&gt;Q299),1,0)</f>
        <v>0</v>
      </c>
      <c r="AL299" s="61" t="n">
        <f aca="false">IF(AND(AI299=1,OR(TRIM(U299)="Fail",AND(TRIM(AB299)&lt;&gt;"",TRIM(AB299)&lt;&gt;"Closed"),AND(ISNUMBER(AF299),AF299&lt;&gt;0,TRIM(U299)&lt;&gt;"Pass after CA"))),1,0)</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row>
    <row r="300" customFormat="false" ht="66" hidden="false" customHeight="true" outlineLevel="0" collapsed="false">
      <c r="A300" s="57" t="s">
        <v>840</v>
      </c>
      <c r="B300" s="57" t="s">
        <v>238</v>
      </c>
      <c r="C300" s="57" t="str">
        <f aca="false">Flights!$F$13</f>
        <v>MH0753</v>
      </c>
      <c r="D300" s="58" t="n">
        <f aca="false">Flights!$D$13</f>
        <v>46306</v>
      </c>
      <c r="E300" s="57" t="str">
        <f aca="false">Flights!$G$13&amp;"-"&amp;Flights!$H$13</f>
        <v>HAN-KUL</v>
      </c>
      <c r="F300" s="57" t="str">
        <f aca="false">Flights!$K$13</f>
        <v>BC</v>
      </c>
      <c r="G300" s="57" t="s">
        <v>385</v>
      </c>
      <c r="H300" s="57" t="s">
        <v>343</v>
      </c>
      <c r="I300" s="57" t="s">
        <v>405</v>
      </c>
      <c r="J300" s="57" t="s">
        <v>459</v>
      </c>
      <c r="K300" s="67" t="s">
        <v>460</v>
      </c>
      <c r="L300" s="67" t="s">
        <v>841</v>
      </c>
      <c r="M300" s="67" t="s">
        <v>416</v>
      </c>
      <c r="N300" s="67" t="s">
        <v>348</v>
      </c>
      <c r="O300" s="67" t="s">
        <v>842</v>
      </c>
      <c r="P300" s="57" t="s">
        <v>232</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59" t="n">
        <f aca="false">Q300-T12EarlyH/24</f>
        <v>46305.2534722222</v>
      </c>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IF(N300="N/A – rule","N/A – RULE",IF(TRIM(U300)="N/A",IF(AT300=0,"INVALID – N/A not permitted for this mandatory check",IF(AND(TRIM(AC300)&lt;&gt;"",TRIM(AE300)&lt;&gt;"",TRIM(T300)&lt;&gt;"",TRIM(AE300)&lt;&gt;TRIM(T300)),"N/A – JUSTIFIED","INVALID – N/A needs justification, PIC and a different verifier")),IF(OR(TRIM(U300)="Pass",TRIM(U300)="Pass after CA"),IF(NOT(ISNUMBER(AD300)),"INVALID – completion time missing",IF(TRIM(T300)="","INVALID – PIC missing",IF(TRIM(V300)="","INVALID – result / assessment missing",IF(TRIM(Z300)="","INVALID – evidence missing",IF(TRIM(AE300)="","INVALID – verifier missing",IF(TRIM(AE300)=TRIM(T300),"INVALID – verifier must be someone other than the PIC",IF(AND(AQ300=1,TRIM(W300)=""),"INVALID – batch ID missing",IF(AND(AR300=1,OR(NOT(ISNUMBER(X300)),NOT(ISNUMBER(Y300)))),"INVALID – expected/actual qty missing",IF(IF(AND(TRIM(U300)="Pass",ISNUMBER(AF300)),IF(AF300&lt;&gt;0,"INVALID – qty variance: use Fail or Pass after CA",""),"")&amp;IF(AND(TRIM(U300)="Pass",TRIM(AB300)&lt;&gt;"",TRIM(AB300)&lt;&gt;"Closed"),"INVALID – corrective action not closed: use Fail, then Pass after CA","")&amp;IF(AND(TRIM(AA300)&lt;&gt;"",TRIM(AB300)=""),"INVALID – CA status missing for the recorded corrective action","")&amp;IF(AND(TRIM(U300)="Pass after CA",OR(TRIM(AA300)="",TRIM(AB300)&lt;&gt;"Closed")),"INVALID – corrective action not recorded/closed","")&lt;&gt;"",IF(AND(TRIM(U300)="Pass",ISNUMBER(AF300)),IF(AF300&lt;&gt;0,"INVALID – qty variance: use Fail or Pass after CA",""),"")&amp;IF(AND(TRIM(U300)="Pass",TRIM(AB300)&lt;&gt;"",TRIM(AB300)&lt;&gt;"Closed"),"INVALID – corrective action not closed: use Fail, then Pass after CA","")&amp;IF(AND(TRIM(AA300)&lt;&gt;"",TRIM(AB300)=""),"INVALID – CA status missing for the recorded corrective action","")&amp;IF(AND(TRIM(U300)="Pass after CA",OR(TRIM(AA300)="",TRIM(AB300)&lt;&gt;"Closed")),"INVALID – corrective action not recorded/closed",""),IF(AND(AS300=1,Documents!$J$13&lt;&gt;"ON FILE"),"INVALID – GLD not on file (Documents sheet)",IF(AND(AS300=2,Documents!$O$13&lt;&gt;"ON FILE"),"INVALID – menu checklist not on file (Documents sheet)",IF(AND(AS300=3,NOT(ISNUMBER(Flights!$AX$13))),"INVALID – enter carrying flight KUL departure (Flights AX)",IF(AND(AS300=3,OR(Flights!$AX$13&gt;=Flights!$AA$13,Flights!$AX$13&lt;Flights!$AA$13-3)),"INVALID – Flights AX must be before this leg's STD (within 3 days)",IF(AG300&gt;AsOfUTC,"INVALID – completion time is in the future",IF(AND(ISNUMBER(S300),AG300&lt;S300),IF(H300="Physical uplift","INVALID – before uplift window (cannot confirm loading)","INVALID – before valid window"),IF(AG300&gt;Flights!$AA$13,"INVALID – completed after departure (cannot establish readiness)",IF(AND(H300="Physical uplift",AG300&gt;Q300),"INVALID – recorded after the loading flight departed",IF(AG300&gt;Q300,"COMPLETE – LATE","COMPLETE")))))))))))))))))),IF(TRIM(U300)="Fail","FAIL – DISCREPANCY",IF(AND(TRIM(U300)&lt;&gt;"",TRIM(U300)&lt;&gt;"Not started",TRIM(U300)&lt;&gt;"In progress"),"INVALID – unrecognised status (use the list)",IF(AsOfUTC&gt;Q300,"OVERDUE",IF(N300="Clarification required","OPEN – CLARIFICATION","OPEN")))))))</f>
        <v>OPEN</v>
      </c>
      <c r="AI300" s="61" t="n">
        <f aca="false">IF(OR(AH300="N/A – RULE",AH300="N/A – JUSTIFIED"),0,1)</f>
        <v>1</v>
      </c>
      <c r="AJ300" s="61" t="n">
        <f aca="false">IF(LEFT(AH300,8)="COMPLETE",1,0)</f>
        <v>0</v>
      </c>
      <c r="AK300" s="61" t="n">
        <f aca="false">IF(AND(AI300=1,AJ300=0,AsOfUTC&gt;Q300),1,0)</f>
        <v>0</v>
      </c>
      <c r="AL300" s="61" t="n">
        <f aca="false">IF(AND(AI300=1,OR(TRIM(U300)="Fail",AND(TRIM(AB300)&lt;&gt;"",TRIM(AB300)&lt;&gt;"Closed"),AND(ISNUMBER(AF300),AF300&lt;&gt;0,TRIM(U300)&lt;&gt;"Pass after CA"))),1,0)</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8" t="b">
        <f aca="false">TRUE()</f>
        <v>1</v>
      </c>
    </row>
    <row r="301" customFormat="false" ht="41.25" hidden="false" customHeight="true" outlineLevel="0" collapsed="false">
      <c r="A301" s="57" t="s">
        <v>843</v>
      </c>
      <c r="B301" s="57" t="s">
        <v>238</v>
      </c>
      <c r="C301" s="57" t="str">
        <f aca="false">Flights!$F$13</f>
        <v>MH0753</v>
      </c>
      <c r="D301" s="58" t="n">
        <f aca="false">Flights!$D$13</f>
        <v>46306</v>
      </c>
      <c r="E301" s="57" t="str">
        <f aca="false">Flights!$G$13&amp;"-"&amp;Flights!$H$13</f>
        <v>HAN-KUL</v>
      </c>
      <c r="F301" s="57" t="str">
        <f aca="false">Flights!$K$13</f>
        <v>BC</v>
      </c>
      <c r="G301" s="57" t="s">
        <v>385</v>
      </c>
      <c r="H301" s="57" t="s">
        <v>343</v>
      </c>
      <c r="I301" s="57" t="s">
        <v>464</v>
      </c>
      <c r="J301" s="57" t="s">
        <v>465</v>
      </c>
      <c r="K301" s="67" t="s">
        <v>466</v>
      </c>
      <c r="L301" s="67" t="s">
        <v>844</v>
      </c>
      <c r="M301" s="67" t="s">
        <v>416</v>
      </c>
      <c r="N301" s="67" t="s">
        <v>348</v>
      </c>
      <c r="O301" s="67" t="s">
        <v>845</v>
      </c>
      <c r="P301" s="57" t="s">
        <v>232</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59" t="n">
        <f aca="false">Q301-T12EarlyH/24</f>
        <v>46305.2534722222</v>
      </c>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IF(N301="N/A – rule","N/A – RULE",IF(TRIM(U301)="N/A",IF(AT301=0,"INVALID – N/A not permitted for this mandatory check",IF(AND(TRIM(AC301)&lt;&gt;"",TRIM(AE301)&lt;&gt;"",TRIM(T301)&lt;&gt;"",TRIM(AE301)&lt;&gt;TRIM(T301)),"N/A – JUSTIFIED","INVALID – N/A needs justification, PIC and a different verifier")),IF(OR(TRIM(U301)="Pass",TRIM(U301)="Pass after CA"),IF(NOT(ISNUMBER(AD301)),"INVALID – completion time missing",IF(TRIM(T301)="","INVALID – PIC missing",IF(TRIM(V301)="","INVALID – result / assessment missing",IF(TRIM(Z301)="","INVALID – evidence missing",IF(TRIM(AE301)="","INVALID – verifier missing",IF(TRIM(AE301)=TRIM(T301),"INVALID – verifier must be someone other than the PIC",IF(AND(AQ301=1,TRIM(W301)=""),"INVALID – batch ID missing",IF(AND(AR301=1,OR(NOT(ISNUMBER(X301)),NOT(ISNUMBER(Y301)))),"INVALID – expected/actual qty missing",IF(IF(AND(TRIM(U301)="Pass",ISNUMBER(AF301)),IF(AF301&lt;&gt;0,"INVALID – qty variance: use Fail or Pass after CA",""),"")&amp;IF(AND(TRIM(U301)="Pass",TRIM(AB301)&lt;&gt;"",TRIM(AB301)&lt;&gt;"Closed"),"INVALID – corrective action not closed: use Fail, then Pass after CA","")&amp;IF(AND(TRIM(AA301)&lt;&gt;"",TRIM(AB301)=""),"INVALID – CA status missing for the recorded corrective action","")&amp;IF(AND(TRIM(U301)="Pass after CA",OR(TRIM(AA301)="",TRIM(AB301)&lt;&gt;"Closed")),"INVALID – corrective action not recorded/closed","")&lt;&gt;"",IF(AND(TRIM(U301)="Pass",ISNUMBER(AF301)),IF(AF301&lt;&gt;0,"INVALID – qty variance: use Fail or Pass after CA",""),"")&amp;IF(AND(TRIM(U301)="Pass",TRIM(AB301)&lt;&gt;"",TRIM(AB301)&lt;&gt;"Closed"),"INVALID – corrective action not closed: use Fail, then Pass after CA","")&amp;IF(AND(TRIM(AA301)&lt;&gt;"",TRIM(AB301)=""),"INVALID – CA status missing for the recorded corrective action","")&amp;IF(AND(TRIM(U301)="Pass after CA",OR(TRIM(AA301)="",TRIM(AB301)&lt;&gt;"Closed")),"INVALID – corrective action not recorded/closed",""),IF(AND(AS301=1,Documents!$J$13&lt;&gt;"ON FILE"),"INVALID – GLD not on file (Documents sheet)",IF(AND(AS301=2,Documents!$O$13&lt;&gt;"ON FILE"),"INVALID – menu checklist not on file (Documents sheet)",IF(AND(AS301=3,NOT(ISNUMBER(Flights!$AX$13))),"INVALID – enter carrying flight KUL departure (Flights AX)",IF(AND(AS301=3,OR(Flights!$AX$13&gt;=Flights!$AA$13,Flights!$AX$13&lt;Flights!$AA$13-3)),"INVALID – Flights AX must be before this leg's STD (within 3 days)",IF(AG301&gt;AsOfUTC,"INVALID – completion time is in the future",IF(AND(ISNUMBER(S301),AG301&lt;S301),IF(H301="Physical uplift","INVALID – before uplift window (cannot confirm loading)","INVALID – before valid window"),IF(AG301&gt;Flights!$AA$13,"INVALID – completed after departure (cannot establish readiness)",IF(AND(H301="Physical uplift",AG301&gt;Q301),"INVALID – recorded after the loading flight departed",IF(AG301&gt;Q301,"COMPLETE – LATE","COMPLETE")))))))))))))))))),IF(TRIM(U301)="Fail","FAIL – DISCREPANCY",IF(AND(TRIM(U301)&lt;&gt;"",TRIM(U301)&lt;&gt;"Not started",TRIM(U301)&lt;&gt;"In progress"),"INVALID – unrecognised status (use the list)",IF(AsOfUTC&gt;Q301,"OVERDUE",IF(N301="Clarification required","OPEN – CLARIFICATION","OPEN")))))))</f>
        <v>OPEN</v>
      </c>
      <c r="AI301" s="61" t="n">
        <f aca="false">IF(OR(AH301="N/A – RULE",AH301="N/A – JUSTIFIED"),0,1)</f>
        <v>1</v>
      </c>
      <c r="AJ301" s="61" t="n">
        <f aca="false">IF(LEFT(AH301,8)="COMPLETE",1,0)</f>
        <v>0</v>
      </c>
      <c r="AK301" s="61" t="n">
        <f aca="false">IF(AND(AI301=1,AJ301=0,AsOfUTC&gt;Q301),1,0)</f>
        <v>0</v>
      </c>
      <c r="AL301" s="61" t="n">
        <f aca="false">IF(AND(AI301=1,OR(TRIM(U301)="Fail",AND(TRIM(AB301)&lt;&gt;"",TRIM(AB301)&lt;&gt;"Closed"),AND(ISNUMBER(AF301),AF301&lt;&gt;0,TRIM(U301)&lt;&gt;"Pass after CA"))),1,0)</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8" t="b">
        <f aca="false">TRUE()</f>
        <v>1</v>
      </c>
    </row>
    <row r="302" customFormat="false" ht="41.25" hidden="false" customHeight="true" outlineLevel="0" collapsed="false">
      <c r="A302" s="57" t="s">
        <v>846</v>
      </c>
      <c r="B302" s="57" t="s">
        <v>238</v>
      </c>
      <c r="C302" s="57" t="str">
        <f aca="false">Flights!$F$13</f>
        <v>MH0753</v>
      </c>
      <c r="D302" s="58" t="n">
        <f aca="false">Flights!$D$13</f>
        <v>46306</v>
      </c>
      <c r="E302" s="57" t="str">
        <f aca="false">Flights!$G$13&amp;"-"&amp;Flights!$H$13</f>
        <v>HAN-KUL</v>
      </c>
      <c r="F302" s="57" t="str">
        <f aca="false">Flights!$K$13</f>
        <v>BC</v>
      </c>
      <c r="G302" s="57" t="s">
        <v>385</v>
      </c>
      <c r="H302" s="57" t="s">
        <v>343</v>
      </c>
      <c r="I302" s="57" t="s">
        <v>464</v>
      </c>
      <c r="J302" s="57" t="s">
        <v>470</v>
      </c>
      <c r="K302" s="67" t="s">
        <v>466</v>
      </c>
      <c r="L302" s="67" t="s">
        <v>847</v>
      </c>
      <c r="M302" s="67" t="s">
        <v>416</v>
      </c>
      <c r="N302" s="67" t="s">
        <v>348</v>
      </c>
      <c r="O302" s="67" t="s">
        <v>845</v>
      </c>
      <c r="P302" s="57" t="s">
        <v>232</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59" t="n">
        <f aca="false">Q302-T12EarlyH/24</f>
        <v>46305.2534722222</v>
      </c>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IF(N302="N/A – rule","N/A – RULE",IF(TRIM(U302)="N/A",IF(AT302=0,"INVALID – N/A not permitted for this mandatory check",IF(AND(TRIM(AC302)&lt;&gt;"",TRIM(AE302)&lt;&gt;"",TRIM(T302)&lt;&gt;"",TRIM(AE302)&lt;&gt;TRIM(T302)),"N/A – JUSTIFIED","INVALID – N/A needs justification, PIC and a different verifier")),IF(OR(TRIM(U302)="Pass",TRIM(U302)="Pass after CA"),IF(NOT(ISNUMBER(AD302)),"INVALID – completion time missing",IF(TRIM(T302)="","INVALID – PIC missing",IF(TRIM(V302)="","INVALID – result / assessment missing",IF(TRIM(Z302)="","INVALID – evidence missing",IF(TRIM(AE302)="","INVALID – verifier missing",IF(TRIM(AE302)=TRIM(T302),"INVALID – verifier must be someone other than the PIC",IF(AND(AQ302=1,TRIM(W302)=""),"INVALID – batch ID missing",IF(AND(AR302=1,OR(NOT(ISNUMBER(X302)),NOT(ISNUMBER(Y302)))),"INVALID – expected/actual qty missing",IF(IF(AND(TRIM(U302)="Pass",ISNUMBER(AF302)),IF(AF302&lt;&gt;0,"INVALID – qty variance: use Fail or Pass after CA",""),"")&amp;IF(AND(TRIM(U302)="Pass",TRIM(AB302)&lt;&gt;"",TRIM(AB302)&lt;&gt;"Closed"),"INVALID – corrective action not closed: use Fail, then Pass after CA","")&amp;IF(AND(TRIM(AA302)&lt;&gt;"",TRIM(AB302)=""),"INVALID – CA status missing for the recorded corrective action","")&amp;IF(AND(TRIM(U302)="Pass after CA",OR(TRIM(AA302)="",TRIM(AB302)&lt;&gt;"Closed")),"INVALID – corrective action not recorded/closed","")&lt;&gt;"",IF(AND(TRIM(U302)="Pass",ISNUMBER(AF302)),IF(AF302&lt;&gt;0,"INVALID – qty variance: use Fail or Pass after CA",""),"")&amp;IF(AND(TRIM(U302)="Pass",TRIM(AB302)&lt;&gt;"",TRIM(AB302)&lt;&gt;"Closed"),"INVALID – corrective action not closed: use Fail, then Pass after CA","")&amp;IF(AND(TRIM(AA302)&lt;&gt;"",TRIM(AB302)=""),"INVALID – CA status missing for the recorded corrective action","")&amp;IF(AND(TRIM(U302)="Pass after CA",OR(TRIM(AA302)="",TRIM(AB302)&lt;&gt;"Closed")),"INVALID – corrective action not recorded/closed",""),IF(AND(AS302=1,Documents!$J$13&lt;&gt;"ON FILE"),"INVALID – GLD not on file (Documents sheet)",IF(AND(AS302=2,Documents!$O$13&lt;&gt;"ON FILE"),"INVALID – menu checklist not on file (Documents sheet)",IF(AND(AS302=3,NOT(ISNUMBER(Flights!$AX$13))),"INVALID – enter carrying flight KUL departure (Flights AX)",IF(AND(AS302=3,OR(Flights!$AX$13&gt;=Flights!$AA$13,Flights!$AX$13&lt;Flights!$AA$13-3)),"INVALID – Flights AX must be before this leg's STD (within 3 days)",IF(AG302&gt;AsOfUTC,"INVALID – completion time is in the future",IF(AND(ISNUMBER(S302),AG302&lt;S302),IF(H302="Physical uplift","INVALID – before uplift window (cannot confirm loading)","INVALID – before valid window"),IF(AG302&gt;Flights!$AA$13,"INVALID – completed after departure (cannot establish readiness)",IF(AND(H302="Physical uplift",AG302&gt;Q302),"INVALID – recorded after the loading flight departed",IF(AG302&gt;Q302,"COMPLETE – LATE","COMPLETE")))))))))))))))))),IF(TRIM(U302)="Fail","FAIL – DISCREPANCY",IF(AND(TRIM(U302)&lt;&gt;"",TRIM(U302)&lt;&gt;"Not started",TRIM(U302)&lt;&gt;"In progress"),"INVALID – unrecognised status (use the list)",IF(AsOfUTC&gt;Q302,"OVERDUE",IF(N302="Clarification required","OPEN – CLARIFICATION","OPEN")))))))</f>
        <v>OPEN</v>
      </c>
      <c r="AI302" s="61" t="n">
        <f aca="false">IF(OR(AH302="N/A – RULE",AH302="N/A – JUSTIFIED"),0,1)</f>
        <v>1</v>
      </c>
      <c r="AJ302" s="61" t="n">
        <f aca="false">IF(LEFT(AH302,8)="COMPLETE",1,0)</f>
        <v>0</v>
      </c>
      <c r="AK302" s="61" t="n">
        <f aca="false">IF(AND(AI302=1,AJ302=0,AsOfUTC&gt;Q302),1,0)</f>
        <v>0</v>
      </c>
      <c r="AL302" s="61" t="n">
        <f aca="false">IF(AND(AI302=1,OR(TRIM(U302)="Fail",AND(TRIM(AB302)&lt;&gt;"",TRIM(AB302)&lt;&gt;"Closed"),AND(ISNUMBER(AF302),AF302&lt;&gt;0,TRIM(U302)&lt;&gt;"Pass after CA"))),1,0)</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8" t="b">
        <f aca="false">TRUE()</f>
        <v>1</v>
      </c>
    </row>
    <row r="303" customFormat="false" ht="41.25" hidden="false" customHeight="true" outlineLevel="0" collapsed="false">
      <c r="A303" s="57" t="s">
        <v>848</v>
      </c>
      <c r="B303" s="57" t="s">
        <v>238</v>
      </c>
      <c r="C303" s="57" t="str">
        <f aca="false">Flights!$F$13</f>
        <v>MH0753</v>
      </c>
      <c r="D303" s="58" t="n">
        <f aca="false">Flights!$D$13</f>
        <v>46306</v>
      </c>
      <c r="E303" s="57" t="str">
        <f aca="false">Flights!$G$13&amp;"-"&amp;Flights!$H$13</f>
        <v>HAN-KUL</v>
      </c>
      <c r="F303" s="57" t="str">
        <f aca="false">Flights!$K$13</f>
        <v>BC</v>
      </c>
      <c r="G303" s="57" t="s">
        <v>385</v>
      </c>
      <c r="H303" s="57" t="s">
        <v>343</v>
      </c>
      <c r="I303" s="57" t="s">
        <v>464</v>
      </c>
      <c r="J303" s="57" t="s">
        <v>473</v>
      </c>
      <c r="K303" s="67" t="s">
        <v>466</v>
      </c>
      <c r="L303" s="67" t="s">
        <v>849</v>
      </c>
      <c r="M303" s="67" t="s">
        <v>416</v>
      </c>
      <c r="N303" s="67" t="s">
        <v>348</v>
      </c>
      <c r="O303" s="67" t="s">
        <v>845</v>
      </c>
      <c r="P303" s="57" t="s">
        <v>232</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59" t="n">
        <f aca="false">Q303-T12EarlyH/24</f>
        <v>46305.2534722222</v>
      </c>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IF(N303="N/A – rule","N/A – RULE",IF(TRIM(U303)="N/A",IF(AT303=0,"INVALID – N/A not permitted for this mandatory check",IF(AND(TRIM(AC303)&lt;&gt;"",TRIM(AE303)&lt;&gt;"",TRIM(T303)&lt;&gt;"",TRIM(AE303)&lt;&gt;TRIM(T303)),"N/A – JUSTIFIED","INVALID – N/A needs justification, PIC and a different verifier")),IF(OR(TRIM(U303)="Pass",TRIM(U303)="Pass after CA"),IF(NOT(ISNUMBER(AD303)),"INVALID – completion time missing",IF(TRIM(T303)="","INVALID – PIC missing",IF(TRIM(V303)="","INVALID – result / assessment missing",IF(TRIM(Z303)="","INVALID – evidence missing",IF(TRIM(AE303)="","INVALID – verifier missing",IF(TRIM(AE303)=TRIM(T303),"INVALID – verifier must be someone other than the PIC",IF(AND(AQ303=1,TRIM(W303)=""),"INVALID – batch ID missing",IF(AND(AR303=1,OR(NOT(ISNUMBER(X303)),NOT(ISNUMBER(Y303)))),"INVALID – expected/actual qty missing",IF(IF(AND(TRIM(U303)="Pass",ISNUMBER(AF303)),IF(AF303&lt;&gt;0,"INVALID – qty variance: use Fail or Pass after CA",""),"")&amp;IF(AND(TRIM(U303)="Pass",TRIM(AB303)&lt;&gt;"",TRIM(AB303)&lt;&gt;"Closed"),"INVALID – corrective action not closed: use Fail, then Pass after CA","")&amp;IF(AND(TRIM(AA303)&lt;&gt;"",TRIM(AB303)=""),"INVALID – CA status missing for the recorded corrective action","")&amp;IF(AND(TRIM(U303)="Pass after CA",OR(TRIM(AA303)="",TRIM(AB303)&lt;&gt;"Closed")),"INVALID – corrective action not recorded/closed","")&lt;&gt;"",IF(AND(TRIM(U303)="Pass",ISNUMBER(AF303)),IF(AF303&lt;&gt;0,"INVALID – qty variance: use Fail or Pass after CA",""),"")&amp;IF(AND(TRIM(U303)="Pass",TRIM(AB303)&lt;&gt;"",TRIM(AB303)&lt;&gt;"Closed"),"INVALID – corrective action not closed: use Fail, then Pass after CA","")&amp;IF(AND(TRIM(AA303)&lt;&gt;"",TRIM(AB303)=""),"INVALID – CA status missing for the recorded corrective action","")&amp;IF(AND(TRIM(U303)="Pass after CA",OR(TRIM(AA303)="",TRIM(AB303)&lt;&gt;"Closed")),"INVALID – corrective action not recorded/closed",""),IF(AND(AS303=1,Documents!$J$13&lt;&gt;"ON FILE"),"INVALID – GLD not on file (Documents sheet)",IF(AND(AS303=2,Documents!$O$13&lt;&gt;"ON FILE"),"INVALID – menu checklist not on file (Documents sheet)",IF(AND(AS303=3,NOT(ISNUMBER(Flights!$AX$13))),"INVALID – enter carrying flight KUL departure (Flights AX)",IF(AND(AS303=3,OR(Flights!$AX$13&gt;=Flights!$AA$13,Flights!$AX$13&lt;Flights!$AA$13-3)),"INVALID – Flights AX must be before this leg's STD (within 3 days)",IF(AG303&gt;AsOfUTC,"INVALID – completion time is in the future",IF(AND(ISNUMBER(S303),AG303&lt;S303),IF(H303="Physical uplift","INVALID – before uplift window (cannot confirm loading)","INVALID – before valid window"),IF(AG303&gt;Flights!$AA$13,"INVALID – completed after departure (cannot establish readiness)",IF(AND(H303="Physical uplift",AG303&gt;Q303),"INVALID – recorded after the loading flight departed",IF(AG303&gt;Q303,"COMPLETE – LATE","COMPLETE")))))))))))))))))),IF(TRIM(U303)="Fail","FAIL – DISCREPANCY",IF(AND(TRIM(U303)&lt;&gt;"",TRIM(U303)&lt;&gt;"Not started",TRIM(U303)&lt;&gt;"In progress"),"INVALID – unrecognised status (use the list)",IF(AsOfUTC&gt;Q303,"OVERDUE",IF(N303="Clarification required","OPEN – CLARIFICATION","OPEN")))))))</f>
        <v>OPEN</v>
      </c>
      <c r="AI303" s="61" t="n">
        <f aca="false">IF(OR(AH303="N/A – RULE",AH303="N/A – JUSTIFIED"),0,1)</f>
        <v>1</v>
      </c>
      <c r="AJ303" s="61" t="n">
        <f aca="false">IF(LEFT(AH303,8)="COMPLETE",1,0)</f>
        <v>0</v>
      </c>
      <c r="AK303" s="61" t="n">
        <f aca="false">IF(AND(AI303=1,AJ303=0,AsOfUTC&gt;Q303),1,0)</f>
        <v>0</v>
      </c>
      <c r="AL303" s="61" t="n">
        <f aca="false">IF(AND(AI303=1,OR(TRIM(U303)="Fail",AND(TRIM(AB303)&lt;&gt;"",TRIM(AB303)&lt;&gt;"Closed"),AND(ISNUMBER(AF303),AF303&lt;&gt;0,TRIM(U303)&lt;&gt;"Pass after CA"))),1,0)</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8" t="b">
        <f aca="false">TRUE()</f>
        <v>1</v>
      </c>
    </row>
    <row r="304" customFormat="false" ht="116.25" hidden="false" customHeight="true" outlineLevel="0" collapsed="false">
      <c r="A304" s="57" t="s">
        <v>850</v>
      </c>
      <c r="B304" s="57" t="s">
        <v>238</v>
      </c>
      <c r="C304" s="57" t="str">
        <f aca="false">Flights!$F$13</f>
        <v>MH0753</v>
      </c>
      <c r="D304" s="58" t="n">
        <f aca="false">Flights!$D$13</f>
        <v>46306</v>
      </c>
      <c r="E304" s="57" t="str">
        <f aca="false">Flights!$G$13&amp;"-"&amp;Flights!$H$13</f>
        <v>HAN-KUL</v>
      </c>
      <c r="F304" s="57" t="str">
        <f aca="false">Flights!$K$13</f>
        <v>BC</v>
      </c>
      <c r="G304" s="57" t="s">
        <v>385</v>
      </c>
      <c r="H304" s="57" t="s">
        <v>343</v>
      </c>
      <c r="I304" s="57" t="s">
        <v>464</v>
      </c>
      <c r="J304" s="57" t="s">
        <v>476</v>
      </c>
      <c r="K304" s="67" t="s">
        <v>466</v>
      </c>
      <c r="L304" s="67" t="s">
        <v>851</v>
      </c>
      <c r="M304" s="67" t="s">
        <v>416</v>
      </c>
      <c r="N304" s="67" t="s">
        <v>409</v>
      </c>
      <c r="O304" s="67" t="s">
        <v>852</v>
      </c>
      <c r="P304" s="57" t="s">
        <v>232</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59" t="n">
        <f aca="false">Q304-T12EarlyH/24</f>
        <v>46305.2534722222</v>
      </c>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IF(N304="N/A – rule","N/A – RULE",IF(TRIM(U304)="N/A",IF(AT304=0,"INVALID – N/A not permitted for this mandatory check",IF(AND(TRIM(AC304)&lt;&gt;"",TRIM(AE304)&lt;&gt;"",TRIM(T304)&lt;&gt;"",TRIM(AE304)&lt;&gt;TRIM(T304)),"N/A – JUSTIFIED","INVALID – N/A needs justification, PIC and a different verifier")),IF(OR(TRIM(U304)="Pass",TRIM(U304)="Pass after CA"),IF(NOT(ISNUMBER(AD304)),"INVALID – completion time missing",IF(TRIM(T304)="","INVALID – PIC missing",IF(TRIM(V304)="","INVALID – result / assessment missing",IF(TRIM(Z304)="","INVALID – evidence missing",IF(TRIM(AE304)="","INVALID – verifier missing",IF(TRIM(AE304)=TRIM(T304),"INVALID – verifier must be someone other than the PIC",IF(AND(AQ304=1,TRIM(W304)=""),"INVALID – batch ID missing",IF(AND(AR304=1,OR(NOT(ISNUMBER(X304)),NOT(ISNUMBER(Y304)))),"INVALID – expected/actual qty missing",IF(IF(AND(TRIM(U304)="Pass",ISNUMBER(AF304)),IF(AF304&lt;&gt;0,"INVALID – qty variance: use Fail or Pass after CA",""),"")&amp;IF(AND(TRIM(U304)="Pass",TRIM(AB304)&lt;&gt;"",TRIM(AB304)&lt;&gt;"Closed"),"INVALID – corrective action not closed: use Fail, then Pass after CA","")&amp;IF(AND(TRIM(AA304)&lt;&gt;"",TRIM(AB304)=""),"INVALID – CA status missing for the recorded corrective action","")&amp;IF(AND(TRIM(U304)="Pass after CA",OR(TRIM(AA304)="",TRIM(AB304)&lt;&gt;"Closed")),"INVALID – corrective action not recorded/closed","")&lt;&gt;"",IF(AND(TRIM(U304)="Pass",ISNUMBER(AF304)),IF(AF304&lt;&gt;0,"INVALID – qty variance: use Fail or Pass after CA",""),"")&amp;IF(AND(TRIM(U304)="Pass",TRIM(AB304)&lt;&gt;"",TRIM(AB304)&lt;&gt;"Closed"),"INVALID – corrective action not closed: use Fail, then Pass after CA","")&amp;IF(AND(TRIM(AA304)&lt;&gt;"",TRIM(AB304)=""),"INVALID – CA status missing for the recorded corrective action","")&amp;IF(AND(TRIM(U304)="Pass after CA",OR(TRIM(AA304)="",TRIM(AB304)&lt;&gt;"Closed")),"INVALID – corrective action not recorded/closed",""),IF(AND(AS304=1,Documents!$J$13&lt;&gt;"ON FILE"),"INVALID – GLD not on file (Documents sheet)",IF(AND(AS304=2,Documents!$O$13&lt;&gt;"ON FILE"),"INVALID – menu checklist not on file (Documents sheet)",IF(AND(AS304=3,NOT(ISNUMBER(Flights!$AX$13))),"INVALID – enter carrying flight KUL departure (Flights AX)",IF(AND(AS304=3,OR(Flights!$AX$13&gt;=Flights!$AA$13,Flights!$AX$13&lt;Flights!$AA$13-3)),"INVALID – Flights AX must be before this leg's STD (within 3 days)",IF(AG304&gt;AsOfUTC,"INVALID – completion time is in the future",IF(AND(ISNUMBER(S304),AG304&lt;S304),IF(H304="Physical uplift","INVALID – before uplift window (cannot confirm loading)","INVALID – before valid window"),IF(AG304&gt;Flights!$AA$13,"INVALID – completed after departure (cannot establish readiness)",IF(AND(H304="Physical uplift",AG304&gt;Q304),"INVALID – recorded after the loading flight departed",IF(AG304&gt;Q304,"COMPLETE – LATE","COMPLETE")))))))))))))))))),IF(TRIM(U304)="Fail","FAIL – DISCREPANCY",IF(AND(TRIM(U304)&lt;&gt;"",TRIM(U304)&lt;&gt;"Not started",TRIM(U304)&lt;&gt;"In progress"),"INVALID – unrecognised status (use the list)",IF(AsOfUTC&gt;Q304,"OVERDUE",IF(N304="Clarification required","OPEN – CLARIFICATION","OPEN")))))))</f>
        <v>OPEN – CLARIFICATION</v>
      </c>
      <c r="AI304" s="61" t="n">
        <f aca="false">IF(OR(AH304="N/A – RULE",AH304="N/A – JUSTIFIED"),0,1)</f>
        <v>1</v>
      </c>
      <c r="AJ304" s="61" t="n">
        <f aca="false">IF(LEFT(AH304,8)="COMPLETE",1,0)</f>
        <v>0</v>
      </c>
      <c r="AK304" s="61" t="n">
        <f aca="false">IF(AND(AI304=1,AJ304=0,AsOfUTC&gt;Q304),1,0)</f>
        <v>0</v>
      </c>
      <c r="AL304" s="61" t="n">
        <f aca="false">IF(AND(AI304=1,OR(TRIM(U304)="Fail",AND(TRIM(AB304)&lt;&gt;"",TRIM(AB304)&lt;&gt;"Closed"),AND(ISNUMBER(AF304),AF304&lt;&gt;0,TRIM(U304)&lt;&gt;"Pass after CA"))),1,0)</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8" t="b">
        <f aca="false">TRUE()</f>
        <v>1</v>
      </c>
    </row>
    <row r="305" customFormat="false" ht="116.25" hidden="false" customHeight="true" outlineLevel="0" collapsed="false">
      <c r="A305" s="57" t="s">
        <v>853</v>
      </c>
      <c r="B305" s="57" t="s">
        <v>238</v>
      </c>
      <c r="C305" s="57" t="str">
        <f aca="false">Flights!$F$13</f>
        <v>MH0753</v>
      </c>
      <c r="D305" s="58" t="n">
        <f aca="false">Flights!$D$13</f>
        <v>46306</v>
      </c>
      <c r="E305" s="57" t="str">
        <f aca="false">Flights!$G$13&amp;"-"&amp;Flights!$H$13</f>
        <v>HAN-KUL</v>
      </c>
      <c r="F305" s="57" t="str">
        <f aca="false">Flights!$K$13</f>
        <v>BC</v>
      </c>
      <c r="G305" s="57" t="s">
        <v>385</v>
      </c>
      <c r="H305" s="57" t="s">
        <v>343</v>
      </c>
      <c r="I305" s="57" t="s">
        <v>464</v>
      </c>
      <c r="J305" s="57" t="s">
        <v>480</v>
      </c>
      <c r="K305" s="67" t="s">
        <v>466</v>
      </c>
      <c r="L305" s="67" t="s">
        <v>854</v>
      </c>
      <c r="M305" s="67" t="s">
        <v>416</v>
      </c>
      <c r="N305" s="67" t="s">
        <v>409</v>
      </c>
      <c r="O305" s="67" t="s">
        <v>852</v>
      </c>
      <c r="P305" s="57" t="s">
        <v>232</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59" t="n">
        <f aca="false">Q305-T12EarlyH/24</f>
        <v>46305.2534722222</v>
      </c>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IF(N305="N/A – rule","N/A – RULE",IF(TRIM(U305)="N/A",IF(AT305=0,"INVALID – N/A not permitted for this mandatory check",IF(AND(TRIM(AC305)&lt;&gt;"",TRIM(AE305)&lt;&gt;"",TRIM(T305)&lt;&gt;"",TRIM(AE305)&lt;&gt;TRIM(T305)),"N/A – JUSTIFIED","INVALID – N/A needs justification, PIC and a different verifier")),IF(OR(TRIM(U305)="Pass",TRIM(U305)="Pass after CA"),IF(NOT(ISNUMBER(AD305)),"INVALID – completion time missing",IF(TRIM(T305)="","INVALID – PIC missing",IF(TRIM(V305)="","INVALID – result / assessment missing",IF(TRIM(Z305)="","INVALID – evidence missing",IF(TRIM(AE305)="","INVALID – verifier missing",IF(TRIM(AE305)=TRIM(T305),"INVALID – verifier must be someone other than the PIC",IF(AND(AQ305=1,TRIM(W305)=""),"INVALID – batch ID missing",IF(AND(AR305=1,OR(NOT(ISNUMBER(X305)),NOT(ISNUMBER(Y305)))),"INVALID – expected/actual qty missing",IF(IF(AND(TRIM(U305)="Pass",ISNUMBER(AF305)),IF(AF305&lt;&gt;0,"INVALID – qty variance: use Fail or Pass after CA",""),"")&amp;IF(AND(TRIM(U305)="Pass",TRIM(AB305)&lt;&gt;"",TRIM(AB305)&lt;&gt;"Closed"),"INVALID – corrective action not closed: use Fail, then Pass after CA","")&amp;IF(AND(TRIM(AA305)&lt;&gt;"",TRIM(AB305)=""),"INVALID – CA status missing for the recorded corrective action","")&amp;IF(AND(TRIM(U305)="Pass after CA",OR(TRIM(AA305)="",TRIM(AB305)&lt;&gt;"Closed")),"INVALID – corrective action not recorded/closed","")&lt;&gt;"",IF(AND(TRIM(U305)="Pass",ISNUMBER(AF305)),IF(AF305&lt;&gt;0,"INVALID – qty variance: use Fail or Pass after CA",""),"")&amp;IF(AND(TRIM(U305)="Pass",TRIM(AB305)&lt;&gt;"",TRIM(AB305)&lt;&gt;"Closed"),"INVALID – corrective action not closed: use Fail, then Pass after CA","")&amp;IF(AND(TRIM(AA305)&lt;&gt;"",TRIM(AB305)=""),"INVALID – CA status missing for the recorded corrective action","")&amp;IF(AND(TRIM(U305)="Pass after CA",OR(TRIM(AA305)="",TRIM(AB305)&lt;&gt;"Closed")),"INVALID – corrective action not recorded/closed",""),IF(AND(AS305=1,Documents!$J$13&lt;&gt;"ON FILE"),"INVALID – GLD not on file (Documents sheet)",IF(AND(AS305=2,Documents!$O$13&lt;&gt;"ON FILE"),"INVALID – menu checklist not on file (Documents sheet)",IF(AND(AS305=3,NOT(ISNUMBER(Flights!$AX$13))),"INVALID – enter carrying flight KUL departure (Flights AX)",IF(AND(AS305=3,OR(Flights!$AX$13&gt;=Flights!$AA$13,Flights!$AX$13&lt;Flights!$AA$13-3)),"INVALID – Flights AX must be before this leg's STD (within 3 days)",IF(AG305&gt;AsOfUTC,"INVALID – completion time is in the future",IF(AND(ISNUMBER(S305),AG305&lt;S305),IF(H305="Physical uplift","INVALID – before uplift window (cannot confirm loading)","INVALID – before valid window"),IF(AG305&gt;Flights!$AA$13,"INVALID – completed after departure (cannot establish readiness)",IF(AND(H305="Physical uplift",AG305&gt;Q305),"INVALID – recorded after the loading flight departed",IF(AG305&gt;Q305,"COMPLETE – LATE","COMPLETE")))))))))))))))))),IF(TRIM(U305)="Fail","FAIL – DISCREPANCY",IF(AND(TRIM(U305)&lt;&gt;"",TRIM(U305)&lt;&gt;"Not started",TRIM(U305)&lt;&gt;"In progress"),"INVALID – unrecognised status (use the list)",IF(AsOfUTC&gt;Q305,"OVERDUE",IF(N305="Clarification required","OPEN – CLARIFICATION","OPEN")))))))</f>
        <v>OPEN – CLARIFICATION</v>
      </c>
      <c r="AI305" s="61" t="n">
        <f aca="false">IF(OR(AH305="N/A – RULE",AH305="N/A – JUSTIFIED"),0,1)</f>
        <v>1</v>
      </c>
      <c r="AJ305" s="61" t="n">
        <f aca="false">IF(LEFT(AH305,8)="COMPLETE",1,0)</f>
        <v>0</v>
      </c>
      <c r="AK305" s="61" t="n">
        <f aca="false">IF(AND(AI305=1,AJ305=0,AsOfUTC&gt;Q305),1,0)</f>
        <v>0</v>
      </c>
      <c r="AL305" s="61" t="n">
        <f aca="false">IF(AND(AI305=1,OR(TRIM(U305)="Fail",AND(TRIM(AB305)&lt;&gt;"",TRIM(AB305)&lt;&gt;"Closed"),AND(ISNUMBER(AF305),AF305&lt;&gt;0,TRIM(U305)&lt;&gt;"Pass after CA"))),1,0)</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8" t="b">
        <f aca="false">TRUE()</f>
        <v>1</v>
      </c>
    </row>
    <row r="306" customFormat="false" ht="54" hidden="false" customHeight="true" outlineLevel="0" collapsed="false">
      <c r="A306" s="57" t="s">
        <v>855</v>
      </c>
      <c r="B306" s="57" t="s">
        <v>238</v>
      </c>
      <c r="C306" s="57" t="str">
        <f aca="false">Flights!$F$13</f>
        <v>MH0753</v>
      </c>
      <c r="D306" s="58" t="n">
        <f aca="false">Flights!$D$13</f>
        <v>46306</v>
      </c>
      <c r="E306" s="57" t="str">
        <f aca="false">Flights!$G$13&amp;"-"&amp;Flights!$H$13</f>
        <v>HAN-KUL</v>
      </c>
      <c r="F306" s="57" t="str">
        <f aca="false">Flights!$K$13</f>
        <v>BC</v>
      </c>
      <c r="G306" s="57" t="s">
        <v>385</v>
      </c>
      <c r="H306" s="57" t="s">
        <v>343</v>
      </c>
      <c r="I306" s="57" t="s">
        <v>464</v>
      </c>
      <c r="J306" s="57" t="s">
        <v>483</v>
      </c>
      <c r="K306" s="67" t="s">
        <v>484</v>
      </c>
      <c r="L306" s="67" t="s">
        <v>856</v>
      </c>
      <c r="M306" s="67" t="s">
        <v>416</v>
      </c>
      <c r="N306" s="67" t="s">
        <v>348</v>
      </c>
      <c r="O306" s="67" t="s">
        <v>857</v>
      </c>
      <c r="P306" s="57" t="s">
        <v>232</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59" t="n">
        <f aca="false">Q306-T12EarlyH/24</f>
        <v>46305.2534722222</v>
      </c>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IF(N306="N/A – rule","N/A – RULE",IF(TRIM(U306)="N/A",IF(AT306=0,"INVALID – N/A not permitted for this mandatory check",IF(AND(TRIM(AC306)&lt;&gt;"",TRIM(AE306)&lt;&gt;"",TRIM(T306)&lt;&gt;"",TRIM(AE306)&lt;&gt;TRIM(T306)),"N/A – JUSTIFIED","INVALID – N/A needs justification, PIC and a different verifier")),IF(OR(TRIM(U306)="Pass",TRIM(U306)="Pass after CA"),IF(NOT(ISNUMBER(AD306)),"INVALID – completion time missing",IF(TRIM(T306)="","INVALID – PIC missing",IF(TRIM(V306)="","INVALID – result / assessment missing",IF(TRIM(Z306)="","INVALID – evidence missing",IF(TRIM(AE306)="","INVALID – verifier missing",IF(TRIM(AE306)=TRIM(T306),"INVALID – verifier must be someone other than the PIC",IF(AND(AQ306=1,TRIM(W306)=""),"INVALID – batch ID missing",IF(AND(AR306=1,OR(NOT(ISNUMBER(X306)),NOT(ISNUMBER(Y306)))),"INVALID – expected/actual qty missing",IF(IF(AND(TRIM(U306)="Pass",ISNUMBER(AF306)),IF(AF306&lt;&gt;0,"INVALID – qty variance: use Fail or Pass after CA",""),"")&amp;IF(AND(TRIM(U306)="Pass",TRIM(AB306)&lt;&gt;"",TRIM(AB306)&lt;&gt;"Closed"),"INVALID – corrective action not closed: use Fail, then Pass after CA","")&amp;IF(AND(TRIM(AA306)&lt;&gt;"",TRIM(AB306)=""),"INVALID – CA status missing for the recorded corrective action","")&amp;IF(AND(TRIM(U306)="Pass after CA",OR(TRIM(AA306)="",TRIM(AB306)&lt;&gt;"Closed")),"INVALID – corrective action not recorded/closed","")&lt;&gt;"",IF(AND(TRIM(U306)="Pass",ISNUMBER(AF306)),IF(AF306&lt;&gt;0,"INVALID – qty variance: use Fail or Pass after CA",""),"")&amp;IF(AND(TRIM(U306)="Pass",TRIM(AB306)&lt;&gt;"",TRIM(AB306)&lt;&gt;"Closed"),"INVALID – corrective action not closed: use Fail, then Pass after CA","")&amp;IF(AND(TRIM(AA306)&lt;&gt;"",TRIM(AB306)=""),"INVALID – CA status missing for the recorded corrective action","")&amp;IF(AND(TRIM(U306)="Pass after CA",OR(TRIM(AA306)="",TRIM(AB306)&lt;&gt;"Closed")),"INVALID – corrective action not recorded/closed",""),IF(AND(AS306=1,Documents!$J$13&lt;&gt;"ON FILE"),"INVALID – GLD not on file (Documents sheet)",IF(AND(AS306=2,Documents!$O$13&lt;&gt;"ON FILE"),"INVALID – menu checklist not on file (Documents sheet)",IF(AND(AS306=3,NOT(ISNUMBER(Flights!$AX$13))),"INVALID – enter carrying flight KUL departure (Flights AX)",IF(AND(AS306=3,OR(Flights!$AX$13&gt;=Flights!$AA$13,Flights!$AX$13&lt;Flights!$AA$13-3)),"INVALID – Flights AX must be before this leg's STD (within 3 days)",IF(AG306&gt;AsOfUTC,"INVALID – completion time is in the future",IF(AND(ISNUMBER(S306),AG306&lt;S306),IF(H306="Physical uplift","INVALID – before uplift window (cannot confirm loading)","INVALID – before valid window"),IF(AG306&gt;Flights!$AA$13,"INVALID – completed after departure (cannot establish readiness)",IF(AND(H306="Physical uplift",AG306&gt;Q306),"INVALID – recorded after the loading flight departed",IF(AG306&gt;Q306,"COMPLETE – LATE","COMPLETE")))))))))))))))))),IF(TRIM(U306)="Fail","FAIL – DISCREPANCY",IF(AND(TRIM(U306)&lt;&gt;"",TRIM(U306)&lt;&gt;"Not started",TRIM(U306)&lt;&gt;"In progress"),"INVALID – unrecognised status (use the list)",IF(AsOfUTC&gt;Q306,"OVERDUE",IF(N306="Clarification required","OPEN – CLARIFICATION","OPEN")))))))</f>
        <v>OPEN</v>
      </c>
      <c r="AI306" s="61" t="n">
        <f aca="false">IF(OR(AH306="N/A – RULE",AH306="N/A – JUSTIFIED"),0,1)</f>
        <v>1</v>
      </c>
      <c r="AJ306" s="61" t="n">
        <f aca="false">IF(LEFT(AH306,8)="COMPLETE",1,0)</f>
        <v>0</v>
      </c>
      <c r="AK306" s="61" t="n">
        <f aca="false">IF(AND(AI306=1,AJ306=0,AsOfUTC&gt;Q306),1,0)</f>
        <v>0</v>
      </c>
      <c r="AL306" s="61" t="n">
        <f aca="false">IF(AND(AI306=1,OR(TRIM(U306)="Fail",AND(TRIM(AB306)&lt;&gt;"",TRIM(AB306)&lt;&gt;"Closed"),AND(ISNUMBER(AF306),AF306&lt;&gt;0,TRIM(U306)&lt;&gt;"Pass after CA"))),1,0)</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8" t="b">
        <f aca="false">TRUE()</f>
        <v>1</v>
      </c>
    </row>
    <row r="307" customFormat="false" ht="41.25" hidden="false" customHeight="true" outlineLevel="0" collapsed="false">
      <c r="A307" s="57" t="s">
        <v>858</v>
      </c>
      <c r="B307" s="57" t="s">
        <v>238</v>
      </c>
      <c r="C307" s="57" t="str">
        <f aca="false">Flights!$F$13</f>
        <v>MH0753</v>
      </c>
      <c r="D307" s="58" t="n">
        <f aca="false">Flights!$D$13</f>
        <v>46306</v>
      </c>
      <c r="E307" s="57" t="str">
        <f aca="false">Flights!$G$13&amp;"-"&amp;Flights!$H$13</f>
        <v>HAN-KUL</v>
      </c>
      <c r="F307" s="57" t="str">
        <f aca="false">Flights!$K$13</f>
        <v>BC</v>
      </c>
      <c r="G307" s="57" t="s">
        <v>385</v>
      </c>
      <c r="H307" s="57" t="s">
        <v>343</v>
      </c>
      <c r="I307" s="57" t="s">
        <v>464</v>
      </c>
      <c r="J307" s="57" t="s">
        <v>488</v>
      </c>
      <c r="K307" s="67" t="s">
        <v>466</v>
      </c>
      <c r="L307" s="67" t="s">
        <v>859</v>
      </c>
      <c r="M307" s="67" t="s">
        <v>416</v>
      </c>
      <c r="N307" s="67" t="s">
        <v>348</v>
      </c>
      <c r="O307" s="67" t="s">
        <v>845</v>
      </c>
      <c r="P307" s="57" t="s">
        <v>232</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59" t="n">
        <f aca="false">Q307-T12EarlyH/24</f>
        <v>46305.2534722222</v>
      </c>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IF(N307="N/A – rule","N/A – RULE",IF(TRIM(U307)="N/A",IF(AT307=0,"INVALID – N/A not permitted for this mandatory check",IF(AND(TRIM(AC307)&lt;&gt;"",TRIM(AE307)&lt;&gt;"",TRIM(T307)&lt;&gt;"",TRIM(AE307)&lt;&gt;TRIM(T307)),"N/A – JUSTIFIED","INVALID – N/A needs justification, PIC and a different verifier")),IF(OR(TRIM(U307)="Pass",TRIM(U307)="Pass after CA"),IF(NOT(ISNUMBER(AD307)),"INVALID – completion time missing",IF(TRIM(T307)="","INVALID – PIC missing",IF(TRIM(V307)="","INVALID – result / assessment missing",IF(TRIM(Z307)="","INVALID – evidence missing",IF(TRIM(AE307)="","INVALID – verifier missing",IF(TRIM(AE307)=TRIM(T307),"INVALID – verifier must be someone other than the PIC",IF(AND(AQ307=1,TRIM(W307)=""),"INVALID – batch ID missing",IF(AND(AR307=1,OR(NOT(ISNUMBER(X307)),NOT(ISNUMBER(Y307)))),"INVALID – expected/actual qty missing",IF(IF(AND(TRIM(U307)="Pass",ISNUMBER(AF307)),IF(AF307&lt;&gt;0,"INVALID – qty variance: use Fail or Pass after CA",""),"")&amp;IF(AND(TRIM(U307)="Pass",TRIM(AB307)&lt;&gt;"",TRIM(AB307)&lt;&gt;"Closed"),"INVALID – corrective action not closed: use Fail, then Pass after CA","")&amp;IF(AND(TRIM(AA307)&lt;&gt;"",TRIM(AB307)=""),"INVALID – CA status missing for the recorded corrective action","")&amp;IF(AND(TRIM(U307)="Pass after CA",OR(TRIM(AA307)="",TRIM(AB307)&lt;&gt;"Closed")),"INVALID – corrective action not recorded/closed","")&lt;&gt;"",IF(AND(TRIM(U307)="Pass",ISNUMBER(AF307)),IF(AF307&lt;&gt;0,"INVALID – qty variance: use Fail or Pass after CA",""),"")&amp;IF(AND(TRIM(U307)="Pass",TRIM(AB307)&lt;&gt;"",TRIM(AB307)&lt;&gt;"Closed"),"INVALID – corrective action not closed: use Fail, then Pass after CA","")&amp;IF(AND(TRIM(AA307)&lt;&gt;"",TRIM(AB307)=""),"INVALID – CA status missing for the recorded corrective action","")&amp;IF(AND(TRIM(U307)="Pass after CA",OR(TRIM(AA307)="",TRIM(AB307)&lt;&gt;"Closed")),"INVALID – corrective action not recorded/closed",""),IF(AND(AS307=1,Documents!$J$13&lt;&gt;"ON FILE"),"INVALID – GLD not on file (Documents sheet)",IF(AND(AS307=2,Documents!$O$13&lt;&gt;"ON FILE"),"INVALID – menu checklist not on file (Documents sheet)",IF(AND(AS307=3,NOT(ISNUMBER(Flights!$AX$13))),"INVALID – enter carrying flight KUL departure (Flights AX)",IF(AND(AS307=3,OR(Flights!$AX$13&gt;=Flights!$AA$13,Flights!$AX$13&lt;Flights!$AA$13-3)),"INVALID – Flights AX must be before this leg's STD (within 3 days)",IF(AG307&gt;AsOfUTC,"INVALID – completion time is in the future",IF(AND(ISNUMBER(S307),AG307&lt;S307),IF(H307="Physical uplift","INVALID – before uplift window (cannot confirm loading)","INVALID – before valid window"),IF(AG307&gt;Flights!$AA$13,"INVALID – completed after departure (cannot establish readiness)",IF(AND(H307="Physical uplift",AG307&gt;Q307),"INVALID – recorded after the loading flight departed",IF(AG307&gt;Q307,"COMPLETE – LATE","COMPLETE")))))))))))))))))),IF(TRIM(U307)="Fail","FAIL – DISCREPANCY",IF(AND(TRIM(U307)&lt;&gt;"",TRIM(U307)&lt;&gt;"Not started",TRIM(U307)&lt;&gt;"In progress"),"INVALID – unrecognised status (use the list)",IF(AsOfUTC&gt;Q307,"OVERDUE",IF(N307="Clarification required","OPEN – CLARIFICATION","OPEN")))))))</f>
        <v>OPEN</v>
      </c>
      <c r="AI307" s="61" t="n">
        <f aca="false">IF(OR(AH307="N/A – RULE",AH307="N/A – JUSTIFIED"),0,1)</f>
        <v>1</v>
      </c>
      <c r="AJ307" s="61" t="n">
        <f aca="false">IF(LEFT(AH307,8)="COMPLETE",1,0)</f>
        <v>0</v>
      </c>
      <c r="AK307" s="61" t="n">
        <f aca="false">IF(AND(AI307=1,AJ307=0,AsOfUTC&gt;Q307),1,0)</f>
        <v>0</v>
      </c>
      <c r="AL307" s="61" t="n">
        <f aca="false">IF(AND(AI307=1,OR(TRIM(U307)="Fail",AND(TRIM(AB307)&lt;&gt;"",TRIM(AB307)&lt;&gt;"Closed"),AND(ISNUMBER(AF307),AF307&lt;&gt;0,TRIM(U307)&lt;&gt;"Pass after CA"))),1,0)</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8" t="b">
        <f aca="false">TRUE()</f>
        <v>1</v>
      </c>
    </row>
    <row r="308" customFormat="false" ht="41.25" hidden="false" customHeight="true" outlineLevel="0" collapsed="false">
      <c r="A308" s="57" t="s">
        <v>860</v>
      </c>
      <c r="B308" s="57" t="s">
        <v>238</v>
      </c>
      <c r="C308" s="57" t="str">
        <f aca="false">Flights!$F$13</f>
        <v>MH0753</v>
      </c>
      <c r="D308" s="58" t="n">
        <f aca="false">Flights!$D$13</f>
        <v>46306</v>
      </c>
      <c r="E308" s="57" t="str">
        <f aca="false">Flights!$G$13&amp;"-"&amp;Flights!$H$13</f>
        <v>HAN-KUL</v>
      </c>
      <c r="F308" s="57" t="str">
        <f aca="false">Flights!$K$13</f>
        <v>BC</v>
      </c>
      <c r="G308" s="57" t="s">
        <v>385</v>
      </c>
      <c r="H308" s="57" t="s">
        <v>343</v>
      </c>
      <c r="I308" s="57" t="s">
        <v>412</v>
      </c>
      <c r="J308" s="57" t="s">
        <v>491</v>
      </c>
      <c r="K308" s="67" t="s">
        <v>414</v>
      </c>
      <c r="L308" s="67" t="s">
        <v>861</v>
      </c>
      <c r="M308" s="67" t="s">
        <v>416</v>
      </c>
      <c r="N308" s="67" t="s">
        <v>348</v>
      </c>
      <c r="O308" s="67" t="s">
        <v>845</v>
      </c>
      <c r="P308" s="57" t="s">
        <v>232</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59" t="n">
        <f aca="false">Q308-T12EarlyH/24</f>
        <v>46305.2534722222</v>
      </c>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IF(N308="N/A – rule","N/A – RULE",IF(TRIM(U308)="N/A",IF(AT308=0,"INVALID – N/A not permitted for this mandatory check",IF(AND(TRIM(AC308)&lt;&gt;"",TRIM(AE308)&lt;&gt;"",TRIM(T308)&lt;&gt;"",TRIM(AE308)&lt;&gt;TRIM(T308)),"N/A – JUSTIFIED","INVALID – N/A needs justification, PIC and a different verifier")),IF(OR(TRIM(U308)="Pass",TRIM(U308)="Pass after CA"),IF(NOT(ISNUMBER(AD308)),"INVALID – completion time missing",IF(TRIM(T308)="","INVALID – PIC missing",IF(TRIM(V308)="","INVALID – result / assessment missing",IF(TRIM(Z308)="","INVALID – evidence missing",IF(TRIM(AE308)="","INVALID – verifier missing",IF(TRIM(AE308)=TRIM(T308),"INVALID – verifier must be someone other than the PIC",IF(AND(AQ308=1,TRIM(W308)=""),"INVALID – batch ID missing",IF(AND(AR308=1,OR(NOT(ISNUMBER(X308)),NOT(ISNUMBER(Y308)))),"INVALID – expected/actual qty missing",IF(IF(AND(TRIM(U308)="Pass",ISNUMBER(AF308)),IF(AF308&lt;&gt;0,"INVALID – qty variance: use Fail or Pass after CA",""),"")&amp;IF(AND(TRIM(U308)="Pass",TRIM(AB308)&lt;&gt;"",TRIM(AB308)&lt;&gt;"Closed"),"INVALID – corrective action not closed: use Fail, then Pass after CA","")&amp;IF(AND(TRIM(AA308)&lt;&gt;"",TRIM(AB308)=""),"INVALID – CA status missing for the recorded corrective action","")&amp;IF(AND(TRIM(U308)="Pass after CA",OR(TRIM(AA308)="",TRIM(AB308)&lt;&gt;"Closed")),"INVALID – corrective action not recorded/closed","")&lt;&gt;"",IF(AND(TRIM(U308)="Pass",ISNUMBER(AF308)),IF(AF308&lt;&gt;0,"INVALID – qty variance: use Fail or Pass after CA",""),"")&amp;IF(AND(TRIM(U308)="Pass",TRIM(AB308)&lt;&gt;"",TRIM(AB308)&lt;&gt;"Closed"),"INVALID – corrective action not closed: use Fail, then Pass after CA","")&amp;IF(AND(TRIM(AA308)&lt;&gt;"",TRIM(AB308)=""),"INVALID – CA status missing for the recorded corrective action","")&amp;IF(AND(TRIM(U308)="Pass after CA",OR(TRIM(AA308)="",TRIM(AB308)&lt;&gt;"Closed")),"INVALID – corrective action not recorded/closed",""),IF(AND(AS308=1,Documents!$J$13&lt;&gt;"ON FILE"),"INVALID – GLD not on file (Documents sheet)",IF(AND(AS308=2,Documents!$O$13&lt;&gt;"ON FILE"),"INVALID – menu checklist not on file (Documents sheet)",IF(AND(AS308=3,NOT(ISNUMBER(Flights!$AX$13))),"INVALID – enter carrying flight KUL departure (Flights AX)",IF(AND(AS308=3,OR(Flights!$AX$13&gt;=Flights!$AA$13,Flights!$AX$13&lt;Flights!$AA$13-3)),"INVALID – Flights AX must be before this leg's STD (within 3 days)",IF(AG308&gt;AsOfUTC,"INVALID – completion time is in the future",IF(AND(ISNUMBER(S308),AG308&lt;S308),IF(H308="Physical uplift","INVALID – before uplift window (cannot confirm loading)","INVALID – before valid window"),IF(AG308&gt;Flights!$AA$13,"INVALID – completed after departure (cannot establish readiness)",IF(AND(H308="Physical uplift",AG308&gt;Q308),"INVALID – recorded after the loading flight departed",IF(AG308&gt;Q308,"COMPLETE – LATE","COMPLETE")))))))))))))))))),IF(TRIM(U308)="Fail","FAIL – DISCREPANCY",IF(AND(TRIM(U308)&lt;&gt;"",TRIM(U308)&lt;&gt;"Not started",TRIM(U308)&lt;&gt;"In progress"),"INVALID – unrecognised status (use the list)",IF(AsOfUTC&gt;Q308,"OVERDUE",IF(N308="Clarification required","OPEN – CLARIFICATION","OPEN")))))))</f>
        <v>OPEN</v>
      </c>
      <c r="AI308" s="61" t="n">
        <f aca="false">IF(OR(AH308="N/A – RULE",AH308="N/A – JUSTIFIED"),0,1)</f>
        <v>1</v>
      </c>
      <c r="AJ308" s="61" t="n">
        <f aca="false">IF(LEFT(AH308,8)="COMPLETE",1,0)</f>
        <v>0</v>
      </c>
      <c r="AK308" s="61" t="n">
        <f aca="false">IF(AND(AI308=1,AJ308=0,AsOfUTC&gt;Q308),1,0)</f>
        <v>0</v>
      </c>
      <c r="AL308" s="61" t="n">
        <f aca="false">IF(AND(AI308=1,OR(TRIM(U308)="Fail",AND(TRIM(AB308)&lt;&gt;"",TRIM(AB308)&lt;&gt;"Closed"),AND(ISNUMBER(AF308),AF308&lt;&gt;0,TRIM(U308)&lt;&gt;"Pass after CA"))),1,0)</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8" t="b">
        <f aca="false">TRUE()</f>
        <v>1</v>
      </c>
    </row>
    <row r="309" customFormat="false" ht="41.25" hidden="false" customHeight="true" outlineLevel="0" collapsed="false">
      <c r="A309" s="57" t="s">
        <v>862</v>
      </c>
      <c r="B309" s="57" t="s">
        <v>238</v>
      </c>
      <c r="C309" s="57" t="str">
        <f aca="false">Flights!$F$13</f>
        <v>MH0753</v>
      </c>
      <c r="D309" s="58" t="n">
        <f aca="false">Flights!$D$13</f>
        <v>46306</v>
      </c>
      <c r="E309" s="57" t="str">
        <f aca="false">Flights!$G$13&amp;"-"&amp;Flights!$H$13</f>
        <v>HAN-KUL</v>
      </c>
      <c r="F309" s="57" t="str">
        <f aca="false">Flights!$K$13</f>
        <v>BC</v>
      </c>
      <c r="G309" s="57" t="s">
        <v>385</v>
      </c>
      <c r="H309" s="57" t="s">
        <v>343</v>
      </c>
      <c r="I309" s="57" t="s">
        <v>412</v>
      </c>
      <c r="J309" s="57" t="s">
        <v>494</v>
      </c>
      <c r="K309" s="67" t="s">
        <v>414</v>
      </c>
      <c r="L309" s="67" t="s">
        <v>863</v>
      </c>
      <c r="M309" s="67" t="s">
        <v>416</v>
      </c>
      <c r="N309" s="67" t="s">
        <v>348</v>
      </c>
      <c r="O309" s="67" t="s">
        <v>845</v>
      </c>
      <c r="P309" s="57" t="s">
        <v>232</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59" t="n">
        <f aca="false">Q309-T12EarlyH/24</f>
        <v>46305.2534722222</v>
      </c>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IF(N309="N/A – rule","N/A – RULE",IF(TRIM(U309)="N/A",IF(AT309=0,"INVALID – N/A not permitted for this mandatory check",IF(AND(TRIM(AC309)&lt;&gt;"",TRIM(AE309)&lt;&gt;"",TRIM(T309)&lt;&gt;"",TRIM(AE309)&lt;&gt;TRIM(T309)),"N/A – JUSTIFIED","INVALID – N/A needs justification, PIC and a different verifier")),IF(OR(TRIM(U309)="Pass",TRIM(U309)="Pass after CA"),IF(NOT(ISNUMBER(AD309)),"INVALID – completion time missing",IF(TRIM(T309)="","INVALID – PIC missing",IF(TRIM(V309)="","INVALID – result / assessment missing",IF(TRIM(Z309)="","INVALID – evidence missing",IF(TRIM(AE309)="","INVALID – verifier missing",IF(TRIM(AE309)=TRIM(T309),"INVALID – verifier must be someone other than the PIC",IF(AND(AQ309=1,TRIM(W309)=""),"INVALID – batch ID missing",IF(AND(AR309=1,OR(NOT(ISNUMBER(X309)),NOT(ISNUMBER(Y309)))),"INVALID – expected/actual qty missing",IF(IF(AND(TRIM(U309)="Pass",ISNUMBER(AF309)),IF(AF309&lt;&gt;0,"INVALID – qty variance: use Fail or Pass after CA",""),"")&amp;IF(AND(TRIM(U309)="Pass",TRIM(AB309)&lt;&gt;"",TRIM(AB309)&lt;&gt;"Closed"),"INVALID – corrective action not closed: use Fail, then Pass after CA","")&amp;IF(AND(TRIM(AA309)&lt;&gt;"",TRIM(AB309)=""),"INVALID – CA status missing for the recorded corrective action","")&amp;IF(AND(TRIM(U309)="Pass after CA",OR(TRIM(AA309)="",TRIM(AB309)&lt;&gt;"Closed")),"INVALID – corrective action not recorded/closed","")&lt;&gt;"",IF(AND(TRIM(U309)="Pass",ISNUMBER(AF309)),IF(AF309&lt;&gt;0,"INVALID – qty variance: use Fail or Pass after CA",""),"")&amp;IF(AND(TRIM(U309)="Pass",TRIM(AB309)&lt;&gt;"",TRIM(AB309)&lt;&gt;"Closed"),"INVALID – corrective action not closed: use Fail, then Pass after CA","")&amp;IF(AND(TRIM(AA309)&lt;&gt;"",TRIM(AB309)=""),"INVALID – CA status missing for the recorded corrective action","")&amp;IF(AND(TRIM(U309)="Pass after CA",OR(TRIM(AA309)="",TRIM(AB309)&lt;&gt;"Closed")),"INVALID – corrective action not recorded/closed",""),IF(AND(AS309=1,Documents!$J$13&lt;&gt;"ON FILE"),"INVALID – GLD not on file (Documents sheet)",IF(AND(AS309=2,Documents!$O$13&lt;&gt;"ON FILE"),"INVALID – menu checklist not on file (Documents sheet)",IF(AND(AS309=3,NOT(ISNUMBER(Flights!$AX$13))),"INVALID – enter carrying flight KUL departure (Flights AX)",IF(AND(AS309=3,OR(Flights!$AX$13&gt;=Flights!$AA$13,Flights!$AX$13&lt;Flights!$AA$13-3)),"INVALID – Flights AX must be before this leg's STD (within 3 days)",IF(AG309&gt;AsOfUTC,"INVALID – completion time is in the future",IF(AND(ISNUMBER(S309),AG309&lt;S309),IF(H309="Physical uplift","INVALID – before uplift window (cannot confirm loading)","INVALID – before valid window"),IF(AG309&gt;Flights!$AA$13,"INVALID – completed after departure (cannot establish readiness)",IF(AND(H309="Physical uplift",AG309&gt;Q309),"INVALID – recorded after the loading flight departed",IF(AG309&gt;Q309,"COMPLETE – LATE","COMPLETE")))))))))))))))))),IF(TRIM(U309)="Fail","FAIL – DISCREPANCY",IF(AND(TRIM(U309)&lt;&gt;"",TRIM(U309)&lt;&gt;"Not started",TRIM(U309)&lt;&gt;"In progress"),"INVALID – unrecognised status (use the list)",IF(AsOfUTC&gt;Q309,"OVERDUE",IF(N309="Clarification required","OPEN – CLARIFICATION","OPEN")))))))</f>
        <v>OPEN</v>
      </c>
      <c r="AI309" s="61" t="n">
        <f aca="false">IF(OR(AH309="N/A – RULE",AH309="N/A – JUSTIFIED"),0,1)</f>
        <v>1</v>
      </c>
      <c r="AJ309" s="61" t="n">
        <f aca="false">IF(LEFT(AH309,8)="COMPLETE",1,0)</f>
        <v>0</v>
      </c>
      <c r="AK309" s="61" t="n">
        <f aca="false">IF(AND(AI309=1,AJ309=0,AsOfUTC&gt;Q309),1,0)</f>
        <v>0</v>
      </c>
      <c r="AL309" s="61" t="n">
        <f aca="false">IF(AND(AI309=1,OR(TRIM(U309)="Fail",AND(TRIM(AB309)&lt;&gt;"",TRIM(AB309)&lt;&gt;"Closed"),AND(ISNUMBER(AF309),AF309&lt;&gt;0,TRIM(U309)&lt;&gt;"Pass after CA"))),1,0)</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8" t="b">
        <f aca="false">TRUE()</f>
        <v>1</v>
      </c>
    </row>
    <row r="310" customFormat="false" ht="39.75" hidden="false" customHeight="true" outlineLevel="0" collapsed="false">
      <c r="A310" s="57" t="s">
        <v>864</v>
      </c>
      <c r="B310" s="57" t="s">
        <v>238</v>
      </c>
      <c r="C310" s="57" t="str">
        <f aca="false">Flights!$F$13</f>
        <v>MH0753</v>
      </c>
      <c r="D310" s="58" t="n">
        <f aca="false">Flights!$D$13</f>
        <v>46306</v>
      </c>
      <c r="E310" s="57" t="str">
        <f aca="false">Flights!$G$13&amp;"-"&amp;Flights!$H$13</f>
        <v>HAN-KUL</v>
      </c>
      <c r="F310" s="57" t="str">
        <f aca="false">Flights!$K$13</f>
        <v>BC</v>
      </c>
      <c r="G310" s="57" t="s">
        <v>424</v>
      </c>
      <c r="H310" s="57" t="s">
        <v>425</v>
      </c>
      <c r="I310" s="57" t="s">
        <v>344</v>
      </c>
      <c r="J310" s="57" t="s">
        <v>426</v>
      </c>
      <c r="K310" s="67" t="s">
        <v>391</v>
      </c>
      <c r="L310" s="67" t="s">
        <v>427</v>
      </c>
      <c r="M310" s="67"/>
      <c r="N310" s="67" t="s">
        <v>348</v>
      </c>
      <c r="O310" s="67" t="s">
        <v>428</v>
      </c>
      <c r="P310" s="57" t="s">
        <v>232</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59" t="n">
        <f aca="false">IF(ISNUMBER(Flights!$AY$13),MAX(Q310-UpliftWindowH/24,Flights!$AY$13+UpliftWindowH/24),Q310-UpliftWindowH/24)</f>
        <v>46306.0034722222</v>
      </c>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IF(N310="N/A – rule","N/A – RULE",IF(TRIM(U310)="N/A",IF(AT310=0,"INVALID – N/A not permitted for this mandatory check",IF(AND(TRIM(AC310)&lt;&gt;"",TRIM(AE310)&lt;&gt;"",TRIM(T310)&lt;&gt;"",TRIM(AE310)&lt;&gt;TRIM(T310)),"N/A – JUSTIFIED","INVALID – N/A needs justification, PIC and a different verifier")),IF(OR(TRIM(U310)="Pass",TRIM(U310)="Pass after CA"),IF(NOT(ISNUMBER(AD310)),"INVALID – completion time missing",IF(TRIM(T310)="","INVALID – PIC missing",IF(TRIM(V310)="","INVALID – result / assessment missing",IF(TRIM(Z310)="","INVALID – evidence missing",IF(TRIM(AE310)="","INVALID – verifier missing",IF(TRIM(AE310)=TRIM(T310),"INVALID – verifier must be someone other than the PIC",IF(AND(AQ310=1,TRIM(W310)=""),"INVALID – batch ID missing",IF(AND(AR310=1,OR(NOT(ISNUMBER(X310)),NOT(ISNUMBER(Y310)))),"INVALID – expected/actual qty missing",IF(IF(AND(TRIM(U310)="Pass",ISNUMBER(AF310)),IF(AF310&lt;&gt;0,"INVALID – qty variance: use Fail or Pass after CA",""),"")&amp;IF(AND(TRIM(U310)="Pass",TRIM(AB310)&lt;&gt;"",TRIM(AB310)&lt;&gt;"Closed"),"INVALID – corrective action not closed: use Fail, then Pass after CA","")&amp;IF(AND(TRIM(AA310)&lt;&gt;"",TRIM(AB310)=""),"INVALID – CA status missing for the recorded corrective action","")&amp;IF(AND(TRIM(U310)="Pass after CA",OR(TRIM(AA310)="",TRIM(AB310)&lt;&gt;"Closed")),"INVALID – corrective action not recorded/closed","")&lt;&gt;"",IF(AND(TRIM(U310)="Pass",ISNUMBER(AF310)),IF(AF310&lt;&gt;0,"INVALID – qty variance: use Fail or Pass after CA",""),"")&amp;IF(AND(TRIM(U310)="Pass",TRIM(AB310)&lt;&gt;"",TRIM(AB310)&lt;&gt;"Closed"),"INVALID – corrective action not closed: use Fail, then Pass after CA","")&amp;IF(AND(TRIM(AA310)&lt;&gt;"",TRIM(AB310)=""),"INVALID – CA status missing for the recorded corrective action","")&amp;IF(AND(TRIM(U310)="Pass after CA",OR(TRIM(AA310)="",TRIM(AB310)&lt;&gt;"Closed")),"INVALID – corrective action not recorded/closed",""),IF(AND(AS310=1,Documents!$J$13&lt;&gt;"ON FILE"),"INVALID – GLD not on file (Documents sheet)",IF(AND(AS310=2,Documents!$O$13&lt;&gt;"ON FILE"),"INVALID – menu checklist not on file (Documents sheet)",IF(AND(AS310=3,NOT(ISNUMBER(Flights!$AX$13))),"INVALID – enter carrying flight KUL departure (Flights AX)",IF(AND(AS310=3,OR(Flights!$AX$13&gt;=Flights!$AA$13,Flights!$AX$13&lt;Flights!$AA$13-3)),"INVALID – Flights AX must be before this leg's STD (within 3 days)",IF(AG310&gt;AsOfUTC,"INVALID – completion time is in the future",IF(AND(ISNUMBER(S310),AG310&lt;S310),IF(H310="Physical uplift","INVALID – before uplift window (cannot confirm loading)","INVALID – before valid window"),IF(AG310&gt;Flights!$AA$13,"INVALID – completed after departure (cannot establish readiness)",IF(AND(H310="Physical uplift",AG310&gt;Q310),"INVALID – recorded after the loading flight departed",IF(AG310&gt;Q310,"COMPLETE – LATE","COMPLETE")))))))))))))))))),IF(TRIM(U310)="Fail","FAIL – DISCREPANCY",IF(AND(TRIM(U310)&lt;&gt;"",TRIM(U310)&lt;&gt;"Not started",TRIM(U310)&lt;&gt;"In progress"),"INVALID – unrecognised status (use the list)",IF(AsOfUTC&gt;Q310,"OVERDUE",IF(N310="Clarification required","OPEN – CLARIFICATION","OPEN")))))))</f>
        <v>OPEN</v>
      </c>
      <c r="AI310" s="61" t="n">
        <f aca="false">IF(OR(AH310="N/A – RULE",AH310="N/A – JUSTIFIED"),0,1)</f>
        <v>1</v>
      </c>
      <c r="AJ310" s="61" t="n">
        <f aca="false">IF(LEFT(AH310,8)="COMPLETE",1,0)</f>
        <v>0</v>
      </c>
      <c r="AK310" s="61" t="n">
        <f aca="false">IF(AND(AI310=1,AJ310=0,AsOfUTC&gt;Q310),1,0)</f>
        <v>0</v>
      </c>
      <c r="AL310" s="61" t="n">
        <f aca="false">IF(AND(AI310=1,OR(TRIM(U310)="Fail",AND(TRIM(AB310)&lt;&gt;"",TRIM(AB310)&lt;&gt;"Closed"),AND(ISNUMBER(AF310),AF310&lt;&gt;0,TRIM(U310)&lt;&gt;"Pass after CA"))),1,0)</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row>
    <row r="311" customFormat="false" ht="39.75" hidden="false" customHeight="true" outlineLevel="0" collapsed="false">
      <c r="A311" s="57" t="s">
        <v>865</v>
      </c>
      <c r="B311" s="57" t="s">
        <v>238</v>
      </c>
      <c r="C311" s="57" t="str">
        <f aca="false">Flights!$F$13</f>
        <v>MH0753</v>
      </c>
      <c r="D311" s="58" t="n">
        <f aca="false">Flights!$D$13</f>
        <v>46306</v>
      </c>
      <c r="E311" s="57" t="str">
        <f aca="false">Flights!$G$13&amp;"-"&amp;Flights!$H$13</f>
        <v>HAN-KUL</v>
      </c>
      <c r="F311" s="57" t="str">
        <f aca="false">Flights!$K$13</f>
        <v>BC</v>
      </c>
      <c r="G311" s="57" t="s">
        <v>424</v>
      </c>
      <c r="H311" s="57" t="s">
        <v>425</v>
      </c>
      <c r="I311" s="57" t="s">
        <v>393</v>
      </c>
      <c r="J311" s="57" t="s">
        <v>430</v>
      </c>
      <c r="K311" s="67" t="s">
        <v>391</v>
      </c>
      <c r="L311" s="67" t="s">
        <v>427</v>
      </c>
      <c r="M311" s="67"/>
      <c r="N311" s="67" t="s">
        <v>348</v>
      </c>
      <c r="O311" s="67" t="s">
        <v>428</v>
      </c>
      <c r="P311" s="57" t="s">
        <v>232</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59" t="n">
        <f aca="false">IF(ISNUMBER(Flights!$AY$13),MAX(Q311-UpliftWindowH/24,Flights!$AY$13+UpliftWindowH/24),Q311-UpliftWindowH/24)</f>
        <v>46306.0034722222</v>
      </c>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IF(N311="N/A – rule","N/A – RULE",IF(TRIM(U311)="N/A",IF(AT311=0,"INVALID – N/A not permitted for this mandatory check",IF(AND(TRIM(AC311)&lt;&gt;"",TRIM(AE311)&lt;&gt;"",TRIM(T311)&lt;&gt;"",TRIM(AE311)&lt;&gt;TRIM(T311)),"N/A – JUSTIFIED","INVALID – N/A needs justification, PIC and a different verifier")),IF(OR(TRIM(U311)="Pass",TRIM(U311)="Pass after CA"),IF(NOT(ISNUMBER(AD311)),"INVALID – completion time missing",IF(TRIM(T311)="","INVALID – PIC missing",IF(TRIM(V311)="","INVALID – result / assessment missing",IF(TRIM(Z311)="","INVALID – evidence missing",IF(TRIM(AE311)="","INVALID – verifier missing",IF(TRIM(AE311)=TRIM(T311),"INVALID – verifier must be someone other than the PIC",IF(AND(AQ311=1,TRIM(W311)=""),"INVALID – batch ID missing",IF(AND(AR311=1,OR(NOT(ISNUMBER(X311)),NOT(ISNUMBER(Y311)))),"INVALID – expected/actual qty missing",IF(IF(AND(TRIM(U311)="Pass",ISNUMBER(AF311)),IF(AF311&lt;&gt;0,"INVALID – qty variance: use Fail or Pass after CA",""),"")&amp;IF(AND(TRIM(U311)="Pass",TRIM(AB311)&lt;&gt;"",TRIM(AB311)&lt;&gt;"Closed"),"INVALID – corrective action not closed: use Fail, then Pass after CA","")&amp;IF(AND(TRIM(AA311)&lt;&gt;"",TRIM(AB311)=""),"INVALID – CA status missing for the recorded corrective action","")&amp;IF(AND(TRIM(U311)="Pass after CA",OR(TRIM(AA311)="",TRIM(AB311)&lt;&gt;"Closed")),"INVALID – corrective action not recorded/closed","")&lt;&gt;"",IF(AND(TRIM(U311)="Pass",ISNUMBER(AF311)),IF(AF311&lt;&gt;0,"INVALID – qty variance: use Fail or Pass after CA",""),"")&amp;IF(AND(TRIM(U311)="Pass",TRIM(AB311)&lt;&gt;"",TRIM(AB311)&lt;&gt;"Closed"),"INVALID – corrective action not closed: use Fail, then Pass after CA","")&amp;IF(AND(TRIM(AA311)&lt;&gt;"",TRIM(AB311)=""),"INVALID – CA status missing for the recorded corrective action","")&amp;IF(AND(TRIM(U311)="Pass after CA",OR(TRIM(AA311)="",TRIM(AB311)&lt;&gt;"Closed")),"INVALID – corrective action not recorded/closed",""),IF(AND(AS311=1,Documents!$J$13&lt;&gt;"ON FILE"),"INVALID – GLD not on file (Documents sheet)",IF(AND(AS311=2,Documents!$O$13&lt;&gt;"ON FILE"),"INVALID – menu checklist not on file (Documents sheet)",IF(AND(AS311=3,NOT(ISNUMBER(Flights!$AX$13))),"INVALID – enter carrying flight KUL departure (Flights AX)",IF(AND(AS311=3,OR(Flights!$AX$13&gt;=Flights!$AA$13,Flights!$AX$13&lt;Flights!$AA$13-3)),"INVALID – Flights AX must be before this leg's STD (within 3 days)",IF(AG311&gt;AsOfUTC,"INVALID – completion time is in the future",IF(AND(ISNUMBER(S311),AG311&lt;S311),IF(H311="Physical uplift","INVALID – before uplift window (cannot confirm loading)","INVALID – before valid window"),IF(AG311&gt;Flights!$AA$13,"INVALID – completed after departure (cannot establish readiness)",IF(AND(H311="Physical uplift",AG311&gt;Q311),"INVALID – recorded after the loading flight departed",IF(AG311&gt;Q311,"COMPLETE – LATE","COMPLETE")))))))))))))))))),IF(TRIM(U311)="Fail","FAIL – DISCREPANCY",IF(AND(TRIM(U311)&lt;&gt;"",TRIM(U311)&lt;&gt;"Not started",TRIM(U311)&lt;&gt;"In progress"),"INVALID – unrecognised status (use the list)",IF(AsOfUTC&gt;Q311,"OVERDUE",IF(N311="Clarification required","OPEN – CLARIFICATION","OPEN")))))))</f>
        <v>OPEN</v>
      </c>
      <c r="AI311" s="61" t="n">
        <f aca="false">IF(OR(AH311="N/A – RULE",AH311="N/A – JUSTIFIED"),0,1)</f>
        <v>1</v>
      </c>
      <c r="AJ311" s="61" t="n">
        <f aca="false">IF(LEFT(AH311,8)="COMPLETE",1,0)</f>
        <v>0</v>
      </c>
      <c r="AK311" s="61" t="n">
        <f aca="false">IF(AND(AI311=1,AJ311=0,AsOfUTC&gt;Q311),1,0)</f>
        <v>0</v>
      </c>
      <c r="AL311" s="61" t="n">
        <f aca="false">IF(AND(AI311=1,OR(TRIM(U311)="Fail",AND(TRIM(AB311)&lt;&gt;"",TRIM(AB311)&lt;&gt;"Closed"),AND(ISNUMBER(AF311),AF311&lt;&gt;0,TRIM(U311)&lt;&gt;"Pass after CA"))),1,0)</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row>
    <row r="312" customFormat="false" ht="41.25" hidden="false" customHeight="true" outlineLevel="0" collapsed="false">
      <c r="A312" s="57" t="s">
        <v>866</v>
      </c>
      <c r="B312" s="57" t="s">
        <v>238</v>
      </c>
      <c r="C312" s="57" t="str">
        <f aca="false">Flights!$F$13</f>
        <v>MH0753</v>
      </c>
      <c r="D312" s="58" t="n">
        <f aca="false">Flights!$D$13</f>
        <v>46306</v>
      </c>
      <c r="E312" s="57" t="str">
        <f aca="false">Flights!$G$13&amp;"-"&amp;Flights!$H$13</f>
        <v>HAN-KUL</v>
      </c>
      <c r="F312" s="57" t="str">
        <f aca="false">Flights!$K$13</f>
        <v>BC</v>
      </c>
      <c r="G312" s="57" t="s">
        <v>424</v>
      </c>
      <c r="H312" s="57" t="s">
        <v>425</v>
      </c>
      <c r="I312" s="57" t="s">
        <v>405</v>
      </c>
      <c r="J312" s="57" t="s">
        <v>499</v>
      </c>
      <c r="K312" s="67" t="s">
        <v>460</v>
      </c>
      <c r="L312" s="67" t="s">
        <v>841</v>
      </c>
      <c r="M312" s="67" t="s">
        <v>416</v>
      </c>
      <c r="N312" s="67" t="s">
        <v>348</v>
      </c>
      <c r="O312" s="67" t="s">
        <v>500</v>
      </c>
      <c r="P312" s="57" t="s">
        <v>232</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59" t="n">
        <f aca="false">IF(ISNUMBER(Flights!$AY$13),MAX(Q312-UpliftWindowH/24,Flights!$AY$13+UpliftWindowH/24),Q312-UpliftWindowH/24)</f>
        <v>46306.0034722222</v>
      </c>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IF(N312="N/A – rule","N/A – RULE",IF(TRIM(U312)="N/A",IF(AT312=0,"INVALID – N/A not permitted for this mandatory check",IF(AND(TRIM(AC312)&lt;&gt;"",TRIM(AE312)&lt;&gt;"",TRIM(T312)&lt;&gt;"",TRIM(AE312)&lt;&gt;TRIM(T312)),"N/A – JUSTIFIED","INVALID – N/A needs justification, PIC and a different verifier")),IF(OR(TRIM(U312)="Pass",TRIM(U312)="Pass after CA"),IF(NOT(ISNUMBER(AD312)),"INVALID – completion time missing",IF(TRIM(T312)="","INVALID – PIC missing",IF(TRIM(V312)="","INVALID – result / assessment missing",IF(TRIM(Z312)="","INVALID – evidence missing",IF(TRIM(AE312)="","INVALID – verifier missing",IF(TRIM(AE312)=TRIM(T312),"INVALID – verifier must be someone other than the PIC",IF(AND(AQ312=1,TRIM(W312)=""),"INVALID – batch ID missing",IF(AND(AR312=1,OR(NOT(ISNUMBER(X312)),NOT(ISNUMBER(Y312)))),"INVALID – expected/actual qty missing",IF(IF(AND(TRIM(U312)="Pass",ISNUMBER(AF312)),IF(AF312&lt;&gt;0,"INVALID – qty variance: use Fail or Pass after CA",""),"")&amp;IF(AND(TRIM(U312)="Pass",TRIM(AB312)&lt;&gt;"",TRIM(AB312)&lt;&gt;"Closed"),"INVALID – corrective action not closed: use Fail, then Pass after CA","")&amp;IF(AND(TRIM(AA312)&lt;&gt;"",TRIM(AB312)=""),"INVALID – CA status missing for the recorded corrective action","")&amp;IF(AND(TRIM(U312)="Pass after CA",OR(TRIM(AA312)="",TRIM(AB312)&lt;&gt;"Closed")),"INVALID – corrective action not recorded/closed","")&lt;&gt;"",IF(AND(TRIM(U312)="Pass",ISNUMBER(AF312)),IF(AF312&lt;&gt;0,"INVALID – qty variance: use Fail or Pass after CA",""),"")&amp;IF(AND(TRIM(U312)="Pass",TRIM(AB312)&lt;&gt;"",TRIM(AB312)&lt;&gt;"Closed"),"INVALID – corrective action not closed: use Fail, then Pass after CA","")&amp;IF(AND(TRIM(AA312)&lt;&gt;"",TRIM(AB312)=""),"INVALID – CA status missing for the recorded corrective action","")&amp;IF(AND(TRIM(U312)="Pass after CA",OR(TRIM(AA312)="",TRIM(AB312)&lt;&gt;"Closed")),"INVALID – corrective action not recorded/closed",""),IF(AND(AS312=1,Documents!$J$13&lt;&gt;"ON FILE"),"INVALID – GLD not on file (Documents sheet)",IF(AND(AS312=2,Documents!$O$13&lt;&gt;"ON FILE"),"INVALID – menu checklist not on file (Documents sheet)",IF(AND(AS312=3,NOT(ISNUMBER(Flights!$AX$13))),"INVALID – enter carrying flight KUL departure (Flights AX)",IF(AND(AS312=3,OR(Flights!$AX$13&gt;=Flights!$AA$13,Flights!$AX$13&lt;Flights!$AA$13-3)),"INVALID – Flights AX must be before this leg's STD (within 3 days)",IF(AG312&gt;AsOfUTC,"INVALID – completion time is in the future",IF(AND(ISNUMBER(S312),AG312&lt;S312),IF(H312="Physical uplift","INVALID – before uplift window (cannot confirm loading)","INVALID – before valid window"),IF(AG312&gt;Flights!$AA$13,"INVALID – completed after departure (cannot establish readiness)",IF(AND(H312="Physical uplift",AG312&gt;Q312),"INVALID – recorded after the loading flight departed",IF(AG312&gt;Q312,"COMPLETE – LATE","COMPLETE")))))))))))))))))),IF(TRIM(U312)="Fail","FAIL – DISCREPANCY",IF(AND(TRIM(U312)&lt;&gt;"",TRIM(U312)&lt;&gt;"Not started",TRIM(U312)&lt;&gt;"In progress"),"INVALID – unrecognised status (use the list)",IF(AsOfUTC&gt;Q312,"OVERDUE",IF(N312="Clarification required","OPEN – CLARIFICATION","OPEN")))))))</f>
        <v>OPEN</v>
      </c>
      <c r="AI312" s="61" t="n">
        <f aca="false">IF(OR(AH312="N/A – RULE",AH312="N/A – JUSTIFIED"),0,1)</f>
        <v>1</v>
      </c>
      <c r="AJ312" s="61" t="n">
        <f aca="false">IF(LEFT(AH312,8)="COMPLETE",1,0)</f>
        <v>0</v>
      </c>
      <c r="AK312" s="61" t="n">
        <f aca="false">IF(AND(AI312=1,AJ312=0,AsOfUTC&gt;Q312),1,0)</f>
        <v>0</v>
      </c>
      <c r="AL312" s="61" t="n">
        <f aca="false">IF(AND(AI312=1,OR(TRIM(U312)="Fail",AND(TRIM(AB312)&lt;&gt;"",TRIM(AB312)&lt;&gt;"Closed"),AND(ISNUMBER(AF312),AF312&lt;&gt;0,TRIM(U312)&lt;&gt;"Pass after CA"))),1,0)</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8" t="b">
        <f aca="false">TRUE()</f>
        <v>1</v>
      </c>
    </row>
    <row r="313" customFormat="false" ht="39.75" hidden="false" customHeight="true" outlineLevel="0" collapsed="false">
      <c r="A313" s="57" t="s">
        <v>867</v>
      </c>
      <c r="B313" s="57" t="s">
        <v>238</v>
      </c>
      <c r="C313" s="57" t="str">
        <f aca="false">Flights!$F$13</f>
        <v>MH0753</v>
      </c>
      <c r="D313" s="58" t="n">
        <f aca="false">Flights!$D$13</f>
        <v>46306</v>
      </c>
      <c r="E313" s="57" t="str">
        <f aca="false">Flights!$G$13&amp;"-"&amp;Flights!$H$13</f>
        <v>HAN-KUL</v>
      </c>
      <c r="F313" s="57" t="str">
        <f aca="false">Flights!$K$13</f>
        <v>BC</v>
      </c>
      <c r="G313" s="57" t="s">
        <v>424</v>
      </c>
      <c r="H313" s="57" t="s">
        <v>425</v>
      </c>
      <c r="I313" s="57" t="s">
        <v>464</v>
      </c>
      <c r="J313" s="57" t="s">
        <v>502</v>
      </c>
      <c r="K313" s="67" t="s">
        <v>466</v>
      </c>
      <c r="L313" s="67" t="s">
        <v>844</v>
      </c>
      <c r="M313" s="67" t="s">
        <v>416</v>
      </c>
      <c r="N313" s="67" t="s">
        <v>348</v>
      </c>
      <c r="O313" s="67"/>
      <c r="P313" s="57" t="s">
        <v>232</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59" t="n">
        <f aca="false">IF(ISNUMBER(Flights!$AY$13),MAX(Q313-UpliftWindowH/24,Flights!$AY$13+UpliftWindowH/24),Q313-UpliftWindowH/24)</f>
        <v>46306.0034722222</v>
      </c>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IF(N313="N/A – rule","N/A – RULE",IF(TRIM(U313)="N/A",IF(AT313=0,"INVALID – N/A not permitted for this mandatory check",IF(AND(TRIM(AC313)&lt;&gt;"",TRIM(AE313)&lt;&gt;"",TRIM(T313)&lt;&gt;"",TRIM(AE313)&lt;&gt;TRIM(T313)),"N/A – JUSTIFIED","INVALID – N/A needs justification, PIC and a different verifier")),IF(OR(TRIM(U313)="Pass",TRIM(U313)="Pass after CA"),IF(NOT(ISNUMBER(AD313)),"INVALID – completion time missing",IF(TRIM(T313)="","INVALID – PIC missing",IF(TRIM(V313)="","INVALID – result / assessment missing",IF(TRIM(Z313)="","INVALID – evidence missing",IF(TRIM(AE313)="","INVALID – verifier missing",IF(TRIM(AE313)=TRIM(T313),"INVALID – verifier must be someone other than the PIC",IF(AND(AQ313=1,TRIM(W313)=""),"INVALID – batch ID missing",IF(AND(AR313=1,OR(NOT(ISNUMBER(X313)),NOT(ISNUMBER(Y313)))),"INVALID – expected/actual qty missing",IF(IF(AND(TRIM(U313)="Pass",ISNUMBER(AF313)),IF(AF313&lt;&gt;0,"INVALID – qty variance: use Fail or Pass after CA",""),"")&amp;IF(AND(TRIM(U313)="Pass",TRIM(AB313)&lt;&gt;"",TRIM(AB313)&lt;&gt;"Closed"),"INVALID – corrective action not closed: use Fail, then Pass after CA","")&amp;IF(AND(TRIM(AA313)&lt;&gt;"",TRIM(AB313)=""),"INVALID – CA status missing for the recorded corrective action","")&amp;IF(AND(TRIM(U313)="Pass after CA",OR(TRIM(AA313)="",TRIM(AB313)&lt;&gt;"Closed")),"INVALID – corrective action not recorded/closed","")&lt;&gt;"",IF(AND(TRIM(U313)="Pass",ISNUMBER(AF313)),IF(AF313&lt;&gt;0,"INVALID – qty variance: use Fail or Pass after CA",""),"")&amp;IF(AND(TRIM(U313)="Pass",TRIM(AB313)&lt;&gt;"",TRIM(AB313)&lt;&gt;"Closed"),"INVALID – corrective action not closed: use Fail, then Pass after CA","")&amp;IF(AND(TRIM(AA313)&lt;&gt;"",TRIM(AB313)=""),"INVALID – CA status missing for the recorded corrective action","")&amp;IF(AND(TRIM(U313)="Pass after CA",OR(TRIM(AA313)="",TRIM(AB313)&lt;&gt;"Closed")),"INVALID – corrective action not recorded/closed",""),IF(AND(AS313=1,Documents!$J$13&lt;&gt;"ON FILE"),"INVALID – GLD not on file (Documents sheet)",IF(AND(AS313=2,Documents!$O$13&lt;&gt;"ON FILE"),"INVALID – menu checklist not on file (Documents sheet)",IF(AND(AS313=3,NOT(ISNUMBER(Flights!$AX$13))),"INVALID – enter carrying flight KUL departure (Flights AX)",IF(AND(AS313=3,OR(Flights!$AX$13&gt;=Flights!$AA$13,Flights!$AX$13&lt;Flights!$AA$13-3)),"INVALID – Flights AX must be before this leg's STD (within 3 days)",IF(AG313&gt;AsOfUTC,"INVALID – completion time is in the future",IF(AND(ISNUMBER(S313),AG313&lt;S313),IF(H313="Physical uplift","INVALID – before uplift window (cannot confirm loading)","INVALID – before valid window"),IF(AG313&gt;Flights!$AA$13,"INVALID – completed after departure (cannot establish readiness)",IF(AND(H313="Physical uplift",AG313&gt;Q313),"INVALID – recorded after the loading flight departed",IF(AG313&gt;Q313,"COMPLETE – LATE","COMPLETE")))))))))))))))))),IF(TRIM(U313)="Fail","FAIL – DISCREPANCY",IF(AND(TRIM(U313)&lt;&gt;"",TRIM(U313)&lt;&gt;"Not started",TRIM(U313)&lt;&gt;"In progress"),"INVALID – unrecognised status (use the list)",IF(AsOfUTC&gt;Q313,"OVERDUE",IF(N313="Clarification required","OPEN – CLARIFICATION","OPEN")))))))</f>
        <v>OPEN</v>
      </c>
      <c r="AI313" s="61" t="n">
        <f aca="false">IF(OR(AH313="N/A – RULE",AH313="N/A – JUSTIFIED"),0,1)</f>
        <v>1</v>
      </c>
      <c r="AJ313" s="61" t="n">
        <f aca="false">IF(LEFT(AH313,8)="COMPLETE",1,0)</f>
        <v>0</v>
      </c>
      <c r="AK313" s="61" t="n">
        <f aca="false">IF(AND(AI313=1,AJ313=0,AsOfUTC&gt;Q313),1,0)</f>
        <v>0</v>
      </c>
      <c r="AL313" s="61" t="n">
        <f aca="false">IF(AND(AI313=1,OR(TRIM(U313)="Fail",AND(TRIM(AB313)&lt;&gt;"",TRIM(AB313)&lt;&gt;"Closed"),AND(ISNUMBER(AF313),AF313&lt;&gt;0,TRIM(U313)&lt;&gt;"Pass after CA"))),1,0)</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8" t="b">
        <f aca="false">TRUE()</f>
        <v>1</v>
      </c>
    </row>
    <row r="314" customFormat="false" ht="39.75" hidden="false" customHeight="true" outlineLevel="0" collapsed="false">
      <c r="A314" s="57" t="s">
        <v>868</v>
      </c>
      <c r="B314" s="57" t="s">
        <v>238</v>
      </c>
      <c r="C314" s="57" t="str">
        <f aca="false">Flights!$F$13</f>
        <v>MH0753</v>
      </c>
      <c r="D314" s="58" t="n">
        <f aca="false">Flights!$D$13</f>
        <v>46306</v>
      </c>
      <c r="E314" s="57" t="str">
        <f aca="false">Flights!$G$13&amp;"-"&amp;Flights!$H$13</f>
        <v>HAN-KUL</v>
      </c>
      <c r="F314" s="57" t="str">
        <f aca="false">Flights!$K$13</f>
        <v>BC</v>
      </c>
      <c r="G314" s="57" t="s">
        <v>424</v>
      </c>
      <c r="H314" s="57" t="s">
        <v>425</v>
      </c>
      <c r="I314" s="57" t="s">
        <v>464</v>
      </c>
      <c r="J314" s="57" t="s">
        <v>504</v>
      </c>
      <c r="K314" s="67" t="s">
        <v>466</v>
      </c>
      <c r="L314" s="67" t="s">
        <v>847</v>
      </c>
      <c r="M314" s="67" t="s">
        <v>416</v>
      </c>
      <c r="N314" s="67" t="s">
        <v>348</v>
      </c>
      <c r="O314" s="67"/>
      <c r="P314" s="57" t="s">
        <v>232</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59" t="n">
        <f aca="false">IF(ISNUMBER(Flights!$AY$13),MAX(Q314-UpliftWindowH/24,Flights!$AY$13+UpliftWindowH/24),Q314-UpliftWindowH/24)</f>
        <v>46306.0034722222</v>
      </c>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IF(N314="N/A – rule","N/A – RULE",IF(TRIM(U314)="N/A",IF(AT314=0,"INVALID – N/A not permitted for this mandatory check",IF(AND(TRIM(AC314)&lt;&gt;"",TRIM(AE314)&lt;&gt;"",TRIM(T314)&lt;&gt;"",TRIM(AE314)&lt;&gt;TRIM(T314)),"N/A – JUSTIFIED","INVALID – N/A needs justification, PIC and a different verifier")),IF(OR(TRIM(U314)="Pass",TRIM(U314)="Pass after CA"),IF(NOT(ISNUMBER(AD314)),"INVALID – completion time missing",IF(TRIM(T314)="","INVALID – PIC missing",IF(TRIM(V314)="","INVALID – result / assessment missing",IF(TRIM(Z314)="","INVALID – evidence missing",IF(TRIM(AE314)="","INVALID – verifier missing",IF(TRIM(AE314)=TRIM(T314),"INVALID – verifier must be someone other than the PIC",IF(AND(AQ314=1,TRIM(W314)=""),"INVALID – batch ID missing",IF(AND(AR314=1,OR(NOT(ISNUMBER(X314)),NOT(ISNUMBER(Y314)))),"INVALID – expected/actual qty missing",IF(IF(AND(TRIM(U314)="Pass",ISNUMBER(AF314)),IF(AF314&lt;&gt;0,"INVALID – qty variance: use Fail or Pass after CA",""),"")&amp;IF(AND(TRIM(U314)="Pass",TRIM(AB314)&lt;&gt;"",TRIM(AB314)&lt;&gt;"Closed"),"INVALID – corrective action not closed: use Fail, then Pass after CA","")&amp;IF(AND(TRIM(AA314)&lt;&gt;"",TRIM(AB314)=""),"INVALID – CA status missing for the recorded corrective action","")&amp;IF(AND(TRIM(U314)="Pass after CA",OR(TRIM(AA314)="",TRIM(AB314)&lt;&gt;"Closed")),"INVALID – corrective action not recorded/closed","")&lt;&gt;"",IF(AND(TRIM(U314)="Pass",ISNUMBER(AF314)),IF(AF314&lt;&gt;0,"INVALID – qty variance: use Fail or Pass after CA",""),"")&amp;IF(AND(TRIM(U314)="Pass",TRIM(AB314)&lt;&gt;"",TRIM(AB314)&lt;&gt;"Closed"),"INVALID – corrective action not closed: use Fail, then Pass after CA","")&amp;IF(AND(TRIM(AA314)&lt;&gt;"",TRIM(AB314)=""),"INVALID – CA status missing for the recorded corrective action","")&amp;IF(AND(TRIM(U314)="Pass after CA",OR(TRIM(AA314)="",TRIM(AB314)&lt;&gt;"Closed")),"INVALID – corrective action not recorded/closed",""),IF(AND(AS314=1,Documents!$J$13&lt;&gt;"ON FILE"),"INVALID – GLD not on file (Documents sheet)",IF(AND(AS314=2,Documents!$O$13&lt;&gt;"ON FILE"),"INVALID – menu checklist not on file (Documents sheet)",IF(AND(AS314=3,NOT(ISNUMBER(Flights!$AX$13))),"INVALID – enter carrying flight KUL departure (Flights AX)",IF(AND(AS314=3,OR(Flights!$AX$13&gt;=Flights!$AA$13,Flights!$AX$13&lt;Flights!$AA$13-3)),"INVALID – Flights AX must be before this leg's STD (within 3 days)",IF(AG314&gt;AsOfUTC,"INVALID – completion time is in the future",IF(AND(ISNUMBER(S314),AG314&lt;S314),IF(H314="Physical uplift","INVALID – before uplift window (cannot confirm loading)","INVALID – before valid window"),IF(AG314&gt;Flights!$AA$13,"INVALID – completed after departure (cannot establish readiness)",IF(AND(H314="Physical uplift",AG314&gt;Q314),"INVALID – recorded after the loading flight departed",IF(AG314&gt;Q314,"COMPLETE – LATE","COMPLETE")))))))))))))))))),IF(TRIM(U314)="Fail","FAIL – DISCREPANCY",IF(AND(TRIM(U314)&lt;&gt;"",TRIM(U314)&lt;&gt;"Not started",TRIM(U314)&lt;&gt;"In progress"),"INVALID – unrecognised status (use the list)",IF(AsOfUTC&gt;Q314,"OVERDUE",IF(N314="Clarification required","OPEN – CLARIFICATION","OPEN")))))))</f>
        <v>OPEN</v>
      </c>
      <c r="AI314" s="61" t="n">
        <f aca="false">IF(OR(AH314="N/A – RULE",AH314="N/A – JUSTIFIED"),0,1)</f>
        <v>1</v>
      </c>
      <c r="AJ314" s="61" t="n">
        <f aca="false">IF(LEFT(AH314,8)="COMPLETE",1,0)</f>
        <v>0</v>
      </c>
      <c r="AK314" s="61" t="n">
        <f aca="false">IF(AND(AI314=1,AJ314=0,AsOfUTC&gt;Q314),1,0)</f>
        <v>0</v>
      </c>
      <c r="AL314" s="61" t="n">
        <f aca="false">IF(AND(AI314=1,OR(TRIM(U314)="Fail",AND(TRIM(AB314)&lt;&gt;"",TRIM(AB314)&lt;&gt;"Closed"),AND(ISNUMBER(AF314),AF314&lt;&gt;0,TRIM(U314)&lt;&gt;"Pass after CA"))),1,0)</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8" t="b">
        <f aca="false">TRUE()</f>
        <v>1</v>
      </c>
    </row>
    <row r="315" customFormat="false" ht="39.75" hidden="false" customHeight="true" outlineLevel="0" collapsed="false">
      <c r="A315" s="57" t="s">
        <v>869</v>
      </c>
      <c r="B315" s="57" t="s">
        <v>238</v>
      </c>
      <c r="C315" s="57" t="str">
        <f aca="false">Flights!$F$13</f>
        <v>MH0753</v>
      </c>
      <c r="D315" s="58" t="n">
        <f aca="false">Flights!$D$13</f>
        <v>46306</v>
      </c>
      <c r="E315" s="57" t="str">
        <f aca="false">Flights!$G$13&amp;"-"&amp;Flights!$H$13</f>
        <v>HAN-KUL</v>
      </c>
      <c r="F315" s="57" t="str">
        <f aca="false">Flights!$K$13</f>
        <v>BC</v>
      </c>
      <c r="G315" s="57" t="s">
        <v>424</v>
      </c>
      <c r="H315" s="57" t="s">
        <v>425</v>
      </c>
      <c r="I315" s="57" t="s">
        <v>464</v>
      </c>
      <c r="J315" s="57" t="s">
        <v>506</v>
      </c>
      <c r="K315" s="67" t="s">
        <v>466</v>
      </c>
      <c r="L315" s="67" t="s">
        <v>849</v>
      </c>
      <c r="M315" s="67" t="s">
        <v>416</v>
      </c>
      <c r="N315" s="67" t="s">
        <v>348</v>
      </c>
      <c r="O315" s="67"/>
      <c r="P315" s="57" t="s">
        <v>232</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59" t="n">
        <f aca="false">IF(ISNUMBER(Flights!$AY$13),MAX(Q315-UpliftWindowH/24,Flights!$AY$13+UpliftWindowH/24),Q315-UpliftWindowH/24)</f>
        <v>46306.0034722222</v>
      </c>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IF(N315="N/A – rule","N/A – RULE",IF(TRIM(U315)="N/A",IF(AT315=0,"INVALID – N/A not permitted for this mandatory check",IF(AND(TRIM(AC315)&lt;&gt;"",TRIM(AE315)&lt;&gt;"",TRIM(T315)&lt;&gt;"",TRIM(AE315)&lt;&gt;TRIM(T315)),"N/A – JUSTIFIED","INVALID – N/A needs justification, PIC and a different verifier")),IF(OR(TRIM(U315)="Pass",TRIM(U315)="Pass after CA"),IF(NOT(ISNUMBER(AD315)),"INVALID – completion time missing",IF(TRIM(T315)="","INVALID – PIC missing",IF(TRIM(V315)="","INVALID – result / assessment missing",IF(TRIM(Z315)="","INVALID – evidence missing",IF(TRIM(AE315)="","INVALID – verifier missing",IF(TRIM(AE315)=TRIM(T315),"INVALID – verifier must be someone other than the PIC",IF(AND(AQ315=1,TRIM(W315)=""),"INVALID – batch ID missing",IF(AND(AR315=1,OR(NOT(ISNUMBER(X315)),NOT(ISNUMBER(Y315)))),"INVALID – expected/actual qty missing",IF(IF(AND(TRIM(U315)="Pass",ISNUMBER(AF315)),IF(AF315&lt;&gt;0,"INVALID – qty variance: use Fail or Pass after CA",""),"")&amp;IF(AND(TRIM(U315)="Pass",TRIM(AB315)&lt;&gt;"",TRIM(AB315)&lt;&gt;"Closed"),"INVALID – corrective action not closed: use Fail, then Pass after CA","")&amp;IF(AND(TRIM(AA315)&lt;&gt;"",TRIM(AB315)=""),"INVALID – CA status missing for the recorded corrective action","")&amp;IF(AND(TRIM(U315)="Pass after CA",OR(TRIM(AA315)="",TRIM(AB315)&lt;&gt;"Closed")),"INVALID – corrective action not recorded/closed","")&lt;&gt;"",IF(AND(TRIM(U315)="Pass",ISNUMBER(AF315)),IF(AF315&lt;&gt;0,"INVALID – qty variance: use Fail or Pass after CA",""),"")&amp;IF(AND(TRIM(U315)="Pass",TRIM(AB315)&lt;&gt;"",TRIM(AB315)&lt;&gt;"Closed"),"INVALID – corrective action not closed: use Fail, then Pass after CA","")&amp;IF(AND(TRIM(AA315)&lt;&gt;"",TRIM(AB315)=""),"INVALID – CA status missing for the recorded corrective action","")&amp;IF(AND(TRIM(U315)="Pass after CA",OR(TRIM(AA315)="",TRIM(AB315)&lt;&gt;"Closed")),"INVALID – corrective action not recorded/closed",""),IF(AND(AS315=1,Documents!$J$13&lt;&gt;"ON FILE"),"INVALID – GLD not on file (Documents sheet)",IF(AND(AS315=2,Documents!$O$13&lt;&gt;"ON FILE"),"INVALID – menu checklist not on file (Documents sheet)",IF(AND(AS315=3,NOT(ISNUMBER(Flights!$AX$13))),"INVALID – enter carrying flight KUL departure (Flights AX)",IF(AND(AS315=3,OR(Flights!$AX$13&gt;=Flights!$AA$13,Flights!$AX$13&lt;Flights!$AA$13-3)),"INVALID – Flights AX must be before this leg's STD (within 3 days)",IF(AG315&gt;AsOfUTC,"INVALID – completion time is in the future",IF(AND(ISNUMBER(S315),AG315&lt;S315),IF(H315="Physical uplift","INVALID – before uplift window (cannot confirm loading)","INVALID – before valid window"),IF(AG315&gt;Flights!$AA$13,"INVALID – completed after departure (cannot establish readiness)",IF(AND(H315="Physical uplift",AG315&gt;Q315),"INVALID – recorded after the loading flight departed",IF(AG315&gt;Q315,"COMPLETE – LATE","COMPLETE")))))))))))))))))),IF(TRIM(U315)="Fail","FAIL – DISCREPANCY",IF(AND(TRIM(U315)&lt;&gt;"",TRIM(U315)&lt;&gt;"Not started",TRIM(U315)&lt;&gt;"In progress"),"INVALID – unrecognised status (use the list)",IF(AsOfUTC&gt;Q315,"OVERDUE",IF(N315="Clarification required","OPEN – CLARIFICATION","OPEN")))))))</f>
        <v>OPEN</v>
      </c>
      <c r="AI315" s="61" t="n">
        <f aca="false">IF(OR(AH315="N/A – RULE",AH315="N/A – JUSTIFIED"),0,1)</f>
        <v>1</v>
      </c>
      <c r="AJ315" s="61" t="n">
        <f aca="false">IF(LEFT(AH315,8)="COMPLETE",1,0)</f>
        <v>0</v>
      </c>
      <c r="AK315" s="61" t="n">
        <f aca="false">IF(AND(AI315=1,AJ315=0,AsOfUTC&gt;Q315),1,0)</f>
        <v>0</v>
      </c>
      <c r="AL315" s="61" t="n">
        <f aca="false">IF(AND(AI315=1,OR(TRIM(U315)="Fail",AND(TRIM(AB315)&lt;&gt;"",TRIM(AB315)&lt;&gt;"Closed"),AND(ISNUMBER(AF315),AF315&lt;&gt;0,TRIM(U315)&lt;&gt;"Pass after CA"))),1,0)</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8" t="b">
        <f aca="false">TRUE()</f>
        <v>1</v>
      </c>
    </row>
    <row r="316" customFormat="false" ht="78.75" hidden="false" customHeight="true" outlineLevel="0" collapsed="false">
      <c r="A316" s="57" t="s">
        <v>870</v>
      </c>
      <c r="B316" s="57" t="s">
        <v>238</v>
      </c>
      <c r="C316" s="57" t="str">
        <f aca="false">Flights!$F$13</f>
        <v>MH0753</v>
      </c>
      <c r="D316" s="58" t="n">
        <f aca="false">Flights!$D$13</f>
        <v>46306</v>
      </c>
      <c r="E316" s="57" t="str">
        <f aca="false">Flights!$G$13&amp;"-"&amp;Flights!$H$13</f>
        <v>HAN-KUL</v>
      </c>
      <c r="F316" s="57" t="str">
        <f aca="false">Flights!$K$13</f>
        <v>BC</v>
      </c>
      <c r="G316" s="57" t="s">
        <v>424</v>
      </c>
      <c r="H316" s="57" t="s">
        <v>425</v>
      </c>
      <c r="I316" s="57" t="s">
        <v>464</v>
      </c>
      <c r="J316" s="57" t="s">
        <v>508</v>
      </c>
      <c r="K316" s="67" t="s">
        <v>466</v>
      </c>
      <c r="L316" s="67" t="s">
        <v>851</v>
      </c>
      <c r="M316" s="67" t="s">
        <v>416</v>
      </c>
      <c r="N316" s="67" t="s">
        <v>409</v>
      </c>
      <c r="O316" s="67" t="s">
        <v>509</v>
      </c>
      <c r="P316" s="57" t="s">
        <v>232</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59" t="n">
        <f aca="false">IF(ISNUMBER(Flights!$AY$13),MAX(Q316-UpliftWindowH/24,Flights!$AY$13+UpliftWindowH/24),Q316-UpliftWindowH/24)</f>
        <v>46306.0034722222</v>
      </c>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IF(N316="N/A – rule","N/A – RULE",IF(TRIM(U316)="N/A",IF(AT316=0,"INVALID – N/A not permitted for this mandatory check",IF(AND(TRIM(AC316)&lt;&gt;"",TRIM(AE316)&lt;&gt;"",TRIM(T316)&lt;&gt;"",TRIM(AE316)&lt;&gt;TRIM(T316)),"N/A – JUSTIFIED","INVALID – N/A needs justification, PIC and a different verifier")),IF(OR(TRIM(U316)="Pass",TRIM(U316)="Pass after CA"),IF(NOT(ISNUMBER(AD316)),"INVALID – completion time missing",IF(TRIM(T316)="","INVALID – PIC missing",IF(TRIM(V316)="","INVALID – result / assessment missing",IF(TRIM(Z316)="","INVALID – evidence missing",IF(TRIM(AE316)="","INVALID – verifier missing",IF(TRIM(AE316)=TRIM(T316),"INVALID – verifier must be someone other than the PIC",IF(AND(AQ316=1,TRIM(W316)=""),"INVALID – batch ID missing",IF(AND(AR316=1,OR(NOT(ISNUMBER(X316)),NOT(ISNUMBER(Y316)))),"INVALID – expected/actual qty missing",IF(IF(AND(TRIM(U316)="Pass",ISNUMBER(AF316)),IF(AF316&lt;&gt;0,"INVALID – qty variance: use Fail or Pass after CA",""),"")&amp;IF(AND(TRIM(U316)="Pass",TRIM(AB316)&lt;&gt;"",TRIM(AB316)&lt;&gt;"Closed"),"INVALID – corrective action not closed: use Fail, then Pass after CA","")&amp;IF(AND(TRIM(AA316)&lt;&gt;"",TRIM(AB316)=""),"INVALID – CA status missing for the recorded corrective action","")&amp;IF(AND(TRIM(U316)="Pass after CA",OR(TRIM(AA316)="",TRIM(AB316)&lt;&gt;"Closed")),"INVALID – corrective action not recorded/closed","")&lt;&gt;"",IF(AND(TRIM(U316)="Pass",ISNUMBER(AF316)),IF(AF316&lt;&gt;0,"INVALID – qty variance: use Fail or Pass after CA",""),"")&amp;IF(AND(TRIM(U316)="Pass",TRIM(AB316)&lt;&gt;"",TRIM(AB316)&lt;&gt;"Closed"),"INVALID – corrective action not closed: use Fail, then Pass after CA","")&amp;IF(AND(TRIM(AA316)&lt;&gt;"",TRIM(AB316)=""),"INVALID – CA status missing for the recorded corrective action","")&amp;IF(AND(TRIM(U316)="Pass after CA",OR(TRIM(AA316)="",TRIM(AB316)&lt;&gt;"Closed")),"INVALID – corrective action not recorded/closed",""),IF(AND(AS316=1,Documents!$J$13&lt;&gt;"ON FILE"),"INVALID – GLD not on file (Documents sheet)",IF(AND(AS316=2,Documents!$O$13&lt;&gt;"ON FILE"),"INVALID – menu checklist not on file (Documents sheet)",IF(AND(AS316=3,NOT(ISNUMBER(Flights!$AX$13))),"INVALID – enter carrying flight KUL departure (Flights AX)",IF(AND(AS316=3,OR(Flights!$AX$13&gt;=Flights!$AA$13,Flights!$AX$13&lt;Flights!$AA$13-3)),"INVALID – Flights AX must be before this leg's STD (within 3 days)",IF(AG316&gt;AsOfUTC,"INVALID – completion time is in the future",IF(AND(ISNUMBER(S316),AG316&lt;S316),IF(H316="Physical uplift","INVALID – before uplift window (cannot confirm loading)","INVALID – before valid window"),IF(AG316&gt;Flights!$AA$13,"INVALID – completed after departure (cannot establish readiness)",IF(AND(H316="Physical uplift",AG316&gt;Q316),"INVALID – recorded after the loading flight departed",IF(AG316&gt;Q316,"COMPLETE – LATE","COMPLETE")))))))))))))))))),IF(TRIM(U316)="Fail","FAIL – DISCREPANCY",IF(AND(TRIM(U316)&lt;&gt;"",TRIM(U316)&lt;&gt;"Not started",TRIM(U316)&lt;&gt;"In progress"),"INVALID – unrecognised status (use the list)",IF(AsOfUTC&gt;Q316,"OVERDUE",IF(N316="Clarification required","OPEN – CLARIFICATION","OPEN")))))))</f>
        <v>OPEN – CLARIFICATION</v>
      </c>
      <c r="AI316" s="61" t="n">
        <f aca="false">IF(OR(AH316="N/A – RULE",AH316="N/A – JUSTIFIED"),0,1)</f>
        <v>1</v>
      </c>
      <c r="AJ316" s="61" t="n">
        <f aca="false">IF(LEFT(AH316,8)="COMPLETE",1,0)</f>
        <v>0</v>
      </c>
      <c r="AK316" s="61" t="n">
        <f aca="false">IF(AND(AI316=1,AJ316=0,AsOfUTC&gt;Q316),1,0)</f>
        <v>0</v>
      </c>
      <c r="AL316" s="61" t="n">
        <f aca="false">IF(AND(AI316=1,OR(TRIM(U316)="Fail",AND(TRIM(AB316)&lt;&gt;"",TRIM(AB316)&lt;&gt;"Closed"),AND(ISNUMBER(AF316),AF316&lt;&gt;0,TRIM(U316)&lt;&gt;"Pass after CA"))),1,0)</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8" t="b">
        <f aca="false">TRUE()</f>
        <v>1</v>
      </c>
    </row>
    <row r="317" customFormat="false" ht="78.75" hidden="false" customHeight="true" outlineLevel="0" collapsed="false">
      <c r="A317" s="57" t="s">
        <v>871</v>
      </c>
      <c r="B317" s="57" t="s">
        <v>238</v>
      </c>
      <c r="C317" s="57" t="str">
        <f aca="false">Flights!$F$13</f>
        <v>MH0753</v>
      </c>
      <c r="D317" s="58" t="n">
        <f aca="false">Flights!$D$13</f>
        <v>46306</v>
      </c>
      <c r="E317" s="57" t="str">
        <f aca="false">Flights!$G$13&amp;"-"&amp;Flights!$H$13</f>
        <v>HAN-KUL</v>
      </c>
      <c r="F317" s="57" t="str">
        <f aca="false">Flights!$K$13</f>
        <v>BC</v>
      </c>
      <c r="G317" s="57" t="s">
        <v>424</v>
      </c>
      <c r="H317" s="57" t="s">
        <v>425</v>
      </c>
      <c r="I317" s="57" t="s">
        <v>464</v>
      </c>
      <c r="J317" s="57" t="s">
        <v>511</v>
      </c>
      <c r="K317" s="67" t="s">
        <v>466</v>
      </c>
      <c r="L317" s="67" t="s">
        <v>854</v>
      </c>
      <c r="M317" s="67" t="s">
        <v>416</v>
      </c>
      <c r="N317" s="67" t="s">
        <v>409</v>
      </c>
      <c r="O317" s="67" t="s">
        <v>509</v>
      </c>
      <c r="P317" s="57" t="s">
        <v>232</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59" t="n">
        <f aca="false">IF(ISNUMBER(Flights!$AY$13),MAX(Q317-UpliftWindowH/24,Flights!$AY$13+UpliftWindowH/24),Q317-UpliftWindowH/24)</f>
        <v>46306.0034722222</v>
      </c>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IF(N317="N/A – rule","N/A – RULE",IF(TRIM(U317)="N/A",IF(AT317=0,"INVALID – N/A not permitted for this mandatory check",IF(AND(TRIM(AC317)&lt;&gt;"",TRIM(AE317)&lt;&gt;"",TRIM(T317)&lt;&gt;"",TRIM(AE317)&lt;&gt;TRIM(T317)),"N/A – JUSTIFIED","INVALID – N/A needs justification, PIC and a different verifier")),IF(OR(TRIM(U317)="Pass",TRIM(U317)="Pass after CA"),IF(NOT(ISNUMBER(AD317)),"INVALID – completion time missing",IF(TRIM(T317)="","INVALID – PIC missing",IF(TRIM(V317)="","INVALID – result / assessment missing",IF(TRIM(Z317)="","INVALID – evidence missing",IF(TRIM(AE317)="","INVALID – verifier missing",IF(TRIM(AE317)=TRIM(T317),"INVALID – verifier must be someone other than the PIC",IF(AND(AQ317=1,TRIM(W317)=""),"INVALID – batch ID missing",IF(AND(AR317=1,OR(NOT(ISNUMBER(X317)),NOT(ISNUMBER(Y317)))),"INVALID – expected/actual qty missing",IF(IF(AND(TRIM(U317)="Pass",ISNUMBER(AF317)),IF(AF317&lt;&gt;0,"INVALID – qty variance: use Fail or Pass after CA",""),"")&amp;IF(AND(TRIM(U317)="Pass",TRIM(AB317)&lt;&gt;"",TRIM(AB317)&lt;&gt;"Closed"),"INVALID – corrective action not closed: use Fail, then Pass after CA","")&amp;IF(AND(TRIM(AA317)&lt;&gt;"",TRIM(AB317)=""),"INVALID – CA status missing for the recorded corrective action","")&amp;IF(AND(TRIM(U317)="Pass after CA",OR(TRIM(AA317)="",TRIM(AB317)&lt;&gt;"Closed")),"INVALID – corrective action not recorded/closed","")&lt;&gt;"",IF(AND(TRIM(U317)="Pass",ISNUMBER(AF317)),IF(AF317&lt;&gt;0,"INVALID – qty variance: use Fail or Pass after CA",""),"")&amp;IF(AND(TRIM(U317)="Pass",TRIM(AB317)&lt;&gt;"",TRIM(AB317)&lt;&gt;"Closed"),"INVALID – corrective action not closed: use Fail, then Pass after CA","")&amp;IF(AND(TRIM(AA317)&lt;&gt;"",TRIM(AB317)=""),"INVALID – CA status missing for the recorded corrective action","")&amp;IF(AND(TRIM(U317)="Pass after CA",OR(TRIM(AA317)="",TRIM(AB317)&lt;&gt;"Closed")),"INVALID – corrective action not recorded/closed",""),IF(AND(AS317=1,Documents!$J$13&lt;&gt;"ON FILE"),"INVALID – GLD not on file (Documents sheet)",IF(AND(AS317=2,Documents!$O$13&lt;&gt;"ON FILE"),"INVALID – menu checklist not on file (Documents sheet)",IF(AND(AS317=3,NOT(ISNUMBER(Flights!$AX$13))),"INVALID – enter carrying flight KUL departure (Flights AX)",IF(AND(AS317=3,OR(Flights!$AX$13&gt;=Flights!$AA$13,Flights!$AX$13&lt;Flights!$AA$13-3)),"INVALID – Flights AX must be before this leg's STD (within 3 days)",IF(AG317&gt;AsOfUTC,"INVALID – completion time is in the future",IF(AND(ISNUMBER(S317),AG317&lt;S317),IF(H317="Physical uplift","INVALID – before uplift window (cannot confirm loading)","INVALID – before valid window"),IF(AG317&gt;Flights!$AA$13,"INVALID – completed after departure (cannot establish readiness)",IF(AND(H317="Physical uplift",AG317&gt;Q317),"INVALID – recorded after the loading flight departed",IF(AG317&gt;Q317,"COMPLETE – LATE","COMPLETE")))))))))))))))))),IF(TRIM(U317)="Fail","FAIL – DISCREPANCY",IF(AND(TRIM(U317)&lt;&gt;"",TRIM(U317)&lt;&gt;"Not started",TRIM(U317)&lt;&gt;"In progress"),"INVALID – unrecognised status (use the list)",IF(AsOfUTC&gt;Q317,"OVERDUE",IF(N317="Clarification required","OPEN – CLARIFICATION","OPEN")))))))</f>
        <v>OPEN – CLARIFICATION</v>
      </c>
      <c r="AI317" s="61" t="n">
        <f aca="false">IF(OR(AH317="N/A – RULE",AH317="N/A – JUSTIFIED"),0,1)</f>
        <v>1</v>
      </c>
      <c r="AJ317" s="61" t="n">
        <f aca="false">IF(LEFT(AH317,8)="COMPLETE",1,0)</f>
        <v>0</v>
      </c>
      <c r="AK317" s="61" t="n">
        <f aca="false">IF(AND(AI317=1,AJ317=0,AsOfUTC&gt;Q317),1,0)</f>
        <v>0</v>
      </c>
      <c r="AL317" s="61" t="n">
        <f aca="false">IF(AND(AI317=1,OR(TRIM(U317)="Fail",AND(TRIM(AB317)&lt;&gt;"",TRIM(AB317)&lt;&gt;"Closed"),AND(ISNUMBER(AF317),AF317&lt;&gt;0,TRIM(U317)&lt;&gt;"Pass after CA"))),1,0)</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8" t="b">
        <f aca="false">TRUE()</f>
        <v>1</v>
      </c>
    </row>
    <row r="318" customFormat="false" ht="39.75" hidden="false" customHeight="true" outlineLevel="0" collapsed="false">
      <c r="A318" s="57" t="s">
        <v>872</v>
      </c>
      <c r="B318" s="57" t="s">
        <v>238</v>
      </c>
      <c r="C318" s="57" t="str">
        <f aca="false">Flights!$F$13</f>
        <v>MH0753</v>
      </c>
      <c r="D318" s="58" t="n">
        <f aca="false">Flights!$D$13</f>
        <v>46306</v>
      </c>
      <c r="E318" s="57" t="str">
        <f aca="false">Flights!$G$13&amp;"-"&amp;Flights!$H$13</f>
        <v>HAN-KUL</v>
      </c>
      <c r="F318" s="57" t="str">
        <f aca="false">Flights!$K$13</f>
        <v>BC</v>
      </c>
      <c r="G318" s="57" t="s">
        <v>424</v>
      </c>
      <c r="H318" s="57" t="s">
        <v>425</v>
      </c>
      <c r="I318" s="57" t="s">
        <v>464</v>
      </c>
      <c r="J318" s="57" t="s">
        <v>513</v>
      </c>
      <c r="K318" s="67" t="s">
        <v>484</v>
      </c>
      <c r="L318" s="67" t="s">
        <v>856</v>
      </c>
      <c r="M318" s="67" t="s">
        <v>416</v>
      </c>
      <c r="N318" s="67" t="s">
        <v>348</v>
      </c>
      <c r="O318" s="67" t="s">
        <v>514</v>
      </c>
      <c r="P318" s="57" t="s">
        <v>232</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59" t="n">
        <f aca="false">IF(ISNUMBER(Flights!$AY$13),MAX(Q318-UpliftWindowH/24,Flights!$AY$13+UpliftWindowH/24),Q318-UpliftWindowH/24)</f>
        <v>46306.0034722222</v>
      </c>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IF(N318="N/A – rule","N/A – RULE",IF(TRIM(U318)="N/A",IF(AT318=0,"INVALID – N/A not permitted for this mandatory check",IF(AND(TRIM(AC318)&lt;&gt;"",TRIM(AE318)&lt;&gt;"",TRIM(T318)&lt;&gt;"",TRIM(AE318)&lt;&gt;TRIM(T318)),"N/A – JUSTIFIED","INVALID – N/A needs justification, PIC and a different verifier")),IF(OR(TRIM(U318)="Pass",TRIM(U318)="Pass after CA"),IF(NOT(ISNUMBER(AD318)),"INVALID – completion time missing",IF(TRIM(T318)="","INVALID – PIC missing",IF(TRIM(V318)="","INVALID – result / assessment missing",IF(TRIM(Z318)="","INVALID – evidence missing",IF(TRIM(AE318)="","INVALID – verifier missing",IF(TRIM(AE318)=TRIM(T318),"INVALID – verifier must be someone other than the PIC",IF(AND(AQ318=1,TRIM(W318)=""),"INVALID – batch ID missing",IF(AND(AR318=1,OR(NOT(ISNUMBER(X318)),NOT(ISNUMBER(Y318)))),"INVALID – expected/actual qty missing",IF(IF(AND(TRIM(U318)="Pass",ISNUMBER(AF318)),IF(AF318&lt;&gt;0,"INVALID – qty variance: use Fail or Pass after CA",""),"")&amp;IF(AND(TRIM(U318)="Pass",TRIM(AB318)&lt;&gt;"",TRIM(AB318)&lt;&gt;"Closed"),"INVALID – corrective action not closed: use Fail, then Pass after CA","")&amp;IF(AND(TRIM(AA318)&lt;&gt;"",TRIM(AB318)=""),"INVALID – CA status missing for the recorded corrective action","")&amp;IF(AND(TRIM(U318)="Pass after CA",OR(TRIM(AA318)="",TRIM(AB318)&lt;&gt;"Closed")),"INVALID – corrective action not recorded/closed","")&lt;&gt;"",IF(AND(TRIM(U318)="Pass",ISNUMBER(AF318)),IF(AF318&lt;&gt;0,"INVALID – qty variance: use Fail or Pass after CA",""),"")&amp;IF(AND(TRIM(U318)="Pass",TRIM(AB318)&lt;&gt;"",TRIM(AB318)&lt;&gt;"Closed"),"INVALID – corrective action not closed: use Fail, then Pass after CA","")&amp;IF(AND(TRIM(AA318)&lt;&gt;"",TRIM(AB318)=""),"INVALID – CA status missing for the recorded corrective action","")&amp;IF(AND(TRIM(U318)="Pass after CA",OR(TRIM(AA318)="",TRIM(AB318)&lt;&gt;"Closed")),"INVALID – corrective action not recorded/closed",""),IF(AND(AS318=1,Documents!$J$13&lt;&gt;"ON FILE"),"INVALID – GLD not on file (Documents sheet)",IF(AND(AS318=2,Documents!$O$13&lt;&gt;"ON FILE"),"INVALID – menu checklist not on file (Documents sheet)",IF(AND(AS318=3,NOT(ISNUMBER(Flights!$AX$13))),"INVALID – enter carrying flight KUL departure (Flights AX)",IF(AND(AS318=3,OR(Flights!$AX$13&gt;=Flights!$AA$13,Flights!$AX$13&lt;Flights!$AA$13-3)),"INVALID – Flights AX must be before this leg's STD (within 3 days)",IF(AG318&gt;AsOfUTC,"INVALID – completion time is in the future",IF(AND(ISNUMBER(S318),AG318&lt;S318),IF(H318="Physical uplift","INVALID – before uplift window (cannot confirm loading)","INVALID – before valid window"),IF(AG318&gt;Flights!$AA$13,"INVALID – completed after departure (cannot establish readiness)",IF(AND(H318="Physical uplift",AG318&gt;Q318),"INVALID – recorded after the loading flight departed",IF(AG318&gt;Q318,"COMPLETE – LATE","COMPLETE")))))))))))))))))),IF(TRIM(U318)="Fail","FAIL – DISCREPANCY",IF(AND(TRIM(U318)&lt;&gt;"",TRIM(U318)&lt;&gt;"Not started",TRIM(U318)&lt;&gt;"In progress"),"INVALID – unrecognised status (use the list)",IF(AsOfUTC&gt;Q318,"OVERDUE",IF(N318="Clarification required","OPEN – CLARIFICATION","OPEN")))))))</f>
        <v>OPEN</v>
      </c>
      <c r="AI318" s="61" t="n">
        <f aca="false">IF(OR(AH318="N/A – RULE",AH318="N/A – JUSTIFIED"),0,1)</f>
        <v>1</v>
      </c>
      <c r="AJ318" s="61" t="n">
        <f aca="false">IF(LEFT(AH318,8)="COMPLETE",1,0)</f>
        <v>0</v>
      </c>
      <c r="AK318" s="61" t="n">
        <f aca="false">IF(AND(AI318=1,AJ318=0,AsOfUTC&gt;Q318),1,0)</f>
        <v>0</v>
      </c>
      <c r="AL318" s="61" t="n">
        <f aca="false">IF(AND(AI318=1,OR(TRIM(U318)="Fail",AND(TRIM(AB318)&lt;&gt;"",TRIM(AB318)&lt;&gt;"Closed"),AND(ISNUMBER(AF318),AF318&lt;&gt;0,TRIM(U318)&lt;&gt;"Pass after CA"))),1,0)</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8" t="b">
        <f aca="false">TRUE()</f>
        <v>1</v>
      </c>
    </row>
    <row r="319" customFormat="false" ht="39.75" hidden="false" customHeight="true" outlineLevel="0" collapsed="false">
      <c r="A319" s="57" t="s">
        <v>873</v>
      </c>
      <c r="B319" s="57" t="s">
        <v>238</v>
      </c>
      <c r="C319" s="57" t="str">
        <f aca="false">Flights!$F$13</f>
        <v>MH0753</v>
      </c>
      <c r="D319" s="58" t="n">
        <f aca="false">Flights!$D$13</f>
        <v>46306</v>
      </c>
      <c r="E319" s="57" t="str">
        <f aca="false">Flights!$G$13&amp;"-"&amp;Flights!$H$13</f>
        <v>HAN-KUL</v>
      </c>
      <c r="F319" s="57" t="str">
        <f aca="false">Flights!$K$13</f>
        <v>BC</v>
      </c>
      <c r="G319" s="57" t="s">
        <v>424</v>
      </c>
      <c r="H319" s="57" t="s">
        <v>425</v>
      </c>
      <c r="I319" s="57" t="s">
        <v>464</v>
      </c>
      <c r="J319" s="57" t="s">
        <v>516</v>
      </c>
      <c r="K319" s="67" t="s">
        <v>466</v>
      </c>
      <c r="L319" s="67" t="s">
        <v>859</v>
      </c>
      <c r="M319" s="67" t="s">
        <v>416</v>
      </c>
      <c r="N319" s="67" t="s">
        <v>348</v>
      </c>
      <c r="O319" s="67"/>
      <c r="P319" s="57" t="s">
        <v>232</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59" t="n">
        <f aca="false">IF(ISNUMBER(Flights!$AY$13),MAX(Q319-UpliftWindowH/24,Flights!$AY$13+UpliftWindowH/24),Q319-UpliftWindowH/24)</f>
        <v>46306.0034722222</v>
      </c>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IF(N319="N/A – rule","N/A – RULE",IF(TRIM(U319)="N/A",IF(AT319=0,"INVALID – N/A not permitted for this mandatory check",IF(AND(TRIM(AC319)&lt;&gt;"",TRIM(AE319)&lt;&gt;"",TRIM(T319)&lt;&gt;"",TRIM(AE319)&lt;&gt;TRIM(T319)),"N/A – JUSTIFIED","INVALID – N/A needs justification, PIC and a different verifier")),IF(OR(TRIM(U319)="Pass",TRIM(U319)="Pass after CA"),IF(NOT(ISNUMBER(AD319)),"INVALID – completion time missing",IF(TRIM(T319)="","INVALID – PIC missing",IF(TRIM(V319)="","INVALID – result / assessment missing",IF(TRIM(Z319)="","INVALID – evidence missing",IF(TRIM(AE319)="","INVALID – verifier missing",IF(TRIM(AE319)=TRIM(T319),"INVALID – verifier must be someone other than the PIC",IF(AND(AQ319=1,TRIM(W319)=""),"INVALID – batch ID missing",IF(AND(AR319=1,OR(NOT(ISNUMBER(X319)),NOT(ISNUMBER(Y319)))),"INVALID – expected/actual qty missing",IF(IF(AND(TRIM(U319)="Pass",ISNUMBER(AF319)),IF(AF319&lt;&gt;0,"INVALID – qty variance: use Fail or Pass after CA",""),"")&amp;IF(AND(TRIM(U319)="Pass",TRIM(AB319)&lt;&gt;"",TRIM(AB319)&lt;&gt;"Closed"),"INVALID – corrective action not closed: use Fail, then Pass after CA","")&amp;IF(AND(TRIM(AA319)&lt;&gt;"",TRIM(AB319)=""),"INVALID – CA status missing for the recorded corrective action","")&amp;IF(AND(TRIM(U319)="Pass after CA",OR(TRIM(AA319)="",TRIM(AB319)&lt;&gt;"Closed")),"INVALID – corrective action not recorded/closed","")&lt;&gt;"",IF(AND(TRIM(U319)="Pass",ISNUMBER(AF319)),IF(AF319&lt;&gt;0,"INVALID – qty variance: use Fail or Pass after CA",""),"")&amp;IF(AND(TRIM(U319)="Pass",TRIM(AB319)&lt;&gt;"",TRIM(AB319)&lt;&gt;"Closed"),"INVALID – corrective action not closed: use Fail, then Pass after CA","")&amp;IF(AND(TRIM(AA319)&lt;&gt;"",TRIM(AB319)=""),"INVALID – CA status missing for the recorded corrective action","")&amp;IF(AND(TRIM(U319)="Pass after CA",OR(TRIM(AA319)="",TRIM(AB319)&lt;&gt;"Closed")),"INVALID – corrective action not recorded/closed",""),IF(AND(AS319=1,Documents!$J$13&lt;&gt;"ON FILE"),"INVALID – GLD not on file (Documents sheet)",IF(AND(AS319=2,Documents!$O$13&lt;&gt;"ON FILE"),"INVALID – menu checklist not on file (Documents sheet)",IF(AND(AS319=3,NOT(ISNUMBER(Flights!$AX$13))),"INVALID – enter carrying flight KUL departure (Flights AX)",IF(AND(AS319=3,OR(Flights!$AX$13&gt;=Flights!$AA$13,Flights!$AX$13&lt;Flights!$AA$13-3)),"INVALID – Flights AX must be before this leg's STD (within 3 days)",IF(AG319&gt;AsOfUTC,"INVALID – completion time is in the future",IF(AND(ISNUMBER(S319),AG319&lt;S319),IF(H319="Physical uplift","INVALID – before uplift window (cannot confirm loading)","INVALID – before valid window"),IF(AG319&gt;Flights!$AA$13,"INVALID – completed after departure (cannot establish readiness)",IF(AND(H319="Physical uplift",AG319&gt;Q319),"INVALID – recorded after the loading flight departed",IF(AG319&gt;Q319,"COMPLETE – LATE","COMPLETE")))))))))))))))))),IF(TRIM(U319)="Fail","FAIL – DISCREPANCY",IF(AND(TRIM(U319)&lt;&gt;"",TRIM(U319)&lt;&gt;"Not started",TRIM(U319)&lt;&gt;"In progress"),"INVALID – unrecognised status (use the list)",IF(AsOfUTC&gt;Q319,"OVERDUE",IF(N319="Clarification required","OPEN – CLARIFICATION","OPEN")))))))</f>
        <v>OPEN</v>
      </c>
      <c r="AI319" s="61" t="n">
        <f aca="false">IF(OR(AH319="N/A – RULE",AH319="N/A – JUSTIFIED"),0,1)</f>
        <v>1</v>
      </c>
      <c r="AJ319" s="61" t="n">
        <f aca="false">IF(LEFT(AH319,8)="COMPLETE",1,0)</f>
        <v>0</v>
      </c>
      <c r="AK319" s="61" t="n">
        <f aca="false">IF(AND(AI319=1,AJ319=0,AsOfUTC&gt;Q319),1,0)</f>
        <v>0</v>
      </c>
      <c r="AL319" s="61" t="n">
        <f aca="false">IF(AND(AI319=1,OR(TRIM(U319)="Fail",AND(TRIM(AB319)&lt;&gt;"",TRIM(AB319)&lt;&gt;"Closed"),AND(ISNUMBER(AF319),AF319&lt;&gt;0,TRIM(U319)&lt;&gt;"Pass after CA"))),1,0)</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8" t="b">
        <f aca="false">TRUE()</f>
        <v>1</v>
      </c>
    </row>
    <row r="320" customFormat="false" ht="39.75" hidden="false" customHeight="true" outlineLevel="0" collapsed="false">
      <c r="A320" s="57" t="s">
        <v>874</v>
      </c>
      <c r="B320" s="57" t="s">
        <v>238</v>
      </c>
      <c r="C320" s="57" t="str">
        <f aca="false">Flights!$F$13</f>
        <v>MH0753</v>
      </c>
      <c r="D320" s="58" t="n">
        <f aca="false">Flights!$D$13</f>
        <v>46306</v>
      </c>
      <c r="E320" s="57" t="str">
        <f aca="false">Flights!$G$13&amp;"-"&amp;Flights!$H$13</f>
        <v>HAN-KUL</v>
      </c>
      <c r="F320" s="57" t="str">
        <f aca="false">Flights!$K$13</f>
        <v>BC</v>
      </c>
      <c r="G320" s="57" t="s">
        <v>424</v>
      </c>
      <c r="H320" s="57" t="s">
        <v>425</v>
      </c>
      <c r="I320" s="57" t="s">
        <v>412</v>
      </c>
      <c r="J320" s="57" t="s">
        <v>518</v>
      </c>
      <c r="K320" s="67" t="s">
        <v>414</v>
      </c>
      <c r="L320" s="67" t="s">
        <v>861</v>
      </c>
      <c r="M320" s="67" t="s">
        <v>416</v>
      </c>
      <c r="N320" s="67" t="s">
        <v>348</v>
      </c>
      <c r="O320" s="67"/>
      <c r="P320" s="57" t="s">
        <v>232</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59" t="n">
        <f aca="false">IF(ISNUMBER(Flights!$AY$13),MAX(Q320-UpliftWindowH/24,Flights!$AY$13+UpliftWindowH/24),Q320-UpliftWindowH/24)</f>
        <v>46306.0034722222</v>
      </c>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IF(N320="N/A – rule","N/A – RULE",IF(TRIM(U320)="N/A",IF(AT320=0,"INVALID – N/A not permitted for this mandatory check",IF(AND(TRIM(AC320)&lt;&gt;"",TRIM(AE320)&lt;&gt;"",TRIM(T320)&lt;&gt;"",TRIM(AE320)&lt;&gt;TRIM(T320)),"N/A – JUSTIFIED","INVALID – N/A needs justification, PIC and a different verifier")),IF(OR(TRIM(U320)="Pass",TRIM(U320)="Pass after CA"),IF(NOT(ISNUMBER(AD320)),"INVALID – completion time missing",IF(TRIM(T320)="","INVALID – PIC missing",IF(TRIM(V320)="","INVALID – result / assessment missing",IF(TRIM(Z320)="","INVALID – evidence missing",IF(TRIM(AE320)="","INVALID – verifier missing",IF(TRIM(AE320)=TRIM(T320),"INVALID – verifier must be someone other than the PIC",IF(AND(AQ320=1,TRIM(W320)=""),"INVALID – batch ID missing",IF(AND(AR320=1,OR(NOT(ISNUMBER(X320)),NOT(ISNUMBER(Y320)))),"INVALID – expected/actual qty missing",IF(IF(AND(TRIM(U320)="Pass",ISNUMBER(AF320)),IF(AF320&lt;&gt;0,"INVALID – qty variance: use Fail or Pass after CA",""),"")&amp;IF(AND(TRIM(U320)="Pass",TRIM(AB320)&lt;&gt;"",TRIM(AB320)&lt;&gt;"Closed"),"INVALID – corrective action not closed: use Fail, then Pass after CA","")&amp;IF(AND(TRIM(AA320)&lt;&gt;"",TRIM(AB320)=""),"INVALID – CA status missing for the recorded corrective action","")&amp;IF(AND(TRIM(U320)="Pass after CA",OR(TRIM(AA320)="",TRIM(AB320)&lt;&gt;"Closed")),"INVALID – corrective action not recorded/closed","")&lt;&gt;"",IF(AND(TRIM(U320)="Pass",ISNUMBER(AF320)),IF(AF320&lt;&gt;0,"INVALID – qty variance: use Fail or Pass after CA",""),"")&amp;IF(AND(TRIM(U320)="Pass",TRIM(AB320)&lt;&gt;"",TRIM(AB320)&lt;&gt;"Closed"),"INVALID – corrective action not closed: use Fail, then Pass after CA","")&amp;IF(AND(TRIM(AA320)&lt;&gt;"",TRIM(AB320)=""),"INVALID – CA status missing for the recorded corrective action","")&amp;IF(AND(TRIM(U320)="Pass after CA",OR(TRIM(AA320)="",TRIM(AB320)&lt;&gt;"Closed")),"INVALID – corrective action not recorded/closed",""),IF(AND(AS320=1,Documents!$J$13&lt;&gt;"ON FILE"),"INVALID – GLD not on file (Documents sheet)",IF(AND(AS320=2,Documents!$O$13&lt;&gt;"ON FILE"),"INVALID – menu checklist not on file (Documents sheet)",IF(AND(AS320=3,NOT(ISNUMBER(Flights!$AX$13))),"INVALID – enter carrying flight KUL departure (Flights AX)",IF(AND(AS320=3,OR(Flights!$AX$13&gt;=Flights!$AA$13,Flights!$AX$13&lt;Flights!$AA$13-3)),"INVALID – Flights AX must be before this leg's STD (within 3 days)",IF(AG320&gt;AsOfUTC,"INVALID – completion time is in the future",IF(AND(ISNUMBER(S320),AG320&lt;S320),IF(H320="Physical uplift","INVALID – before uplift window (cannot confirm loading)","INVALID – before valid window"),IF(AG320&gt;Flights!$AA$13,"INVALID – completed after departure (cannot establish readiness)",IF(AND(H320="Physical uplift",AG320&gt;Q320),"INVALID – recorded after the loading flight departed",IF(AG320&gt;Q320,"COMPLETE – LATE","COMPLETE")))))))))))))))))),IF(TRIM(U320)="Fail","FAIL – DISCREPANCY",IF(AND(TRIM(U320)&lt;&gt;"",TRIM(U320)&lt;&gt;"Not started",TRIM(U320)&lt;&gt;"In progress"),"INVALID – unrecognised status (use the list)",IF(AsOfUTC&gt;Q320,"OVERDUE",IF(N320="Clarification required","OPEN – CLARIFICATION","OPEN")))))))</f>
        <v>OPEN</v>
      </c>
      <c r="AI320" s="61" t="n">
        <f aca="false">IF(OR(AH320="N/A – RULE",AH320="N/A – JUSTIFIED"),0,1)</f>
        <v>1</v>
      </c>
      <c r="AJ320" s="61" t="n">
        <f aca="false">IF(LEFT(AH320,8)="COMPLETE",1,0)</f>
        <v>0</v>
      </c>
      <c r="AK320" s="61" t="n">
        <f aca="false">IF(AND(AI320=1,AJ320=0,AsOfUTC&gt;Q320),1,0)</f>
        <v>0</v>
      </c>
      <c r="AL320" s="61" t="n">
        <f aca="false">IF(AND(AI320=1,OR(TRIM(U320)="Fail",AND(TRIM(AB320)&lt;&gt;"",TRIM(AB320)&lt;&gt;"Closed"),AND(ISNUMBER(AF320),AF320&lt;&gt;0,TRIM(U320)&lt;&gt;"Pass after CA"))),1,0)</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8" t="b">
        <f aca="false">TRUE()</f>
        <v>1</v>
      </c>
    </row>
    <row r="321" customFormat="false" ht="39.75" hidden="false" customHeight="true" outlineLevel="0" collapsed="false">
      <c r="A321" s="57" t="s">
        <v>875</v>
      </c>
      <c r="B321" s="57" t="s">
        <v>238</v>
      </c>
      <c r="C321" s="57" t="str">
        <f aca="false">Flights!$F$13</f>
        <v>MH0753</v>
      </c>
      <c r="D321" s="58" t="n">
        <f aca="false">Flights!$D$13</f>
        <v>46306</v>
      </c>
      <c r="E321" s="57" t="str">
        <f aca="false">Flights!$G$13&amp;"-"&amp;Flights!$H$13</f>
        <v>HAN-KUL</v>
      </c>
      <c r="F321" s="57" t="str">
        <f aca="false">Flights!$K$13</f>
        <v>BC</v>
      </c>
      <c r="G321" s="57" t="s">
        <v>424</v>
      </c>
      <c r="H321" s="57" t="s">
        <v>425</v>
      </c>
      <c r="I321" s="57" t="s">
        <v>412</v>
      </c>
      <c r="J321" s="57" t="s">
        <v>520</v>
      </c>
      <c r="K321" s="67" t="s">
        <v>414</v>
      </c>
      <c r="L321" s="67" t="s">
        <v>863</v>
      </c>
      <c r="M321" s="67" t="s">
        <v>416</v>
      </c>
      <c r="N321" s="67" t="s">
        <v>348</v>
      </c>
      <c r="O321" s="67"/>
      <c r="P321" s="57" t="s">
        <v>232</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59" t="n">
        <f aca="false">IF(ISNUMBER(Flights!$AY$13),MAX(Q321-UpliftWindowH/24,Flights!$AY$13+UpliftWindowH/24),Q321-UpliftWindowH/24)</f>
        <v>46306.0034722222</v>
      </c>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IF(N321="N/A – rule","N/A – RULE",IF(TRIM(U321)="N/A",IF(AT321=0,"INVALID – N/A not permitted for this mandatory check",IF(AND(TRIM(AC321)&lt;&gt;"",TRIM(AE321)&lt;&gt;"",TRIM(T321)&lt;&gt;"",TRIM(AE321)&lt;&gt;TRIM(T321)),"N/A – JUSTIFIED","INVALID – N/A needs justification, PIC and a different verifier")),IF(OR(TRIM(U321)="Pass",TRIM(U321)="Pass after CA"),IF(NOT(ISNUMBER(AD321)),"INVALID – completion time missing",IF(TRIM(T321)="","INVALID – PIC missing",IF(TRIM(V321)="","INVALID – result / assessment missing",IF(TRIM(Z321)="","INVALID – evidence missing",IF(TRIM(AE321)="","INVALID – verifier missing",IF(TRIM(AE321)=TRIM(T321),"INVALID – verifier must be someone other than the PIC",IF(AND(AQ321=1,TRIM(W321)=""),"INVALID – batch ID missing",IF(AND(AR321=1,OR(NOT(ISNUMBER(X321)),NOT(ISNUMBER(Y321)))),"INVALID – expected/actual qty missing",IF(IF(AND(TRIM(U321)="Pass",ISNUMBER(AF321)),IF(AF321&lt;&gt;0,"INVALID – qty variance: use Fail or Pass after CA",""),"")&amp;IF(AND(TRIM(U321)="Pass",TRIM(AB321)&lt;&gt;"",TRIM(AB321)&lt;&gt;"Closed"),"INVALID – corrective action not closed: use Fail, then Pass after CA","")&amp;IF(AND(TRIM(AA321)&lt;&gt;"",TRIM(AB321)=""),"INVALID – CA status missing for the recorded corrective action","")&amp;IF(AND(TRIM(U321)="Pass after CA",OR(TRIM(AA321)="",TRIM(AB321)&lt;&gt;"Closed")),"INVALID – corrective action not recorded/closed","")&lt;&gt;"",IF(AND(TRIM(U321)="Pass",ISNUMBER(AF321)),IF(AF321&lt;&gt;0,"INVALID – qty variance: use Fail or Pass after CA",""),"")&amp;IF(AND(TRIM(U321)="Pass",TRIM(AB321)&lt;&gt;"",TRIM(AB321)&lt;&gt;"Closed"),"INVALID – corrective action not closed: use Fail, then Pass after CA","")&amp;IF(AND(TRIM(AA321)&lt;&gt;"",TRIM(AB321)=""),"INVALID – CA status missing for the recorded corrective action","")&amp;IF(AND(TRIM(U321)="Pass after CA",OR(TRIM(AA321)="",TRIM(AB321)&lt;&gt;"Closed")),"INVALID – corrective action not recorded/closed",""),IF(AND(AS321=1,Documents!$J$13&lt;&gt;"ON FILE"),"INVALID – GLD not on file (Documents sheet)",IF(AND(AS321=2,Documents!$O$13&lt;&gt;"ON FILE"),"INVALID – menu checklist not on file (Documents sheet)",IF(AND(AS321=3,NOT(ISNUMBER(Flights!$AX$13))),"INVALID – enter carrying flight KUL departure (Flights AX)",IF(AND(AS321=3,OR(Flights!$AX$13&gt;=Flights!$AA$13,Flights!$AX$13&lt;Flights!$AA$13-3)),"INVALID – Flights AX must be before this leg's STD (within 3 days)",IF(AG321&gt;AsOfUTC,"INVALID – completion time is in the future",IF(AND(ISNUMBER(S321),AG321&lt;S321),IF(H321="Physical uplift","INVALID – before uplift window (cannot confirm loading)","INVALID – before valid window"),IF(AG321&gt;Flights!$AA$13,"INVALID – completed after departure (cannot establish readiness)",IF(AND(H321="Physical uplift",AG321&gt;Q321),"INVALID – recorded after the loading flight departed",IF(AG321&gt;Q321,"COMPLETE – LATE","COMPLETE")))))))))))))))))),IF(TRIM(U321)="Fail","FAIL – DISCREPANCY",IF(AND(TRIM(U321)&lt;&gt;"",TRIM(U321)&lt;&gt;"Not started",TRIM(U321)&lt;&gt;"In progress"),"INVALID – unrecognised status (use the list)",IF(AsOfUTC&gt;Q321,"OVERDUE",IF(N321="Clarification required","OPEN – CLARIFICATION","OPEN")))))))</f>
        <v>OPEN</v>
      </c>
      <c r="AI321" s="61" t="n">
        <f aca="false">IF(OR(AH321="N/A – RULE",AH321="N/A – JUSTIFIED"),0,1)</f>
        <v>1</v>
      </c>
      <c r="AJ321" s="61" t="n">
        <f aca="false">IF(LEFT(AH321,8)="COMPLETE",1,0)</f>
        <v>0</v>
      </c>
      <c r="AK321" s="61" t="n">
        <f aca="false">IF(AND(AI321=1,AJ321=0,AsOfUTC&gt;Q321),1,0)</f>
        <v>0</v>
      </c>
      <c r="AL321" s="61" t="n">
        <f aca="false">IF(AND(AI321=1,OR(TRIM(U321)="Fail",AND(TRIM(AB321)&lt;&gt;"",TRIM(AB321)&lt;&gt;"Closed"),AND(ISNUMBER(AF321),AF321&lt;&gt;0,TRIM(U321)&lt;&gt;"Pass after CA"))),1,0)</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8" t="b">
        <f aca="false">TRUE()</f>
        <v>1</v>
      </c>
    </row>
    <row r="322" customFormat="false" ht="39.75" hidden="false" customHeight="true" outlineLevel="0" collapsed="false">
      <c r="A322" s="57" t="s">
        <v>876</v>
      </c>
      <c r="B322" s="57" t="s">
        <v>243</v>
      </c>
      <c r="C322" s="57" t="str">
        <f aca="false">Flights!$F$14</f>
        <v>MH1140</v>
      </c>
      <c r="D322" s="58" t="n">
        <f aca="false">Flights!$D$14</f>
        <v>46307</v>
      </c>
      <c r="E322" s="57" t="str">
        <f aca="false">Flights!$G$14&amp;"-"&amp;Flights!$H$14</f>
        <v>KUL-PEN</v>
      </c>
      <c r="F322" s="57" t="str">
        <f aca="false">Flights!$K$14</f>
        <v>BC</v>
      </c>
      <c r="G322" s="57" t="s">
        <v>76</v>
      </c>
      <c r="H322" s="57" t="s">
        <v>343</v>
      </c>
      <c r="I322" s="57" t="s">
        <v>344</v>
      </c>
      <c r="J322" s="57" t="s">
        <v>345</v>
      </c>
      <c r="K322" s="67" t="s">
        <v>346</v>
      </c>
      <c r="L322" s="67" t="s">
        <v>347</v>
      </c>
      <c r="M322" s="67"/>
      <c r="N322" s="67" t="s">
        <v>348</v>
      </c>
      <c r="O322" s="67" t="s">
        <v>877</v>
      </c>
      <c r="P322" s="57" t="s">
        <v>179</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59" t="n">
        <f aca="false">Q322-T7EarlyD*24/24</f>
        <v>46286.15625</v>
      </c>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IF(N322="N/A – rule","N/A – RULE",IF(TRIM(U322)="N/A",IF(AT322=0,"INVALID – N/A not permitted for this mandatory check",IF(AND(TRIM(AC322)&lt;&gt;"",TRIM(AE322)&lt;&gt;"",TRIM(T322)&lt;&gt;"",TRIM(AE322)&lt;&gt;TRIM(T322)),"N/A – JUSTIFIED","INVALID – N/A needs justification, PIC and a different verifier")),IF(OR(TRIM(U322)="Pass",TRIM(U322)="Pass after CA"),IF(NOT(ISNUMBER(AD322)),"INVALID – completion time missing",IF(TRIM(T322)="","INVALID – PIC missing",IF(TRIM(V322)="","INVALID – result / assessment missing",IF(TRIM(Z322)="","INVALID – evidence missing",IF(TRIM(AE322)="","INVALID – verifier missing",IF(TRIM(AE322)=TRIM(T322),"INVALID – verifier must be someone other than the PIC",IF(AND(AQ322=1,TRIM(W322)=""),"INVALID – batch ID missing",IF(AND(AR322=1,OR(NOT(ISNUMBER(X322)),NOT(ISNUMBER(Y322)))),"INVALID – expected/actual qty missing",IF(IF(AND(TRIM(U322)="Pass",ISNUMBER(AF322)),IF(AF322&lt;&gt;0,"INVALID – qty variance: use Fail or Pass after CA",""),"")&amp;IF(AND(TRIM(U322)="Pass",TRIM(AB322)&lt;&gt;"",TRIM(AB322)&lt;&gt;"Closed"),"INVALID – corrective action not closed: use Fail, then Pass after CA","")&amp;IF(AND(TRIM(AA322)&lt;&gt;"",TRIM(AB322)=""),"INVALID – CA status missing for the recorded corrective action","")&amp;IF(AND(TRIM(U322)="Pass after CA",OR(TRIM(AA322)="",TRIM(AB322)&lt;&gt;"Closed")),"INVALID – corrective action not recorded/closed","")&lt;&gt;"",IF(AND(TRIM(U322)="Pass",ISNUMBER(AF322)),IF(AF322&lt;&gt;0,"INVALID – qty variance: use Fail or Pass after CA",""),"")&amp;IF(AND(TRIM(U322)="Pass",TRIM(AB322)&lt;&gt;"",TRIM(AB322)&lt;&gt;"Closed"),"INVALID – corrective action not closed: use Fail, then Pass after CA","")&amp;IF(AND(TRIM(AA322)&lt;&gt;"",TRIM(AB322)=""),"INVALID – CA status missing for the recorded corrective action","")&amp;IF(AND(TRIM(U322)="Pass after CA",OR(TRIM(AA322)="",TRIM(AB322)&lt;&gt;"Closed")),"INVALID – corrective action not recorded/closed",""),IF(AND(AS322=1,Documents!$J$14&lt;&gt;"ON FILE"),"INVALID – GLD not on file (Documents sheet)",IF(AND(AS322=2,Documents!$O$14&lt;&gt;"ON FILE"),"INVALID – menu checklist not on file (Documents sheet)",IF(AND(AS322=3,NOT(ISNUMBER(Flights!$AX$14))),"INVALID – enter carrying flight KUL departure (Flights AX)",IF(AND(AS322=3,OR(Flights!$AX$14&gt;=Flights!$AA$14,Flights!$AX$14&lt;Flights!$AA$14-3)),"INVALID – Flights AX must be before this leg's STD (within 3 days)",IF(AG322&gt;AsOfUTC,"INVALID – completion time is in the future",IF(AND(ISNUMBER(S322),AG322&lt;S322),IF(H322="Physical uplift","INVALID – before uplift window (cannot confirm loading)","INVALID – before valid window"),IF(AG322&gt;Flights!$AA$14,"INVALID – completed after departure (cannot establish readiness)",IF(AND(H322="Physical uplift",AG322&gt;Q322),"INVALID – recorded after the loading flight departed",IF(AG322&gt;Q322,"COMPLETE – LATE","COMPLETE")))))))))))))))))),IF(TRIM(U322)="Fail","FAIL – DISCREPANCY",IF(AND(TRIM(U322)&lt;&gt;"",TRIM(U322)&lt;&gt;"Not started",TRIM(U322)&lt;&gt;"In progress"),"INVALID – unrecognised status (use the list)",IF(AsOfUTC&gt;Q322,"OVERDUE",IF(N322="Clarification required","OPEN – CLARIFICATION","OPEN")))))))</f>
        <v>OPEN</v>
      </c>
      <c r="AI322" s="61" t="n">
        <f aca="false">IF(OR(AH322="N/A – RULE",AH322="N/A – JUSTIFIED"),0,1)</f>
        <v>1</v>
      </c>
      <c r="AJ322" s="61" t="n">
        <f aca="false">IF(LEFT(AH322,8)="COMPLETE",1,0)</f>
        <v>0</v>
      </c>
      <c r="AK322" s="61" t="n">
        <f aca="false">IF(AND(AI322=1,AJ322=0,AsOfUTC&gt;Q322),1,0)</f>
        <v>0</v>
      </c>
      <c r="AL322" s="61" t="n">
        <f aca="false">IF(AND(AI322=1,OR(TRIM(U322)="Fail",AND(TRIM(AB322)&lt;&gt;"",TRIM(AB322)&lt;&gt;"Closed"),AND(ISNUMBER(AF322),AF322&lt;&gt;0,TRIM(U322)&lt;&gt;"Pass after CA"))),1,0)</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row>
    <row r="323" customFormat="false" ht="41.25" hidden="false" customHeight="true" outlineLevel="0" collapsed="false">
      <c r="A323" s="57" t="s">
        <v>878</v>
      </c>
      <c r="B323" s="57" t="s">
        <v>243</v>
      </c>
      <c r="C323" s="57" t="str">
        <f aca="false">Flights!$F$14</f>
        <v>MH1140</v>
      </c>
      <c r="D323" s="58" t="n">
        <f aca="false">Flights!$D$14</f>
        <v>46307</v>
      </c>
      <c r="E323" s="57" t="str">
        <f aca="false">Flights!$G$14&amp;"-"&amp;Flights!$H$14</f>
        <v>KUL-PEN</v>
      </c>
      <c r="F323" s="57" t="str">
        <f aca="false">Flights!$K$14</f>
        <v>BC</v>
      </c>
      <c r="G323" s="57" t="s">
        <v>76</v>
      </c>
      <c r="H323" s="57" t="s">
        <v>343</v>
      </c>
      <c r="I323" s="57" t="s">
        <v>350</v>
      </c>
      <c r="J323" s="57" t="s">
        <v>351</v>
      </c>
      <c r="K323" s="67" t="s">
        <v>352</v>
      </c>
      <c r="L323" s="67" t="s">
        <v>347</v>
      </c>
      <c r="M323" s="67"/>
      <c r="N323" s="67" t="s">
        <v>348</v>
      </c>
      <c r="O323" s="67" t="s">
        <v>879</v>
      </c>
      <c r="P323" s="57" t="s">
        <v>179</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59" t="n">
        <f aca="false">Q323-T7EarlyD*24/24</f>
        <v>46286.15625</v>
      </c>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IF(N323="N/A – rule","N/A – RULE",IF(TRIM(U323)="N/A",IF(AT323=0,"INVALID – N/A not permitted for this mandatory check",IF(AND(TRIM(AC323)&lt;&gt;"",TRIM(AE323)&lt;&gt;"",TRIM(T323)&lt;&gt;"",TRIM(AE323)&lt;&gt;TRIM(T323)),"N/A – JUSTIFIED","INVALID – N/A needs justification, PIC and a different verifier")),IF(OR(TRIM(U323)="Pass",TRIM(U323)="Pass after CA"),IF(NOT(ISNUMBER(AD323)),"INVALID – completion time missing",IF(TRIM(T323)="","INVALID – PIC missing",IF(TRIM(V323)="","INVALID – result / assessment missing",IF(TRIM(Z323)="","INVALID – evidence missing",IF(TRIM(AE323)="","INVALID – verifier missing",IF(TRIM(AE323)=TRIM(T323),"INVALID – verifier must be someone other than the PIC",IF(AND(AQ323=1,TRIM(W323)=""),"INVALID – batch ID missing",IF(AND(AR323=1,OR(NOT(ISNUMBER(X323)),NOT(ISNUMBER(Y323)))),"INVALID – expected/actual qty missing",IF(IF(AND(TRIM(U323)="Pass",ISNUMBER(AF323)),IF(AF323&lt;&gt;0,"INVALID – qty variance: use Fail or Pass after CA",""),"")&amp;IF(AND(TRIM(U323)="Pass",TRIM(AB323)&lt;&gt;"",TRIM(AB323)&lt;&gt;"Closed"),"INVALID – corrective action not closed: use Fail, then Pass after CA","")&amp;IF(AND(TRIM(AA323)&lt;&gt;"",TRIM(AB323)=""),"INVALID – CA status missing for the recorded corrective action","")&amp;IF(AND(TRIM(U323)="Pass after CA",OR(TRIM(AA323)="",TRIM(AB323)&lt;&gt;"Closed")),"INVALID – corrective action not recorded/closed","")&lt;&gt;"",IF(AND(TRIM(U323)="Pass",ISNUMBER(AF323)),IF(AF323&lt;&gt;0,"INVALID – qty variance: use Fail or Pass after CA",""),"")&amp;IF(AND(TRIM(U323)="Pass",TRIM(AB323)&lt;&gt;"",TRIM(AB323)&lt;&gt;"Closed"),"INVALID – corrective action not closed: use Fail, then Pass after CA","")&amp;IF(AND(TRIM(AA323)&lt;&gt;"",TRIM(AB323)=""),"INVALID – CA status missing for the recorded corrective action","")&amp;IF(AND(TRIM(U323)="Pass after CA",OR(TRIM(AA323)="",TRIM(AB323)&lt;&gt;"Closed")),"INVALID – corrective action not recorded/closed",""),IF(AND(AS323=1,Documents!$J$14&lt;&gt;"ON FILE"),"INVALID – GLD not on file (Documents sheet)",IF(AND(AS323=2,Documents!$O$14&lt;&gt;"ON FILE"),"INVALID – menu checklist not on file (Documents sheet)",IF(AND(AS323=3,NOT(ISNUMBER(Flights!$AX$14))),"INVALID – enter carrying flight KUL departure (Flights AX)",IF(AND(AS323=3,OR(Flights!$AX$14&gt;=Flights!$AA$14,Flights!$AX$14&lt;Flights!$AA$14-3)),"INVALID – Flights AX must be before this leg's STD (within 3 days)",IF(AG323&gt;AsOfUTC,"INVALID – completion time is in the future",IF(AND(ISNUMBER(S323),AG323&lt;S323),IF(H323="Physical uplift","INVALID – before uplift window (cannot confirm loading)","INVALID – before valid window"),IF(AG323&gt;Flights!$AA$14,"INVALID – completed after departure (cannot establish readiness)",IF(AND(H323="Physical uplift",AG323&gt;Q323),"INVALID – recorded after the loading flight departed",IF(AG323&gt;Q323,"COMPLETE – LATE","COMPLETE")))))))))))))))))),IF(TRIM(U323)="Fail","FAIL – DISCREPANCY",IF(AND(TRIM(U323)&lt;&gt;"",TRIM(U323)&lt;&gt;"Not started",TRIM(U323)&lt;&gt;"In progress"),"INVALID – unrecognised status (use the list)",IF(AsOfUTC&gt;Q323,"OVERDUE",IF(N323="Clarification required","OPEN – CLARIFICATION","OPEN")))))))</f>
        <v>OPEN</v>
      </c>
      <c r="AI323" s="61" t="n">
        <f aca="false">IF(OR(AH323="N/A – RULE",AH323="N/A – JUSTIFIED"),0,1)</f>
        <v>1</v>
      </c>
      <c r="AJ323" s="61" t="n">
        <f aca="false">IF(LEFT(AH323,8)="COMPLETE",1,0)</f>
        <v>0</v>
      </c>
      <c r="AK323" s="61" t="n">
        <f aca="false">IF(AND(AI323=1,AJ323=0,AsOfUTC&gt;Q323),1,0)</f>
        <v>0</v>
      </c>
      <c r="AL323" s="61" t="n">
        <f aca="false">IF(AND(AI323=1,OR(TRIM(U323)="Fail",AND(TRIM(AB323)&lt;&gt;"",TRIM(AB323)&lt;&gt;"Closed"),AND(ISNUMBER(AF323),AF323&lt;&gt;0,TRIM(U323)&lt;&gt;"Pass after CA"))),1,0)</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8" t="b">
        <f aca="false">TRUE()</f>
        <v>1</v>
      </c>
    </row>
    <row r="324" customFormat="false" ht="41.25" hidden="false" customHeight="true" outlineLevel="0" collapsed="false">
      <c r="A324" s="57" t="s">
        <v>880</v>
      </c>
      <c r="B324" s="57" t="s">
        <v>243</v>
      </c>
      <c r="C324" s="57" t="str">
        <f aca="false">Flights!$F$14</f>
        <v>MH1140</v>
      </c>
      <c r="D324" s="58" t="n">
        <f aca="false">Flights!$D$14</f>
        <v>46307</v>
      </c>
      <c r="E324" s="57" t="str">
        <f aca="false">Flights!$G$14&amp;"-"&amp;Flights!$H$14</f>
        <v>KUL-PEN</v>
      </c>
      <c r="F324" s="57" t="str">
        <f aca="false">Flights!$K$14</f>
        <v>BC</v>
      </c>
      <c r="G324" s="57" t="s">
        <v>76</v>
      </c>
      <c r="H324" s="57" t="s">
        <v>343</v>
      </c>
      <c r="I324" s="57" t="s">
        <v>354</v>
      </c>
      <c r="J324" s="57" t="s">
        <v>355</v>
      </c>
      <c r="K324" s="67" t="s">
        <v>356</v>
      </c>
      <c r="L324" s="67" t="s">
        <v>347</v>
      </c>
      <c r="M324" s="67"/>
      <c r="N324" s="67" t="str">
        <f aca="false">IF(TRIM(Flights!$L$14)="A339","Required","N/A – rule")</f>
        <v>N/A – rule</v>
      </c>
      <c r="O324" s="67" t="s">
        <v>357</v>
      </c>
      <c r="P324" s="57" t="s">
        <v>179</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59" t="n">
        <f aca="false">Q324-T7EarlyD*24/24</f>
        <v>46286.15625</v>
      </c>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IF(N324="N/A – rule","N/A – RULE",IF(TRIM(U324)="N/A",IF(AT324=0,"INVALID – N/A not permitted for this mandatory check",IF(AND(TRIM(AC324)&lt;&gt;"",TRIM(AE324)&lt;&gt;"",TRIM(T324)&lt;&gt;"",TRIM(AE324)&lt;&gt;TRIM(T324)),"N/A – JUSTIFIED","INVALID – N/A needs justification, PIC and a different verifier")),IF(OR(TRIM(U324)="Pass",TRIM(U324)="Pass after CA"),IF(NOT(ISNUMBER(AD324)),"INVALID – completion time missing",IF(TRIM(T324)="","INVALID – PIC missing",IF(TRIM(V324)="","INVALID – result / assessment missing",IF(TRIM(Z324)="","INVALID – evidence missing",IF(TRIM(AE324)="","INVALID – verifier missing",IF(TRIM(AE324)=TRIM(T324),"INVALID – verifier must be someone other than the PIC",IF(AND(AQ324=1,TRIM(W324)=""),"INVALID – batch ID missing",IF(AND(AR324=1,OR(NOT(ISNUMBER(X324)),NOT(ISNUMBER(Y324)))),"INVALID – expected/actual qty missing",IF(IF(AND(TRIM(U324)="Pass",ISNUMBER(AF324)),IF(AF324&lt;&gt;0,"INVALID – qty variance: use Fail or Pass after CA",""),"")&amp;IF(AND(TRIM(U324)="Pass",TRIM(AB324)&lt;&gt;"",TRIM(AB324)&lt;&gt;"Closed"),"INVALID – corrective action not closed: use Fail, then Pass after CA","")&amp;IF(AND(TRIM(AA324)&lt;&gt;"",TRIM(AB324)=""),"INVALID – CA status missing for the recorded corrective action","")&amp;IF(AND(TRIM(U324)="Pass after CA",OR(TRIM(AA324)="",TRIM(AB324)&lt;&gt;"Closed")),"INVALID – corrective action not recorded/closed","")&lt;&gt;"",IF(AND(TRIM(U324)="Pass",ISNUMBER(AF324)),IF(AF324&lt;&gt;0,"INVALID – qty variance: use Fail or Pass after CA",""),"")&amp;IF(AND(TRIM(U324)="Pass",TRIM(AB324)&lt;&gt;"",TRIM(AB324)&lt;&gt;"Closed"),"INVALID – corrective action not closed: use Fail, then Pass after CA","")&amp;IF(AND(TRIM(AA324)&lt;&gt;"",TRIM(AB324)=""),"INVALID – CA status missing for the recorded corrective action","")&amp;IF(AND(TRIM(U324)="Pass after CA",OR(TRIM(AA324)="",TRIM(AB324)&lt;&gt;"Closed")),"INVALID – corrective action not recorded/closed",""),IF(AND(AS324=1,Documents!$J$14&lt;&gt;"ON FILE"),"INVALID – GLD not on file (Documents sheet)",IF(AND(AS324=2,Documents!$O$14&lt;&gt;"ON FILE"),"INVALID – menu checklist not on file (Documents sheet)",IF(AND(AS324=3,NOT(ISNUMBER(Flights!$AX$14))),"INVALID – enter carrying flight KUL departure (Flights AX)",IF(AND(AS324=3,OR(Flights!$AX$14&gt;=Flights!$AA$14,Flights!$AX$14&lt;Flights!$AA$14-3)),"INVALID – Flights AX must be before this leg's STD (within 3 days)",IF(AG324&gt;AsOfUTC,"INVALID – completion time is in the future",IF(AND(ISNUMBER(S324),AG324&lt;S324),IF(H324="Physical uplift","INVALID – before uplift window (cannot confirm loading)","INVALID – before valid window"),IF(AG324&gt;Flights!$AA$14,"INVALID – completed after departure (cannot establish readiness)",IF(AND(H324="Physical uplift",AG324&gt;Q324),"INVALID – recorded after the loading flight departed",IF(AG324&gt;Q324,"COMPLETE – LATE","COMPLETE")))))))))))))))))),IF(TRIM(U324)="Fail","FAIL – DISCREPANCY",IF(AND(TRIM(U324)&lt;&gt;"",TRIM(U324)&lt;&gt;"Not started",TRIM(U324)&lt;&gt;"In progress"),"INVALID – unrecognised status (use the list)",IF(AsOfUTC&gt;Q324,"OVERDUE",IF(N324="Clarification required","OPEN – CLARIFICATION","OPEN")))))))</f>
        <v>N/A – RULE</v>
      </c>
      <c r="AI324" s="61" t="n">
        <f aca="false">IF(OR(AH324="N/A – RULE",AH324="N/A – JUSTIFIED"),0,1)</f>
        <v>0</v>
      </c>
      <c r="AJ324" s="61" t="n">
        <f aca="false">IF(LEFT(AH324,8)="COMPLETE",1,0)</f>
        <v>0</v>
      </c>
      <c r="AK324" s="61" t="n">
        <f aca="false">IF(AND(AI324=1,AJ324=0,AsOfUTC&gt;Q324),1,0)</f>
        <v>0</v>
      </c>
      <c r="AL324" s="61" t="n">
        <f aca="false">IF(AND(AI324=1,OR(TRIM(U324)="Fail",AND(TRIM(AB324)&lt;&gt;"",TRIM(AB324)&lt;&gt;"Closed"),AND(ISNUMBER(AF324),AF324&lt;&gt;0,TRIM(U324)&lt;&gt;"Pass after CA"))),1,0)</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row>
    <row r="325" customFormat="false" ht="39.75" hidden="false" customHeight="true" outlineLevel="0" collapsed="false">
      <c r="A325" s="57" t="s">
        <v>881</v>
      </c>
      <c r="B325" s="57" t="s">
        <v>243</v>
      </c>
      <c r="C325" s="57" t="str">
        <f aca="false">Flights!$F$14</f>
        <v>MH1140</v>
      </c>
      <c r="D325" s="58" t="n">
        <f aca="false">Flights!$D$14</f>
        <v>46307</v>
      </c>
      <c r="E325" s="57" t="str">
        <f aca="false">Flights!$G$14&amp;"-"&amp;Flights!$H$14</f>
        <v>KUL-PEN</v>
      </c>
      <c r="F325" s="57" t="str">
        <f aca="false">Flights!$K$14</f>
        <v>BC</v>
      </c>
      <c r="G325" s="57" t="s">
        <v>76</v>
      </c>
      <c r="H325" s="57" t="s">
        <v>343</v>
      </c>
      <c r="I325" s="57" t="s">
        <v>359</v>
      </c>
      <c r="J325" s="57" t="s">
        <v>360</v>
      </c>
      <c r="K325" s="67" t="s">
        <v>361</v>
      </c>
      <c r="L325" s="67" t="s">
        <v>347</v>
      </c>
      <c r="M325" s="67"/>
      <c r="N325" s="67" t="s">
        <v>348</v>
      </c>
      <c r="O325" s="67"/>
      <c r="P325" s="57" t="s">
        <v>179</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59" t="n">
        <f aca="false">Q325-T7EarlyD*24/24</f>
        <v>46286.15625</v>
      </c>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IF(N325="N/A – rule","N/A – RULE",IF(TRIM(U325)="N/A",IF(AT325=0,"INVALID – N/A not permitted for this mandatory check",IF(AND(TRIM(AC325)&lt;&gt;"",TRIM(AE325)&lt;&gt;"",TRIM(T325)&lt;&gt;"",TRIM(AE325)&lt;&gt;TRIM(T325)),"N/A – JUSTIFIED","INVALID – N/A needs justification, PIC and a different verifier")),IF(OR(TRIM(U325)="Pass",TRIM(U325)="Pass after CA"),IF(NOT(ISNUMBER(AD325)),"INVALID – completion time missing",IF(TRIM(T325)="","INVALID – PIC missing",IF(TRIM(V325)="","INVALID – result / assessment missing",IF(TRIM(Z325)="","INVALID – evidence missing",IF(TRIM(AE325)="","INVALID – verifier missing",IF(TRIM(AE325)=TRIM(T325),"INVALID – verifier must be someone other than the PIC",IF(AND(AQ325=1,TRIM(W325)=""),"INVALID – batch ID missing",IF(AND(AR325=1,OR(NOT(ISNUMBER(X325)),NOT(ISNUMBER(Y325)))),"INVALID – expected/actual qty missing",IF(IF(AND(TRIM(U325)="Pass",ISNUMBER(AF325)),IF(AF325&lt;&gt;0,"INVALID – qty variance: use Fail or Pass after CA",""),"")&amp;IF(AND(TRIM(U325)="Pass",TRIM(AB325)&lt;&gt;"",TRIM(AB325)&lt;&gt;"Closed"),"INVALID – corrective action not closed: use Fail, then Pass after CA","")&amp;IF(AND(TRIM(AA325)&lt;&gt;"",TRIM(AB325)=""),"INVALID – CA status missing for the recorded corrective action","")&amp;IF(AND(TRIM(U325)="Pass after CA",OR(TRIM(AA325)="",TRIM(AB325)&lt;&gt;"Closed")),"INVALID – corrective action not recorded/closed","")&lt;&gt;"",IF(AND(TRIM(U325)="Pass",ISNUMBER(AF325)),IF(AF325&lt;&gt;0,"INVALID – qty variance: use Fail or Pass after CA",""),"")&amp;IF(AND(TRIM(U325)="Pass",TRIM(AB325)&lt;&gt;"",TRIM(AB325)&lt;&gt;"Closed"),"INVALID – corrective action not closed: use Fail, then Pass after CA","")&amp;IF(AND(TRIM(AA325)&lt;&gt;"",TRIM(AB325)=""),"INVALID – CA status missing for the recorded corrective action","")&amp;IF(AND(TRIM(U325)="Pass after CA",OR(TRIM(AA325)="",TRIM(AB325)&lt;&gt;"Closed")),"INVALID – corrective action not recorded/closed",""),IF(AND(AS325=1,Documents!$J$14&lt;&gt;"ON FILE"),"INVALID – GLD not on file (Documents sheet)",IF(AND(AS325=2,Documents!$O$14&lt;&gt;"ON FILE"),"INVALID – menu checklist not on file (Documents sheet)",IF(AND(AS325=3,NOT(ISNUMBER(Flights!$AX$14))),"INVALID – enter carrying flight KUL departure (Flights AX)",IF(AND(AS325=3,OR(Flights!$AX$14&gt;=Flights!$AA$14,Flights!$AX$14&lt;Flights!$AA$14-3)),"INVALID – Flights AX must be before this leg's STD (within 3 days)",IF(AG325&gt;AsOfUTC,"INVALID – completion time is in the future",IF(AND(ISNUMBER(S325),AG325&lt;S325),IF(H325="Physical uplift","INVALID – before uplift window (cannot confirm loading)","INVALID – before valid window"),IF(AG325&gt;Flights!$AA$14,"INVALID – completed after departure (cannot establish readiness)",IF(AND(H325="Physical uplift",AG325&gt;Q325),"INVALID – recorded after the loading flight departed",IF(AG325&gt;Q325,"COMPLETE – LATE","COMPLETE")))))))))))))))))),IF(TRIM(U325)="Fail","FAIL – DISCREPANCY",IF(AND(TRIM(U325)&lt;&gt;"",TRIM(U325)&lt;&gt;"Not started",TRIM(U325)&lt;&gt;"In progress"),"INVALID – unrecognised status (use the list)",IF(AsOfUTC&gt;Q325,"OVERDUE",IF(N325="Clarification required","OPEN – CLARIFICATION","OPEN")))))))</f>
        <v>OPEN</v>
      </c>
      <c r="AI325" s="61" t="n">
        <f aca="false">IF(OR(AH325="N/A – RULE",AH325="N/A – JUSTIFIED"),0,1)</f>
        <v>1</v>
      </c>
      <c r="AJ325" s="61" t="n">
        <f aca="false">IF(LEFT(AH325,8)="COMPLETE",1,0)</f>
        <v>0</v>
      </c>
      <c r="AK325" s="61" t="n">
        <f aca="false">IF(AND(AI325=1,AJ325=0,AsOfUTC&gt;Q325),1,0)</f>
        <v>0</v>
      </c>
      <c r="AL325" s="61" t="n">
        <f aca="false">IF(AND(AI325=1,OR(TRIM(U325)="Fail",AND(TRIM(AB325)&lt;&gt;"",TRIM(AB325)&lt;&gt;"Closed"),AND(ISNUMBER(AF325),AF325&lt;&gt;0,TRIM(U325)&lt;&gt;"Pass after CA"))),1,0)</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row>
    <row r="326" customFormat="false" ht="39.75" hidden="false" customHeight="true" outlineLevel="0" collapsed="false">
      <c r="A326" s="57" t="s">
        <v>882</v>
      </c>
      <c r="B326" s="57" t="s">
        <v>243</v>
      </c>
      <c r="C326" s="57" t="str">
        <f aca="false">Flights!$F$14</f>
        <v>MH1140</v>
      </c>
      <c r="D326" s="58" t="n">
        <f aca="false">Flights!$D$14</f>
        <v>46307</v>
      </c>
      <c r="E326" s="57" t="str">
        <f aca="false">Flights!$G$14&amp;"-"&amp;Flights!$H$14</f>
        <v>KUL-PEN</v>
      </c>
      <c r="F326" s="57" t="str">
        <f aca="false">Flights!$K$14</f>
        <v>BC</v>
      </c>
      <c r="G326" s="57" t="s">
        <v>76</v>
      </c>
      <c r="H326" s="57" t="s">
        <v>343</v>
      </c>
      <c r="I326" s="57" t="s">
        <v>363</v>
      </c>
      <c r="J326" s="57" t="s">
        <v>364</v>
      </c>
      <c r="K326" s="67" t="s">
        <v>365</v>
      </c>
      <c r="L326" s="67" t="s">
        <v>347</v>
      </c>
      <c r="M326" s="67"/>
      <c r="N326" s="67" t="s">
        <v>348</v>
      </c>
      <c r="O326" s="67"/>
      <c r="P326" s="57" t="s">
        <v>179</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59" t="n">
        <f aca="false">Q326-T7EarlyD*24/24</f>
        <v>46286.15625</v>
      </c>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IF(N326="N/A – rule","N/A – RULE",IF(TRIM(U326)="N/A",IF(AT326=0,"INVALID – N/A not permitted for this mandatory check",IF(AND(TRIM(AC326)&lt;&gt;"",TRIM(AE326)&lt;&gt;"",TRIM(T326)&lt;&gt;"",TRIM(AE326)&lt;&gt;TRIM(T326)),"N/A – JUSTIFIED","INVALID – N/A needs justification, PIC and a different verifier")),IF(OR(TRIM(U326)="Pass",TRIM(U326)="Pass after CA"),IF(NOT(ISNUMBER(AD326)),"INVALID – completion time missing",IF(TRIM(T326)="","INVALID – PIC missing",IF(TRIM(V326)="","INVALID – result / assessment missing",IF(TRIM(Z326)="","INVALID – evidence missing",IF(TRIM(AE326)="","INVALID – verifier missing",IF(TRIM(AE326)=TRIM(T326),"INVALID – verifier must be someone other than the PIC",IF(AND(AQ326=1,TRIM(W326)=""),"INVALID – batch ID missing",IF(AND(AR326=1,OR(NOT(ISNUMBER(X326)),NOT(ISNUMBER(Y326)))),"INVALID – expected/actual qty missing",IF(IF(AND(TRIM(U326)="Pass",ISNUMBER(AF326)),IF(AF326&lt;&gt;0,"INVALID – qty variance: use Fail or Pass after CA",""),"")&amp;IF(AND(TRIM(U326)="Pass",TRIM(AB326)&lt;&gt;"",TRIM(AB326)&lt;&gt;"Closed"),"INVALID – corrective action not closed: use Fail, then Pass after CA","")&amp;IF(AND(TRIM(AA326)&lt;&gt;"",TRIM(AB326)=""),"INVALID – CA status missing for the recorded corrective action","")&amp;IF(AND(TRIM(U326)="Pass after CA",OR(TRIM(AA326)="",TRIM(AB326)&lt;&gt;"Closed")),"INVALID – corrective action not recorded/closed","")&lt;&gt;"",IF(AND(TRIM(U326)="Pass",ISNUMBER(AF326)),IF(AF326&lt;&gt;0,"INVALID – qty variance: use Fail or Pass after CA",""),"")&amp;IF(AND(TRIM(U326)="Pass",TRIM(AB326)&lt;&gt;"",TRIM(AB326)&lt;&gt;"Closed"),"INVALID – corrective action not closed: use Fail, then Pass after CA","")&amp;IF(AND(TRIM(AA326)&lt;&gt;"",TRIM(AB326)=""),"INVALID – CA status missing for the recorded corrective action","")&amp;IF(AND(TRIM(U326)="Pass after CA",OR(TRIM(AA326)="",TRIM(AB326)&lt;&gt;"Closed")),"INVALID – corrective action not recorded/closed",""),IF(AND(AS326=1,Documents!$J$14&lt;&gt;"ON FILE"),"INVALID – GLD not on file (Documents sheet)",IF(AND(AS326=2,Documents!$O$14&lt;&gt;"ON FILE"),"INVALID – menu checklist not on file (Documents sheet)",IF(AND(AS326=3,NOT(ISNUMBER(Flights!$AX$14))),"INVALID – enter carrying flight KUL departure (Flights AX)",IF(AND(AS326=3,OR(Flights!$AX$14&gt;=Flights!$AA$14,Flights!$AX$14&lt;Flights!$AA$14-3)),"INVALID – Flights AX must be before this leg's STD (within 3 days)",IF(AG326&gt;AsOfUTC,"INVALID – completion time is in the future",IF(AND(ISNUMBER(S326),AG326&lt;S326),IF(H326="Physical uplift","INVALID – before uplift window (cannot confirm loading)","INVALID – before valid window"),IF(AG326&gt;Flights!$AA$14,"INVALID – completed after departure (cannot establish readiness)",IF(AND(H326="Physical uplift",AG326&gt;Q326),"INVALID – recorded after the loading flight departed",IF(AG326&gt;Q326,"COMPLETE – LATE","COMPLETE")))))))))))))))))),IF(TRIM(U326)="Fail","FAIL – DISCREPANCY",IF(AND(TRIM(U326)&lt;&gt;"",TRIM(U326)&lt;&gt;"Not started",TRIM(U326)&lt;&gt;"In progress"),"INVALID – unrecognised status (use the list)",IF(AsOfUTC&gt;Q326,"OVERDUE",IF(N326="Clarification required","OPEN – CLARIFICATION","OPEN")))))))</f>
        <v>OPEN</v>
      </c>
      <c r="AI326" s="61" t="n">
        <f aca="false">IF(OR(AH326="N/A – RULE",AH326="N/A – JUSTIFIED"),0,1)</f>
        <v>1</v>
      </c>
      <c r="AJ326" s="61" t="n">
        <f aca="false">IF(LEFT(AH326,8)="COMPLETE",1,0)</f>
        <v>0</v>
      </c>
      <c r="AK326" s="61" t="n">
        <f aca="false">IF(AND(AI326=1,AJ326=0,AsOfUTC&gt;Q326),1,0)</f>
        <v>0</v>
      </c>
      <c r="AL326" s="61" t="n">
        <f aca="false">IF(AND(AI326=1,OR(TRIM(U326)="Fail",AND(TRIM(AB326)&lt;&gt;"",TRIM(AB326)&lt;&gt;"Closed"),AND(ISNUMBER(AF326),AF326&lt;&gt;0,TRIM(U326)&lt;&gt;"Pass after CA"))),1,0)</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row>
    <row r="327" customFormat="false" ht="39.75" hidden="false" customHeight="true" outlineLevel="0" collapsed="false">
      <c r="A327" s="57" t="s">
        <v>883</v>
      </c>
      <c r="B327" s="57" t="s">
        <v>243</v>
      </c>
      <c r="C327" s="57" t="str">
        <f aca="false">Flights!$F$14</f>
        <v>MH1140</v>
      </c>
      <c r="D327" s="58" t="n">
        <f aca="false">Flights!$D$14</f>
        <v>46307</v>
      </c>
      <c r="E327" s="57" t="str">
        <f aca="false">Flights!$G$14&amp;"-"&amp;Flights!$H$14</f>
        <v>KUL-PEN</v>
      </c>
      <c r="F327" s="57" t="str">
        <f aca="false">Flights!$K$14</f>
        <v>BC</v>
      </c>
      <c r="G327" s="57" t="s">
        <v>76</v>
      </c>
      <c r="H327" s="57" t="s">
        <v>343</v>
      </c>
      <c r="I327" s="57" t="s">
        <v>363</v>
      </c>
      <c r="J327" s="57" t="s">
        <v>367</v>
      </c>
      <c r="K327" s="67" t="s">
        <v>368</v>
      </c>
      <c r="L327" s="67" t="s">
        <v>347</v>
      </c>
      <c r="M327" s="67"/>
      <c r="N327" s="67" t="s">
        <v>348</v>
      </c>
      <c r="O327" s="67"/>
      <c r="P327" s="57" t="s">
        <v>179</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59" t="n">
        <f aca="false">Q327-T7EarlyD*24/24</f>
        <v>46286.15625</v>
      </c>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IF(N327="N/A – rule","N/A – RULE",IF(TRIM(U327)="N/A",IF(AT327=0,"INVALID – N/A not permitted for this mandatory check",IF(AND(TRIM(AC327)&lt;&gt;"",TRIM(AE327)&lt;&gt;"",TRIM(T327)&lt;&gt;"",TRIM(AE327)&lt;&gt;TRIM(T327)),"N/A – JUSTIFIED","INVALID – N/A needs justification, PIC and a different verifier")),IF(OR(TRIM(U327)="Pass",TRIM(U327)="Pass after CA"),IF(NOT(ISNUMBER(AD327)),"INVALID – completion time missing",IF(TRIM(T327)="","INVALID – PIC missing",IF(TRIM(V327)="","INVALID – result / assessment missing",IF(TRIM(Z327)="","INVALID – evidence missing",IF(TRIM(AE327)="","INVALID – verifier missing",IF(TRIM(AE327)=TRIM(T327),"INVALID – verifier must be someone other than the PIC",IF(AND(AQ327=1,TRIM(W327)=""),"INVALID – batch ID missing",IF(AND(AR327=1,OR(NOT(ISNUMBER(X327)),NOT(ISNUMBER(Y327)))),"INVALID – expected/actual qty missing",IF(IF(AND(TRIM(U327)="Pass",ISNUMBER(AF327)),IF(AF327&lt;&gt;0,"INVALID – qty variance: use Fail or Pass after CA",""),"")&amp;IF(AND(TRIM(U327)="Pass",TRIM(AB327)&lt;&gt;"",TRIM(AB327)&lt;&gt;"Closed"),"INVALID – corrective action not closed: use Fail, then Pass after CA","")&amp;IF(AND(TRIM(AA327)&lt;&gt;"",TRIM(AB327)=""),"INVALID – CA status missing for the recorded corrective action","")&amp;IF(AND(TRIM(U327)="Pass after CA",OR(TRIM(AA327)="",TRIM(AB327)&lt;&gt;"Closed")),"INVALID – corrective action not recorded/closed","")&lt;&gt;"",IF(AND(TRIM(U327)="Pass",ISNUMBER(AF327)),IF(AF327&lt;&gt;0,"INVALID – qty variance: use Fail or Pass after CA",""),"")&amp;IF(AND(TRIM(U327)="Pass",TRIM(AB327)&lt;&gt;"",TRIM(AB327)&lt;&gt;"Closed"),"INVALID – corrective action not closed: use Fail, then Pass after CA","")&amp;IF(AND(TRIM(AA327)&lt;&gt;"",TRIM(AB327)=""),"INVALID – CA status missing for the recorded corrective action","")&amp;IF(AND(TRIM(U327)="Pass after CA",OR(TRIM(AA327)="",TRIM(AB327)&lt;&gt;"Closed")),"INVALID – corrective action not recorded/closed",""),IF(AND(AS327=1,Documents!$J$14&lt;&gt;"ON FILE"),"INVALID – GLD not on file (Documents sheet)",IF(AND(AS327=2,Documents!$O$14&lt;&gt;"ON FILE"),"INVALID – menu checklist not on file (Documents sheet)",IF(AND(AS327=3,NOT(ISNUMBER(Flights!$AX$14))),"INVALID – enter carrying flight KUL departure (Flights AX)",IF(AND(AS327=3,OR(Flights!$AX$14&gt;=Flights!$AA$14,Flights!$AX$14&lt;Flights!$AA$14-3)),"INVALID – Flights AX must be before this leg's STD (within 3 days)",IF(AG327&gt;AsOfUTC,"INVALID – completion time is in the future",IF(AND(ISNUMBER(S327),AG327&lt;S327),IF(H327="Physical uplift","INVALID – before uplift window (cannot confirm loading)","INVALID – before valid window"),IF(AG327&gt;Flights!$AA$14,"INVALID – completed after departure (cannot establish readiness)",IF(AND(H327="Physical uplift",AG327&gt;Q327),"INVALID – recorded after the loading flight departed",IF(AG327&gt;Q327,"COMPLETE – LATE","COMPLETE")))))))))))))))))),IF(TRIM(U327)="Fail","FAIL – DISCREPANCY",IF(AND(TRIM(U327)&lt;&gt;"",TRIM(U327)&lt;&gt;"Not started",TRIM(U327)&lt;&gt;"In progress"),"INVALID – unrecognised status (use the list)",IF(AsOfUTC&gt;Q327,"OVERDUE",IF(N327="Clarification required","OPEN – CLARIFICATION","OPEN")))))))</f>
        <v>OPEN</v>
      </c>
      <c r="AI327" s="61" t="n">
        <f aca="false">IF(OR(AH327="N/A – RULE",AH327="N/A – JUSTIFIED"),0,1)</f>
        <v>1</v>
      </c>
      <c r="AJ327" s="61" t="n">
        <f aca="false">IF(LEFT(AH327,8)="COMPLETE",1,0)</f>
        <v>0</v>
      </c>
      <c r="AK327" s="61" t="n">
        <f aca="false">IF(AND(AI327=1,AJ327=0,AsOfUTC&gt;Q327),1,0)</f>
        <v>0</v>
      </c>
      <c r="AL327" s="61" t="n">
        <f aca="false">IF(AND(AI327=1,OR(TRIM(U327)="Fail",AND(TRIM(AB327)&lt;&gt;"",TRIM(AB327)&lt;&gt;"Closed"),AND(ISNUMBER(AF327),AF327&lt;&gt;0,TRIM(U327)&lt;&gt;"Pass after CA"))),1,0)</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row>
    <row r="328" customFormat="false" ht="39.75" hidden="false" customHeight="true" outlineLevel="0" collapsed="false">
      <c r="A328" s="57" t="s">
        <v>884</v>
      </c>
      <c r="B328" s="57" t="s">
        <v>243</v>
      </c>
      <c r="C328" s="57" t="str">
        <f aca="false">Flights!$F$14</f>
        <v>MH1140</v>
      </c>
      <c r="D328" s="58" t="n">
        <f aca="false">Flights!$D$14</f>
        <v>46307</v>
      </c>
      <c r="E328" s="57" t="str">
        <f aca="false">Flights!$G$14&amp;"-"&amp;Flights!$H$14</f>
        <v>KUL-PEN</v>
      </c>
      <c r="F328" s="57" t="str">
        <f aca="false">Flights!$K$14</f>
        <v>BC</v>
      </c>
      <c r="G328" s="57" t="s">
        <v>76</v>
      </c>
      <c r="H328" s="57" t="s">
        <v>343</v>
      </c>
      <c r="I328" s="57" t="s">
        <v>370</v>
      </c>
      <c r="J328" s="57" t="s">
        <v>371</v>
      </c>
      <c r="K328" s="67" t="s">
        <v>372</v>
      </c>
      <c r="L328" s="67" t="s">
        <v>347</v>
      </c>
      <c r="M328" s="67"/>
      <c r="N328" s="67" t="s">
        <v>348</v>
      </c>
      <c r="O328" s="67"/>
      <c r="P328" s="57" t="s">
        <v>179</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59" t="n">
        <f aca="false">Q328-T7EarlyD*24/24</f>
        <v>46286.15625</v>
      </c>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IF(N328="N/A – rule","N/A – RULE",IF(TRIM(U328)="N/A",IF(AT328=0,"INVALID – N/A not permitted for this mandatory check",IF(AND(TRIM(AC328)&lt;&gt;"",TRIM(AE328)&lt;&gt;"",TRIM(T328)&lt;&gt;"",TRIM(AE328)&lt;&gt;TRIM(T328)),"N/A – JUSTIFIED","INVALID – N/A needs justification, PIC and a different verifier")),IF(OR(TRIM(U328)="Pass",TRIM(U328)="Pass after CA"),IF(NOT(ISNUMBER(AD328)),"INVALID – completion time missing",IF(TRIM(T328)="","INVALID – PIC missing",IF(TRIM(V328)="","INVALID – result / assessment missing",IF(TRIM(Z328)="","INVALID – evidence missing",IF(TRIM(AE328)="","INVALID – verifier missing",IF(TRIM(AE328)=TRIM(T328),"INVALID – verifier must be someone other than the PIC",IF(AND(AQ328=1,TRIM(W328)=""),"INVALID – batch ID missing",IF(AND(AR328=1,OR(NOT(ISNUMBER(X328)),NOT(ISNUMBER(Y328)))),"INVALID – expected/actual qty missing",IF(IF(AND(TRIM(U328)="Pass",ISNUMBER(AF328)),IF(AF328&lt;&gt;0,"INVALID – qty variance: use Fail or Pass after CA",""),"")&amp;IF(AND(TRIM(U328)="Pass",TRIM(AB328)&lt;&gt;"",TRIM(AB328)&lt;&gt;"Closed"),"INVALID – corrective action not closed: use Fail, then Pass after CA","")&amp;IF(AND(TRIM(AA328)&lt;&gt;"",TRIM(AB328)=""),"INVALID – CA status missing for the recorded corrective action","")&amp;IF(AND(TRIM(U328)="Pass after CA",OR(TRIM(AA328)="",TRIM(AB328)&lt;&gt;"Closed")),"INVALID – corrective action not recorded/closed","")&lt;&gt;"",IF(AND(TRIM(U328)="Pass",ISNUMBER(AF328)),IF(AF328&lt;&gt;0,"INVALID – qty variance: use Fail or Pass after CA",""),"")&amp;IF(AND(TRIM(U328)="Pass",TRIM(AB328)&lt;&gt;"",TRIM(AB328)&lt;&gt;"Closed"),"INVALID – corrective action not closed: use Fail, then Pass after CA","")&amp;IF(AND(TRIM(AA328)&lt;&gt;"",TRIM(AB328)=""),"INVALID – CA status missing for the recorded corrective action","")&amp;IF(AND(TRIM(U328)="Pass after CA",OR(TRIM(AA328)="",TRIM(AB328)&lt;&gt;"Closed")),"INVALID – corrective action not recorded/closed",""),IF(AND(AS328=1,Documents!$J$14&lt;&gt;"ON FILE"),"INVALID – GLD not on file (Documents sheet)",IF(AND(AS328=2,Documents!$O$14&lt;&gt;"ON FILE"),"INVALID – menu checklist not on file (Documents sheet)",IF(AND(AS328=3,NOT(ISNUMBER(Flights!$AX$14))),"INVALID – enter carrying flight KUL departure (Flights AX)",IF(AND(AS328=3,OR(Flights!$AX$14&gt;=Flights!$AA$14,Flights!$AX$14&lt;Flights!$AA$14-3)),"INVALID – Flights AX must be before this leg's STD (within 3 days)",IF(AG328&gt;AsOfUTC,"INVALID – completion time is in the future",IF(AND(ISNUMBER(S328),AG328&lt;S328),IF(H328="Physical uplift","INVALID – before uplift window (cannot confirm loading)","INVALID – before valid window"),IF(AG328&gt;Flights!$AA$14,"INVALID – completed after departure (cannot establish readiness)",IF(AND(H328="Physical uplift",AG328&gt;Q328),"INVALID – recorded after the loading flight departed",IF(AG328&gt;Q328,"COMPLETE – LATE","COMPLETE")))))))))))))))))),IF(TRIM(U328)="Fail","FAIL – DISCREPANCY",IF(AND(TRIM(U328)&lt;&gt;"",TRIM(U328)&lt;&gt;"Not started",TRIM(U328)&lt;&gt;"In progress"),"INVALID – unrecognised status (use the list)",IF(AsOfUTC&gt;Q328,"OVERDUE",IF(N328="Clarification required","OPEN – CLARIFICATION","OPEN")))))))</f>
        <v>OPEN</v>
      </c>
      <c r="AI328" s="61" t="n">
        <f aca="false">IF(OR(AH328="N/A – RULE",AH328="N/A – JUSTIFIED"),0,1)</f>
        <v>1</v>
      </c>
      <c r="AJ328" s="61" t="n">
        <f aca="false">IF(LEFT(AH328,8)="COMPLETE",1,0)</f>
        <v>0</v>
      </c>
      <c r="AK328" s="61" t="n">
        <f aca="false">IF(AND(AI328=1,AJ328=0,AsOfUTC&gt;Q328),1,0)</f>
        <v>0</v>
      </c>
      <c r="AL328" s="61" t="n">
        <f aca="false">IF(AND(AI328=1,OR(TRIM(U328)="Fail",AND(TRIM(AB328)&lt;&gt;"",TRIM(AB328)&lt;&gt;"Closed"),AND(ISNUMBER(AF328),AF328&lt;&gt;0,TRIM(U328)&lt;&gt;"Pass after CA"))),1,0)</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row>
    <row r="329" customFormat="false" ht="39.75" hidden="false" customHeight="true" outlineLevel="0" collapsed="false">
      <c r="A329" s="57" t="s">
        <v>885</v>
      </c>
      <c r="B329" s="57" t="s">
        <v>243</v>
      </c>
      <c r="C329" s="57" t="str">
        <f aca="false">Flights!$F$14</f>
        <v>MH1140</v>
      </c>
      <c r="D329" s="58" t="n">
        <f aca="false">Flights!$D$14</f>
        <v>46307</v>
      </c>
      <c r="E329" s="57" t="str">
        <f aca="false">Flights!$G$14&amp;"-"&amp;Flights!$H$14</f>
        <v>KUL-PEN</v>
      </c>
      <c r="F329" s="57" t="str">
        <f aca="false">Flights!$K$14</f>
        <v>BC</v>
      </c>
      <c r="G329" s="57" t="s">
        <v>76</v>
      </c>
      <c r="H329" s="57" t="s">
        <v>343</v>
      </c>
      <c r="I329" s="57" t="s">
        <v>370</v>
      </c>
      <c r="J329" s="57" t="s">
        <v>374</v>
      </c>
      <c r="K329" s="67" t="s">
        <v>372</v>
      </c>
      <c r="L329" s="67" t="s">
        <v>347</v>
      </c>
      <c r="M329" s="67"/>
      <c r="N329" s="67" t="s">
        <v>348</v>
      </c>
      <c r="O329" s="67"/>
      <c r="P329" s="57" t="s">
        <v>179</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59" t="n">
        <f aca="false">Q329-T7EarlyD*24/24</f>
        <v>46286.15625</v>
      </c>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IF(N329="N/A – rule","N/A – RULE",IF(TRIM(U329)="N/A",IF(AT329=0,"INVALID – N/A not permitted for this mandatory check",IF(AND(TRIM(AC329)&lt;&gt;"",TRIM(AE329)&lt;&gt;"",TRIM(T329)&lt;&gt;"",TRIM(AE329)&lt;&gt;TRIM(T329)),"N/A – JUSTIFIED","INVALID – N/A needs justification, PIC and a different verifier")),IF(OR(TRIM(U329)="Pass",TRIM(U329)="Pass after CA"),IF(NOT(ISNUMBER(AD329)),"INVALID – completion time missing",IF(TRIM(T329)="","INVALID – PIC missing",IF(TRIM(V329)="","INVALID – result / assessment missing",IF(TRIM(Z329)="","INVALID – evidence missing",IF(TRIM(AE329)="","INVALID – verifier missing",IF(TRIM(AE329)=TRIM(T329),"INVALID – verifier must be someone other than the PIC",IF(AND(AQ329=1,TRIM(W329)=""),"INVALID – batch ID missing",IF(AND(AR329=1,OR(NOT(ISNUMBER(X329)),NOT(ISNUMBER(Y329)))),"INVALID – expected/actual qty missing",IF(IF(AND(TRIM(U329)="Pass",ISNUMBER(AF329)),IF(AF329&lt;&gt;0,"INVALID – qty variance: use Fail or Pass after CA",""),"")&amp;IF(AND(TRIM(U329)="Pass",TRIM(AB329)&lt;&gt;"",TRIM(AB329)&lt;&gt;"Closed"),"INVALID – corrective action not closed: use Fail, then Pass after CA","")&amp;IF(AND(TRIM(AA329)&lt;&gt;"",TRIM(AB329)=""),"INVALID – CA status missing for the recorded corrective action","")&amp;IF(AND(TRIM(U329)="Pass after CA",OR(TRIM(AA329)="",TRIM(AB329)&lt;&gt;"Closed")),"INVALID – corrective action not recorded/closed","")&lt;&gt;"",IF(AND(TRIM(U329)="Pass",ISNUMBER(AF329)),IF(AF329&lt;&gt;0,"INVALID – qty variance: use Fail or Pass after CA",""),"")&amp;IF(AND(TRIM(U329)="Pass",TRIM(AB329)&lt;&gt;"",TRIM(AB329)&lt;&gt;"Closed"),"INVALID – corrective action not closed: use Fail, then Pass after CA","")&amp;IF(AND(TRIM(AA329)&lt;&gt;"",TRIM(AB329)=""),"INVALID – CA status missing for the recorded corrective action","")&amp;IF(AND(TRIM(U329)="Pass after CA",OR(TRIM(AA329)="",TRIM(AB329)&lt;&gt;"Closed")),"INVALID – corrective action not recorded/closed",""),IF(AND(AS329=1,Documents!$J$14&lt;&gt;"ON FILE"),"INVALID – GLD not on file (Documents sheet)",IF(AND(AS329=2,Documents!$O$14&lt;&gt;"ON FILE"),"INVALID – menu checklist not on file (Documents sheet)",IF(AND(AS329=3,NOT(ISNUMBER(Flights!$AX$14))),"INVALID – enter carrying flight KUL departure (Flights AX)",IF(AND(AS329=3,OR(Flights!$AX$14&gt;=Flights!$AA$14,Flights!$AX$14&lt;Flights!$AA$14-3)),"INVALID – Flights AX must be before this leg's STD (within 3 days)",IF(AG329&gt;AsOfUTC,"INVALID – completion time is in the future",IF(AND(ISNUMBER(S329),AG329&lt;S329),IF(H329="Physical uplift","INVALID – before uplift window (cannot confirm loading)","INVALID – before valid window"),IF(AG329&gt;Flights!$AA$14,"INVALID – completed after departure (cannot establish readiness)",IF(AND(H329="Physical uplift",AG329&gt;Q329),"INVALID – recorded after the loading flight departed",IF(AG329&gt;Q329,"COMPLETE – LATE","COMPLETE")))))))))))))))))),IF(TRIM(U329)="Fail","FAIL – DISCREPANCY",IF(AND(TRIM(U329)&lt;&gt;"",TRIM(U329)&lt;&gt;"Not started",TRIM(U329)&lt;&gt;"In progress"),"INVALID – unrecognised status (use the list)",IF(AsOfUTC&gt;Q329,"OVERDUE",IF(N329="Clarification required","OPEN – CLARIFICATION","OPEN")))))))</f>
        <v>OPEN</v>
      </c>
      <c r="AI329" s="61" t="n">
        <f aca="false">IF(OR(AH329="N/A – RULE",AH329="N/A – JUSTIFIED"),0,1)</f>
        <v>1</v>
      </c>
      <c r="AJ329" s="61" t="n">
        <f aca="false">IF(LEFT(AH329,8)="COMPLETE",1,0)</f>
        <v>0</v>
      </c>
      <c r="AK329" s="61" t="n">
        <f aca="false">IF(AND(AI329=1,AJ329=0,AsOfUTC&gt;Q329),1,0)</f>
        <v>0</v>
      </c>
      <c r="AL329" s="61" t="n">
        <f aca="false">IF(AND(AI329=1,OR(TRIM(U329)="Fail",AND(TRIM(AB329)&lt;&gt;"",TRIM(AB329)&lt;&gt;"Closed"),AND(ISNUMBER(AF329),AF329&lt;&gt;0,TRIM(U329)&lt;&gt;"Pass after CA"))),1,0)</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row>
    <row r="330" customFormat="false" ht="39.75" hidden="false" customHeight="true" outlineLevel="0" collapsed="false">
      <c r="A330" s="57" t="s">
        <v>886</v>
      </c>
      <c r="B330" s="57" t="s">
        <v>243</v>
      </c>
      <c r="C330" s="57" t="str">
        <f aca="false">Flights!$F$14</f>
        <v>MH1140</v>
      </c>
      <c r="D330" s="58" t="n">
        <f aca="false">Flights!$D$14</f>
        <v>46307</v>
      </c>
      <c r="E330" s="57" t="str">
        <f aca="false">Flights!$G$14&amp;"-"&amp;Flights!$H$14</f>
        <v>KUL-PEN</v>
      </c>
      <c r="F330" s="57" t="str">
        <f aca="false">Flights!$K$14</f>
        <v>BC</v>
      </c>
      <c r="G330" s="57" t="s">
        <v>76</v>
      </c>
      <c r="H330" s="57" t="s">
        <v>343</v>
      </c>
      <c r="I330" s="57" t="s">
        <v>376</v>
      </c>
      <c r="J330" s="57" t="s">
        <v>377</v>
      </c>
      <c r="K330" s="67" t="s">
        <v>887</v>
      </c>
      <c r="L330" s="67" t="s">
        <v>888</v>
      </c>
      <c r="M330" s="67"/>
      <c r="N330" s="67" t="s">
        <v>348</v>
      </c>
      <c r="O330" s="67"/>
      <c r="P330" s="57" t="s">
        <v>179</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59" t="n">
        <f aca="false">Q330-T7EarlyD*24/24</f>
        <v>46286.15625</v>
      </c>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IF(N330="N/A – rule","N/A – RULE",IF(TRIM(U330)="N/A",IF(AT330=0,"INVALID – N/A not permitted for this mandatory check",IF(AND(TRIM(AC330)&lt;&gt;"",TRIM(AE330)&lt;&gt;"",TRIM(T330)&lt;&gt;"",TRIM(AE330)&lt;&gt;TRIM(T330)),"N/A – JUSTIFIED","INVALID – N/A needs justification, PIC and a different verifier")),IF(OR(TRIM(U330)="Pass",TRIM(U330)="Pass after CA"),IF(NOT(ISNUMBER(AD330)),"INVALID – completion time missing",IF(TRIM(T330)="","INVALID – PIC missing",IF(TRIM(V330)="","INVALID – result / assessment missing",IF(TRIM(Z330)="","INVALID – evidence missing",IF(TRIM(AE330)="","INVALID – verifier missing",IF(TRIM(AE330)=TRIM(T330),"INVALID – verifier must be someone other than the PIC",IF(AND(AQ330=1,TRIM(W330)=""),"INVALID – batch ID missing",IF(AND(AR330=1,OR(NOT(ISNUMBER(X330)),NOT(ISNUMBER(Y330)))),"INVALID – expected/actual qty missing",IF(IF(AND(TRIM(U330)="Pass",ISNUMBER(AF330)),IF(AF330&lt;&gt;0,"INVALID – qty variance: use Fail or Pass after CA",""),"")&amp;IF(AND(TRIM(U330)="Pass",TRIM(AB330)&lt;&gt;"",TRIM(AB330)&lt;&gt;"Closed"),"INVALID – corrective action not closed: use Fail, then Pass after CA","")&amp;IF(AND(TRIM(AA330)&lt;&gt;"",TRIM(AB330)=""),"INVALID – CA status missing for the recorded corrective action","")&amp;IF(AND(TRIM(U330)="Pass after CA",OR(TRIM(AA330)="",TRIM(AB330)&lt;&gt;"Closed")),"INVALID – corrective action not recorded/closed","")&lt;&gt;"",IF(AND(TRIM(U330)="Pass",ISNUMBER(AF330)),IF(AF330&lt;&gt;0,"INVALID – qty variance: use Fail or Pass after CA",""),"")&amp;IF(AND(TRIM(U330)="Pass",TRIM(AB330)&lt;&gt;"",TRIM(AB330)&lt;&gt;"Closed"),"INVALID – corrective action not closed: use Fail, then Pass after CA","")&amp;IF(AND(TRIM(AA330)&lt;&gt;"",TRIM(AB330)=""),"INVALID – CA status missing for the recorded corrective action","")&amp;IF(AND(TRIM(U330)="Pass after CA",OR(TRIM(AA330)="",TRIM(AB330)&lt;&gt;"Closed")),"INVALID – corrective action not recorded/closed",""),IF(AND(AS330=1,Documents!$J$14&lt;&gt;"ON FILE"),"INVALID – GLD not on file (Documents sheet)",IF(AND(AS330=2,Documents!$O$14&lt;&gt;"ON FILE"),"INVALID – menu checklist not on file (Documents sheet)",IF(AND(AS330=3,NOT(ISNUMBER(Flights!$AX$14))),"INVALID – enter carrying flight KUL departure (Flights AX)",IF(AND(AS330=3,OR(Flights!$AX$14&gt;=Flights!$AA$14,Flights!$AX$14&lt;Flights!$AA$14-3)),"INVALID – Flights AX must be before this leg's STD (within 3 days)",IF(AG330&gt;AsOfUTC,"INVALID – completion time is in the future",IF(AND(ISNUMBER(S330),AG330&lt;S330),IF(H330="Physical uplift","INVALID – before uplift window (cannot confirm loading)","INVALID – before valid window"),IF(AG330&gt;Flights!$AA$14,"INVALID – completed after departure (cannot establish readiness)",IF(AND(H330="Physical uplift",AG330&gt;Q330),"INVALID – recorded after the loading flight departed",IF(AG330&gt;Q330,"COMPLETE – LATE","COMPLETE")))))))))))))))))),IF(TRIM(U330)="Fail","FAIL – DISCREPANCY",IF(AND(TRIM(U330)&lt;&gt;"",TRIM(U330)&lt;&gt;"Not started",TRIM(U330)&lt;&gt;"In progress"),"INVALID – unrecognised status (use the list)",IF(AsOfUTC&gt;Q330,"OVERDUE",IF(N330="Clarification required","OPEN – CLARIFICATION","OPEN")))))))</f>
        <v>OPEN</v>
      </c>
      <c r="AI330" s="61" t="n">
        <f aca="false">IF(OR(AH330="N/A – RULE",AH330="N/A – JUSTIFIED"),0,1)</f>
        <v>1</v>
      </c>
      <c r="AJ330" s="61" t="n">
        <f aca="false">IF(LEFT(AH330,8)="COMPLETE",1,0)</f>
        <v>0</v>
      </c>
      <c r="AK330" s="61" t="n">
        <f aca="false">IF(AND(AI330=1,AJ330=0,AsOfUTC&gt;Q330),1,0)</f>
        <v>0</v>
      </c>
      <c r="AL330" s="61" t="n">
        <f aca="false">IF(AND(AI330=1,OR(TRIM(U330)="Fail",AND(TRIM(AB330)&lt;&gt;"",TRIM(AB330)&lt;&gt;"Closed"),AND(ISNUMBER(AF330),AF330&lt;&gt;0,TRIM(U330)&lt;&gt;"Pass after CA"))),1,0)</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row>
    <row r="331" customFormat="false" ht="39.75" hidden="false" customHeight="true" outlineLevel="0" collapsed="false">
      <c r="A331" s="57" t="s">
        <v>889</v>
      </c>
      <c r="B331" s="57" t="s">
        <v>243</v>
      </c>
      <c r="C331" s="57" t="str">
        <f aca="false">Flights!$F$14</f>
        <v>MH1140</v>
      </c>
      <c r="D331" s="58" t="n">
        <f aca="false">Flights!$D$14</f>
        <v>46307</v>
      </c>
      <c r="E331" s="57" t="str">
        <f aca="false">Flights!$G$14&amp;"-"&amp;Flights!$H$14</f>
        <v>KUL-PEN</v>
      </c>
      <c r="F331" s="57" t="str">
        <f aca="false">Flights!$K$14</f>
        <v>BC</v>
      </c>
      <c r="G331" s="57" t="s">
        <v>78</v>
      </c>
      <c r="H331" s="57" t="s">
        <v>343</v>
      </c>
      <c r="I331" s="57" t="s">
        <v>344</v>
      </c>
      <c r="J331" s="57" t="s">
        <v>381</v>
      </c>
      <c r="K331" s="67" t="s">
        <v>382</v>
      </c>
      <c r="L331" s="67" t="s">
        <v>383</v>
      </c>
      <c r="M331" s="67"/>
      <c r="N331" s="67" t="s">
        <v>348</v>
      </c>
      <c r="O331" s="67"/>
      <c r="P331" s="57" t="s">
        <v>179</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59" t="n">
        <f aca="false">Q331-T24EarlyH/24</f>
        <v>46305.15625</v>
      </c>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IF(N331="N/A – rule","N/A – RULE",IF(TRIM(U331)="N/A",IF(AT331=0,"INVALID – N/A not permitted for this mandatory check",IF(AND(TRIM(AC331)&lt;&gt;"",TRIM(AE331)&lt;&gt;"",TRIM(T331)&lt;&gt;"",TRIM(AE331)&lt;&gt;TRIM(T331)),"N/A – JUSTIFIED","INVALID – N/A needs justification, PIC and a different verifier")),IF(OR(TRIM(U331)="Pass",TRIM(U331)="Pass after CA"),IF(NOT(ISNUMBER(AD331)),"INVALID – completion time missing",IF(TRIM(T331)="","INVALID – PIC missing",IF(TRIM(V331)="","INVALID – result / assessment missing",IF(TRIM(Z331)="","INVALID – evidence missing",IF(TRIM(AE331)="","INVALID – verifier missing",IF(TRIM(AE331)=TRIM(T331),"INVALID – verifier must be someone other than the PIC",IF(AND(AQ331=1,TRIM(W331)=""),"INVALID – batch ID missing",IF(AND(AR331=1,OR(NOT(ISNUMBER(X331)),NOT(ISNUMBER(Y331)))),"INVALID – expected/actual qty missing",IF(IF(AND(TRIM(U331)="Pass",ISNUMBER(AF331)),IF(AF331&lt;&gt;0,"INVALID – qty variance: use Fail or Pass after CA",""),"")&amp;IF(AND(TRIM(U331)="Pass",TRIM(AB331)&lt;&gt;"",TRIM(AB331)&lt;&gt;"Closed"),"INVALID – corrective action not closed: use Fail, then Pass after CA","")&amp;IF(AND(TRIM(AA331)&lt;&gt;"",TRIM(AB331)=""),"INVALID – CA status missing for the recorded corrective action","")&amp;IF(AND(TRIM(U331)="Pass after CA",OR(TRIM(AA331)="",TRIM(AB331)&lt;&gt;"Closed")),"INVALID – corrective action not recorded/closed","")&lt;&gt;"",IF(AND(TRIM(U331)="Pass",ISNUMBER(AF331)),IF(AF331&lt;&gt;0,"INVALID – qty variance: use Fail or Pass after CA",""),"")&amp;IF(AND(TRIM(U331)="Pass",TRIM(AB331)&lt;&gt;"",TRIM(AB331)&lt;&gt;"Closed"),"INVALID – corrective action not closed: use Fail, then Pass after CA","")&amp;IF(AND(TRIM(AA331)&lt;&gt;"",TRIM(AB331)=""),"INVALID – CA status missing for the recorded corrective action","")&amp;IF(AND(TRIM(U331)="Pass after CA",OR(TRIM(AA331)="",TRIM(AB331)&lt;&gt;"Closed")),"INVALID – corrective action not recorded/closed",""),IF(AND(AS331=1,Documents!$J$14&lt;&gt;"ON FILE"),"INVALID – GLD not on file (Documents sheet)",IF(AND(AS331=2,Documents!$O$14&lt;&gt;"ON FILE"),"INVALID – menu checklist not on file (Documents sheet)",IF(AND(AS331=3,NOT(ISNUMBER(Flights!$AX$14))),"INVALID – enter carrying flight KUL departure (Flights AX)",IF(AND(AS331=3,OR(Flights!$AX$14&gt;=Flights!$AA$14,Flights!$AX$14&lt;Flights!$AA$14-3)),"INVALID – Flights AX must be before this leg's STD (within 3 days)",IF(AG331&gt;AsOfUTC,"INVALID – completion time is in the future",IF(AND(ISNUMBER(S331),AG331&lt;S331),IF(H331="Physical uplift","INVALID – before uplift window (cannot confirm loading)","INVALID – before valid window"),IF(AG331&gt;Flights!$AA$14,"INVALID – completed after departure (cannot establish readiness)",IF(AND(H331="Physical uplift",AG331&gt;Q331),"INVALID – recorded after the loading flight departed",IF(AG331&gt;Q331,"COMPLETE – LATE","COMPLETE")))))))))))))))))),IF(TRIM(U331)="Fail","FAIL – DISCREPANCY",IF(AND(TRIM(U331)&lt;&gt;"",TRIM(U331)&lt;&gt;"Not started",TRIM(U331)&lt;&gt;"In progress"),"INVALID – unrecognised status (use the list)",IF(AsOfUTC&gt;Q331,"OVERDUE",IF(N331="Clarification required","OPEN – CLARIFICATION","OPEN")))))))</f>
        <v>OPEN</v>
      </c>
      <c r="AI331" s="61" t="n">
        <f aca="false">IF(OR(AH331="N/A – RULE",AH331="N/A – JUSTIFIED"),0,1)</f>
        <v>1</v>
      </c>
      <c r="AJ331" s="61" t="n">
        <f aca="false">IF(LEFT(AH331,8)="COMPLETE",1,0)</f>
        <v>0</v>
      </c>
      <c r="AK331" s="61" t="n">
        <f aca="false">IF(AND(AI331=1,AJ331=0,AsOfUTC&gt;Q331),1,0)</f>
        <v>0</v>
      </c>
      <c r="AL331" s="61" t="n">
        <f aca="false">IF(AND(AI331=1,OR(TRIM(U331)="Fail",AND(TRIM(AB331)&lt;&gt;"",TRIM(AB331)&lt;&gt;"Closed"),AND(ISNUMBER(AF331),AF331&lt;&gt;0,TRIM(U331)&lt;&gt;"Pass after CA"))),1,0)</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row>
    <row r="332" customFormat="false" ht="39.75" hidden="false" customHeight="true" outlineLevel="0" collapsed="false">
      <c r="A332" s="57" t="s">
        <v>890</v>
      </c>
      <c r="B332" s="57" t="s">
        <v>243</v>
      </c>
      <c r="C332" s="57" t="str">
        <f aca="false">Flights!$F$14</f>
        <v>MH1140</v>
      </c>
      <c r="D332" s="58" t="n">
        <f aca="false">Flights!$D$14</f>
        <v>46307</v>
      </c>
      <c r="E332" s="57" t="str">
        <f aca="false">Flights!$G$14&amp;"-"&amp;Flights!$H$14</f>
        <v>KUL-PEN</v>
      </c>
      <c r="F332" s="57" t="str">
        <f aca="false">Flights!$K$14</f>
        <v>BC</v>
      </c>
      <c r="G332" s="57" t="s">
        <v>385</v>
      </c>
      <c r="H332" s="57" t="s">
        <v>343</v>
      </c>
      <c r="I332" s="57" t="s">
        <v>344</v>
      </c>
      <c r="J332" s="57" t="s">
        <v>386</v>
      </c>
      <c r="K332" s="67"/>
      <c r="L332" s="67" t="s">
        <v>387</v>
      </c>
      <c r="M332" s="67"/>
      <c r="N332" s="67" t="s">
        <v>348</v>
      </c>
      <c r="O332" s="67" t="s">
        <v>388</v>
      </c>
      <c r="P332" s="57" t="s">
        <v>179</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59" t="n">
        <f aca="false">Q332-T12EarlyH/24</f>
        <v>46306.15625</v>
      </c>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IF(N332="N/A – rule","N/A – RULE",IF(TRIM(U332)="N/A",IF(AT332=0,"INVALID – N/A not permitted for this mandatory check",IF(AND(TRIM(AC332)&lt;&gt;"",TRIM(AE332)&lt;&gt;"",TRIM(T332)&lt;&gt;"",TRIM(AE332)&lt;&gt;TRIM(T332)),"N/A – JUSTIFIED","INVALID – N/A needs justification, PIC and a different verifier")),IF(OR(TRIM(U332)="Pass",TRIM(U332)="Pass after CA"),IF(NOT(ISNUMBER(AD332)),"INVALID – completion time missing",IF(TRIM(T332)="","INVALID – PIC missing",IF(TRIM(V332)="","INVALID – result / assessment missing",IF(TRIM(Z332)="","INVALID – evidence missing",IF(TRIM(AE332)="","INVALID – verifier missing",IF(TRIM(AE332)=TRIM(T332),"INVALID – verifier must be someone other than the PIC",IF(AND(AQ332=1,TRIM(W332)=""),"INVALID – batch ID missing",IF(AND(AR332=1,OR(NOT(ISNUMBER(X332)),NOT(ISNUMBER(Y332)))),"INVALID – expected/actual qty missing",IF(IF(AND(TRIM(U332)="Pass",ISNUMBER(AF332)),IF(AF332&lt;&gt;0,"INVALID – qty variance: use Fail or Pass after CA",""),"")&amp;IF(AND(TRIM(U332)="Pass",TRIM(AB332)&lt;&gt;"",TRIM(AB332)&lt;&gt;"Closed"),"INVALID – corrective action not closed: use Fail, then Pass after CA","")&amp;IF(AND(TRIM(AA332)&lt;&gt;"",TRIM(AB332)=""),"INVALID – CA status missing for the recorded corrective action","")&amp;IF(AND(TRIM(U332)="Pass after CA",OR(TRIM(AA332)="",TRIM(AB332)&lt;&gt;"Closed")),"INVALID – corrective action not recorded/closed","")&lt;&gt;"",IF(AND(TRIM(U332)="Pass",ISNUMBER(AF332)),IF(AF332&lt;&gt;0,"INVALID – qty variance: use Fail or Pass after CA",""),"")&amp;IF(AND(TRIM(U332)="Pass",TRIM(AB332)&lt;&gt;"",TRIM(AB332)&lt;&gt;"Closed"),"INVALID – corrective action not closed: use Fail, then Pass after CA","")&amp;IF(AND(TRIM(AA332)&lt;&gt;"",TRIM(AB332)=""),"INVALID – CA status missing for the recorded corrective action","")&amp;IF(AND(TRIM(U332)="Pass after CA",OR(TRIM(AA332)="",TRIM(AB332)&lt;&gt;"Closed")),"INVALID – corrective action not recorded/closed",""),IF(AND(AS332=1,Documents!$J$14&lt;&gt;"ON FILE"),"INVALID – GLD not on file (Documents sheet)",IF(AND(AS332=2,Documents!$O$14&lt;&gt;"ON FILE"),"INVALID – menu checklist not on file (Documents sheet)",IF(AND(AS332=3,NOT(ISNUMBER(Flights!$AX$14))),"INVALID – enter carrying flight KUL departure (Flights AX)",IF(AND(AS332=3,OR(Flights!$AX$14&gt;=Flights!$AA$14,Flights!$AX$14&lt;Flights!$AA$14-3)),"INVALID – Flights AX must be before this leg's STD (within 3 days)",IF(AG332&gt;AsOfUTC,"INVALID – completion time is in the future",IF(AND(ISNUMBER(S332),AG332&lt;S332),IF(H332="Physical uplift","INVALID – before uplift window (cannot confirm loading)","INVALID – before valid window"),IF(AG332&gt;Flights!$AA$14,"INVALID – completed after departure (cannot establish readiness)",IF(AND(H332="Physical uplift",AG332&gt;Q332),"INVALID – recorded after the loading flight departed",IF(AG332&gt;Q332,"COMPLETE – LATE","COMPLETE")))))))))))))))))),IF(TRIM(U332)="Fail","FAIL – DISCREPANCY",IF(AND(TRIM(U332)&lt;&gt;"",TRIM(U332)&lt;&gt;"Not started",TRIM(U332)&lt;&gt;"In progress"),"INVALID – unrecognised status (use the list)",IF(AsOfUTC&gt;Q332,"OVERDUE",IF(N332="Clarification required","OPEN – CLARIFICATION","OPEN")))))))</f>
        <v>OPEN</v>
      </c>
      <c r="AI332" s="61" t="n">
        <f aca="false">IF(OR(AH332="N/A – RULE",AH332="N/A – JUSTIFIED"),0,1)</f>
        <v>1</v>
      </c>
      <c r="AJ332" s="61" t="n">
        <f aca="false">IF(LEFT(AH332,8)="COMPLETE",1,0)</f>
        <v>0</v>
      </c>
      <c r="AK332" s="61" t="n">
        <f aca="false">IF(AND(AI332=1,AJ332=0,AsOfUTC&gt;Q332),1,0)</f>
        <v>0</v>
      </c>
      <c r="AL332" s="61" t="n">
        <f aca="false">IF(AND(AI332=1,OR(TRIM(U332)="Fail",AND(TRIM(AB332)&lt;&gt;"",TRIM(AB332)&lt;&gt;"Closed"),AND(ISNUMBER(AF332),AF332&lt;&gt;0,TRIM(U332)&lt;&gt;"Pass after CA"))),1,0)</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row>
    <row r="333" customFormat="false" ht="39.75" hidden="false" customHeight="true" outlineLevel="0" collapsed="false">
      <c r="A333" s="57" t="s">
        <v>891</v>
      </c>
      <c r="B333" s="57" t="s">
        <v>243</v>
      </c>
      <c r="C333" s="57" t="str">
        <f aca="false">Flights!$F$14</f>
        <v>MH1140</v>
      </c>
      <c r="D333" s="58" t="n">
        <f aca="false">Flights!$D$14</f>
        <v>46307</v>
      </c>
      <c r="E333" s="57" t="str">
        <f aca="false">Flights!$G$14&amp;"-"&amp;Flights!$H$14</f>
        <v>KUL-PEN</v>
      </c>
      <c r="F333" s="57" t="str">
        <f aca="false">Flights!$K$14</f>
        <v>BC</v>
      </c>
      <c r="G333" s="57" t="s">
        <v>385</v>
      </c>
      <c r="H333" s="57" t="s">
        <v>343</v>
      </c>
      <c r="I333" s="57" t="s">
        <v>344</v>
      </c>
      <c r="J333" s="57" t="s">
        <v>390</v>
      </c>
      <c r="K333" s="67" t="s">
        <v>391</v>
      </c>
      <c r="L333" s="67" t="s">
        <v>387</v>
      </c>
      <c r="M333" s="67"/>
      <c r="N333" s="67" t="s">
        <v>348</v>
      </c>
      <c r="O333" s="67" t="s">
        <v>388</v>
      </c>
      <c r="P333" s="57" t="s">
        <v>179</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59" t="n">
        <f aca="false">Q333-T12EarlyH/24</f>
        <v>46306.15625</v>
      </c>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IF(N333="N/A – rule","N/A – RULE",IF(TRIM(U333)="N/A",IF(AT333=0,"INVALID – N/A not permitted for this mandatory check",IF(AND(TRIM(AC333)&lt;&gt;"",TRIM(AE333)&lt;&gt;"",TRIM(T333)&lt;&gt;"",TRIM(AE333)&lt;&gt;TRIM(T333)),"N/A – JUSTIFIED","INVALID – N/A needs justification, PIC and a different verifier")),IF(OR(TRIM(U333)="Pass",TRIM(U333)="Pass after CA"),IF(NOT(ISNUMBER(AD333)),"INVALID – completion time missing",IF(TRIM(T333)="","INVALID – PIC missing",IF(TRIM(V333)="","INVALID – result / assessment missing",IF(TRIM(Z333)="","INVALID – evidence missing",IF(TRIM(AE333)="","INVALID – verifier missing",IF(TRIM(AE333)=TRIM(T333),"INVALID – verifier must be someone other than the PIC",IF(AND(AQ333=1,TRIM(W333)=""),"INVALID – batch ID missing",IF(AND(AR333=1,OR(NOT(ISNUMBER(X333)),NOT(ISNUMBER(Y333)))),"INVALID – expected/actual qty missing",IF(IF(AND(TRIM(U333)="Pass",ISNUMBER(AF333)),IF(AF333&lt;&gt;0,"INVALID – qty variance: use Fail or Pass after CA",""),"")&amp;IF(AND(TRIM(U333)="Pass",TRIM(AB333)&lt;&gt;"",TRIM(AB333)&lt;&gt;"Closed"),"INVALID – corrective action not closed: use Fail, then Pass after CA","")&amp;IF(AND(TRIM(AA333)&lt;&gt;"",TRIM(AB333)=""),"INVALID – CA status missing for the recorded corrective action","")&amp;IF(AND(TRIM(U333)="Pass after CA",OR(TRIM(AA333)="",TRIM(AB333)&lt;&gt;"Closed")),"INVALID – corrective action not recorded/closed","")&lt;&gt;"",IF(AND(TRIM(U333)="Pass",ISNUMBER(AF333)),IF(AF333&lt;&gt;0,"INVALID – qty variance: use Fail or Pass after CA",""),"")&amp;IF(AND(TRIM(U333)="Pass",TRIM(AB333)&lt;&gt;"",TRIM(AB333)&lt;&gt;"Closed"),"INVALID – corrective action not closed: use Fail, then Pass after CA","")&amp;IF(AND(TRIM(AA333)&lt;&gt;"",TRIM(AB333)=""),"INVALID – CA status missing for the recorded corrective action","")&amp;IF(AND(TRIM(U333)="Pass after CA",OR(TRIM(AA333)="",TRIM(AB333)&lt;&gt;"Closed")),"INVALID – corrective action not recorded/closed",""),IF(AND(AS333=1,Documents!$J$14&lt;&gt;"ON FILE"),"INVALID – GLD not on file (Documents sheet)",IF(AND(AS333=2,Documents!$O$14&lt;&gt;"ON FILE"),"INVALID – menu checklist not on file (Documents sheet)",IF(AND(AS333=3,NOT(ISNUMBER(Flights!$AX$14))),"INVALID – enter carrying flight KUL departure (Flights AX)",IF(AND(AS333=3,OR(Flights!$AX$14&gt;=Flights!$AA$14,Flights!$AX$14&lt;Flights!$AA$14-3)),"INVALID – Flights AX must be before this leg's STD (within 3 days)",IF(AG333&gt;AsOfUTC,"INVALID – completion time is in the future",IF(AND(ISNUMBER(S333),AG333&lt;S333),IF(H333="Physical uplift","INVALID – before uplift window (cannot confirm loading)","INVALID – before valid window"),IF(AG333&gt;Flights!$AA$14,"INVALID – completed after departure (cannot establish readiness)",IF(AND(H333="Physical uplift",AG333&gt;Q333),"INVALID – recorded after the loading flight departed",IF(AG333&gt;Q333,"COMPLETE – LATE","COMPLETE")))))))))))))))))),IF(TRIM(U333)="Fail","FAIL – DISCREPANCY",IF(AND(TRIM(U333)&lt;&gt;"",TRIM(U333)&lt;&gt;"Not started",TRIM(U333)&lt;&gt;"In progress"),"INVALID – unrecognised status (use the list)",IF(AsOfUTC&gt;Q333,"OVERDUE",IF(N333="Clarification required","OPEN – CLARIFICATION","OPEN")))))))</f>
        <v>OPEN</v>
      </c>
      <c r="AI333" s="61" t="n">
        <f aca="false">IF(OR(AH333="N/A – RULE",AH333="N/A – JUSTIFIED"),0,1)</f>
        <v>1</v>
      </c>
      <c r="AJ333" s="61" t="n">
        <f aca="false">IF(LEFT(AH333,8)="COMPLETE",1,0)</f>
        <v>0</v>
      </c>
      <c r="AK333" s="61" t="n">
        <f aca="false">IF(AND(AI333=1,AJ333=0,AsOfUTC&gt;Q333),1,0)</f>
        <v>0</v>
      </c>
      <c r="AL333" s="61" t="n">
        <f aca="false">IF(AND(AI333=1,OR(TRIM(U333)="Fail",AND(TRIM(AB333)&lt;&gt;"",TRIM(AB333)&lt;&gt;"Closed"),AND(ISNUMBER(AF333),AF333&lt;&gt;0,TRIM(U333)&lt;&gt;"Pass after CA"))),1,0)</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row>
    <row r="334" customFormat="false" ht="39.75" hidden="false" customHeight="true" outlineLevel="0" collapsed="false">
      <c r="A334" s="57" t="s">
        <v>892</v>
      </c>
      <c r="B334" s="57" t="s">
        <v>243</v>
      </c>
      <c r="C334" s="57" t="str">
        <f aca="false">Flights!$F$14</f>
        <v>MH1140</v>
      </c>
      <c r="D334" s="58" t="n">
        <f aca="false">Flights!$D$14</f>
        <v>46307</v>
      </c>
      <c r="E334" s="57" t="str">
        <f aca="false">Flights!$G$14&amp;"-"&amp;Flights!$H$14</f>
        <v>KUL-PEN</v>
      </c>
      <c r="F334" s="57" t="str">
        <f aca="false">Flights!$K$14</f>
        <v>BC</v>
      </c>
      <c r="G334" s="57" t="s">
        <v>385</v>
      </c>
      <c r="H334" s="57" t="s">
        <v>343</v>
      </c>
      <c r="I334" s="57" t="s">
        <v>393</v>
      </c>
      <c r="J334" s="57" t="s">
        <v>394</v>
      </c>
      <c r="K334" s="67"/>
      <c r="L334" s="67" t="s">
        <v>387</v>
      </c>
      <c r="M334" s="67"/>
      <c r="N334" s="67" t="s">
        <v>348</v>
      </c>
      <c r="O334" s="67" t="s">
        <v>388</v>
      </c>
      <c r="P334" s="57" t="s">
        <v>179</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59" t="n">
        <f aca="false">Q334-T12EarlyH/24</f>
        <v>46306.15625</v>
      </c>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IF(N334="N/A – rule","N/A – RULE",IF(TRIM(U334)="N/A",IF(AT334=0,"INVALID – N/A not permitted for this mandatory check",IF(AND(TRIM(AC334)&lt;&gt;"",TRIM(AE334)&lt;&gt;"",TRIM(T334)&lt;&gt;"",TRIM(AE334)&lt;&gt;TRIM(T334)),"N/A – JUSTIFIED","INVALID – N/A needs justification, PIC and a different verifier")),IF(OR(TRIM(U334)="Pass",TRIM(U334)="Pass after CA"),IF(NOT(ISNUMBER(AD334)),"INVALID – completion time missing",IF(TRIM(T334)="","INVALID – PIC missing",IF(TRIM(V334)="","INVALID – result / assessment missing",IF(TRIM(Z334)="","INVALID – evidence missing",IF(TRIM(AE334)="","INVALID – verifier missing",IF(TRIM(AE334)=TRIM(T334),"INVALID – verifier must be someone other than the PIC",IF(AND(AQ334=1,TRIM(W334)=""),"INVALID – batch ID missing",IF(AND(AR334=1,OR(NOT(ISNUMBER(X334)),NOT(ISNUMBER(Y334)))),"INVALID – expected/actual qty missing",IF(IF(AND(TRIM(U334)="Pass",ISNUMBER(AF334)),IF(AF334&lt;&gt;0,"INVALID – qty variance: use Fail or Pass after CA",""),"")&amp;IF(AND(TRIM(U334)="Pass",TRIM(AB334)&lt;&gt;"",TRIM(AB334)&lt;&gt;"Closed"),"INVALID – corrective action not closed: use Fail, then Pass after CA","")&amp;IF(AND(TRIM(AA334)&lt;&gt;"",TRIM(AB334)=""),"INVALID – CA status missing for the recorded corrective action","")&amp;IF(AND(TRIM(U334)="Pass after CA",OR(TRIM(AA334)="",TRIM(AB334)&lt;&gt;"Closed")),"INVALID – corrective action not recorded/closed","")&lt;&gt;"",IF(AND(TRIM(U334)="Pass",ISNUMBER(AF334)),IF(AF334&lt;&gt;0,"INVALID – qty variance: use Fail or Pass after CA",""),"")&amp;IF(AND(TRIM(U334)="Pass",TRIM(AB334)&lt;&gt;"",TRIM(AB334)&lt;&gt;"Closed"),"INVALID – corrective action not closed: use Fail, then Pass after CA","")&amp;IF(AND(TRIM(AA334)&lt;&gt;"",TRIM(AB334)=""),"INVALID – CA status missing for the recorded corrective action","")&amp;IF(AND(TRIM(U334)="Pass after CA",OR(TRIM(AA334)="",TRIM(AB334)&lt;&gt;"Closed")),"INVALID – corrective action not recorded/closed",""),IF(AND(AS334=1,Documents!$J$14&lt;&gt;"ON FILE"),"INVALID – GLD not on file (Documents sheet)",IF(AND(AS334=2,Documents!$O$14&lt;&gt;"ON FILE"),"INVALID – menu checklist not on file (Documents sheet)",IF(AND(AS334=3,NOT(ISNUMBER(Flights!$AX$14))),"INVALID – enter carrying flight KUL departure (Flights AX)",IF(AND(AS334=3,OR(Flights!$AX$14&gt;=Flights!$AA$14,Flights!$AX$14&lt;Flights!$AA$14-3)),"INVALID – Flights AX must be before this leg's STD (within 3 days)",IF(AG334&gt;AsOfUTC,"INVALID – completion time is in the future",IF(AND(ISNUMBER(S334),AG334&lt;S334),IF(H334="Physical uplift","INVALID – before uplift window (cannot confirm loading)","INVALID – before valid window"),IF(AG334&gt;Flights!$AA$14,"INVALID – completed after departure (cannot establish readiness)",IF(AND(H334="Physical uplift",AG334&gt;Q334),"INVALID – recorded after the loading flight departed",IF(AG334&gt;Q334,"COMPLETE – LATE","COMPLETE")))))))))))))))))),IF(TRIM(U334)="Fail","FAIL – DISCREPANCY",IF(AND(TRIM(U334)&lt;&gt;"",TRIM(U334)&lt;&gt;"Not started",TRIM(U334)&lt;&gt;"In progress"),"INVALID – unrecognised status (use the list)",IF(AsOfUTC&gt;Q334,"OVERDUE",IF(N334="Clarification required","OPEN – CLARIFICATION","OPEN")))))))</f>
        <v>OPEN</v>
      </c>
      <c r="AI334" s="61" t="n">
        <f aca="false">IF(OR(AH334="N/A – RULE",AH334="N/A – JUSTIFIED"),0,1)</f>
        <v>1</v>
      </c>
      <c r="AJ334" s="61" t="n">
        <f aca="false">IF(LEFT(AH334,8)="COMPLETE",1,0)</f>
        <v>0</v>
      </c>
      <c r="AK334" s="61" t="n">
        <f aca="false">IF(AND(AI334=1,AJ334=0,AsOfUTC&gt;Q334),1,0)</f>
        <v>0</v>
      </c>
      <c r="AL334" s="61" t="n">
        <f aca="false">IF(AND(AI334=1,OR(TRIM(U334)="Fail",AND(TRIM(AB334)&lt;&gt;"",TRIM(AB334)&lt;&gt;"Closed"),AND(ISNUMBER(AF334),AF334&lt;&gt;0,TRIM(U334)&lt;&gt;"Pass after CA"))),1,0)</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row>
    <row r="335" customFormat="false" ht="39.75" hidden="false" customHeight="true" outlineLevel="0" collapsed="false">
      <c r="A335" s="57" t="s">
        <v>893</v>
      </c>
      <c r="B335" s="57" t="s">
        <v>243</v>
      </c>
      <c r="C335" s="57" t="str">
        <f aca="false">Flights!$F$14</f>
        <v>MH1140</v>
      </c>
      <c r="D335" s="58" t="n">
        <f aca="false">Flights!$D$14</f>
        <v>46307</v>
      </c>
      <c r="E335" s="57" t="str">
        <f aca="false">Flights!$G$14&amp;"-"&amp;Flights!$H$14</f>
        <v>KUL-PEN</v>
      </c>
      <c r="F335" s="57" t="str">
        <f aca="false">Flights!$K$14</f>
        <v>BC</v>
      </c>
      <c r="G335" s="57" t="s">
        <v>385</v>
      </c>
      <c r="H335" s="57" t="s">
        <v>343</v>
      </c>
      <c r="I335" s="57" t="s">
        <v>393</v>
      </c>
      <c r="J335" s="57" t="s">
        <v>396</v>
      </c>
      <c r="K335" s="67"/>
      <c r="L335" s="67" t="s">
        <v>387</v>
      </c>
      <c r="M335" s="67"/>
      <c r="N335" s="67" t="s">
        <v>348</v>
      </c>
      <c r="O335" s="67" t="s">
        <v>388</v>
      </c>
      <c r="P335" s="57" t="s">
        <v>179</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59" t="n">
        <f aca="false">Q335-T12EarlyH/24</f>
        <v>46306.15625</v>
      </c>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IF(N335="N/A – rule","N/A – RULE",IF(TRIM(U335)="N/A",IF(AT335=0,"INVALID – N/A not permitted for this mandatory check",IF(AND(TRIM(AC335)&lt;&gt;"",TRIM(AE335)&lt;&gt;"",TRIM(T335)&lt;&gt;"",TRIM(AE335)&lt;&gt;TRIM(T335)),"N/A – JUSTIFIED","INVALID – N/A needs justification, PIC and a different verifier")),IF(OR(TRIM(U335)="Pass",TRIM(U335)="Pass after CA"),IF(NOT(ISNUMBER(AD335)),"INVALID – completion time missing",IF(TRIM(T335)="","INVALID – PIC missing",IF(TRIM(V335)="","INVALID – result / assessment missing",IF(TRIM(Z335)="","INVALID – evidence missing",IF(TRIM(AE335)="","INVALID – verifier missing",IF(TRIM(AE335)=TRIM(T335),"INVALID – verifier must be someone other than the PIC",IF(AND(AQ335=1,TRIM(W335)=""),"INVALID – batch ID missing",IF(AND(AR335=1,OR(NOT(ISNUMBER(X335)),NOT(ISNUMBER(Y335)))),"INVALID – expected/actual qty missing",IF(IF(AND(TRIM(U335)="Pass",ISNUMBER(AF335)),IF(AF335&lt;&gt;0,"INVALID – qty variance: use Fail or Pass after CA",""),"")&amp;IF(AND(TRIM(U335)="Pass",TRIM(AB335)&lt;&gt;"",TRIM(AB335)&lt;&gt;"Closed"),"INVALID – corrective action not closed: use Fail, then Pass after CA","")&amp;IF(AND(TRIM(AA335)&lt;&gt;"",TRIM(AB335)=""),"INVALID – CA status missing for the recorded corrective action","")&amp;IF(AND(TRIM(U335)="Pass after CA",OR(TRIM(AA335)="",TRIM(AB335)&lt;&gt;"Closed")),"INVALID – corrective action not recorded/closed","")&lt;&gt;"",IF(AND(TRIM(U335)="Pass",ISNUMBER(AF335)),IF(AF335&lt;&gt;0,"INVALID – qty variance: use Fail or Pass after CA",""),"")&amp;IF(AND(TRIM(U335)="Pass",TRIM(AB335)&lt;&gt;"",TRIM(AB335)&lt;&gt;"Closed"),"INVALID – corrective action not closed: use Fail, then Pass after CA","")&amp;IF(AND(TRIM(AA335)&lt;&gt;"",TRIM(AB335)=""),"INVALID – CA status missing for the recorded corrective action","")&amp;IF(AND(TRIM(U335)="Pass after CA",OR(TRIM(AA335)="",TRIM(AB335)&lt;&gt;"Closed")),"INVALID – corrective action not recorded/closed",""),IF(AND(AS335=1,Documents!$J$14&lt;&gt;"ON FILE"),"INVALID – GLD not on file (Documents sheet)",IF(AND(AS335=2,Documents!$O$14&lt;&gt;"ON FILE"),"INVALID – menu checklist not on file (Documents sheet)",IF(AND(AS335=3,NOT(ISNUMBER(Flights!$AX$14))),"INVALID – enter carrying flight KUL departure (Flights AX)",IF(AND(AS335=3,OR(Flights!$AX$14&gt;=Flights!$AA$14,Flights!$AX$14&lt;Flights!$AA$14-3)),"INVALID – Flights AX must be before this leg's STD (within 3 days)",IF(AG335&gt;AsOfUTC,"INVALID – completion time is in the future",IF(AND(ISNUMBER(S335),AG335&lt;S335),IF(H335="Physical uplift","INVALID – before uplift window (cannot confirm loading)","INVALID – before valid window"),IF(AG335&gt;Flights!$AA$14,"INVALID – completed after departure (cannot establish readiness)",IF(AND(H335="Physical uplift",AG335&gt;Q335),"INVALID – recorded after the loading flight departed",IF(AG335&gt;Q335,"COMPLETE – LATE","COMPLETE")))))))))))))))))),IF(TRIM(U335)="Fail","FAIL – DISCREPANCY",IF(AND(TRIM(U335)&lt;&gt;"",TRIM(U335)&lt;&gt;"Not started",TRIM(U335)&lt;&gt;"In progress"),"INVALID – unrecognised status (use the list)",IF(AsOfUTC&gt;Q335,"OVERDUE",IF(N335="Clarification required","OPEN – CLARIFICATION","OPEN")))))))</f>
        <v>OPEN</v>
      </c>
      <c r="AI335" s="61" t="n">
        <f aca="false">IF(OR(AH335="N/A – RULE",AH335="N/A – JUSTIFIED"),0,1)</f>
        <v>1</v>
      </c>
      <c r="AJ335" s="61" t="n">
        <f aca="false">IF(LEFT(AH335,8)="COMPLETE",1,0)</f>
        <v>0</v>
      </c>
      <c r="AK335" s="61" t="n">
        <f aca="false">IF(AND(AI335=1,AJ335=0,AsOfUTC&gt;Q335),1,0)</f>
        <v>0</v>
      </c>
      <c r="AL335" s="61" t="n">
        <f aca="false">IF(AND(AI335=1,OR(TRIM(U335)="Fail",AND(TRIM(AB335)&lt;&gt;"",TRIM(AB335)&lt;&gt;"Closed"),AND(ISNUMBER(AF335),AF335&lt;&gt;0,TRIM(U335)&lt;&gt;"Pass after CA"))),1,0)</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row>
    <row r="336" customFormat="false" ht="39.75" hidden="false" customHeight="true" outlineLevel="0" collapsed="false">
      <c r="A336" s="57" t="s">
        <v>894</v>
      </c>
      <c r="B336" s="57" t="s">
        <v>243</v>
      </c>
      <c r="C336" s="57" t="str">
        <f aca="false">Flights!$F$14</f>
        <v>MH1140</v>
      </c>
      <c r="D336" s="58" t="n">
        <f aca="false">Flights!$D$14</f>
        <v>46307</v>
      </c>
      <c r="E336" s="57" t="str">
        <f aca="false">Flights!$G$14&amp;"-"&amp;Flights!$H$14</f>
        <v>KUL-PEN</v>
      </c>
      <c r="F336" s="57" t="str">
        <f aca="false">Flights!$K$14</f>
        <v>BC</v>
      </c>
      <c r="G336" s="57" t="s">
        <v>385</v>
      </c>
      <c r="H336" s="57" t="s">
        <v>343</v>
      </c>
      <c r="I336" s="57" t="s">
        <v>393</v>
      </c>
      <c r="J336" s="57" t="s">
        <v>398</v>
      </c>
      <c r="K336" s="67"/>
      <c r="L336" s="67" t="s">
        <v>387</v>
      </c>
      <c r="M336" s="67"/>
      <c r="N336" s="67" t="s">
        <v>348</v>
      </c>
      <c r="O336" s="67" t="s">
        <v>388</v>
      </c>
      <c r="P336" s="57" t="s">
        <v>179</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59" t="n">
        <f aca="false">Q336-T12EarlyH/24</f>
        <v>46306.15625</v>
      </c>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IF(N336="N/A – rule","N/A – RULE",IF(TRIM(U336)="N/A",IF(AT336=0,"INVALID – N/A not permitted for this mandatory check",IF(AND(TRIM(AC336)&lt;&gt;"",TRIM(AE336)&lt;&gt;"",TRIM(T336)&lt;&gt;"",TRIM(AE336)&lt;&gt;TRIM(T336)),"N/A – JUSTIFIED","INVALID – N/A needs justification, PIC and a different verifier")),IF(OR(TRIM(U336)="Pass",TRIM(U336)="Pass after CA"),IF(NOT(ISNUMBER(AD336)),"INVALID – completion time missing",IF(TRIM(T336)="","INVALID – PIC missing",IF(TRIM(V336)="","INVALID – result / assessment missing",IF(TRIM(Z336)="","INVALID – evidence missing",IF(TRIM(AE336)="","INVALID – verifier missing",IF(TRIM(AE336)=TRIM(T336),"INVALID – verifier must be someone other than the PIC",IF(AND(AQ336=1,TRIM(W336)=""),"INVALID – batch ID missing",IF(AND(AR336=1,OR(NOT(ISNUMBER(X336)),NOT(ISNUMBER(Y336)))),"INVALID – expected/actual qty missing",IF(IF(AND(TRIM(U336)="Pass",ISNUMBER(AF336)),IF(AF336&lt;&gt;0,"INVALID – qty variance: use Fail or Pass after CA",""),"")&amp;IF(AND(TRIM(U336)="Pass",TRIM(AB336)&lt;&gt;"",TRIM(AB336)&lt;&gt;"Closed"),"INVALID – corrective action not closed: use Fail, then Pass after CA","")&amp;IF(AND(TRIM(AA336)&lt;&gt;"",TRIM(AB336)=""),"INVALID – CA status missing for the recorded corrective action","")&amp;IF(AND(TRIM(U336)="Pass after CA",OR(TRIM(AA336)="",TRIM(AB336)&lt;&gt;"Closed")),"INVALID – corrective action not recorded/closed","")&lt;&gt;"",IF(AND(TRIM(U336)="Pass",ISNUMBER(AF336)),IF(AF336&lt;&gt;0,"INVALID – qty variance: use Fail or Pass after CA",""),"")&amp;IF(AND(TRIM(U336)="Pass",TRIM(AB336)&lt;&gt;"",TRIM(AB336)&lt;&gt;"Closed"),"INVALID – corrective action not closed: use Fail, then Pass after CA","")&amp;IF(AND(TRIM(AA336)&lt;&gt;"",TRIM(AB336)=""),"INVALID – CA status missing for the recorded corrective action","")&amp;IF(AND(TRIM(U336)="Pass after CA",OR(TRIM(AA336)="",TRIM(AB336)&lt;&gt;"Closed")),"INVALID – corrective action not recorded/closed",""),IF(AND(AS336=1,Documents!$J$14&lt;&gt;"ON FILE"),"INVALID – GLD not on file (Documents sheet)",IF(AND(AS336=2,Documents!$O$14&lt;&gt;"ON FILE"),"INVALID – menu checklist not on file (Documents sheet)",IF(AND(AS336=3,NOT(ISNUMBER(Flights!$AX$14))),"INVALID – enter carrying flight KUL departure (Flights AX)",IF(AND(AS336=3,OR(Flights!$AX$14&gt;=Flights!$AA$14,Flights!$AX$14&lt;Flights!$AA$14-3)),"INVALID – Flights AX must be before this leg's STD (within 3 days)",IF(AG336&gt;AsOfUTC,"INVALID – completion time is in the future",IF(AND(ISNUMBER(S336),AG336&lt;S336),IF(H336="Physical uplift","INVALID – before uplift window (cannot confirm loading)","INVALID – before valid window"),IF(AG336&gt;Flights!$AA$14,"INVALID – completed after departure (cannot establish readiness)",IF(AND(H336="Physical uplift",AG336&gt;Q336),"INVALID – recorded after the loading flight departed",IF(AG336&gt;Q336,"COMPLETE – LATE","COMPLETE")))))))))))))))))),IF(TRIM(U336)="Fail","FAIL – DISCREPANCY",IF(AND(TRIM(U336)&lt;&gt;"",TRIM(U336)&lt;&gt;"Not started",TRIM(U336)&lt;&gt;"In progress"),"INVALID – unrecognised status (use the list)",IF(AsOfUTC&gt;Q336,"OVERDUE",IF(N336="Clarification required","OPEN – CLARIFICATION","OPEN")))))))</f>
        <v>OPEN</v>
      </c>
      <c r="AI336" s="61" t="n">
        <f aca="false">IF(OR(AH336="N/A – RULE",AH336="N/A – JUSTIFIED"),0,1)</f>
        <v>1</v>
      </c>
      <c r="AJ336" s="61" t="n">
        <f aca="false">IF(LEFT(AH336,8)="COMPLETE",1,0)</f>
        <v>0</v>
      </c>
      <c r="AK336" s="61" t="n">
        <f aca="false">IF(AND(AI336=1,AJ336=0,AsOfUTC&gt;Q336),1,0)</f>
        <v>0</v>
      </c>
      <c r="AL336" s="61" t="n">
        <f aca="false">IF(AND(AI336=1,OR(TRIM(U336)="Fail",AND(TRIM(AB336)&lt;&gt;"",TRIM(AB336)&lt;&gt;"Closed"),AND(ISNUMBER(AF336),AF336&lt;&gt;0,TRIM(U336)&lt;&gt;"Pass after CA"))),1,0)</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row>
    <row r="337" customFormat="false" ht="78.75" hidden="false" customHeight="true" outlineLevel="0" collapsed="false">
      <c r="A337" s="57" t="s">
        <v>895</v>
      </c>
      <c r="B337" s="57" t="s">
        <v>243</v>
      </c>
      <c r="C337" s="57" t="str">
        <f aca="false">Flights!$F$14</f>
        <v>MH1140</v>
      </c>
      <c r="D337" s="58" t="n">
        <f aca="false">Flights!$D$14</f>
        <v>46307</v>
      </c>
      <c r="E337" s="57" t="str">
        <f aca="false">Flights!$G$14&amp;"-"&amp;Flights!$H$14</f>
        <v>KUL-PEN</v>
      </c>
      <c r="F337" s="57" t="str">
        <f aca="false">Flights!$K$14</f>
        <v>BC</v>
      </c>
      <c r="G337" s="57" t="s">
        <v>385</v>
      </c>
      <c r="H337" s="57" t="s">
        <v>343</v>
      </c>
      <c r="I337" s="57" t="s">
        <v>393</v>
      </c>
      <c r="J337" s="57" t="s">
        <v>400</v>
      </c>
      <c r="K337" s="67" t="s">
        <v>456</v>
      </c>
      <c r="L337" s="67" t="s">
        <v>387</v>
      </c>
      <c r="M337" s="67"/>
      <c r="N337" s="67" t="s">
        <v>348</v>
      </c>
      <c r="O337" s="67" t="s">
        <v>388</v>
      </c>
      <c r="P337" s="57" t="s">
        <v>179</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59" t="n">
        <f aca="false">Q337-T12EarlyH/24</f>
        <v>46306.15625</v>
      </c>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IF(N337="N/A – rule","N/A – RULE",IF(TRIM(U337)="N/A",IF(AT337=0,"INVALID – N/A not permitted for this mandatory check",IF(AND(TRIM(AC337)&lt;&gt;"",TRIM(AE337)&lt;&gt;"",TRIM(T337)&lt;&gt;"",TRIM(AE337)&lt;&gt;TRIM(T337)),"N/A – JUSTIFIED","INVALID – N/A needs justification, PIC and a different verifier")),IF(OR(TRIM(U337)="Pass",TRIM(U337)="Pass after CA"),IF(NOT(ISNUMBER(AD337)),"INVALID – completion time missing",IF(TRIM(T337)="","INVALID – PIC missing",IF(TRIM(V337)="","INVALID – result / assessment missing",IF(TRIM(Z337)="","INVALID – evidence missing",IF(TRIM(AE337)="","INVALID – verifier missing",IF(TRIM(AE337)=TRIM(T337),"INVALID – verifier must be someone other than the PIC",IF(AND(AQ337=1,TRIM(W337)=""),"INVALID – batch ID missing",IF(AND(AR337=1,OR(NOT(ISNUMBER(X337)),NOT(ISNUMBER(Y337)))),"INVALID – expected/actual qty missing",IF(IF(AND(TRIM(U337)="Pass",ISNUMBER(AF337)),IF(AF337&lt;&gt;0,"INVALID – qty variance: use Fail or Pass after CA",""),"")&amp;IF(AND(TRIM(U337)="Pass",TRIM(AB337)&lt;&gt;"",TRIM(AB337)&lt;&gt;"Closed"),"INVALID – corrective action not closed: use Fail, then Pass after CA","")&amp;IF(AND(TRIM(AA337)&lt;&gt;"",TRIM(AB337)=""),"INVALID – CA status missing for the recorded corrective action","")&amp;IF(AND(TRIM(U337)="Pass after CA",OR(TRIM(AA337)="",TRIM(AB337)&lt;&gt;"Closed")),"INVALID – corrective action not recorded/closed","")&lt;&gt;"",IF(AND(TRIM(U337)="Pass",ISNUMBER(AF337)),IF(AF337&lt;&gt;0,"INVALID – qty variance: use Fail or Pass after CA",""),"")&amp;IF(AND(TRIM(U337)="Pass",TRIM(AB337)&lt;&gt;"",TRIM(AB337)&lt;&gt;"Closed"),"INVALID – corrective action not closed: use Fail, then Pass after CA","")&amp;IF(AND(TRIM(AA337)&lt;&gt;"",TRIM(AB337)=""),"INVALID – CA status missing for the recorded corrective action","")&amp;IF(AND(TRIM(U337)="Pass after CA",OR(TRIM(AA337)="",TRIM(AB337)&lt;&gt;"Closed")),"INVALID – corrective action not recorded/closed",""),IF(AND(AS337=1,Documents!$J$14&lt;&gt;"ON FILE"),"INVALID – GLD not on file (Documents sheet)",IF(AND(AS337=2,Documents!$O$14&lt;&gt;"ON FILE"),"INVALID – menu checklist not on file (Documents sheet)",IF(AND(AS337=3,NOT(ISNUMBER(Flights!$AX$14))),"INVALID – enter carrying flight KUL departure (Flights AX)",IF(AND(AS337=3,OR(Flights!$AX$14&gt;=Flights!$AA$14,Flights!$AX$14&lt;Flights!$AA$14-3)),"INVALID – Flights AX must be before this leg's STD (within 3 days)",IF(AG337&gt;AsOfUTC,"INVALID – completion time is in the future",IF(AND(ISNUMBER(S337),AG337&lt;S337),IF(H337="Physical uplift","INVALID – before uplift window (cannot confirm loading)","INVALID – before valid window"),IF(AG337&gt;Flights!$AA$14,"INVALID – completed after departure (cannot establish readiness)",IF(AND(H337="Physical uplift",AG337&gt;Q337),"INVALID – recorded after the loading flight departed",IF(AG337&gt;Q337,"COMPLETE – LATE","COMPLETE")))))))))))))))))),IF(TRIM(U337)="Fail","FAIL – DISCREPANCY",IF(AND(TRIM(U337)&lt;&gt;"",TRIM(U337)&lt;&gt;"Not started",TRIM(U337)&lt;&gt;"In progress"),"INVALID – unrecognised status (use the list)",IF(AsOfUTC&gt;Q337,"OVERDUE",IF(N337="Clarification required","OPEN – CLARIFICATION","OPEN")))))))</f>
        <v>OPEN</v>
      </c>
      <c r="AI337" s="61" t="n">
        <f aca="false">IF(OR(AH337="N/A – RULE",AH337="N/A – JUSTIFIED"),0,1)</f>
        <v>1</v>
      </c>
      <c r="AJ337" s="61" t="n">
        <f aca="false">IF(LEFT(AH337,8)="COMPLETE",1,0)</f>
        <v>0</v>
      </c>
      <c r="AK337" s="61" t="n">
        <f aca="false">IF(AND(AI337=1,AJ337=0,AsOfUTC&gt;Q337),1,0)</f>
        <v>0</v>
      </c>
      <c r="AL337" s="61" t="n">
        <f aca="false">IF(AND(AI337=1,OR(TRIM(U337)="Fail",AND(TRIM(AB337)&lt;&gt;"",TRIM(AB337)&lt;&gt;"Closed"),AND(ISNUMBER(AF337),AF337&lt;&gt;0,TRIM(U337)&lt;&gt;"Pass after CA"))),1,0)</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row>
    <row r="338" customFormat="false" ht="39.75" hidden="false" customHeight="true" outlineLevel="0" collapsed="false">
      <c r="A338" s="57" t="s">
        <v>896</v>
      </c>
      <c r="B338" s="57" t="s">
        <v>243</v>
      </c>
      <c r="C338" s="57" t="str">
        <f aca="false">Flights!$F$14</f>
        <v>MH1140</v>
      </c>
      <c r="D338" s="58" t="n">
        <f aca="false">Flights!$D$14</f>
        <v>46307</v>
      </c>
      <c r="E338" s="57" t="str">
        <f aca="false">Flights!$G$14&amp;"-"&amp;Flights!$H$14</f>
        <v>KUL-PEN</v>
      </c>
      <c r="F338" s="57" t="str">
        <f aca="false">Flights!$K$14</f>
        <v>BC</v>
      </c>
      <c r="G338" s="57" t="s">
        <v>385</v>
      </c>
      <c r="H338" s="57" t="s">
        <v>343</v>
      </c>
      <c r="I338" s="57" t="s">
        <v>393</v>
      </c>
      <c r="J338" s="57" t="s">
        <v>403</v>
      </c>
      <c r="K338" s="67"/>
      <c r="L338" s="67" t="s">
        <v>387</v>
      </c>
      <c r="M338" s="67"/>
      <c r="N338" s="67" t="s">
        <v>348</v>
      </c>
      <c r="O338" s="67" t="s">
        <v>388</v>
      </c>
      <c r="P338" s="57" t="s">
        <v>179</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59" t="n">
        <f aca="false">Q338-T12EarlyH/24</f>
        <v>46306.15625</v>
      </c>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IF(N338="N/A – rule","N/A – RULE",IF(TRIM(U338)="N/A",IF(AT338=0,"INVALID – N/A not permitted for this mandatory check",IF(AND(TRIM(AC338)&lt;&gt;"",TRIM(AE338)&lt;&gt;"",TRIM(T338)&lt;&gt;"",TRIM(AE338)&lt;&gt;TRIM(T338)),"N/A – JUSTIFIED","INVALID – N/A needs justification, PIC and a different verifier")),IF(OR(TRIM(U338)="Pass",TRIM(U338)="Pass after CA"),IF(NOT(ISNUMBER(AD338)),"INVALID – completion time missing",IF(TRIM(T338)="","INVALID – PIC missing",IF(TRIM(V338)="","INVALID – result / assessment missing",IF(TRIM(Z338)="","INVALID – evidence missing",IF(TRIM(AE338)="","INVALID – verifier missing",IF(TRIM(AE338)=TRIM(T338),"INVALID – verifier must be someone other than the PIC",IF(AND(AQ338=1,TRIM(W338)=""),"INVALID – batch ID missing",IF(AND(AR338=1,OR(NOT(ISNUMBER(X338)),NOT(ISNUMBER(Y338)))),"INVALID – expected/actual qty missing",IF(IF(AND(TRIM(U338)="Pass",ISNUMBER(AF338)),IF(AF338&lt;&gt;0,"INVALID – qty variance: use Fail or Pass after CA",""),"")&amp;IF(AND(TRIM(U338)="Pass",TRIM(AB338)&lt;&gt;"",TRIM(AB338)&lt;&gt;"Closed"),"INVALID – corrective action not closed: use Fail, then Pass after CA","")&amp;IF(AND(TRIM(AA338)&lt;&gt;"",TRIM(AB338)=""),"INVALID – CA status missing for the recorded corrective action","")&amp;IF(AND(TRIM(U338)="Pass after CA",OR(TRIM(AA338)="",TRIM(AB338)&lt;&gt;"Closed")),"INVALID – corrective action not recorded/closed","")&lt;&gt;"",IF(AND(TRIM(U338)="Pass",ISNUMBER(AF338)),IF(AF338&lt;&gt;0,"INVALID – qty variance: use Fail or Pass after CA",""),"")&amp;IF(AND(TRIM(U338)="Pass",TRIM(AB338)&lt;&gt;"",TRIM(AB338)&lt;&gt;"Closed"),"INVALID – corrective action not closed: use Fail, then Pass after CA","")&amp;IF(AND(TRIM(AA338)&lt;&gt;"",TRIM(AB338)=""),"INVALID – CA status missing for the recorded corrective action","")&amp;IF(AND(TRIM(U338)="Pass after CA",OR(TRIM(AA338)="",TRIM(AB338)&lt;&gt;"Closed")),"INVALID – corrective action not recorded/closed",""),IF(AND(AS338=1,Documents!$J$14&lt;&gt;"ON FILE"),"INVALID – GLD not on file (Documents sheet)",IF(AND(AS338=2,Documents!$O$14&lt;&gt;"ON FILE"),"INVALID – menu checklist not on file (Documents sheet)",IF(AND(AS338=3,NOT(ISNUMBER(Flights!$AX$14))),"INVALID – enter carrying flight KUL departure (Flights AX)",IF(AND(AS338=3,OR(Flights!$AX$14&gt;=Flights!$AA$14,Flights!$AX$14&lt;Flights!$AA$14-3)),"INVALID – Flights AX must be before this leg's STD (within 3 days)",IF(AG338&gt;AsOfUTC,"INVALID – completion time is in the future",IF(AND(ISNUMBER(S338),AG338&lt;S338),IF(H338="Physical uplift","INVALID – before uplift window (cannot confirm loading)","INVALID – before valid window"),IF(AG338&gt;Flights!$AA$14,"INVALID – completed after departure (cannot establish readiness)",IF(AND(H338="Physical uplift",AG338&gt;Q338),"INVALID – recorded after the loading flight departed",IF(AG338&gt;Q338,"COMPLETE – LATE","COMPLETE")))))))))))))))))),IF(TRIM(U338)="Fail","FAIL – DISCREPANCY",IF(AND(TRIM(U338)&lt;&gt;"",TRIM(U338)&lt;&gt;"Not started",TRIM(U338)&lt;&gt;"In progress"),"INVALID – unrecognised status (use the list)",IF(AsOfUTC&gt;Q338,"OVERDUE",IF(N338="Clarification required","OPEN – CLARIFICATION","OPEN")))))))</f>
        <v>OPEN</v>
      </c>
      <c r="AI338" s="61" t="n">
        <f aca="false">IF(OR(AH338="N/A – RULE",AH338="N/A – JUSTIFIED"),0,1)</f>
        <v>1</v>
      </c>
      <c r="AJ338" s="61" t="n">
        <f aca="false">IF(LEFT(AH338,8)="COMPLETE",1,0)</f>
        <v>0</v>
      </c>
      <c r="AK338" s="61" t="n">
        <f aca="false">IF(AND(AI338=1,AJ338=0,AsOfUTC&gt;Q338),1,0)</f>
        <v>0</v>
      </c>
      <c r="AL338" s="61" t="n">
        <f aca="false">IF(AND(AI338=1,OR(TRIM(U338)="Fail",AND(TRIM(AB338)&lt;&gt;"",TRIM(AB338)&lt;&gt;"Closed"),AND(ISNUMBER(AF338),AF338&lt;&gt;0,TRIM(U338)&lt;&gt;"Pass after CA"))),1,0)</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row>
    <row r="339" customFormat="false" ht="66" hidden="false" customHeight="true" outlineLevel="0" collapsed="false">
      <c r="A339" s="57" t="s">
        <v>897</v>
      </c>
      <c r="B339" s="57" t="s">
        <v>243</v>
      </c>
      <c r="C339" s="57" t="str">
        <f aca="false">Flights!$F$14</f>
        <v>MH1140</v>
      </c>
      <c r="D339" s="58" t="n">
        <f aca="false">Flights!$D$14</f>
        <v>46307</v>
      </c>
      <c r="E339" s="57" t="str">
        <f aca="false">Flights!$G$14&amp;"-"&amp;Flights!$H$14</f>
        <v>KUL-PEN</v>
      </c>
      <c r="F339" s="57" t="str">
        <f aca="false">Flights!$K$14</f>
        <v>BC</v>
      </c>
      <c r="G339" s="57" t="s">
        <v>385</v>
      </c>
      <c r="H339" s="57" t="s">
        <v>343</v>
      </c>
      <c r="I339" s="57" t="s">
        <v>405</v>
      </c>
      <c r="J339" s="57" t="s">
        <v>459</v>
      </c>
      <c r="K339" s="67" t="s">
        <v>460</v>
      </c>
      <c r="L339" s="67" t="s">
        <v>898</v>
      </c>
      <c r="M339" s="67" t="s">
        <v>416</v>
      </c>
      <c r="N339" s="67" t="s">
        <v>348</v>
      </c>
      <c r="O339" s="67" t="s">
        <v>462</v>
      </c>
      <c r="P339" s="57" t="s">
        <v>179</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59" t="n">
        <f aca="false">Q339-T12EarlyH/24</f>
        <v>46306.15625</v>
      </c>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IF(N339="N/A – rule","N/A – RULE",IF(TRIM(U339)="N/A",IF(AT339=0,"INVALID – N/A not permitted for this mandatory check",IF(AND(TRIM(AC339)&lt;&gt;"",TRIM(AE339)&lt;&gt;"",TRIM(T339)&lt;&gt;"",TRIM(AE339)&lt;&gt;TRIM(T339)),"N/A – JUSTIFIED","INVALID – N/A needs justification, PIC and a different verifier")),IF(OR(TRIM(U339)="Pass",TRIM(U339)="Pass after CA"),IF(NOT(ISNUMBER(AD339)),"INVALID – completion time missing",IF(TRIM(T339)="","INVALID – PIC missing",IF(TRIM(V339)="","INVALID – result / assessment missing",IF(TRIM(Z339)="","INVALID – evidence missing",IF(TRIM(AE339)="","INVALID – verifier missing",IF(TRIM(AE339)=TRIM(T339),"INVALID – verifier must be someone other than the PIC",IF(AND(AQ339=1,TRIM(W339)=""),"INVALID – batch ID missing",IF(AND(AR339=1,OR(NOT(ISNUMBER(X339)),NOT(ISNUMBER(Y339)))),"INVALID – expected/actual qty missing",IF(IF(AND(TRIM(U339)="Pass",ISNUMBER(AF339)),IF(AF339&lt;&gt;0,"INVALID – qty variance: use Fail or Pass after CA",""),"")&amp;IF(AND(TRIM(U339)="Pass",TRIM(AB339)&lt;&gt;"",TRIM(AB339)&lt;&gt;"Closed"),"INVALID – corrective action not closed: use Fail, then Pass after CA","")&amp;IF(AND(TRIM(AA339)&lt;&gt;"",TRIM(AB339)=""),"INVALID – CA status missing for the recorded corrective action","")&amp;IF(AND(TRIM(U339)="Pass after CA",OR(TRIM(AA339)="",TRIM(AB339)&lt;&gt;"Closed")),"INVALID – corrective action not recorded/closed","")&lt;&gt;"",IF(AND(TRIM(U339)="Pass",ISNUMBER(AF339)),IF(AF339&lt;&gt;0,"INVALID – qty variance: use Fail or Pass after CA",""),"")&amp;IF(AND(TRIM(U339)="Pass",TRIM(AB339)&lt;&gt;"",TRIM(AB339)&lt;&gt;"Closed"),"INVALID – corrective action not closed: use Fail, then Pass after CA","")&amp;IF(AND(TRIM(AA339)&lt;&gt;"",TRIM(AB339)=""),"INVALID – CA status missing for the recorded corrective action","")&amp;IF(AND(TRIM(U339)="Pass after CA",OR(TRIM(AA339)="",TRIM(AB339)&lt;&gt;"Closed")),"INVALID – corrective action not recorded/closed",""),IF(AND(AS339=1,Documents!$J$14&lt;&gt;"ON FILE"),"INVALID – GLD not on file (Documents sheet)",IF(AND(AS339=2,Documents!$O$14&lt;&gt;"ON FILE"),"INVALID – menu checklist not on file (Documents sheet)",IF(AND(AS339=3,NOT(ISNUMBER(Flights!$AX$14))),"INVALID – enter carrying flight KUL departure (Flights AX)",IF(AND(AS339=3,OR(Flights!$AX$14&gt;=Flights!$AA$14,Flights!$AX$14&lt;Flights!$AA$14-3)),"INVALID – Flights AX must be before this leg's STD (within 3 days)",IF(AG339&gt;AsOfUTC,"INVALID – completion time is in the future",IF(AND(ISNUMBER(S339),AG339&lt;S339),IF(H339="Physical uplift","INVALID – before uplift window (cannot confirm loading)","INVALID – before valid window"),IF(AG339&gt;Flights!$AA$14,"INVALID – completed after departure (cannot establish readiness)",IF(AND(H339="Physical uplift",AG339&gt;Q339),"INVALID – recorded after the loading flight departed",IF(AG339&gt;Q339,"COMPLETE – LATE","COMPLETE")))))))))))))))))),IF(TRIM(U339)="Fail","FAIL – DISCREPANCY",IF(AND(TRIM(U339)&lt;&gt;"",TRIM(U339)&lt;&gt;"Not started",TRIM(U339)&lt;&gt;"In progress"),"INVALID – unrecognised status (use the list)",IF(AsOfUTC&gt;Q339,"OVERDUE",IF(N339="Clarification required","OPEN – CLARIFICATION","OPEN")))))))</f>
        <v>OPEN</v>
      </c>
      <c r="AI339" s="61" t="n">
        <f aca="false">IF(OR(AH339="N/A – RULE",AH339="N/A – JUSTIFIED"),0,1)</f>
        <v>1</v>
      </c>
      <c r="AJ339" s="61" t="n">
        <f aca="false">IF(LEFT(AH339,8)="COMPLETE",1,0)</f>
        <v>0</v>
      </c>
      <c r="AK339" s="61" t="n">
        <f aca="false">IF(AND(AI339=1,AJ339=0,AsOfUTC&gt;Q339),1,0)</f>
        <v>0</v>
      </c>
      <c r="AL339" s="61" t="n">
        <f aca="false">IF(AND(AI339=1,OR(TRIM(U339)="Fail",AND(TRIM(AB339)&lt;&gt;"",TRIM(AB339)&lt;&gt;"Closed"),AND(ISNUMBER(AF339),AF339&lt;&gt;0,TRIM(U339)&lt;&gt;"Pass after CA"))),1,0)</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8" t="b">
        <f aca="false">TRUE()</f>
        <v>1</v>
      </c>
    </row>
    <row r="340" customFormat="false" ht="41.25" hidden="false" customHeight="true" outlineLevel="0" collapsed="false">
      <c r="A340" s="57" t="s">
        <v>899</v>
      </c>
      <c r="B340" s="57" t="s">
        <v>243</v>
      </c>
      <c r="C340" s="57" t="str">
        <f aca="false">Flights!$F$14</f>
        <v>MH1140</v>
      </c>
      <c r="D340" s="58" t="n">
        <f aca="false">Flights!$D$14</f>
        <v>46307</v>
      </c>
      <c r="E340" s="57" t="str">
        <f aca="false">Flights!$G$14&amp;"-"&amp;Flights!$H$14</f>
        <v>KUL-PEN</v>
      </c>
      <c r="F340" s="57" t="str">
        <f aca="false">Flights!$K$14</f>
        <v>BC</v>
      </c>
      <c r="G340" s="57" t="s">
        <v>385</v>
      </c>
      <c r="H340" s="57" t="s">
        <v>343</v>
      </c>
      <c r="I340" s="57" t="s">
        <v>464</v>
      </c>
      <c r="J340" s="57" t="s">
        <v>465</v>
      </c>
      <c r="K340" s="67" t="s">
        <v>466</v>
      </c>
      <c r="L340" s="67" t="s">
        <v>900</v>
      </c>
      <c r="M340" s="67" t="s">
        <v>416</v>
      </c>
      <c r="N340" s="67" t="s">
        <v>348</v>
      </c>
      <c r="O340" s="67" t="s">
        <v>468</v>
      </c>
      <c r="P340" s="57" t="s">
        <v>179</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59" t="n">
        <f aca="false">Q340-T12EarlyH/24</f>
        <v>46306.15625</v>
      </c>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IF(N340="N/A – rule","N/A – RULE",IF(TRIM(U340)="N/A",IF(AT340=0,"INVALID – N/A not permitted for this mandatory check",IF(AND(TRIM(AC340)&lt;&gt;"",TRIM(AE340)&lt;&gt;"",TRIM(T340)&lt;&gt;"",TRIM(AE340)&lt;&gt;TRIM(T340)),"N/A – JUSTIFIED","INVALID – N/A needs justification, PIC and a different verifier")),IF(OR(TRIM(U340)="Pass",TRIM(U340)="Pass after CA"),IF(NOT(ISNUMBER(AD340)),"INVALID – completion time missing",IF(TRIM(T340)="","INVALID – PIC missing",IF(TRIM(V340)="","INVALID – result / assessment missing",IF(TRIM(Z340)="","INVALID – evidence missing",IF(TRIM(AE340)="","INVALID – verifier missing",IF(TRIM(AE340)=TRIM(T340),"INVALID – verifier must be someone other than the PIC",IF(AND(AQ340=1,TRIM(W340)=""),"INVALID – batch ID missing",IF(AND(AR340=1,OR(NOT(ISNUMBER(X340)),NOT(ISNUMBER(Y340)))),"INVALID – expected/actual qty missing",IF(IF(AND(TRIM(U340)="Pass",ISNUMBER(AF340)),IF(AF340&lt;&gt;0,"INVALID – qty variance: use Fail or Pass after CA",""),"")&amp;IF(AND(TRIM(U340)="Pass",TRIM(AB340)&lt;&gt;"",TRIM(AB340)&lt;&gt;"Closed"),"INVALID – corrective action not closed: use Fail, then Pass after CA","")&amp;IF(AND(TRIM(AA340)&lt;&gt;"",TRIM(AB340)=""),"INVALID – CA status missing for the recorded corrective action","")&amp;IF(AND(TRIM(U340)="Pass after CA",OR(TRIM(AA340)="",TRIM(AB340)&lt;&gt;"Closed")),"INVALID – corrective action not recorded/closed","")&lt;&gt;"",IF(AND(TRIM(U340)="Pass",ISNUMBER(AF340)),IF(AF340&lt;&gt;0,"INVALID – qty variance: use Fail or Pass after CA",""),"")&amp;IF(AND(TRIM(U340)="Pass",TRIM(AB340)&lt;&gt;"",TRIM(AB340)&lt;&gt;"Closed"),"INVALID – corrective action not closed: use Fail, then Pass after CA","")&amp;IF(AND(TRIM(AA340)&lt;&gt;"",TRIM(AB340)=""),"INVALID – CA status missing for the recorded corrective action","")&amp;IF(AND(TRIM(U340)="Pass after CA",OR(TRIM(AA340)="",TRIM(AB340)&lt;&gt;"Closed")),"INVALID – corrective action not recorded/closed",""),IF(AND(AS340=1,Documents!$J$14&lt;&gt;"ON FILE"),"INVALID – GLD not on file (Documents sheet)",IF(AND(AS340=2,Documents!$O$14&lt;&gt;"ON FILE"),"INVALID – menu checklist not on file (Documents sheet)",IF(AND(AS340=3,NOT(ISNUMBER(Flights!$AX$14))),"INVALID – enter carrying flight KUL departure (Flights AX)",IF(AND(AS340=3,OR(Flights!$AX$14&gt;=Flights!$AA$14,Flights!$AX$14&lt;Flights!$AA$14-3)),"INVALID – Flights AX must be before this leg's STD (within 3 days)",IF(AG340&gt;AsOfUTC,"INVALID – completion time is in the future",IF(AND(ISNUMBER(S340),AG340&lt;S340),IF(H340="Physical uplift","INVALID – before uplift window (cannot confirm loading)","INVALID – before valid window"),IF(AG340&gt;Flights!$AA$14,"INVALID – completed after departure (cannot establish readiness)",IF(AND(H340="Physical uplift",AG340&gt;Q340),"INVALID – recorded after the loading flight departed",IF(AG340&gt;Q340,"COMPLETE – LATE","COMPLETE")))))))))))))))))),IF(TRIM(U340)="Fail","FAIL – DISCREPANCY",IF(AND(TRIM(U340)&lt;&gt;"",TRIM(U340)&lt;&gt;"Not started",TRIM(U340)&lt;&gt;"In progress"),"INVALID – unrecognised status (use the list)",IF(AsOfUTC&gt;Q340,"OVERDUE",IF(N340="Clarification required","OPEN – CLARIFICATION","OPEN")))))))</f>
        <v>OPEN</v>
      </c>
      <c r="AI340" s="61" t="n">
        <f aca="false">IF(OR(AH340="N/A – RULE",AH340="N/A – JUSTIFIED"),0,1)</f>
        <v>1</v>
      </c>
      <c r="AJ340" s="61" t="n">
        <f aca="false">IF(LEFT(AH340,8)="COMPLETE",1,0)</f>
        <v>0</v>
      </c>
      <c r="AK340" s="61" t="n">
        <f aca="false">IF(AND(AI340=1,AJ340=0,AsOfUTC&gt;Q340),1,0)</f>
        <v>0</v>
      </c>
      <c r="AL340" s="61" t="n">
        <f aca="false">IF(AND(AI340=1,OR(TRIM(U340)="Fail",AND(TRIM(AB340)&lt;&gt;"",TRIM(AB340)&lt;&gt;"Closed"),AND(ISNUMBER(AF340),AF340&lt;&gt;0,TRIM(U340)&lt;&gt;"Pass after CA"))),1,0)</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8" t="b">
        <f aca="false">TRUE()</f>
        <v>1</v>
      </c>
    </row>
    <row r="341" customFormat="false" ht="41.25" hidden="false" customHeight="true" outlineLevel="0" collapsed="false">
      <c r="A341" s="57" t="s">
        <v>901</v>
      </c>
      <c r="B341" s="57" t="s">
        <v>243</v>
      </c>
      <c r="C341" s="57" t="str">
        <f aca="false">Flights!$F$14</f>
        <v>MH1140</v>
      </c>
      <c r="D341" s="58" t="n">
        <f aca="false">Flights!$D$14</f>
        <v>46307</v>
      </c>
      <c r="E341" s="57" t="str">
        <f aca="false">Flights!$G$14&amp;"-"&amp;Flights!$H$14</f>
        <v>KUL-PEN</v>
      </c>
      <c r="F341" s="57" t="str">
        <f aca="false">Flights!$K$14</f>
        <v>BC</v>
      </c>
      <c r="G341" s="57" t="s">
        <v>385</v>
      </c>
      <c r="H341" s="57" t="s">
        <v>343</v>
      </c>
      <c r="I341" s="57" t="s">
        <v>464</v>
      </c>
      <c r="J341" s="57" t="s">
        <v>470</v>
      </c>
      <c r="K341" s="67" t="s">
        <v>466</v>
      </c>
      <c r="L341" s="67" t="s">
        <v>902</v>
      </c>
      <c r="M341" s="67" t="s">
        <v>416</v>
      </c>
      <c r="N341" s="67" t="s">
        <v>348</v>
      </c>
      <c r="O341" s="67" t="s">
        <v>468</v>
      </c>
      <c r="P341" s="57" t="s">
        <v>179</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59" t="n">
        <f aca="false">Q341-T12EarlyH/24</f>
        <v>46306.15625</v>
      </c>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IF(N341="N/A – rule","N/A – RULE",IF(TRIM(U341)="N/A",IF(AT341=0,"INVALID – N/A not permitted for this mandatory check",IF(AND(TRIM(AC341)&lt;&gt;"",TRIM(AE341)&lt;&gt;"",TRIM(T341)&lt;&gt;"",TRIM(AE341)&lt;&gt;TRIM(T341)),"N/A – JUSTIFIED","INVALID – N/A needs justification, PIC and a different verifier")),IF(OR(TRIM(U341)="Pass",TRIM(U341)="Pass after CA"),IF(NOT(ISNUMBER(AD341)),"INVALID – completion time missing",IF(TRIM(T341)="","INVALID – PIC missing",IF(TRIM(V341)="","INVALID – result / assessment missing",IF(TRIM(Z341)="","INVALID – evidence missing",IF(TRIM(AE341)="","INVALID – verifier missing",IF(TRIM(AE341)=TRIM(T341),"INVALID – verifier must be someone other than the PIC",IF(AND(AQ341=1,TRIM(W341)=""),"INVALID – batch ID missing",IF(AND(AR341=1,OR(NOT(ISNUMBER(X341)),NOT(ISNUMBER(Y341)))),"INVALID – expected/actual qty missing",IF(IF(AND(TRIM(U341)="Pass",ISNUMBER(AF341)),IF(AF341&lt;&gt;0,"INVALID – qty variance: use Fail or Pass after CA",""),"")&amp;IF(AND(TRIM(U341)="Pass",TRIM(AB341)&lt;&gt;"",TRIM(AB341)&lt;&gt;"Closed"),"INVALID – corrective action not closed: use Fail, then Pass after CA","")&amp;IF(AND(TRIM(AA341)&lt;&gt;"",TRIM(AB341)=""),"INVALID – CA status missing for the recorded corrective action","")&amp;IF(AND(TRIM(U341)="Pass after CA",OR(TRIM(AA341)="",TRIM(AB341)&lt;&gt;"Closed")),"INVALID – corrective action not recorded/closed","")&lt;&gt;"",IF(AND(TRIM(U341)="Pass",ISNUMBER(AF341)),IF(AF341&lt;&gt;0,"INVALID – qty variance: use Fail or Pass after CA",""),"")&amp;IF(AND(TRIM(U341)="Pass",TRIM(AB341)&lt;&gt;"",TRIM(AB341)&lt;&gt;"Closed"),"INVALID – corrective action not closed: use Fail, then Pass after CA","")&amp;IF(AND(TRIM(AA341)&lt;&gt;"",TRIM(AB341)=""),"INVALID – CA status missing for the recorded corrective action","")&amp;IF(AND(TRIM(U341)="Pass after CA",OR(TRIM(AA341)="",TRIM(AB341)&lt;&gt;"Closed")),"INVALID – corrective action not recorded/closed",""),IF(AND(AS341=1,Documents!$J$14&lt;&gt;"ON FILE"),"INVALID – GLD not on file (Documents sheet)",IF(AND(AS341=2,Documents!$O$14&lt;&gt;"ON FILE"),"INVALID – menu checklist not on file (Documents sheet)",IF(AND(AS341=3,NOT(ISNUMBER(Flights!$AX$14))),"INVALID – enter carrying flight KUL departure (Flights AX)",IF(AND(AS341=3,OR(Flights!$AX$14&gt;=Flights!$AA$14,Flights!$AX$14&lt;Flights!$AA$14-3)),"INVALID – Flights AX must be before this leg's STD (within 3 days)",IF(AG341&gt;AsOfUTC,"INVALID – completion time is in the future",IF(AND(ISNUMBER(S341),AG341&lt;S341),IF(H341="Physical uplift","INVALID – before uplift window (cannot confirm loading)","INVALID – before valid window"),IF(AG341&gt;Flights!$AA$14,"INVALID – completed after departure (cannot establish readiness)",IF(AND(H341="Physical uplift",AG341&gt;Q341),"INVALID – recorded after the loading flight departed",IF(AG341&gt;Q341,"COMPLETE – LATE","COMPLETE")))))))))))))))))),IF(TRIM(U341)="Fail","FAIL – DISCREPANCY",IF(AND(TRIM(U341)&lt;&gt;"",TRIM(U341)&lt;&gt;"Not started",TRIM(U341)&lt;&gt;"In progress"),"INVALID – unrecognised status (use the list)",IF(AsOfUTC&gt;Q341,"OVERDUE",IF(N341="Clarification required","OPEN – CLARIFICATION","OPEN")))))))</f>
        <v>OPEN</v>
      </c>
      <c r="AI341" s="61" t="n">
        <f aca="false">IF(OR(AH341="N/A – RULE",AH341="N/A – JUSTIFIED"),0,1)</f>
        <v>1</v>
      </c>
      <c r="AJ341" s="61" t="n">
        <f aca="false">IF(LEFT(AH341,8)="COMPLETE",1,0)</f>
        <v>0</v>
      </c>
      <c r="AK341" s="61" t="n">
        <f aca="false">IF(AND(AI341=1,AJ341=0,AsOfUTC&gt;Q341),1,0)</f>
        <v>0</v>
      </c>
      <c r="AL341" s="61" t="n">
        <f aca="false">IF(AND(AI341=1,OR(TRIM(U341)="Fail",AND(TRIM(AB341)&lt;&gt;"",TRIM(AB341)&lt;&gt;"Closed"),AND(ISNUMBER(AF341),AF341&lt;&gt;0,TRIM(U341)&lt;&gt;"Pass after CA"))),1,0)</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8" t="b">
        <f aca="false">TRUE()</f>
        <v>1</v>
      </c>
    </row>
    <row r="342" customFormat="false" ht="41.25" hidden="false" customHeight="true" outlineLevel="0" collapsed="false">
      <c r="A342" s="57" t="s">
        <v>903</v>
      </c>
      <c r="B342" s="57" t="s">
        <v>243</v>
      </c>
      <c r="C342" s="57" t="str">
        <f aca="false">Flights!$F$14</f>
        <v>MH1140</v>
      </c>
      <c r="D342" s="58" t="n">
        <f aca="false">Flights!$D$14</f>
        <v>46307</v>
      </c>
      <c r="E342" s="57" t="str">
        <f aca="false">Flights!$G$14&amp;"-"&amp;Flights!$H$14</f>
        <v>KUL-PEN</v>
      </c>
      <c r="F342" s="57" t="str">
        <f aca="false">Flights!$K$14</f>
        <v>BC</v>
      </c>
      <c r="G342" s="57" t="s">
        <v>385</v>
      </c>
      <c r="H342" s="57" t="s">
        <v>343</v>
      </c>
      <c r="I342" s="57" t="s">
        <v>464</v>
      </c>
      <c r="J342" s="57" t="s">
        <v>473</v>
      </c>
      <c r="K342" s="67" t="s">
        <v>466</v>
      </c>
      <c r="L342" s="67" t="s">
        <v>904</v>
      </c>
      <c r="M342" s="67" t="s">
        <v>416</v>
      </c>
      <c r="N342" s="67" t="s">
        <v>348</v>
      </c>
      <c r="O342" s="67" t="s">
        <v>468</v>
      </c>
      <c r="P342" s="57" t="s">
        <v>179</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59" t="n">
        <f aca="false">Q342-T12EarlyH/24</f>
        <v>46306.15625</v>
      </c>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IF(N342="N/A – rule","N/A – RULE",IF(TRIM(U342)="N/A",IF(AT342=0,"INVALID – N/A not permitted for this mandatory check",IF(AND(TRIM(AC342)&lt;&gt;"",TRIM(AE342)&lt;&gt;"",TRIM(T342)&lt;&gt;"",TRIM(AE342)&lt;&gt;TRIM(T342)),"N/A – JUSTIFIED","INVALID – N/A needs justification, PIC and a different verifier")),IF(OR(TRIM(U342)="Pass",TRIM(U342)="Pass after CA"),IF(NOT(ISNUMBER(AD342)),"INVALID – completion time missing",IF(TRIM(T342)="","INVALID – PIC missing",IF(TRIM(V342)="","INVALID – result / assessment missing",IF(TRIM(Z342)="","INVALID – evidence missing",IF(TRIM(AE342)="","INVALID – verifier missing",IF(TRIM(AE342)=TRIM(T342),"INVALID – verifier must be someone other than the PIC",IF(AND(AQ342=1,TRIM(W342)=""),"INVALID – batch ID missing",IF(AND(AR342=1,OR(NOT(ISNUMBER(X342)),NOT(ISNUMBER(Y342)))),"INVALID – expected/actual qty missing",IF(IF(AND(TRIM(U342)="Pass",ISNUMBER(AF342)),IF(AF342&lt;&gt;0,"INVALID – qty variance: use Fail or Pass after CA",""),"")&amp;IF(AND(TRIM(U342)="Pass",TRIM(AB342)&lt;&gt;"",TRIM(AB342)&lt;&gt;"Closed"),"INVALID – corrective action not closed: use Fail, then Pass after CA","")&amp;IF(AND(TRIM(AA342)&lt;&gt;"",TRIM(AB342)=""),"INVALID – CA status missing for the recorded corrective action","")&amp;IF(AND(TRIM(U342)="Pass after CA",OR(TRIM(AA342)="",TRIM(AB342)&lt;&gt;"Closed")),"INVALID – corrective action not recorded/closed","")&lt;&gt;"",IF(AND(TRIM(U342)="Pass",ISNUMBER(AF342)),IF(AF342&lt;&gt;0,"INVALID – qty variance: use Fail or Pass after CA",""),"")&amp;IF(AND(TRIM(U342)="Pass",TRIM(AB342)&lt;&gt;"",TRIM(AB342)&lt;&gt;"Closed"),"INVALID – corrective action not closed: use Fail, then Pass after CA","")&amp;IF(AND(TRIM(AA342)&lt;&gt;"",TRIM(AB342)=""),"INVALID – CA status missing for the recorded corrective action","")&amp;IF(AND(TRIM(U342)="Pass after CA",OR(TRIM(AA342)="",TRIM(AB342)&lt;&gt;"Closed")),"INVALID – corrective action not recorded/closed",""),IF(AND(AS342=1,Documents!$J$14&lt;&gt;"ON FILE"),"INVALID – GLD not on file (Documents sheet)",IF(AND(AS342=2,Documents!$O$14&lt;&gt;"ON FILE"),"INVALID – menu checklist not on file (Documents sheet)",IF(AND(AS342=3,NOT(ISNUMBER(Flights!$AX$14))),"INVALID – enter carrying flight KUL departure (Flights AX)",IF(AND(AS342=3,OR(Flights!$AX$14&gt;=Flights!$AA$14,Flights!$AX$14&lt;Flights!$AA$14-3)),"INVALID – Flights AX must be before this leg's STD (within 3 days)",IF(AG342&gt;AsOfUTC,"INVALID – completion time is in the future",IF(AND(ISNUMBER(S342),AG342&lt;S342),IF(H342="Physical uplift","INVALID – before uplift window (cannot confirm loading)","INVALID – before valid window"),IF(AG342&gt;Flights!$AA$14,"INVALID – completed after departure (cannot establish readiness)",IF(AND(H342="Physical uplift",AG342&gt;Q342),"INVALID – recorded after the loading flight departed",IF(AG342&gt;Q342,"COMPLETE – LATE","COMPLETE")))))))))))))))))),IF(TRIM(U342)="Fail","FAIL – DISCREPANCY",IF(AND(TRIM(U342)&lt;&gt;"",TRIM(U342)&lt;&gt;"Not started",TRIM(U342)&lt;&gt;"In progress"),"INVALID – unrecognised status (use the list)",IF(AsOfUTC&gt;Q342,"OVERDUE",IF(N342="Clarification required","OPEN – CLARIFICATION","OPEN")))))))</f>
        <v>OPEN</v>
      </c>
      <c r="AI342" s="61" t="n">
        <f aca="false">IF(OR(AH342="N/A – RULE",AH342="N/A – JUSTIFIED"),0,1)</f>
        <v>1</v>
      </c>
      <c r="AJ342" s="61" t="n">
        <f aca="false">IF(LEFT(AH342,8)="COMPLETE",1,0)</f>
        <v>0</v>
      </c>
      <c r="AK342" s="61" t="n">
        <f aca="false">IF(AND(AI342=1,AJ342=0,AsOfUTC&gt;Q342),1,0)</f>
        <v>0</v>
      </c>
      <c r="AL342" s="61" t="n">
        <f aca="false">IF(AND(AI342=1,OR(TRIM(U342)="Fail",AND(TRIM(AB342)&lt;&gt;"",TRIM(AB342)&lt;&gt;"Closed"),AND(ISNUMBER(AF342),AF342&lt;&gt;0,TRIM(U342)&lt;&gt;"Pass after CA"))),1,0)</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8" t="b">
        <f aca="false">TRUE()</f>
        <v>1</v>
      </c>
    </row>
    <row r="343" customFormat="false" ht="54" hidden="false" customHeight="true" outlineLevel="0" collapsed="false">
      <c r="A343" s="57" t="s">
        <v>905</v>
      </c>
      <c r="B343" s="57" t="s">
        <v>243</v>
      </c>
      <c r="C343" s="57" t="str">
        <f aca="false">Flights!$F$14</f>
        <v>MH1140</v>
      </c>
      <c r="D343" s="58" t="n">
        <f aca="false">Flights!$D$14</f>
        <v>46307</v>
      </c>
      <c r="E343" s="57" t="str">
        <f aca="false">Flights!$G$14&amp;"-"&amp;Flights!$H$14</f>
        <v>KUL-PEN</v>
      </c>
      <c r="F343" s="57" t="str">
        <f aca="false">Flights!$K$14</f>
        <v>BC</v>
      </c>
      <c r="G343" s="57" t="s">
        <v>385</v>
      </c>
      <c r="H343" s="57" t="s">
        <v>343</v>
      </c>
      <c r="I343" s="57" t="s">
        <v>464</v>
      </c>
      <c r="J343" s="57" t="s">
        <v>483</v>
      </c>
      <c r="K343" s="67" t="s">
        <v>484</v>
      </c>
      <c r="L343" s="67" t="s">
        <v>906</v>
      </c>
      <c r="M343" s="67" t="s">
        <v>416</v>
      </c>
      <c r="N343" s="67" t="s">
        <v>348</v>
      </c>
      <c r="O343" s="67" t="s">
        <v>486</v>
      </c>
      <c r="P343" s="57" t="s">
        <v>179</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59" t="n">
        <f aca="false">Q343-T12EarlyH/24</f>
        <v>46306.15625</v>
      </c>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IF(N343="N/A – rule","N/A – RULE",IF(TRIM(U343)="N/A",IF(AT343=0,"INVALID – N/A not permitted for this mandatory check",IF(AND(TRIM(AC343)&lt;&gt;"",TRIM(AE343)&lt;&gt;"",TRIM(T343)&lt;&gt;"",TRIM(AE343)&lt;&gt;TRIM(T343)),"N/A – JUSTIFIED","INVALID – N/A needs justification, PIC and a different verifier")),IF(OR(TRIM(U343)="Pass",TRIM(U343)="Pass after CA"),IF(NOT(ISNUMBER(AD343)),"INVALID – completion time missing",IF(TRIM(T343)="","INVALID – PIC missing",IF(TRIM(V343)="","INVALID – result / assessment missing",IF(TRIM(Z343)="","INVALID – evidence missing",IF(TRIM(AE343)="","INVALID – verifier missing",IF(TRIM(AE343)=TRIM(T343),"INVALID – verifier must be someone other than the PIC",IF(AND(AQ343=1,TRIM(W343)=""),"INVALID – batch ID missing",IF(AND(AR343=1,OR(NOT(ISNUMBER(X343)),NOT(ISNUMBER(Y343)))),"INVALID – expected/actual qty missing",IF(IF(AND(TRIM(U343)="Pass",ISNUMBER(AF343)),IF(AF343&lt;&gt;0,"INVALID – qty variance: use Fail or Pass after CA",""),"")&amp;IF(AND(TRIM(U343)="Pass",TRIM(AB343)&lt;&gt;"",TRIM(AB343)&lt;&gt;"Closed"),"INVALID – corrective action not closed: use Fail, then Pass after CA","")&amp;IF(AND(TRIM(AA343)&lt;&gt;"",TRIM(AB343)=""),"INVALID – CA status missing for the recorded corrective action","")&amp;IF(AND(TRIM(U343)="Pass after CA",OR(TRIM(AA343)="",TRIM(AB343)&lt;&gt;"Closed")),"INVALID – corrective action not recorded/closed","")&lt;&gt;"",IF(AND(TRIM(U343)="Pass",ISNUMBER(AF343)),IF(AF343&lt;&gt;0,"INVALID – qty variance: use Fail or Pass after CA",""),"")&amp;IF(AND(TRIM(U343)="Pass",TRIM(AB343)&lt;&gt;"",TRIM(AB343)&lt;&gt;"Closed"),"INVALID – corrective action not closed: use Fail, then Pass after CA","")&amp;IF(AND(TRIM(AA343)&lt;&gt;"",TRIM(AB343)=""),"INVALID – CA status missing for the recorded corrective action","")&amp;IF(AND(TRIM(U343)="Pass after CA",OR(TRIM(AA343)="",TRIM(AB343)&lt;&gt;"Closed")),"INVALID – corrective action not recorded/closed",""),IF(AND(AS343=1,Documents!$J$14&lt;&gt;"ON FILE"),"INVALID – GLD not on file (Documents sheet)",IF(AND(AS343=2,Documents!$O$14&lt;&gt;"ON FILE"),"INVALID – menu checklist not on file (Documents sheet)",IF(AND(AS343=3,NOT(ISNUMBER(Flights!$AX$14))),"INVALID – enter carrying flight KUL departure (Flights AX)",IF(AND(AS343=3,OR(Flights!$AX$14&gt;=Flights!$AA$14,Flights!$AX$14&lt;Flights!$AA$14-3)),"INVALID – Flights AX must be before this leg's STD (within 3 days)",IF(AG343&gt;AsOfUTC,"INVALID – completion time is in the future",IF(AND(ISNUMBER(S343),AG343&lt;S343),IF(H343="Physical uplift","INVALID – before uplift window (cannot confirm loading)","INVALID – before valid window"),IF(AG343&gt;Flights!$AA$14,"INVALID – completed after departure (cannot establish readiness)",IF(AND(H343="Physical uplift",AG343&gt;Q343),"INVALID – recorded after the loading flight departed",IF(AG343&gt;Q343,"COMPLETE – LATE","COMPLETE")))))))))))))))))),IF(TRIM(U343)="Fail","FAIL – DISCREPANCY",IF(AND(TRIM(U343)&lt;&gt;"",TRIM(U343)&lt;&gt;"Not started",TRIM(U343)&lt;&gt;"In progress"),"INVALID – unrecognised status (use the list)",IF(AsOfUTC&gt;Q343,"OVERDUE",IF(N343="Clarification required","OPEN – CLARIFICATION","OPEN")))))))</f>
        <v>OPEN</v>
      </c>
      <c r="AI343" s="61" t="n">
        <f aca="false">IF(OR(AH343="N/A – RULE",AH343="N/A – JUSTIFIED"),0,1)</f>
        <v>1</v>
      </c>
      <c r="AJ343" s="61" t="n">
        <f aca="false">IF(LEFT(AH343,8)="COMPLETE",1,0)</f>
        <v>0</v>
      </c>
      <c r="AK343" s="61" t="n">
        <f aca="false">IF(AND(AI343=1,AJ343=0,AsOfUTC&gt;Q343),1,0)</f>
        <v>0</v>
      </c>
      <c r="AL343" s="61" t="n">
        <f aca="false">IF(AND(AI343=1,OR(TRIM(U343)="Fail",AND(TRIM(AB343)&lt;&gt;"",TRIM(AB343)&lt;&gt;"Closed"),AND(ISNUMBER(AF343),AF343&lt;&gt;0,TRIM(U343)&lt;&gt;"Pass after CA"))),1,0)</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8" t="b">
        <f aca="false">TRUE()</f>
        <v>1</v>
      </c>
    </row>
    <row r="344" customFormat="false" ht="41.25" hidden="false" customHeight="true" outlineLevel="0" collapsed="false">
      <c r="A344" s="57" t="s">
        <v>907</v>
      </c>
      <c r="B344" s="57" t="s">
        <v>243</v>
      </c>
      <c r="C344" s="57" t="str">
        <f aca="false">Flights!$F$14</f>
        <v>MH1140</v>
      </c>
      <c r="D344" s="58" t="n">
        <f aca="false">Flights!$D$14</f>
        <v>46307</v>
      </c>
      <c r="E344" s="57" t="str">
        <f aca="false">Flights!$G$14&amp;"-"&amp;Flights!$H$14</f>
        <v>KUL-PEN</v>
      </c>
      <c r="F344" s="57" t="str">
        <f aca="false">Flights!$K$14</f>
        <v>BC</v>
      </c>
      <c r="G344" s="57" t="s">
        <v>385</v>
      </c>
      <c r="H344" s="57" t="s">
        <v>343</v>
      </c>
      <c r="I344" s="57" t="s">
        <v>464</v>
      </c>
      <c r="J344" s="57" t="s">
        <v>488</v>
      </c>
      <c r="K344" s="67" t="s">
        <v>466</v>
      </c>
      <c r="L344" s="67" t="s">
        <v>908</v>
      </c>
      <c r="M344" s="67" t="s">
        <v>416</v>
      </c>
      <c r="N344" s="67" t="s">
        <v>348</v>
      </c>
      <c r="O344" s="67" t="s">
        <v>468</v>
      </c>
      <c r="P344" s="57" t="s">
        <v>179</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59" t="n">
        <f aca="false">Q344-T12EarlyH/24</f>
        <v>46306.15625</v>
      </c>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IF(N344="N/A – rule","N/A – RULE",IF(TRIM(U344)="N/A",IF(AT344=0,"INVALID – N/A not permitted for this mandatory check",IF(AND(TRIM(AC344)&lt;&gt;"",TRIM(AE344)&lt;&gt;"",TRIM(T344)&lt;&gt;"",TRIM(AE344)&lt;&gt;TRIM(T344)),"N/A – JUSTIFIED","INVALID – N/A needs justification, PIC and a different verifier")),IF(OR(TRIM(U344)="Pass",TRIM(U344)="Pass after CA"),IF(NOT(ISNUMBER(AD344)),"INVALID – completion time missing",IF(TRIM(T344)="","INVALID – PIC missing",IF(TRIM(V344)="","INVALID – result / assessment missing",IF(TRIM(Z344)="","INVALID – evidence missing",IF(TRIM(AE344)="","INVALID – verifier missing",IF(TRIM(AE344)=TRIM(T344),"INVALID – verifier must be someone other than the PIC",IF(AND(AQ344=1,TRIM(W344)=""),"INVALID – batch ID missing",IF(AND(AR344=1,OR(NOT(ISNUMBER(X344)),NOT(ISNUMBER(Y344)))),"INVALID – expected/actual qty missing",IF(IF(AND(TRIM(U344)="Pass",ISNUMBER(AF344)),IF(AF344&lt;&gt;0,"INVALID – qty variance: use Fail or Pass after CA",""),"")&amp;IF(AND(TRIM(U344)="Pass",TRIM(AB344)&lt;&gt;"",TRIM(AB344)&lt;&gt;"Closed"),"INVALID – corrective action not closed: use Fail, then Pass after CA","")&amp;IF(AND(TRIM(AA344)&lt;&gt;"",TRIM(AB344)=""),"INVALID – CA status missing for the recorded corrective action","")&amp;IF(AND(TRIM(U344)="Pass after CA",OR(TRIM(AA344)="",TRIM(AB344)&lt;&gt;"Closed")),"INVALID – corrective action not recorded/closed","")&lt;&gt;"",IF(AND(TRIM(U344)="Pass",ISNUMBER(AF344)),IF(AF344&lt;&gt;0,"INVALID – qty variance: use Fail or Pass after CA",""),"")&amp;IF(AND(TRIM(U344)="Pass",TRIM(AB344)&lt;&gt;"",TRIM(AB344)&lt;&gt;"Closed"),"INVALID – corrective action not closed: use Fail, then Pass after CA","")&amp;IF(AND(TRIM(AA344)&lt;&gt;"",TRIM(AB344)=""),"INVALID – CA status missing for the recorded corrective action","")&amp;IF(AND(TRIM(U344)="Pass after CA",OR(TRIM(AA344)="",TRIM(AB344)&lt;&gt;"Closed")),"INVALID – corrective action not recorded/closed",""),IF(AND(AS344=1,Documents!$J$14&lt;&gt;"ON FILE"),"INVALID – GLD not on file (Documents sheet)",IF(AND(AS344=2,Documents!$O$14&lt;&gt;"ON FILE"),"INVALID – menu checklist not on file (Documents sheet)",IF(AND(AS344=3,NOT(ISNUMBER(Flights!$AX$14))),"INVALID – enter carrying flight KUL departure (Flights AX)",IF(AND(AS344=3,OR(Flights!$AX$14&gt;=Flights!$AA$14,Flights!$AX$14&lt;Flights!$AA$14-3)),"INVALID – Flights AX must be before this leg's STD (within 3 days)",IF(AG344&gt;AsOfUTC,"INVALID – completion time is in the future",IF(AND(ISNUMBER(S344),AG344&lt;S344),IF(H344="Physical uplift","INVALID – before uplift window (cannot confirm loading)","INVALID – before valid window"),IF(AG344&gt;Flights!$AA$14,"INVALID – completed after departure (cannot establish readiness)",IF(AND(H344="Physical uplift",AG344&gt;Q344),"INVALID – recorded after the loading flight departed",IF(AG344&gt;Q344,"COMPLETE – LATE","COMPLETE")))))))))))))))))),IF(TRIM(U344)="Fail","FAIL – DISCREPANCY",IF(AND(TRIM(U344)&lt;&gt;"",TRIM(U344)&lt;&gt;"Not started",TRIM(U344)&lt;&gt;"In progress"),"INVALID – unrecognised status (use the list)",IF(AsOfUTC&gt;Q344,"OVERDUE",IF(N344="Clarification required","OPEN – CLARIFICATION","OPEN")))))))</f>
        <v>OPEN</v>
      </c>
      <c r="AI344" s="61" t="n">
        <f aca="false">IF(OR(AH344="N/A – RULE",AH344="N/A – JUSTIFIED"),0,1)</f>
        <v>1</v>
      </c>
      <c r="AJ344" s="61" t="n">
        <f aca="false">IF(LEFT(AH344,8)="COMPLETE",1,0)</f>
        <v>0</v>
      </c>
      <c r="AK344" s="61" t="n">
        <f aca="false">IF(AND(AI344=1,AJ344=0,AsOfUTC&gt;Q344),1,0)</f>
        <v>0</v>
      </c>
      <c r="AL344" s="61" t="n">
        <f aca="false">IF(AND(AI344=1,OR(TRIM(U344)="Fail",AND(TRIM(AB344)&lt;&gt;"",TRIM(AB344)&lt;&gt;"Closed"),AND(ISNUMBER(AF344),AF344&lt;&gt;0,TRIM(U344)&lt;&gt;"Pass after CA"))),1,0)</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8" t="b">
        <f aca="false">TRUE()</f>
        <v>1</v>
      </c>
    </row>
    <row r="345" customFormat="false" ht="41.25" hidden="false" customHeight="true" outlineLevel="0" collapsed="false">
      <c r="A345" s="57" t="s">
        <v>909</v>
      </c>
      <c r="B345" s="57" t="s">
        <v>243</v>
      </c>
      <c r="C345" s="57" t="str">
        <f aca="false">Flights!$F$14</f>
        <v>MH1140</v>
      </c>
      <c r="D345" s="58" t="n">
        <f aca="false">Flights!$D$14</f>
        <v>46307</v>
      </c>
      <c r="E345" s="57" t="str">
        <f aca="false">Flights!$G$14&amp;"-"&amp;Flights!$H$14</f>
        <v>KUL-PEN</v>
      </c>
      <c r="F345" s="57" t="str">
        <f aca="false">Flights!$K$14</f>
        <v>BC</v>
      </c>
      <c r="G345" s="57" t="s">
        <v>385</v>
      </c>
      <c r="H345" s="57" t="s">
        <v>343</v>
      </c>
      <c r="I345" s="57" t="s">
        <v>412</v>
      </c>
      <c r="J345" s="57" t="s">
        <v>491</v>
      </c>
      <c r="K345" s="67" t="s">
        <v>414</v>
      </c>
      <c r="L345" s="67" t="s">
        <v>910</v>
      </c>
      <c r="M345" s="67" t="s">
        <v>416</v>
      </c>
      <c r="N345" s="67" t="s">
        <v>348</v>
      </c>
      <c r="O345" s="67" t="s">
        <v>468</v>
      </c>
      <c r="P345" s="57" t="s">
        <v>179</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59" t="n">
        <f aca="false">Q345-T12EarlyH/24</f>
        <v>46306.15625</v>
      </c>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IF(N345="N/A – rule","N/A – RULE",IF(TRIM(U345)="N/A",IF(AT345=0,"INVALID – N/A not permitted for this mandatory check",IF(AND(TRIM(AC345)&lt;&gt;"",TRIM(AE345)&lt;&gt;"",TRIM(T345)&lt;&gt;"",TRIM(AE345)&lt;&gt;TRIM(T345)),"N/A – JUSTIFIED","INVALID – N/A needs justification, PIC and a different verifier")),IF(OR(TRIM(U345)="Pass",TRIM(U345)="Pass after CA"),IF(NOT(ISNUMBER(AD345)),"INVALID – completion time missing",IF(TRIM(T345)="","INVALID – PIC missing",IF(TRIM(V345)="","INVALID – result / assessment missing",IF(TRIM(Z345)="","INVALID – evidence missing",IF(TRIM(AE345)="","INVALID – verifier missing",IF(TRIM(AE345)=TRIM(T345),"INVALID – verifier must be someone other than the PIC",IF(AND(AQ345=1,TRIM(W345)=""),"INVALID – batch ID missing",IF(AND(AR345=1,OR(NOT(ISNUMBER(X345)),NOT(ISNUMBER(Y345)))),"INVALID – expected/actual qty missing",IF(IF(AND(TRIM(U345)="Pass",ISNUMBER(AF345)),IF(AF345&lt;&gt;0,"INVALID – qty variance: use Fail or Pass after CA",""),"")&amp;IF(AND(TRIM(U345)="Pass",TRIM(AB345)&lt;&gt;"",TRIM(AB345)&lt;&gt;"Closed"),"INVALID – corrective action not closed: use Fail, then Pass after CA","")&amp;IF(AND(TRIM(AA345)&lt;&gt;"",TRIM(AB345)=""),"INVALID – CA status missing for the recorded corrective action","")&amp;IF(AND(TRIM(U345)="Pass after CA",OR(TRIM(AA345)="",TRIM(AB345)&lt;&gt;"Closed")),"INVALID – corrective action not recorded/closed","")&lt;&gt;"",IF(AND(TRIM(U345)="Pass",ISNUMBER(AF345)),IF(AF345&lt;&gt;0,"INVALID – qty variance: use Fail or Pass after CA",""),"")&amp;IF(AND(TRIM(U345)="Pass",TRIM(AB345)&lt;&gt;"",TRIM(AB345)&lt;&gt;"Closed"),"INVALID – corrective action not closed: use Fail, then Pass after CA","")&amp;IF(AND(TRIM(AA345)&lt;&gt;"",TRIM(AB345)=""),"INVALID – CA status missing for the recorded corrective action","")&amp;IF(AND(TRIM(U345)="Pass after CA",OR(TRIM(AA345)="",TRIM(AB345)&lt;&gt;"Closed")),"INVALID – corrective action not recorded/closed",""),IF(AND(AS345=1,Documents!$J$14&lt;&gt;"ON FILE"),"INVALID – GLD not on file (Documents sheet)",IF(AND(AS345=2,Documents!$O$14&lt;&gt;"ON FILE"),"INVALID – menu checklist not on file (Documents sheet)",IF(AND(AS345=3,NOT(ISNUMBER(Flights!$AX$14))),"INVALID – enter carrying flight KUL departure (Flights AX)",IF(AND(AS345=3,OR(Flights!$AX$14&gt;=Flights!$AA$14,Flights!$AX$14&lt;Flights!$AA$14-3)),"INVALID – Flights AX must be before this leg's STD (within 3 days)",IF(AG345&gt;AsOfUTC,"INVALID – completion time is in the future",IF(AND(ISNUMBER(S345),AG345&lt;S345),IF(H345="Physical uplift","INVALID – before uplift window (cannot confirm loading)","INVALID – before valid window"),IF(AG345&gt;Flights!$AA$14,"INVALID – completed after departure (cannot establish readiness)",IF(AND(H345="Physical uplift",AG345&gt;Q345),"INVALID – recorded after the loading flight departed",IF(AG345&gt;Q345,"COMPLETE – LATE","COMPLETE")))))))))))))))))),IF(TRIM(U345)="Fail","FAIL – DISCREPANCY",IF(AND(TRIM(U345)&lt;&gt;"",TRIM(U345)&lt;&gt;"Not started",TRIM(U345)&lt;&gt;"In progress"),"INVALID – unrecognised status (use the list)",IF(AsOfUTC&gt;Q345,"OVERDUE",IF(N345="Clarification required","OPEN – CLARIFICATION","OPEN")))))))</f>
        <v>OPEN</v>
      </c>
      <c r="AI345" s="61" t="n">
        <f aca="false">IF(OR(AH345="N/A – RULE",AH345="N/A – JUSTIFIED"),0,1)</f>
        <v>1</v>
      </c>
      <c r="AJ345" s="61" t="n">
        <f aca="false">IF(LEFT(AH345,8)="COMPLETE",1,0)</f>
        <v>0</v>
      </c>
      <c r="AK345" s="61" t="n">
        <f aca="false">IF(AND(AI345=1,AJ345=0,AsOfUTC&gt;Q345),1,0)</f>
        <v>0</v>
      </c>
      <c r="AL345" s="61" t="n">
        <f aca="false">IF(AND(AI345=1,OR(TRIM(U345)="Fail",AND(TRIM(AB345)&lt;&gt;"",TRIM(AB345)&lt;&gt;"Closed"),AND(ISNUMBER(AF345),AF345&lt;&gt;0,TRIM(U345)&lt;&gt;"Pass after CA"))),1,0)</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8" t="b">
        <f aca="false">TRUE()</f>
        <v>1</v>
      </c>
    </row>
    <row r="346" customFormat="false" ht="41.25" hidden="false" customHeight="true" outlineLevel="0" collapsed="false">
      <c r="A346" s="57" t="s">
        <v>911</v>
      </c>
      <c r="B346" s="57" t="s">
        <v>243</v>
      </c>
      <c r="C346" s="57" t="str">
        <f aca="false">Flights!$F$14</f>
        <v>MH1140</v>
      </c>
      <c r="D346" s="58" t="n">
        <f aca="false">Flights!$D$14</f>
        <v>46307</v>
      </c>
      <c r="E346" s="57" t="str">
        <f aca="false">Flights!$G$14&amp;"-"&amp;Flights!$H$14</f>
        <v>KUL-PEN</v>
      </c>
      <c r="F346" s="57" t="str">
        <f aca="false">Flights!$K$14</f>
        <v>BC</v>
      </c>
      <c r="G346" s="57" t="s">
        <v>385</v>
      </c>
      <c r="H346" s="57" t="s">
        <v>343</v>
      </c>
      <c r="I346" s="57" t="s">
        <v>412</v>
      </c>
      <c r="J346" s="57" t="s">
        <v>494</v>
      </c>
      <c r="K346" s="67" t="s">
        <v>414</v>
      </c>
      <c r="L346" s="67" t="s">
        <v>912</v>
      </c>
      <c r="M346" s="67" t="s">
        <v>416</v>
      </c>
      <c r="N346" s="67" t="s">
        <v>348</v>
      </c>
      <c r="O346" s="67" t="s">
        <v>468</v>
      </c>
      <c r="P346" s="57" t="s">
        <v>179</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59" t="n">
        <f aca="false">Q346-T12EarlyH/24</f>
        <v>46306.15625</v>
      </c>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IF(N346="N/A – rule","N/A – RULE",IF(TRIM(U346)="N/A",IF(AT346=0,"INVALID – N/A not permitted for this mandatory check",IF(AND(TRIM(AC346)&lt;&gt;"",TRIM(AE346)&lt;&gt;"",TRIM(T346)&lt;&gt;"",TRIM(AE346)&lt;&gt;TRIM(T346)),"N/A – JUSTIFIED","INVALID – N/A needs justification, PIC and a different verifier")),IF(OR(TRIM(U346)="Pass",TRIM(U346)="Pass after CA"),IF(NOT(ISNUMBER(AD346)),"INVALID – completion time missing",IF(TRIM(T346)="","INVALID – PIC missing",IF(TRIM(V346)="","INVALID – result / assessment missing",IF(TRIM(Z346)="","INVALID – evidence missing",IF(TRIM(AE346)="","INVALID – verifier missing",IF(TRIM(AE346)=TRIM(T346),"INVALID – verifier must be someone other than the PIC",IF(AND(AQ346=1,TRIM(W346)=""),"INVALID – batch ID missing",IF(AND(AR346=1,OR(NOT(ISNUMBER(X346)),NOT(ISNUMBER(Y346)))),"INVALID – expected/actual qty missing",IF(IF(AND(TRIM(U346)="Pass",ISNUMBER(AF346)),IF(AF346&lt;&gt;0,"INVALID – qty variance: use Fail or Pass after CA",""),"")&amp;IF(AND(TRIM(U346)="Pass",TRIM(AB346)&lt;&gt;"",TRIM(AB346)&lt;&gt;"Closed"),"INVALID – corrective action not closed: use Fail, then Pass after CA","")&amp;IF(AND(TRIM(AA346)&lt;&gt;"",TRIM(AB346)=""),"INVALID – CA status missing for the recorded corrective action","")&amp;IF(AND(TRIM(U346)="Pass after CA",OR(TRIM(AA346)="",TRIM(AB346)&lt;&gt;"Closed")),"INVALID – corrective action not recorded/closed","")&lt;&gt;"",IF(AND(TRIM(U346)="Pass",ISNUMBER(AF346)),IF(AF346&lt;&gt;0,"INVALID – qty variance: use Fail or Pass after CA",""),"")&amp;IF(AND(TRIM(U346)="Pass",TRIM(AB346)&lt;&gt;"",TRIM(AB346)&lt;&gt;"Closed"),"INVALID – corrective action not closed: use Fail, then Pass after CA","")&amp;IF(AND(TRIM(AA346)&lt;&gt;"",TRIM(AB346)=""),"INVALID – CA status missing for the recorded corrective action","")&amp;IF(AND(TRIM(U346)="Pass after CA",OR(TRIM(AA346)="",TRIM(AB346)&lt;&gt;"Closed")),"INVALID – corrective action not recorded/closed",""),IF(AND(AS346=1,Documents!$J$14&lt;&gt;"ON FILE"),"INVALID – GLD not on file (Documents sheet)",IF(AND(AS346=2,Documents!$O$14&lt;&gt;"ON FILE"),"INVALID – menu checklist not on file (Documents sheet)",IF(AND(AS346=3,NOT(ISNUMBER(Flights!$AX$14))),"INVALID – enter carrying flight KUL departure (Flights AX)",IF(AND(AS346=3,OR(Flights!$AX$14&gt;=Flights!$AA$14,Flights!$AX$14&lt;Flights!$AA$14-3)),"INVALID – Flights AX must be before this leg's STD (within 3 days)",IF(AG346&gt;AsOfUTC,"INVALID – completion time is in the future",IF(AND(ISNUMBER(S346),AG346&lt;S346),IF(H346="Physical uplift","INVALID – before uplift window (cannot confirm loading)","INVALID – before valid window"),IF(AG346&gt;Flights!$AA$14,"INVALID – completed after departure (cannot establish readiness)",IF(AND(H346="Physical uplift",AG346&gt;Q346),"INVALID – recorded after the loading flight departed",IF(AG346&gt;Q346,"COMPLETE – LATE","COMPLETE")))))))))))))))))),IF(TRIM(U346)="Fail","FAIL – DISCREPANCY",IF(AND(TRIM(U346)&lt;&gt;"",TRIM(U346)&lt;&gt;"Not started",TRIM(U346)&lt;&gt;"In progress"),"INVALID – unrecognised status (use the list)",IF(AsOfUTC&gt;Q346,"OVERDUE",IF(N346="Clarification required","OPEN – CLARIFICATION","OPEN")))))))</f>
        <v>OPEN</v>
      </c>
      <c r="AI346" s="61" t="n">
        <f aca="false">IF(OR(AH346="N/A – RULE",AH346="N/A – JUSTIFIED"),0,1)</f>
        <v>1</v>
      </c>
      <c r="AJ346" s="61" t="n">
        <f aca="false">IF(LEFT(AH346,8)="COMPLETE",1,0)</f>
        <v>0</v>
      </c>
      <c r="AK346" s="61" t="n">
        <f aca="false">IF(AND(AI346=1,AJ346=0,AsOfUTC&gt;Q346),1,0)</f>
        <v>0</v>
      </c>
      <c r="AL346" s="61" t="n">
        <f aca="false">IF(AND(AI346=1,OR(TRIM(U346)="Fail",AND(TRIM(AB346)&lt;&gt;"",TRIM(AB346)&lt;&gt;"Closed"),AND(ISNUMBER(AF346),AF346&lt;&gt;0,TRIM(U346)&lt;&gt;"Pass after CA"))),1,0)</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8" t="b">
        <f aca="false">TRUE()</f>
        <v>1</v>
      </c>
    </row>
    <row r="347" customFormat="false" ht="39.75" hidden="false" customHeight="true" outlineLevel="0" collapsed="false">
      <c r="A347" s="57" t="s">
        <v>913</v>
      </c>
      <c r="B347" s="57" t="s">
        <v>243</v>
      </c>
      <c r="C347" s="57" t="str">
        <f aca="false">Flights!$F$14</f>
        <v>MH1140</v>
      </c>
      <c r="D347" s="58" t="n">
        <f aca="false">Flights!$D$14</f>
        <v>46307</v>
      </c>
      <c r="E347" s="57" t="str">
        <f aca="false">Flights!$G$14&amp;"-"&amp;Flights!$H$14</f>
        <v>KUL-PEN</v>
      </c>
      <c r="F347" s="57" t="str">
        <f aca="false">Flights!$K$14</f>
        <v>BC</v>
      </c>
      <c r="G347" s="57" t="s">
        <v>424</v>
      </c>
      <c r="H347" s="57" t="s">
        <v>425</v>
      </c>
      <c r="I347" s="57" t="s">
        <v>344</v>
      </c>
      <c r="J347" s="57" t="s">
        <v>426</v>
      </c>
      <c r="K347" s="67" t="s">
        <v>391</v>
      </c>
      <c r="L347" s="67" t="s">
        <v>427</v>
      </c>
      <c r="M347" s="67"/>
      <c r="N347" s="67" t="s">
        <v>348</v>
      </c>
      <c r="O347" s="67" t="s">
        <v>428</v>
      </c>
      <c r="P347" s="57" t="s">
        <v>179</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59" t="n">
        <f aca="false">IF(ISNUMBER(Flights!$AY$14),MAX(Q347-UpliftWindowH/24,Flights!$AY$14+UpliftWindowH/24),Q347-UpliftWindowH/24)</f>
        <v>46306.90625</v>
      </c>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IF(N347="N/A – rule","N/A – RULE",IF(TRIM(U347)="N/A",IF(AT347=0,"INVALID – N/A not permitted for this mandatory check",IF(AND(TRIM(AC347)&lt;&gt;"",TRIM(AE347)&lt;&gt;"",TRIM(T347)&lt;&gt;"",TRIM(AE347)&lt;&gt;TRIM(T347)),"N/A – JUSTIFIED","INVALID – N/A needs justification, PIC and a different verifier")),IF(OR(TRIM(U347)="Pass",TRIM(U347)="Pass after CA"),IF(NOT(ISNUMBER(AD347)),"INVALID – completion time missing",IF(TRIM(T347)="","INVALID – PIC missing",IF(TRIM(V347)="","INVALID – result / assessment missing",IF(TRIM(Z347)="","INVALID – evidence missing",IF(TRIM(AE347)="","INVALID – verifier missing",IF(TRIM(AE347)=TRIM(T347),"INVALID – verifier must be someone other than the PIC",IF(AND(AQ347=1,TRIM(W347)=""),"INVALID – batch ID missing",IF(AND(AR347=1,OR(NOT(ISNUMBER(X347)),NOT(ISNUMBER(Y347)))),"INVALID – expected/actual qty missing",IF(IF(AND(TRIM(U347)="Pass",ISNUMBER(AF347)),IF(AF347&lt;&gt;0,"INVALID – qty variance: use Fail or Pass after CA",""),"")&amp;IF(AND(TRIM(U347)="Pass",TRIM(AB347)&lt;&gt;"",TRIM(AB347)&lt;&gt;"Closed"),"INVALID – corrective action not closed: use Fail, then Pass after CA","")&amp;IF(AND(TRIM(AA347)&lt;&gt;"",TRIM(AB347)=""),"INVALID – CA status missing for the recorded corrective action","")&amp;IF(AND(TRIM(U347)="Pass after CA",OR(TRIM(AA347)="",TRIM(AB347)&lt;&gt;"Closed")),"INVALID – corrective action not recorded/closed","")&lt;&gt;"",IF(AND(TRIM(U347)="Pass",ISNUMBER(AF347)),IF(AF347&lt;&gt;0,"INVALID – qty variance: use Fail or Pass after CA",""),"")&amp;IF(AND(TRIM(U347)="Pass",TRIM(AB347)&lt;&gt;"",TRIM(AB347)&lt;&gt;"Closed"),"INVALID – corrective action not closed: use Fail, then Pass after CA","")&amp;IF(AND(TRIM(AA347)&lt;&gt;"",TRIM(AB347)=""),"INVALID – CA status missing for the recorded corrective action","")&amp;IF(AND(TRIM(U347)="Pass after CA",OR(TRIM(AA347)="",TRIM(AB347)&lt;&gt;"Closed")),"INVALID – corrective action not recorded/closed",""),IF(AND(AS347=1,Documents!$J$14&lt;&gt;"ON FILE"),"INVALID – GLD not on file (Documents sheet)",IF(AND(AS347=2,Documents!$O$14&lt;&gt;"ON FILE"),"INVALID – menu checklist not on file (Documents sheet)",IF(AND(AS347=3,NOT(ISNUMBER(Flights!$AX$14))),"INVALID – enter carrying flight KUL departure (Flights AX)",IF(AND(AS347=3,OR(Flights!$AX$14&gt;=Flights!$AA$14,Flights!$AX$14&lt;Flights!$AA$14-3)),"INVALID – Flights AX must be before this leg's STD (within 3 days)",IF(AG347&gt;AsOfUTC,"INVALID – completion time is in the future",IF(AND(ISNUMBER(S347),AG347&lt;S347),IF(H347="Physical uplift","INVALID – before uplift window (cannot confirm loading)","INVALID – before valid window"),IF(AG347&gt;Flights!$AA$14,"INVALID – completed after departure (cannot establish readiness)",IF(AND(H347="Physical uplift",AG347&gt;Q347),"INVALID – recorded after the loading flight departed",IF(AG347&gt;Q347,"COMPLETE – LATE","COMPLETE")))))))))))))))))),IF(TRIM(U347)="Fail","FAIL – DISCREPANCY",IF(AND(TRIM(U347)&lt;&gt;"",TRIM(U347)&lt;&gt;"Not started",TRIM(U347)&lt;&gt;"In progress"),"INVALID – unrecognised status (use the list)",IF(AsOfUTC&gt;Q347,"OVERDUE",IF(N347="Clarification required","OPEN – CLARIFICATION","OPEN")))))))</f>
        <v>OPEN</v>
      </c>
      <c r="AI347" s="61" t="n">
        <f aca="false">IF(OR(AH347="N/A – RULE",AH347="N/A – JUSTIFIED"),0,1)</f>
        <v>1</v>
      </c>
      <c r="AJ347" s="61" t="n">
        <f aca="false">IF(LEFT(AH347,8)="COMPLETE",1,0)</f>
        <v>0</v>
      </c>
      <c r="AK347" s="61" t="n">
        <f aca="false">IF(AND(AI347=1,AJ347=0,AsOfUTC&gt;Q347),1,0)</f>
        <v>0</v>
      </c>
      <c r="AL347" s="61" t="n">
        <f aca="false">IF(AND(AI347=1,OR(TRIM(U347)="Fail",AND(TRIM(AB347)&lt;&gt;"",TRIM(AB347)&lt;&gt;"Closed"),AND(ISNUMBER(AF347),AF347&lt;&gt;0,TRIM(U347)&lt;&gt;"Pass after CA"))),1,0)</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row>
    <row r="348" customFormat="false" ht="39.75" hidden="false" customHeight="true" outlineLevel="0" collapsed="false">
      <c r="A348" s="57" t="s">
        <v>914</v>
      </c>
      <c r="B348" s="57" t="s">
        <v>243</v>
      </c>
      <c r="C348" s="57" t="str">
        <f aca="false">Flights!$F$14</f>
        <v>MH1140</v>
      </c>
      <c r="D348" s="58" t="n">
        <f aca="false">Flights!$D$14</f>
        <v>46307</v>
      </c>
      <c r="E348" s="57" t="str">
        <f aca="false">Flights!$G$14&amp;"-"&amp;Flights!$H$14</f>
        <v>KUL-PEN</v>
      </c>
      <c r="F348" s="57" t="str">
        <f aca="false">Flights!$K$14</f>
        <v>BC</v>
      </c>
      <c r="G348" s="57" t="s">
        <v>424</v>
      </c>
      <c r="H348" s="57" t="s">
        <v>425</v>
      </c>
      <c r="I348" s="57" t="s">
        <v>393</v>
      </c>
      <c r="J348" s="57" t="s">
        <v>430</v>
      </c>
      <c r="K348" s="67" t="s">
        <v>391</v>
      </c>
      <c r="L348" s="67" t="s">
        <v>427</v>
      </c>
      <c r="M348" s="67"/>
      <c r="N348" s="67" t="s">
        <v>348</v>
      </c>
      <c r="O348" s="67" t="s">
        <v>428</v>
      </c>
      <c r="P348" s="57" t="s">
        <v>179</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59" t="n">
        <f aca="false">IF(ISNUMBER(Flights!$AY$14),MAX(Q348-UpliftWindowH/24,Flights!$AY$14+UpliftWindowH/24),Q348-UpliftWindowH/24)</f>
        <v>46306.90625</v>
      </c>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IF(N348="N/A – rule","N/A – RULE",IF(TRIM(U348)="N/A",IF(AT348=0,"INVALID – N/A not permitted for this mandatory check",IF(AND(TRIM(AC348)&lt;&gt;"",TRIM(AE348)&lt;&gt;"",TRIM(T348)&lt;&gt;"",TRIM(AE348)&lt;&gt;TRIM(T348)),"N/A – JUSTIFIED","INVALID – N/A needs justification, PIC and a different verifier")),IF(OR(TRIM(U348)="Pass",TRIM(U348)="Pass after CA"),IF(NOT(ISNUMBER(AD348)),"INVALID – completion time missing",IF(TRIM(T348)="","INVALID – PIC missing",IF(TRIM(V348)="","INVALID – result / assessment missing",IF(TRIM(Z348)="","INVALID – evidence missing",IF(TRIM(AE348)="","INVALID – verifier missing",IF(TRIM(AE348)=TRIM(T348),"INVALID – verifier must be someone other than the PIC",IF(AND(AQ348=1,TRIM(W348)=""),"INVALID – batch ID missing",IF(AND(AR348=1,OR(NOT(ISNUMBER(X348)),NOT(ISNUMBER(Y348)))),"INVALID – expected/actual qty missing",IF(IF(AND(TRIM(U348)="Pass",ISNUMBER(AF348)),IF(AF348&lt;&gt;0,"INVALID – qty variance: use Fail or Pass after CA",""),"")&amp;IF(AND(TRIM(U348)="Pass",TRIM(AB348)&lt;&gt;"",TRIM(AB348)&lt;&gt;"Closed"),"INVALID – corrective action not closed: use Fail, then Pass after CA","")&amp;IF(AND(TRIM(AA348)&lt;&gt;"",TRIM(AB348)=""),"INVALID – CA status missing for the recorded corrective action","")&amp;IF(AND(TRIM(U348)="Pass after CA",OR(TRIM(AA348)="",TRIM(AB348)&lt;&gt;"Closed")),"INVALID – corrective action not recorded/closed","")&lt;&gt;"",IF(AND(TRIM(U348)="Pass",ISNUMBER(AF348)),IF(AF348&lt;&gt;0,"INVALID – qty variance: use Fail or Pass after CA",""),"")&amp;IF(AND(TRIM(U348)="Pass",TRIM(AB348)&lt;&gt;"",TRIM(AB348)&lt;&gt;"Closed"),"INVALID – corrective action not closed: use Fail, then Pass after CA","")&amp;IF(AND(TRIM(AA348)&lt;&gt;"",TRIM(AB348)=""),"INVALID – CA status missing for the recorded corrective action","")&amp;IF(AND(TRIM(U348)="Pass after CA",OR(TRIM(AA348)="",TRIM(AB348)&lt;&gt;"Closed")),"INVALID – corrective action not recorded/closed",""),IF(AND(AS348=1,Documents!$J$14&lt;&gt;"ON FILE"),"INVALID – GLD not on file (Documents sheet)",IF(AND(AS348=2,Documents!$O$14&lt;&gt;"ON FILE"),"INVALID – menu checklist not on file (Documents sheet)",IF(AND(AS348=3,NOT(ISNUMBER(Flights!$AX$14))),"INVALID – enter carrying flight KUL departure (Flights AX)",IF(AND(AS348=3,OR(Flights!$AX$14&gt;=Flights!$AA$14,Flights!$AX$14&lt;Flights!$AA$14-3)),"INVALID – Flights AX must be before this leg's STD (within 3 days)",IF(AG348&gt;AsOfUTC,"INVALID – completion time is in the future",IF(AND(ISNUMBER(S348),AG348&lt;S348),IF(H348="Physical uplift","INVALID – before uplift window (cannot confirm loading)","INVALID – before valid window"),IF(AG348&gt;Flights!$AA$14,"INVALID – completed after departure (cannot establish readiness)",IF(AND(H348="Physical uplift",AG348&gt;Q348),"INVALID – recorded after the loading flight departed",IF(AG348&gt;Q348,"COMPLETE – LATE","COMPLETE")))))))))))))))))),IF(TRIM(U348)="Fail","FAIL – DISCREPANCY",IF(AND(TRIM(U348)&lt;&gt;"",TRIM(U348)&lt;&gt;"Not started",TRIM(U348)&lt;&gt;"In progress"),"INVALID – unrecognised status (use the list)",IF(AsOfUTC&gt;Q348,"OVERDUE",IF(N348="Clarification required","OPEN – CLARIFICATION","OPEN")))))))</f>
        <v>OPEN</v>
      </c>
      <c r="AI348" s="61" t="n">
        <f aca="false">IF(OR(AH348="N/A – RULE",AH348="N/A – JUSTIFIED"),0,1)</f>
        <v>1</v>
      </c>
      <c r="AJ348" s="61" t="n">
        <f aca="false">IF(LEFT(AH348,8)="COMPLETE",1,0)</f>
        <v>0</v>
      </c>
      <c r="AK348" s="61" t="n">
        <f aca="false">IF(AND(AI348=1,AJ348=0,AsOfUTC&gt;Q348),1,0)</f>
        <v>0</v>
      </c>
      <c r="AL348" s="61" t="n">
        <f aca="false">IF(AND(AI348=1,OR(TRIM(U348)="Fail",AND(TRIM(AB348)&lt;&gt;"",TRIM(AB348)&lt;&gt;"Closed"),AND(ISNUMBER(AF348),AF348&lt;&gt;0,TRIM(U348)&lt;&gt;"Pass after CA"))),1,0)</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row>
    <row r="349" customFormat="false" ht="41.25" hidden="false" customHeight="true" outlineLevel="0" collapsed="false">
      <c r="A349" s="57" t="s">
        <v>915</v>
      </c>
      <c r="B349" s="57" t="s">
        <v>243</v>
      </c>
      <c r="C349" s="57" t="str">
        <f aca="false">Flights!$F$14</f>
        <v>MH1140</v>
      </c>
      <c r="D349" s="58" t="n">
        <f aca="false">Flights!$D$14</f>
        <v>46307</v>
      </c>
      <c r="E349" s="57" t="str">
        <f aca="false">Flights!$G$14&amp;"-"&amp;Flights!$H$14</f>
        <v>KUL-PEN</v>
      </c>
      <c r="F349" s="57" t="str">
        <f aca="false">Flights!$K$14</f>
        <v>BC</v>
      </c>
      <c r="G349" s="57" t="s">
        <v>424</v>
      </c>
      <c r="H349" s="57" t="s">
        <v>425</v>
      </c>
      <c r="I349" s="57" t="s">
        <v>405</v>
      </c>
      <c r="J349" s="57" t="s">
        <v>499</v>
      </c>
      <c r="K349" s="67" t="s">
        <v>460</v>
      </c>
      <c r="L349" s="67" t="s">
        <v>898</v>
      </c>
      <c r="M349" s="67" t="s">
        <v>416</v>
      </c>
      <c r="N349" s="67" t="s">
        <v>348</v>
      </c>
      <c r="O349" s="67" t="s">
        <v>500</v>
      </c>
      <c r="P349" s="57" t="s">
        <v>179</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59" t="n">
        <f aca="false">IF(ISNUMBER(Flights!$AY$14),MAX(Q349-UpliftWindowH/24,Flights!$AY$14+UpliftWindowH/24),Q349-UpliftWindowH/24)</f>
        <v>46306.90625</v>
      </c>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IF(N349="N/A – rule","N/A – RULE",IF(TRIM(U349)="N/A",IF(AT349=0,"INVALID – N/A not permitted for this mandatory check",IF(AND(TRIM(AC349)&lt;&gt;"",TRIM(AE349)&lt;&gt;"",TRIM(T349)&lt;&gt;"",TRIM(AE349)&lt;&gt;TRIM(T349)),"N/A – JUSTIFIED","INVALID – N/A needs justification, PIC and a different verifier")),IF(OR(TRIM(U349)="Pass",TRIM(U349)="Pass after CA"),IF(NOT(ISNUMBER(AD349)),"INVALID – completion time missing",IF(TRIM(T349)="","INVALID – PIC missing",IF(TRIM(V349)="","INVALID – result / assessment missing",IF(TRIM(Z349)="","INVALID – evidence missing",IF(TRIM(AE349)="","INVALID – verifier missing",IF(TRIM(AE349)=TRIM(T349),"INVALID – verifier must be someone other than the PIC",IF(AND(AQ349=1,TRIM(W349)=""),"INVALID – batch ID missing",IF(AND(AR349=1,OR(NOT(ISNUMBER(X349)),NOT(ISNUMBER(Y349)))),"INVALID – expected/actual qty missing",IF(IF(AND(TRIM(U349)="Pass",ISNUMBER(AF349)),IF(AF349&lt;&gt;0,"INVALID – qty variance: use Fail or Pass after CA",""),"")&amp;IF(AND(TRIM(U349)="Pass",TRIM(AB349)&lt;&gt;"",TRIM(AB349)&lt;&gt;"Closed"),"INVALID – corrective action not closed: use Fail, then Pass after CA","")&amp;IF(AND(TRIM(AA349)&lt;&gt;"",TRIM(AB349)=""),"INVALID – CA status missing for the recorded corrective action","")&amp;IF(AND(TRIM(U349)="Pass after CA",OR(TRIM(AA349)="",TRIM(AB349)&lt;&gt;"Closed")),"INVALID – corrective action not recorded/closed","")&lt;&gt;"",IF(AND(TRIM(U349)="Pass",ISNUMBER(AF349)),IF(AF349&lt;&gt;0,"INVALID – qty variance: use Fail or Pass after CA",""),"")&amp;IF(AND(TRIM(U349)="Pass",TRIM(AB349)&lt;&gt;"",TRIM(AB349)&lt;&gt;"Closed"),"INVALID – corrective action not closed: use Fail, then Pass after CA","")&amp;IF(AND(TRIM(AA349)&lt;&gt;"",TRIM(AB349)=""),"INVALID – CA status missing for the recorded corrective action","")&amp;IF(AND(TRIM(U349)="Pass after CA",OR(TRIM(AA349)="",TRIM(AB349)&lt;&gt;"Closed")),"INVALID – corrective action not recorded/closed",""),IF(AND(AS349=1,Documents!$J$14&lt;&gt;"ON FILE"),"INVALID – GLD not on file (Documents sheet)",IF(AND(AS349=2,Documents!$O$14&lt;&gt;"ON FILE"),"INVALID – menu checklist not on file (Documents sheet)",IF(AND(AS349=3,NOT(ISNUMBER(Flights!$AX$14))),"INVALID – enter carrying flight KUL departure (Flights AX)",IF(AND(AS349=3,OR(Flights!$AX$14&gt;=Flights!$AA$14,Flights!$AX$14&lt;Flights!$AA$14-3)),"INVALID – Flights AX must be before this leg's STD (within 3 days)",IF(AG349&gt;AsOfUTC,"INVALID – completion time is in the future",IF(AND(ISNUMBER(S349),AG349&lt;S349),IF(H349="Physical uplift","INVALID – before uplift window (cannot confirm loading)","INVALID – before valid window"),IF(AG349&gt;Flights!$AA$14,"INVALID – completed after departure (cannot establish readiness)",IF(AND(H349="Physical uplift",AG349&gt;Q349),"INVALID – recorded after the loading flight departed",IF(AG349&gt;Q349,"COMPLETE – LATE","COMPLETE")))))))))))))))))),IF(TRIM(U349)="Fail","FAIL – DISCREPANCY",IF(AND(TRIM(U349)&lt;&gt;"",TRIM(U349)&lt;&gt;"Not started",TRIM(U349)&lt;&gt;"In progress"),"INVALID – unrecognised status (use the list)",IF(AsOfUTC&gt;Q349,"OVERDUE",IF(N349="Clarification required","OPEN – CLARIFICATION","OPEN")))))))</f>
        <v>OPEN</v>
      </c>
      <c r="AI349" s="61" t="n">
        <f aca="false">IF(OR(AH349="N/A – RULE",AH349="N/A – JUSTIFIED"),0,1)</f>
        <v>1</v>
      </c>
      <c r="AJ349" s="61" t="n">
        <f aca="false">IF(LEFT(AH349,8)="COMPLETE",1,0)</f>
        <v>0</v>
      </c>
      <c r="AK349" s="61" t="n">
        <f aca="false">IF(AND(AI349=1,AJ349=0,AsOfUTC&gt;Q349),1,0)</f>
        <v>0</v>
      </c>
      <c r="AL349" s="61" t="n">
        <f aca="false">IF(AND(AI349=1,OR(TRIM(U349)="Fail",AND(TRIM(AB349)&lt;&gt;"",TRIM(AB349)&lt;&gt;"Closed"),AND(ISNUMBER(AF349),AF349&lt;&gt;0,TRIM(U349)&lt;&gt;"Pass after CA"))),1,0)</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8" t="b">
        <f aca="false">TRUE()</f>
        <v>1</v>
      </c>
    </row>
    <row r="350" customFormat="false" ht="39.75" hidden="false" customHeight="true" outlineLevel="0" collapsed="false">
      <c r="A350" s="57" t="s">
        <v>916</v>
      </c>
      <c r="B350" s="57" t="s">
        <v>243</v>
      </c>
      <c r="C350" s="57" t="str">
        <f aca="false">Flights!$F$14</f>
        <v>MH1140</v>
      </c>
      <c r="D350" s="58" t="n">
        <f aca="false">Flights!$D$14</f>
        <v>46307</v>
      </c>
      <c r="E350" s="57" t="str">
        <f aca="false">Flights!$G$14&amp;"-"&amp;Flights!$H$14</f>
        <v>KUL-PEN</v>
      </c>
      <c r="F350" s="57" t="str">
        <f aca="false">Flights!$K$14</f>
        <v>BC</v>
      </c>
      <c r="G350" s="57" t="s">
        <v>424</v>
      </c>
      <c r="H350" s="57" t="s">
        <v>425</v>
      </c>
      <c r="I350" s="57" t="s">
        <v>464</v>
      </c>
      <c r="J350" s="57" t="s">
        <v>502</v>
      </c>
      <c r="K350" s="67" t="s">
        <v>466</v>
      </c>
      <c r="L350" s="67" t="s">
        <v>900</v>
      </c>
      <c r="M350" s="67" t="s">
        <v>416</v>
      </c>
      <c r="N350" s="67" t="s">
        <v>348</v>
      </c>
      <c r="O350" s="67"/>
      <c r="P350" s="57" t="s">
        <v>179</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59" t="n">
        <f aca="false">IF(ISNUMBER(Flights!$AY$14),MAX(Q350-UpliftWindowH/24,Flights!$AY$14+UpliftWindowH/24),Q350-UpliftWindowH/24)</f>
        <v>46306.90625</v>
      </c>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IF(N350="N/A – rule","N/A – RULE",IF(TRIM(U350)="N/A",IF(AT350=0,"INVALID – N/A not permitted for this mandatory check",IF(AND(TRIM(AC350)&lt;&gt;"",TRIM(AE350)&lt;&gt;"",TRIM(T350)&lt;&gt;"",TRIM(AE350)&lt;&gt;TRIM(T350)),"N/A – JUSTIFIED","INVALID – N/A needs justification, PIC and a different verifier")),IF(OR(TRIM(U350)="Pass",TRIM(U350)="Pass after CA"),IF(NOT(ISNUMBER(AD350)),"INVALID – completion time missing",IF(TRIM(T350)="","INVALID – PIC missing",IF(TRIM(V350)="","INVALID – result / assessment missing",IF(TRIM(Z350)="","INVALID – evidence missing",IF(TRIM(AE350)="","INVALID – verifier missing",IF(TRIM(AE350)=TRIM(T350),"INVALID – verifier must be someone other than the PIC",IF(AND(AQ350=1,TRIM(W350)=""),"INVALID – batch ID missing",IF(AND(AR350=1,OR(NOT(ISNUMBER(X350)),NOT(ISNUMBER(Y350)))),"INVALID – expected/actual qty missing",IF(IF(AND(TRIM(U350)="Pass",ISNUMBER(AF350)),IF(AF350&lt;&gt;0,"INVALID – qty variance: use Fail or Pass after CA",""),"")&amp;IF(AND(TRIM(U350)="Pass",TRIM(AB350)&lt;&gt;"",TRIM(AB350)&lt;&gt;"Closed"),"INVALID – corrective action not closed: use Fail, then Pass after CA","")&amp;IF(AND(TRIM(AA350)&lt;&gt;"",TRIM(AB350)=""),"INVALID – CA status missing for the recorded corrective action","")&amp;IF(AND(TRIM(U350)="Pass after CA",OR(TRIM(AA350)="",TRIM(AB350)&lt;&gt;"Closed")),"INVALID – corrective action not recorded/closed","")&lt;&gt;"",IF(AND(TRIM(U350)="Pass",ISNUMBER(AF350)),IF(AF350&lt;&gt;0,"INVALID – qty variance: use Fail or Pass after CA",""),"")&amp;IF(AND(TRIM(U350)="Pass",TRIM(AB350)&lt;&gt;"",TRIM(AB350)&lt;&gt;"Closed"),"INVALID – corrective action not closed: use Fail, then Pass after CA","")&amp;IF(AND(TRIM(AA350)&lt;&gt;"",TRIM(AB350)=""),"INVALID – CA status missing for the recorded corrective action","")&amp;IF(AND(TRIM(U350)="Pass after CA",OR(TRIM(AA350)="",TRIM(AB350)&lt;&gt;"Closed")),"INVALID – corrective action not recorded/closed",""),IF(AND(AS350=1,Documents!$J$14&lt;&gt;"ON FILE"),"INVALID – GLD not on file (Documents sheet)",IF(AND(AS350=2,Documents!$O$14&lt;&gt;"ON FILE"),"INVALID – menu checklist not on file (Documents sheet)",IF(AND(AS350=3,NOT(ISNUMBER(Flights!$AX$14))),"INVALID – enter carrying flight KUL departure (Flights AX)",IF(AND(AS350=3,OR(Flights!$AX$14&gt;=Flights!$AA$14,Flights!$AX$14&lt;Flights!$AA$14-3)),"INVALID – Flights AX must be before this leg's STD (within 3 days)",IF(AG350&gt;AsOfUTC,"INVALID – completion time is in the future",IF(AND(ISNUMBER(S350),AG350&lt;S350),IF(H350="Physical uplift","INVALID – before uplift window (cannot confirm loading)","INVALID – before valid window"),IF(AG350&gt;Flights!$AA$14,"INVALID – completed after departure (cannot establish readiness)",IF(AND(H350="Physical uplift",AG350&gt;Q350),"INVALID – recorded after the loading flight departed",IF(AG350&gt;Q350,"COMPLETE – LATE","COMPLETE")))))))))))))))))),IF(TRIM(U350)="Fail","FAIL – DISCREPANCY",IF(AND(TRIM(U350)&lt;&gt;"",TRIM(U350)&lt;&gt;"Not started",TRIM(U350)&lt;&gt;"In progress"),"INVALID – unrecognised status (use the list)",IF(AsOfUTC&gt;Q350,"OVERDUE",IF(N350="Clarification required","OPEN – CLARIFICATION","OPEN")))))))</f>
        <v>OPEN</v>
      </c>
      <c r="AI350" s="61" t="n">
        <f aca="false">IF(OR(AH350="N/A – RULE",AH350="N/A – JUSTIFIED"),0,1)</f>
        <v>1</v>
      </c>
      <c r="AJ350" s="61" t="n">
        <f aca="false">IF(LEFT(AH350,8)="COMPLETE",1,0)</f>
        <v>0</v>
      </c>
      <c r="AK350" s="61" t="n">
        <f aca="false">IF(AND(AI350=1,AJ350=0,AsOfUTC&gt;Q350),1,0)</f>
        <v>0</v>
      </c>
      <c r="AL350" s="61" t="n">
        <f aca="false">IF(AND(AI350=1,OR(TRIM(U350)="Fail",AND(TRIM(AB350)&lt;&gt;"",TRIM(AB350)&lt;&gt;"Closed"),AND(ISNUMBER(AF350),AF350&lt;&gt;0,TRIM(U350)&lt;&gt;"Pass after CA"))),1,0)</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8" t="b">
        <f aca="false">TRUE()</f>
        <v>1</v>
      </c>
    </row>
    <row r="351" customFormat="false" ht="39.75" hidden="false" customHeight="true" outlineLevel="0" collapsed="false">
      <c r="A351" s="57" t="s">
        <v>917</v>
      </c>
      <c r="B351" s="57" t="s">
        <v>243</v>
      </c>
      <c r="C351" s="57" t="str">
        <f aca="false">Flights!$F$14</f>
        <v>MH1140</v>
      </c>
      <c r="D351" s="58" t="n">
        <f aca="false">Flights!$D$14</f>
        <v>46307</v>
      </c>
      <c r="E351" s="57" t="str">
        <f aca="false">Flights!$G$14&amp;"-"&amp;Flights!$H$14</f>
        <v>KUL-PEN</v>
      </c>
      <c r="F351" s="57" t="str">
        <f aca="false">Flights!$K$14</f>
        <v>BC</v>
      </c>
      <c r="G351" s="57" t="s">
        <v>424</v>
      </c>
      <c r="H351" s="57" t="s">
        <v>425</v>
      </c>
      <c r="I351" s="57" t="s">
        <v>464</v>
      </c>
      <c r="J351" s="57" t="s">
        <v>504</v>
      </c>
      <c r="K351" s="67" t="s">
        <v>466</v>
      </c>
      <c r="L351" s="67" t="s">
        <v>902</v>
      </c>
      <c r="M351" s="67" t="s">
        <v>416</v>
      </c>
      <c r="N351" s="67" t="s">
        <v>348</v>
      </c>
      <c r="O351" s="67"/>
      <c r="P351" s="57" t="s">
        <v>179</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59" t="n">
        <f aca="false">IF(ISNUMBER(Flights!$AY$14),MAX(Q351-UpliftWindowH/24,Flights!$AY$14+UpliftWindowH/24),Q351-UpliftWindowH/24)</f>
        <v>46306.90625</v>
      </c>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IF(N351="N/A – rule","N/A – RULE",IF(TRIM(U351)="N/A",IF(AT351=0,"INVALID – N/A not permitted for this mandatory check",IF(AND(TRIM(AC351)&lt;&gt;"",TRIM(AE351)&lt;&gt;"",TRIM(T351)&lt;&gt;"",TRIM(AE351)&lt;&gt;TRIM(T351)),"N/A – JUSTIFIED","INVALID – N/A needs justification, PIC and a different verifier")),IF(OR(TRIM(U351)="Pass",TRIM(U351)="Pass after CA"),IF(NOT(ISNUMBER(AD351)),"INVALID – completion time missing",IF(TRIM(T351)="","INVALID – PIC missing",IF(TRIM(V351)="","INVALID – result / assessment missing",IF(TRIM(Z351)="","INVALID – evidence missing",IF(TRIM(AE351)="","INVALID – verifier missing",IF(TRIM(AE351)=TRIM(T351),"INVALID – verifier must be someone other than the PIC",IF(AND(AQ351=1,TRIM(W351)=""),"INVALID – batch ID missing",IF(AND(AR351=1,OR(NOT(ISNUMBER(X351)),NOT(ISNUMBER(Y351)))),"INVALID – expected/actual qty missing",IF(IF(AND(TRIM(U351)="Pass",ISNUMBER(AF351)),IF(AF351&lt;&gt;0,"INVALID – qty variance: use Fail or Pass after CA",""),"")&amp;IF(AND(TRIM(U351)="Pass",TRIM(AB351)&lt;&gt;"",TRIM(AB351)&lt;&gt;"Closed"),"INVALID – corrective action not closed: use Fail, then Pass after CA","")&amp;IF(AND(TRIM(AA351)&lt;&gt;"",TRIM(AB351)=""),"INVALID – CA status missing for the recorded corrective action","")&amp;IF(AND(TRIM(U351)="Pass after CA",OR(TRIM(AA351)="",TRIM(AB351)&lt;&gt;"Closed")),"INVALID – corrective action not recorded/closed","")&lt;&gt;"",IF(AND(TRIM(U351)="Pass",ISNUMBER(AF351)),IF(AF351&lt;&gt;0,"INVALID – qty variance: use Fail or Pass after CA",""),"")&amp;IF(AND(TRIM(U351)="Pass",TRIM(AB351)&lt;&gt;"",TRIM(AB351)&lt;&gt;"Closed"),"INVALID – corrective action not closed: use Fail, then Pass after CA","")&amp;IF(AND(TRIM(AA351)&lt;&gt;"",TRIM(AB351)=""),"INVALID – CA status missing for the recorded corrective action","")&amp;IF(AND(TRIM(U351)="Pass after CA",OR(TRIM(AA351)="",TRIM(AB351)&lt;&gt;"Closed")),"INVALID – corrective action not recorded/closed",""),IF(AND(AS351=1,Documents!$J$14&lt;&gt;"ON FILE"),"INVALID – GLD not on file (Documents sheet)",IF(AND(AS351=2,Documents!$O$14&lt;&gt;"ON FILE"),"INVALID – menu checklist not on file (Documents sheet)",IF(AND(AS351=3,NOT(ISNUMBER(Flights!$AX$14))),"INVALID – enter carrying flight KUL departure (Flights AX)",IF(AND(AS351=3,OR(Flights!$AX$14&gt;=Flights!$AA$14,Flights!$AX$14&lt;Flights!$AA$14-3)),"INVALID – Flights AX must be before this leg's STD (within 3 days)",IF(AG351&gt;AsOfUTC,"INVALID – completion time is in the future",IF(AND(ISNUMBER(S351),AG351&lt;S351),IF(H351="Physical uplift","INVALID – before uplift window (cannot confirm loading)","INVALID – before valid window"),IF(AG351&gt;Flights!$AA$14,"INVALID – completed after departure (cannot establish readiness)",IF(AND(H351="Physical uplift",AG351&gt;Q351),"INVALID – recorded after the loading flight departed",IF(AG351&gt;Q351,"COMPLETE – LATE","COMPLETE")))))))))))))))))),IF(TRIM(U351)="Fail","FAIL – DISCREPANCY",IF(AND(TRIM(U351)&lt;&gt;"",TRIM(U351)&lt;&gt;"Not started",TRIM(U351)&lt;&gt;"In progress"),"INVALID – unrecognised status (use the list)",IF(AsOfUTC&gt;Q351,"OVERDUE",IF(N351="Clarification required","OPEN – CLARIFICATION","OPEN")))))))</f>
        <v>OPEN</v>
      </c>
      <c r="AI351" s="61" t="n">
        <f aca="false">IF(OR(AH351="N/A – RULE",AH351="N/A – JUSTIFIED"),0,1)</f>
        <v>1</v>
      </c>
      <c r="AJ351" s="61" t="n">
        <f aca="false">IF(LEFT(AH351,8)="COMPLETE",1,0)</f>
        <v>0</v>
      </c>
      <c r="AK351" s="61" t="n">
        <f aca="false">IF(AND(AI351=1,AJ351=0,AsOfUTC&gt;Q351),1,0)</f>
        <v>0</v>
      </c>
      <c r="AL351" s="61" t="n">
        <f aca="false">IF(AND(AI351=1,OR(TRIM(U351)="Fail",AND(TRIM(AB351)&lt;&gt;"",TRIM(AB351)&lt;&gt;"Closed"),AND(ISNUMBER(AF351),AF351&lt;&gt;0,TRIM(U351)&lt;&gt;"Pass after CA"))),1,0)</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8" t="b">
        <f aca="false">TRUE()</f>
        <v>1</v>
      </c>
    </row>
    <row r="352" customFormat="false" ht="39.75" hidden="false" customHeight="true" outlineLevel="0" collapsed="false">
      <c r="A352" s="57" t="s">
        <v>918</v>
      </c>
      <c r="B352" s="57" t="s">
        <v>243</v>
      </c>
      <c r="C352" s="57" t="str">
        <f aca="false">Flights!$F$14</f>
        <v>MH1140</v>
      </c>
      <c r="D352" s="58" t="n">
        <f aca="false">Flights!$D$14</f>
        <v>46307</v>
      </c>
      <c r="E352" s="57" t="str">
        <f aca="false">Flights!$G$14&amp;"-"&amp;Flights!$H$14</f>
        <v>KUL-PEN</v>
      </c>
      <c r="F352" s="57" t="str">
        <f aca="false">Flights!$K$14</f>
        <v>BC</v>
      </c>
      <c r="G352" s="57" t="s">
        <v>424</v>
      </c>
      <c r="H352" s="57" t="s">
        <v>425</v>
      </c>
      <c r="I352" s="57" t="s">
        <v>464</v>
      </c>
      <c r="J352" s="57" t="s">
        <v>506</v>
      </c>
      <c r="K352" s="67" t="s">
        <v>466</v>
      </c>
      <c r="L352" s="67" t="s">
        <v>904</v>
      </c>
      <c r="M352" s="67" t="s">
        <v>416</v>
      </c>
      <c r="N352" s="67" t="s">
        <v>348</v>
      </c>
      <c r="O352" s="67"/>
      <c r="P352" s="57" t="s">
        <v>179</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59" t="n">
        <f aca="false">IF(ISNUMBER(Flights!$AY$14),MAX(Q352-UpliftWindowH/24,Flights!$AY$14+UpliftWindowH/24),Q352-UpliftWindowH/24)</f>
        <v>46306.90625</v>
      </c>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IF(N352="N/A – rule","N/A – RULE",IF(TRIM(U352)="N/A",IF(AT352=0,"INVALID – N/A not permitted for this mandatory check",IF(AND(TRIM(AC352)&lt;&gt;"",TRIM(AE352)&lt;&gt;"",TRIM(T352)&lt;&gt;"",TRIM(AE352)&lt;&gt;TRIM(T352)),"N/A – JUSTIFIED","INVALID – N/A needs justification, PIC and a different verifier")),IF(OR(TRIM(U352)="Pass",TRIM(U352)="Pass after CA"),IF(NOT(ISNUMBER(AD352)),"INVALID – completion time missing",IF(TRIM(T352)="","INVALID – PIC missing",IF(TRIM(V352)="","INVALID – result / assessment missing",IF(TRIM(Z352)="","INVALID – evidence missing",IF(TRIM(AE352)="","INVALID – verifier missing",IF(TRIM(AE352)=TRIM(T352),"INVALID – verifier must be someone other than the PIC",IF(AND(AQ352=1,TRIM(W352)=""),"INVALID – batch ID missing",IF(AND(AR352=1,OR(NOT(ISNUMBER(X352)),NOT(ISNUMBER(Y352)))),"INVALID – expected/actual qty missing",IF(IF(AND(TRIM(U352)="Pass",ISNUMBER(AF352)),IF(AF352&lt;&gt;0,"INVALID – qty variance: use Fail or Pass after CA",""),"")&amp;IF(AND(TRIM(U352)="Pass",TRIM(AB352)&lt;&gt;"",TRIM(AB352)&lt;&gt;"Closed"),"INVALID – corrective action not closed: use Fail, then Pass after CA","")&amp;IF(AND(TRIM(AA352)&lt;&gt;"",TRIM(AB352)=""),"INVALID – CA status missing for the recorded corrective action","")&amp;IF(AND(TRIM(U352)="Pass after CA",OR(TRIM(AA352)="",TRIM(AB352)&lt;&gt;"Closed")),"INVALID – corrective action not recorded/closed","")&lt;&gt;"",IF(AND(TRIM(U352)="Pass",ISNUMBER(AF352)),IF(AF352&lt;&gt;0,"INVALID – qty variance: use Fail or Pass after CA",""),"")&amp;IF(AND(TRIM(U352)="Pass",TRIM(AB352)&lt;&gt;"",TRIM(AB352)&lt;&gt;"Closed"),"INVALID – corrective action not closed: use Fail, then Pass after CA","")&amp;IF(AND(TRIM(AA352)&lt;&gt;"",TRIM(AB352)=""),"INVALID – CA status missing for the recorded corrective action","")&amp;IF(AND(TRIM(U352)="Pass after CA",OR(TRIM(AA352)="",TRIM(AB352)&lt;&gt;"Closed")),"INVALID – corrective action not recorded/closed",""),IF(AND(AS352=1,Documents!$J$14&lt;&gt;"ON FILE"),"INVALID – GLD not on file (Documents sheet)",IF(AND(AS352=2,Documents!$O$14&lt;&gt;"ON FILE"),"INVALID – menu checklist not on file (Documents sheet)",IF(AND(AS352=3,NOT(ISNUMBER(Flights!$AX$14))),"INVALID – enter carrying flight KUL departure (Flights AX)",IF(AND(AS352=3,OR(Flights!$AX$14&gt;=Flights!$AA$14,Flights!$AX$14&lt;Flights!$AA$14-3)),"INVALID – Flights AX must be before this leg's STD (within 3 days)",IF(AG352&gt;AsOfUTC,"INVALID – completion time is in the future",IF(AND(ISNUMBER(S352),AG352&lt;S352),IF(H352="Physical uplift","INVALID – before uplift window (cannot confirm loading)","INVALID – before valid window"),IF(AG352&gt;Flights!$AA$14,"INVALID – completed after departure (cannot establish readiness)",IF(AND(H352="Physical uplift",AG352&gt;Q352),"INVALID – recorded after the loading flight departed",IF(AG352&gt;Q352,"COMPLETE – LATE","COMPLETE")))))))))))))))))),IF(TRIM(U352)="Fail","FAIL – DISCREPANCY",IF(AND(TRIM(U352)&lt;&gt;"",TRIM(U352)&lt;&gt;"Not started",TRIM(U352)&lt;&gt;"In progress"),"INVALID – unrecognised status (use the list)",IF(AsOfUTC&gt;Q352,"OVERDUE",IF(N352="Clarification required","OPEN – CLARIFICATION","OPEN")))))))</f>
        <v>OPEN</v>
      </c>
      <c r="AI352" s="61" t="n">
        <f aca="false">IF(OR(AH352="N/A – RULE",AH352="N/A – JUSTIFIED"),0,1)</f>
        <v>1</v>
      </c>
      <c r="AJ352" s="61" t="n">
        <f aca="false">IF(LEFT(AH352,8)="COMPLETE",1,0)</f>
        <v>0</v>
      </c>
      <c r="AK352" s="61" t="n">
        <f aca="false">IF(AND(AI352=1,AJ352=0,AsOfUTC&gt;Q352),1,0)</f>
        <v>0</v>
      </c>
      <c r="AL352" s="61" t="n">
        <f aca="false">IF(AND(AI352=1,OR(TRIM(U352)="Fail",AND(TRIM(AB352)&lt;&gt;"",TRIM(AB352)&lt;&gt;"Closed"),AND(ISNUMBER(AF352),AF352&lt;&gt;0,TRIM(U352)&lt;&gt;"Pass after CA"))),1,0)</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8" t="b">
        <f aca="false">TRUE()</f>
        <v>1</v>
      </c>
    </row>
    <row r="353" customFormat="false" ht="39.75" hidden="false" customHeight="true" outlineLevel="0" collapsed="false">
      <c r="A353" s="57" t="s">
        <v>919</v>
      </c>
      <c r="B353" s="57" t="s">
        <v>243</v>
      </c>
      <c r="C353" s="57" t="str">
        <f aca="false">Flights!$F$14</f>
        <v>MH1140</v>
      </c>
      <c r="D353" s="58" t="n">
        <f aca="false">Flights!$D$14</f>
        <v>46307</v>
      </c>
      <c r="E353" s="57" t="str">
        <f aca="false">Flights!$G$14&amp;"-"&amp;Flights!$H$14</f>
        <v>KUL-PEN</v>
      </c>
      <c r="F353" s="57" t="str">
        <f aca="false">Flights!$K$14</f>
        <v>BC</v>
      </c>
      <c r="G353" s="57" t="s">
        <v>424</v>
      </c>
      <c r="H353" s="57" t="s">
        <v>425</v>
      </c>
      <c r="I353" s="57" t="s">
        <v>464</v>
      </c>
      <c r="J353" s="57" t="s">
        <v>513</v>
      </c>
      <c r="K353" s="67" t="s">
        <v>484</v>
      </c>
      <c r="L353" s="67" t="s">
        <v>906</v>
      </c>
      <c r="M353" s="67" t="s">
        <v>416</v>
      </c>
      <c r="N353" s="67" t="s">
        <v>348</v>
      </c>
      <c r="O353" s="67" t="s">
        <v>514</v>
      </c>
      <c r="P353" s="57" t="s">
        <v>179</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59" t="n">
        <f aca="false">IF(ISNUMBER(Flights!$AY$14),MAX(Q353-UpliftWindowH/24,Flights!$AY$14+UpliftWindowH/24),Q353-UpliftWindowH/24)</f>
        <v>46306.90625</v>
      </c>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IF(N353="N/A – rule","N/A – RULE",IF(TRIM(U353)="N/A",IF(AT353=0,"INVALID – N/A not permitted for this mandatory check",IF(AND(TRIM(AC353)&lt;&gt;"",TRIM(AE353)&lt;&gt;"",TRIM(T353)&lt;&gt;"",TRIM(AE353)&lt;&gt;TRIM(T353)),"N/A – JUSTIFIED","INVALID – N/A needs justification, PIC and a different verifier")),IF(OR(TRIM(U353)="Pass",TRIM(U353)="Pass after CA"),IF(NOT(ISNUMBER(AD353)),"INVALID – completion time missing",IF(TRIM(T353)="","INVALID – PIC missing",IF(TRIM(V353)="","INVALID – result / assessment missing",IF(TRIM(Z353)="","INVALID – evidence missing",IF(TRIM(AE353)="","INVALID – verifier missing",IF(TRIM(AE353)=TRIM(T353),"INVALID – verifier must be someone other than the PIC",IF(AND(AQ353=1,TRIM(W353)=""),"INVALID – batch ID missing",IF(AND(AR353=1,OR(NOT(ISNUMBER(X353)),NOT(ISNUMBER(Y353)))),"INVALID – expected/actual qty missing",IF(IF(AND(TRIM(U353)="Pass",ISNUMBER(AF353)),IF(AF353&lt;&gt;0,"INVALID – qty variance: use Fail or Pass after CA",""),"")&amp;IF(AND(TRIM(U353)="Pass",TRIM(AB353)&lt;&gt;"",TRIM(AB353)&lt;&gt;"Closed"),"INVALID – corrective action not closed: use Fail, then Pass after CA","")&amp;IF(AND(TRIM(AA353)&lt;&gt;"",TRIM(AB353)=""),"INVALID – CA status missing for the recorded corrective action","")&amp;IF(AND(TRIM(U353)="Pass after CA",OR(TRIM(AA353)="",TRIM(AB353)&lt;&gt;"Closed")),"INVALID – corrective action not recorded/closed","")&lt;&gt;"",IF(AND(TRIM(U353)="Pass",ISNUMBER(AF353)),IF(AF353&lt;&gt;0,"INVALID – qty variance: use Fail or Pass after CA",""),"")&amp;IF(AND(TRIM(U353)="Pass",TRIM(AB353)&lt;&gt;"",TRIM(AB353)&lt;&gt;"Closed"),"INVALID – corrective action not closed: use Fail, then Pass after CA","")&amp;IF(AND(TRIM(AA353)&lt;&gt;"",TRIM(AB353)=""),"INVALID – CA status missing for the recorded corrective action","")&amp;IF(AND(TRIM(U353)="Pass after CA",OR(TRIM(AA353)="",TRIM(AB353)&lt;&gt;"Closed")),"INVALID – corrective action not recorded/closed",""),IF(AND(AS353=1,Documents!$J$14&lt;&gt;"ON FILE"),"INVALID – GLD not on file (Documents sheet)",IF(AND(AS353=2,Documents!$O$14&lt;&gt;"ON FILE"),"INVALID – menu checklist not on file (Documents sheet)",IF(AND(AS353=3,NOT(ISNUMBER(Flights!$AX$14))),"INVALID – enter carrying flight KUL departure (Flights AX)",IF(AND(AS353=3,OR(Flights!$AX$14&gt;=Flights!$AA$14,Flights!$AX$14&lt;Flights!$AA$14-3)),"INVALID – Flights AX must be before this leg's STD (within 3 days)",IF(AG353&gt;AsOfUTC,"INVALID – completion time is in the future",IF(AND(ISNUMBER(S353),AG353&lt;S353),IF(H353="Physical uplift","INVALID – before uplift window (cannot confirm loading)","INVALID – before valid window"),IF(AG353&gt;Flights!$AA$14,"INVALID – completed after departure (cannot establish readiness)",IF(AND(H353="Physical uplift",AG353&gt;Q353),"INVALID – recorded after the loading flight departed",IF(AG353&gt;Q353,"COMPLETE – LATE","COMPLETE")))))))))))))))))),IF(TRIM(U353)="Fail","FAIL – DISCREPANCY",IF(AND(TRIM(U353)&lt;&gt;"",TRIM(U353)&lt;&gt;"Not started",TRIM(U353)&lt;&gt;"In progress"),"INVALID – unrecognised status (use the list)",IF(AsOfUTC&gt;Q353,"OVERDUE",IF(N353="Clarification required","OPEN – CLARIFICATION","OPEN")))))))</f>
        <v>OPEN</v>
      </c>
      <c r="AI353" s="61" t="n">
        <f aca="false">IF(OR(AH353="N/A – RULE",AH353="N/A – JUSTIFIED"),0,1)</f>
        <v>1</v>
      </c>
      <c r="AJ353" s="61" t="n">
        <f aca="false">IF(LEFT(AH353,8)="COMPLETE",1,0)</f>
        <v>0</v>
      </c>
      <c r="AK353" s="61" t="n">
        <f aca="false">IF(AND(AI353=1,AJ353=0,AsOfUTC&gt;Q353),1,0)</f>
        <v>0</v>
      </c>
      <c r="AL353" s="61" t="n">
        <f aca="false">IF(AND(AI353=1,OR(TRIM(U353)="Fail",AND(TRIM(AB353)&lt;&gt;"",TRIM(AB353)&lt;&gt;"Closed"),AND(ISNUMBER(AF353),AF353&lt;&gt;0,TRIM(U353)&lt;&gt;"Pass after CA"))),1,0)</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8" t="b">
        <f aca="false">TRUE()</f>
        <v>1</v>
      </c>
    </row>
    <row r="354" customFormat="false" ht="39.75" hidden="false" customHeight="true" outlineLevel="0" collapsed="false">
      <c r="A354" s="57" t="s">
        <v>920</v>
      </c>
      <c r="B354" s="57" t="s">
        <v>243</v>
      </c>
      <c r="C354" s="57" t="str">
        <f aca="false">Flights!$F$14</f>
        <v>MH1140</v>
      </c>
      <c r="D354" s="58" t="n">
        <f aca="false">Flights!$D$14</f>
        <v>46307</v>
      </c>
      <c r="E354" s="57" t="str">
        <f aca="false">Flights!$G$14&amp;"-"&amp;Flights!$H$14</f>
        <v>KUL-PEN</v>
      </c>
      <c r="F354" s="57" t="str">
        <f aca="false">Flights!$K$14</f>
        <v>BC</v>
      </c>
      <c r="G354" s="57" t="s">
        <v>424</v>
      </c>
      <c r="H354" s="57" t="s">
        <v>425</v>
      </c>
      <c r="I354" s="57" t="s">
        <v>464</v>
      </c>
      <c r="J354" s="57" t="s">
        <v>516</v>
      </c>
      <c r="K354" s="67" t="s">
        <v>466</v>
      </c>
      <c r="L354" s="67" t="s">
        <v>908</v>
      </c>
      <c r="M354" s="67" t="s">
        <v>416</v>
      </c>
      <c r="N354" s="67" t="s">
        <v>348</v>
      </c>
      <c r="O354" s="67"/>
      <c r="P354" s="57" t="s">
        <v>179</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59" t="n">
        <f aca="false">IF(ISNUMBER(Flights!$AY$14),MAX(Q354-UpliftWindowH/24,Flights!$AY$14+UpliftWindowH/24),Q354-UpliftWindowH/24)</f>
        <v>46306.90625</v>
      </c>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IF(N354="N/A – rule","N/A – RULE",IF(TRIM(U354)="N/A",IF(AT354=0,"INVALID – N/A not permitted for this mandatory check",IF(AND(TRIM(AC354)&lt;&gt;"",TRIM(AE354)&lt;&gt;"",TRIM(T354)&lt;&gt;"",TRIM(AE354)&lt;&gt;TRIM(T354)),"N/A – JUSTIFIED","INVALID – N/A needs justification, PIC and a different verifier")),IF(OR(TRIM(U354)="Pass",TRIM(U354)="Pass after CA"),IF(NOT(ISNUMBER(AD354)),"INVALID – completion time missing",IF(TRIM(T354)="","INVALID – PIC missing",IF(TRIM(V354)="","INVALID – result / assessment missing",IF(TRIM(Z354)="","INVALID – evidence missing",IF(TRIM(AE354)="","INVALID – verifier missing",IF(TRIM(AE354)=TRIM(T354),"INVALID – verifier must be someone other than the PIC",IF(AND(AQ354=1,TRIM(W354)=""),"INVALID – batch ID missing",IF(AND(AR354=1,OR(NOT(ISNUMBER(X354)),NOT(ISNUMBER(Y354)))),"INVALID – expected/actual qty missing",IF(IF(AND(TRIM(U354)="Pass",ISNUMBER(AF354)),IF(AF354&lt;&gt;0,"INVALID – qty variance: use Fail or Pass after CA",""),"")&amp;IF(AND(TRIM(U354)="Pass",TRIM(AB354)&lt;&gt;"",TRIM(AB354)&lt;&gt;"Closed"),"INVALID – corrective action not closed: use Fail, then Pass after CA","")&amp;IF(AND(TRIM(AA354)&lt;&gt;"",TRIM(AB354)=""),"INVALID – CA status missing for the recorded corrective action","")&amp;IF(AND(TRIM(U354)="Pass after CA",OR(TRIM(AA354)="",TRIM(AB354)&lt;&gt;"Closed")),"INVALID – corrective action not recorded/closed","")&lt;&gt;"",IF(AND(TRIM(U354)="Pass",ISNUMBER(AF354)),IF(AF354&lt;&gt;0,"INVALID – qty variance: use Fail or Pass after CA",""),"")&amp;IF(AND(TRIM(U354)="Pass",TRIM(AB354)&lt;&gt;"",TRIM(AB354)&lt;&gt;"Closed"),"INVALID – corrective action not closed: use Fail, then Pass after CA","")&amp;IF(AND(TRIM(AA354)&lt;&gt;"",TRIM(AB354)=""),"INVALID – CA status missing for the recorded corrective action","")&amp;IF(AND(TRIM(U354)="Pass after CA",OR(TRIM(AA354)="",TRIM(AB354)&lt;&gt;"Closed")),"INVALID – corrective action not recorded/closed",""),IF(AND(AS354=1,Documents!$J$14&lt;&gt;"ON FILE"),"INVALID – GLD not on file (Documents sheet)",IF(AND(AS354=2,Documents!$O$14&lt;&gt;"ON FILE"),"INVALID – menu checklist not on file (Documents sheet)",IF(AND(AS354=3,NOT(ISNUMBER(Flights!$AX$14))),"INVALID – enter carrying flight KUL departure (Flights AX)",IF(AND(AS354=3,OR(Flights!$AX$14&gt;=Flights!$AA$14,Flights!$AX$14&lt;Flights!$AA$14-3)),"INVALID – Flights AX must be before this leg's STD (within 3 days)",IF(AG354&gt;AsOfUTC,"INVALID – completion time is in the future",IF(AND(ISNUMBER(S354),AG354&lt;S354),IF(H354="Physical uplift","INVALID – before uplift window (cannot confirm loading)","INVALID – before valid window"),IF(AG354&gt;Flights!$AA$14,"INVALID – completed after departure (cannot establish readiness)",IF(AND(H354="Physical uplift",AG354&gt;Q354),"INVALID – recorded after the loading flight departed",IF(AG354&gt;Q354,"COMPLETE – LATE","COMPLETE")))))))))))))))))),IF(TRIM(U354)="Fail","FAIL – DISCREPANCY",IF(AND(TRIM(U354)&lt;&gt;"",TRIM(U354)&lt;&gt;"Not started",TRIM(U354)&lt;&gt;"In progress"),"INVALID – unrecognised status (use the list)",IF(AsOfUTC&gt;Q354,"OVERDUE",IF(N354="Clarification required","OPEN – CLARIFICATION","OPEN")))))))</f>
        <v>OPEN</v>
      </c>
      <c r="AI354" s="61" t="n">
        <f aca="false">IF(OR(AH354="N/A – RULE",AH354="N/A – JUSTIFIED"),0,1)</f>
        <v>1</v>
      </c>
      <c r="AJ354" s="61" t="n">
        <f aca="false">IF(LEFT(AH354,8)="COMPLETE",1,0)</f>
        <v>0</v>
      </c>
      <c r="AK354" s="61" t="n">
        <f aca="false">IF(AND(AI354=1,AJ354=0,AsOfUTC&gt;Q354),1,0)</f>
        <v>0</v>
      </c>
      <c r="AL354" s="61" t="n">
        <f aca="false">IF(AND(AI354=1,OR(TRIM(U354)="Fail",AND(TRIM(AB354)&lt;&gt;"",TRIM(AB354)&lt;&gt;"Closed"),AND(ISNUMBER(AF354),AF354&lt;&gt;0,TRIM(U354)&lt;&gt;"Pass after CA"))),1,0)</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8" t="b">
        <f aca="false">TRUE()</f>
        <v>1</v>
      </c>
    </row>
    <row r="355" customFormat="false" ht="39.75" hidden="false" customHeight="true" outlineLevel="0" collapsed="false">
      <c r="A355" s="57" t="s">
        <v>921</v>
      </c>
      <c r="B355" s="57" t="s">
        <v>243</v>
      </c>
      <c r="C355" s="57" t="str">
        <f aca="false">Flights!$F$14</f>
        <v>MH1140</v>
      </c>
      <c r="D355" s="58" t="n">
        <f aca="false">Flights!$D$14</f>
        <v>46307</v>
      </c>
      <c r="E355" s="57" t="str">
        <f aca="false">Flights!$G$14&amp;"-"&amp;Flights!$H$14</f>
        <v>KUL-PEN</v>
      </c>
      <c r="F355" s="57" t="str">
        <f aca="false">Flights!$K$14</f>
        <v>BC</v>
      </c>
      <c r="G355" s="57" t="s">
        <v>424</v>
      </c>
      <c r="H355" s="57" t="s">
        <v>425</v>
      </c>
      <c r="I355" s="57" t="s">
        <v>412</v>
      </c>
      <c r="J355" s="57" t="s">
        <v>518</v>
      </c>
      <c r="K355" s="67" t="s">
        <v>414</v>
      </c>
      <c r="L355" s="67" t="s">
        <v>910</v>
      </c>
      <c r="M355" s="67" t="s">
        <v>416</v>
      </c>
      <c r="N355" s="67" t="s">
        <v>348</v>
      </c>
      <c r="O355" s="67"/>
      <c r="P355" s="57" t="s">
        <v>179</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59" t="n">
        <f aca="false">IF(ISNUMBER(Flights!$AY$14),MAX(Q355-UpliftWindowH/24,Flights!$AY$14+UpliftWindowH/24),Q355-UpliftWindowH/24)</f>
        <v>46306.90625</v>
      </c>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IF(N355="N/A – rule","N/A – RULE",IF(TRIM(U355)="N/A",IF(AT355=0,"INVALID – N/A not permitted for this mandatory check",IF(AND(TRIM(AC355)&lt;&gt;"",TRIM(AE355)&lt;&gt;"",TRIM(T355)&lt;&gt;"",TRIM(AE355)&lt;&gt;TRIM(T355)),"N/A – JUSTIFIED","INVALID – N/A needs justification, PIC and a different verifier")),IF(OR(TRIM(U355)="Pass",TRIM(U355)="Pass after CA"),IF(NOT(ISNUMBER(AD355)),"INVALID – completion time missing",IF(TRIM(T355)="","INVALID – PIC missing",IF(TRIM(V355)="","INVALID – result / assessment missing",IF(TRIM(Z355)="","INVALID – evidence missing",IF(TRIM(AE355)="","INVALID – verifier missing",IF(TRIM(AE355)=TRIM(T355),"INVALID – verifier must be someone other than the PIC",IF(AND(AQ355=1,TRIM(W355)=""),"INVALID – batch ID missing",IF(AND(AR355=1,OR(NOT(ISNUMBER(X355)),NOT(ISNUMBER(Y355)))),"INVALID – expected/actual qty missing",IF(IF(AND(TRIM(U355)="Pass",ISNUMBER(AF355)),IF(AF355&lt;&gt;0,"INVALID – qty variance: use Fail or Pass after CA",""),"")&amp;IF(AND(TRIM(U355)="Pass",TRIM(AB355)&lt;&gt;"",TRIM(AB355)&lt;&gt;"Closed"),"INVALID – corrective action not closed: use Fail, then Pass after CA","")&amp;IF(AND(TRIM(AA355)&lt;&gt;"",TRIM(AB355)=""),"INVALID – CA status missing for the recorded corrective action","")&amp;IF(AND(TRIM(U355)="Pass after CA",OR(TRIM(AA355)="",TRIM(AB355)&lt;&gt;"Closed")),"INVALID – corrective action not recorded/closed","")&lt;&gt;"",IF(AND(TRIM(U355)="Pass",ISNUMBER(AF355)),IF(AF355&lt;&gt;0,"INVALID – qty variance: use Fail or Pass after CA",""),"")&amp;IF(AND(TRIM(U355)="Pass",TRIM(AB355)&lt;&gt;"",TRIM(AB355)&lt;&gt;"Closed"),"INVALID – corrective action not closed: use Fail, then Pass after CA","")&amp;IF(AND(TRIM(AA355)&lt;&gt;"",TRIM(AB355)=""),"INVALID – CA status missing for the recorded corrective action","")&amp;IF(AND(TRIM(U355)="Pass after CA",OR(TRIM(AA355)="",TRIM(AB355)&lt;&gt;"Closed")),"INVALID – corrective action not recorded/closed",""),IF(AND(AS355=1,Documents!$J$14&lt;&gt;"ON FILE"),"INVALID – GLD not on file (Documents sheet)",IF(AND(AS355=2,Documents!$O$14&lt;&gt;"ON FILE"),"INVALID – menu checklist not on file (Documents sheet)",IF(AND(AS355=3,NOT(ISNUMBER(Flights!$AX$14))),"INVALID – enter carrying flight KUL departure (Flights AX)",IF(AND(AS355=3,OR(Flights!$AX$14&gt;=Flights!$AA$14,Flights!$AX$14&lt;Flights!$AA$14-3)),"INVALID – Flights AX must be before this leg's STD (within 3 days)",IF(AG355&gt;AsOfUTC,"INVALID – completion time is in the future",IF(AND(ISNUMBER(S355),AG355&lt;S355),IF(H355="Physical uplift","INVALID – before uplift window (cannot confirm loading)","INVALID – before valid window"),IF(AG355&gt;Flights!$AA$14,"INVALID – completed after departure (cannot establish readiness)",IF(AND(H355="Physical uplift",AG355&gt;Q355),"INVALID – recorded after the loading flight departed",IF(AG355&gt;Q355,"COMPLETE – LATE","COMPLETE")))))))))))))))))),IF(TRIM(U355)="Fail","FAIL – DISCREPANCY",IF(AND(TRIM(U355)&lt;&gt;"",TRIM(U355)&lt;&gt;"Not started",TRIM(U355)&lt;&gt;"In progress"),"INVALID – unrecognised status (use the list)",IF(AsOfUTC&gt;Q355,"OVERDUE",IF(N355="Clarification required","OPEN – CLARIFICATION","OPEN")))))))</f>
        <v>OPEN</v>
      </c>
      <c r="AI355" s="61" t="n">
        <f aca="false">IF(OR(AH355="N/A – RULE",AH355="N/A – JUSTIFIED"),0,1)</f>
        <v>1</v>
      </c>
      <c r="AJ355" s="61" t="n">
        <f aca="false">IF(LEFT(AH355,8)="COMPLETE",1,0)</f>
        <v>0</v>
      </c>
      <c r="AK355" s="61" t="n">
        <f aca="false">IF(AND(AI355=1,AJ355=0,AsOfUTC&gt;Q355),1,0)</f>
        <v>0</v>
      </c>
      <c r="AL355" s="61" t="n">
        <f aca="false">IF(AND(AI355=1,OR(TRIM(U355)="Fail",AND(TRIM(AB355)&lt;&gt;"",TRIM(AB355)&lt;&gt;"Closed"),AND(ISNUMBER(AF355),AF355&lt;&gt;0,TRIM(U355)&lt;&gt;"Pass after CA"))),1,0)</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8" t="b">
        <f aca="false">TRUE()</f>
        <v>1</v>
      </c>
    </row>
    <row r="356" customFormat="false" ht="39.75" hidden="false" customHeight="true" outlineLevel="0" collapsed="false">
      <c r="A356" s="57" t="s">
        <v>922</v>
      </c>
      <c r="B356" s="57" t="s">
        <v>243</v>
      </c>
      <c r="C356" s="57" t="str">
        <f aca="false">Flights!$F$14</f>
        <v>MH1140</v>
      </c>
      <c r="D356" s="58" t="n">
        <f aca="false">Flights!$D$14</f>
        <v>46307</v>
      </c>
      <c r="E356" s="57" t="str">
        <f aca="false">Flights!$G$14&amp;"-"&amp;Flights!$H$14</f>
        <v>KUL-PEN</v>
      </c>
      <c r="F356" s="57" t="str">
        <f aca="false">Flights!$K$14</f>
        <v>BC</v>
      </c>
      <c r="G356" s="57" t="s">
        <v>424</v>
      </c>
      <c r="H356" s="57" t="s">
        <v>425</v>
      </c>
      <c r="I356" s="57" t="s">
        <v>412</v>
      </c>
      <c r="J356" s="57" t="s">
        <v>520</v>
      </c>
      <c r="K356" s="67" t="s">
        <v>414</v>
      </c>
      <c r="L356" s="67" t="s">
        <v>912</v>
      </c>
      <c r="M356" s="67" t="s">
        <v>416</v>
      </c>
      <c r="N356" s="67" t="s">
        <v>348</v>
      </c>
      <c r="O356" s="67"/>
      <c r="P356" s="57" t="s">
        <v>179</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59" t="n">
        <f aca="false">IF(ISNUMBER(Flights!$AY$14),MAX(Q356-UpliftWindowH/24,Flights!$AY$14+UpliftWindowH/24),Q356-UpliftWindowH/24)</f>
        <v>46306.90625</v>
      </c>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IF(N356="N/A – rule","N/A – RULE",IF(TRIM(U356)="N/A",IF(AT356=0,"INVALID – N/A not permitted for this mandatory check",IF(AND(TRIM(AC356)&lt;&gt;"",TRIM(AE356)&lt;&gt;"",TRIM(T356)&lt;&gt;"",TRIM(AE356)&lt;&gt;TRIM(T356)),"N/A – JUSTIFIED","INVALID – N/A needs justification, PIC and a different verifier")),IF(OR(TRIM(U356)="Pass",TRIM(U356)="Pass after CA"),IF(NOT(ISNUMBER(AD356)),"INVALID – completion time missing",IF(TRIM(T356)="","INVALID – PIC missing",IF(TRIM(V356)="","INVALID – result / assessment missing",IF(TRIM(Z356)="","INVALID – evidence missing",IF(TRIM(AE356)="","INVALID – verifier missing",IF(TRIM(AE356)=TRIM(T356),"INVALID – verifier must be someone other than the PIC",IF(AND(AQ356=1,TRIM(W356)=""),"INVALID – batch ID missing",IF(AND(AR356=1,OR(NOT(ISNUMBER(X356)),NOT(ISNUMBER(Y356)))),"INVALID – expected/actual qty missing",IF(IF(AND(TRIM(U356)="Pass",ISNUMBER(AF356)),IF(AF356&lt;&gt;0,"INVALID – qty variance: use Fail or Pass after CA",""),"")&amp;IF(AND(TRIM(U356)="Pass",TRIM(AB356)&lt;&gt;"",TRIM(AB356)&lt;&gt;"Closed"),"INVALID – corrective action not closed: use Fail, then Pass after CA","")&amp;IF(AND(TRIM(AA356)&lt;&gt;"",TRIM(AB356)=""),"INVALID – CA status missing for the recorded corrective action","")&amp;IF(AND(TRIM(U356)="Pass after CA",OR(TRIM(AA356)="",TRIM(AB356)&lt;&gt;"Closed")),"INVALID – corrective action not recorded/closed","")&lt;&gt;"",IF(AND(TRIM(U356)="Pass",ISNUMBER(AF356)),IF(AF356&lt;&gt;0,"INVALID – qty variance: use Fail or Pass after CA",""),"")&amp;IF(AND(TRIM(U356)="Pass",TRIM(AB356)&lt;&gt;"",TRIM(AB356)&lt;&gt;"Closed"),"INVALID – corrective action not closed: use Fail, then Pass after CA","")&amp;IF(AND(TRIM(AA356)&lt;&gt;"",TRIM(AB356)=""),"INVALID – CA status missing for the recorded corrective action","")&amp;IF(AND(TRIM(U356)="Pass after CA",OR(TRIM(AA356)="",TRIM(AB356)&lt;&gt;"Closed")),"INVALID – corrective action not recorded/closed",""),IF(AND(AS356=1,Documents!$J$14&lt;&gt;"ON FILE"),"INVALID – GLD not on file (Documents sheet)",IF(AND(AS356=2,Documents!$O$14&lt;&gt;"ON FILE"),"INVALID – menu checklist not on file (Documents sheet)",IF(AND(AS356=3,NOT(ISNUMBER(Flights!$AX$14))),"INVALID – enter carrying flight KUL departure (Flights AX)",IF(AND(AS356=3,OR(Flights!$AX$14&gt;=Flights!$AA$14,Flights!$AX$14&lt;Flights!$AA$14-3)),"INVALID – Flights AX must be before this leg's STD (within 3 days)",IF(AG356&gt;AsOfUTC,"INVALID – completion time is in the future",IF(AND(ISNUMBER(S356),AG356&lt;S356),IF(H356="Physical uplift","INVALID – before uplift window (cannot confirm loading)","INVALID – before valid window"),IF(AG356&gt;Flights!$AA$14,"INVALID – completed after departure (cannot establish readiness)",IF(AND(H356="Physical uplift",AG356&gt;Q356),"INVALID – recorded after the loading flight departed",IF(AG356&gt;Q356,"COMPLETE – LATE","COMPLETE")))))))))))))))))),IF(TRIM(U356)="Fail","FAIL – DISCREPANCY",IF(AND(TRIM(U356)&lt;&gt;"",TRIM(U356)&lt;&gt;"Not started",TRIM(U356)&lt;&gt;"In progress"),"INVALID – unrecognised status (use the list)",IF(AsOfUTC&gt;Q356,"OVERDUE",IF(N356="Clarification required","OPEN – CLARIFICATION","OPEN")))))))</f>
        <v>OPEN</v>
      </c>
      <c r="AI356" s="61" t="n">
        <f aca="false">IF(OR(AH356="N/A – RULE",AH356="N/A – JUSTIFIED"),0,1)</f>
        <v>1</v>
      </c>
      <c r="AJ356" s="61" t="n">
        <f aca="false">IF(LEFT(AH356,8)="COMPLETE",1,0)</f>
        <v>0</v>
      </c>
      <c r="AK356" s="61" t="n">
        <f aca="false">IF(AND(AI356=1,AJ356=0,AsOfUTC&gt;Q356),1,0)</f>
        <v>0</v>
      </c>
      <c r="AL356" s="61" t="n">
        <f aca="false">IF(AND(AI356=1,OR(TRIM(U356)="Fail",AND(TRIM(AB356)&lt;&gt;"",TRIM(AB356)&lt;&gt;"Closed"),AND(ISNUMBER(AF356),AF356&lt;&gt;0,TRIM(U356)&lt;&gt;"Pass after CA"))),1,0)</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8" t="b">
        <f aca="false">TRUE()</f>
        <v>1</v>
      </c>
    </row>
    <row r="357" customFormat="false" ht="39.75" hidden="false" customHeight="true" outlineLevel="0" collapsed="false">
      <c r="A357" s="57" t="s">
        <v>923</v>
      </c>
      <c r="B357" s="57" t="s">
        <v>250</v>
      </c>
      <c r="C357" s="57" t="str">
        <f aca="false">Flights!$F$15</f>
        <v>MH1149</v>
      </c>
      <c r="D357" s="58" t="n">
        <f aca="false">Flights!$D$15</f>
        <v>46307</v>
      </c>
      <c r="E357" s="57" t="str">
        <f aca="false">Flights!$G$15&amp;"-"&amp;Flights!$H$15</f>
        <v>PEN-KUL</v>
      </c>
      <c r="F357" s="57" t="str">
        <f aca="false">Flights!$K$15</f>
        <v>EY</v>
      </c>
      <c r="G357" s="57" t="s">
        <v>76</v>
      </c>
      <c r="H357" s="57" t="s">
        <v>343</v>
      </c>
      <c r="I357" s="57" t="s">
        <v>344</v>
      </c>
      <c r="J357" s="57" t="s">
        <v>345</v>
      </c>
      <c r="K357" s="67" t="s">
        <v>346</v>
      </c>
      <c r="L357" s="67" t="s">
        <v>347</v>
      </c>
      <c r="M357" s="67"/>
      <c r="N357" s="67" t="s">
        <v>348</v>
      </c>
      <c r="O357" s="67" t="s">
        <v>877</v>
      </c>
      <c r="P357" s="57" t="s">
        <v>179</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59" t="n">
        <f aca="false">Q357-T7EarlyD*24/24</f>
        <v>46286.3263888889</v>
      </c>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IF(N357="N/A – rule","N/A – RULE",IF(TRIM(U357)="N/A",IF(AT357=0,"INVALID – N/A not permitted for this mandatory check",IF(AND(TRIM(AC357)&lt;&gt;"",TRIM(AE357)&lt;&gt;"",TRIM(T357)&lt;&gt;"",TRIM(AE357)&lt;&gt;TRIM(T357)),"N/A – JUSTIFIED","INVALID – N/A needs justification, PIC and a different verifier")),IF(OR(TRIM(U357)="Pass",TRIM(U357)="Pass after CA"),IF(NOT(ISNUMBER(AD357)),"INVALID – completion time missing",IF(TRIM(T357)="","INVALID – PIC missing",IF(TRIM(V357)="","INVALID – result / assessment missing",IF(TRIM(Z357)="","INVALID – evidence missing",IF(TRIM(AE357)="","INVALID – verifier missing",IF(TRIM(AE357)=TRIM(T357),"INVALID – verifier must be someone other than the PIC",IF(AND(AQ357=1,TRIM(W357)=""),"INVALID – batch ID missing",IF(AND(AR357=1,OR(NOT(ISNUMBER(X357)),NOT(ISNUMBER(Y357)))),"INVALID – expected/actual qty missing",IF(IF(AND(TRIM(U357)="Pass",ISNUMBER(AF357)),IF(AF357&lt;&gt;0,"INVALID – qty variance: use Fail or Pass after CA",""),"")&amp;IF(AND(TRIM(U357)="Pass",TRIM(AB357)&lt;&gt;"",TRIM(AB357)&lt;&gt;"Closed"),"INVALID – corrective action not closed: use Fail, then Pass after CA","")&amp;IF(AND(TRIM(AA357)&lt;&gt;"",TRIM(AB357)=""),"INVALID – CA status missing for the recorded corrective action","")&amp;IF(AND(TRIM(U357)="Pass after CA",OR(TRIM(AA357)="",TRIM(AB357)&lt;&gt;"Closed")),"INVALID – corrective action not recorded/closed","")&lt;&gt;"",IF(AND(TRIM(U357)="Pass",ISNUMBER(AF357)),IF(AF357&lt;&gt;0,"INVALID – qty variance: use Fail or Pass after CA",""),"")&amp;IF(AND(TRIM(U357)="Pass",TRIM(AB357)&lt;&gt;"",TRIM(AB357)&lt;&gt;"Closed"),"INVALID – corrective action not closed: use Fail, then Pass after CA","")&amp;IF(AND(TRIM(AA357)&lt;&gt;"",TRIM(AB357)=""),"INVALID – CA status missing for the recorded corrective action","")&amp;IF(AND(TRIM(U357)="Pass after CA",OR(TRIM(AA357)="",TRIM(AB357)&lt;&gt;"Closed")),"INVALID – corrective action not recorded/closed",""),IF(AND(AS357=1,Documents!$J$15&lt;&gt;"ON FILE"),"INVALID – GLD not on file (Documents sheet)",IF(AND(AS357=2,Documents!$O$15&lt;&gt;"ON FILE"),"INVALID – menu checklist not on file (Documents sheet)",IF(AND(AS357=3,NOT(ISNUMBER(Flights!$AX$15))),"INVALID – enter carrying flight KUL departure (Flights AX)",IF(AND(AS357=3,OR(Flights!$AX$15&gt;=Flights!$AA$15,Flights!$AX$15&lt;Flights!$AA$15-3)),"INVALID – Flights AX must be before this leg's STD (within 3 days)",IF(AG357&gt;AsOfUTC,"INVALID – completion time is in the future",IF(AND(ISNUMBER(S357),AG357&lt;S357),IF(H357="Physical uplift","INVALID – before uplift window (cannot confirm loading)","INVALID – before valid window"),IF(AG357&gt;Flights!$AA$15,"INVALID – completed after departure (cannot establish readiness)",IF(AND(H357="Physical uplift",AG357&gt;Q357),"INVALID – recorded after the loading flight departed",IF(AG357&gt;Q357,"COMPLETE – LATE","COMPLETE")))))))))))))))))),IF(TRIM(U357)="Fail","FAIL – DISCREPANCY",IF(AND(TRIM(U357)&lt;&gt;"",TRIM(U357)&lt;&gt;"Not started",TRIM(U357)&lt;&gt;"In progress"),"INVALID – unrecognised status (use the list)",IF(AsOfUTC&gt;Q357,"OVERDUE",IF(N357="Clarification required","OPEN – CLARIFICATION","OPEN")))))))</f>
        <v>OPEN</v>
      </c>
      <c r="AI357" s="61" t="n">
        <f aca="false">IF(OR(AH357="N/A – RULE",AH357="N/A – JUSTIFIED"),0,1)</f>
        <v>1</v>
      </c>
      <c r="AJ357" s="61" t="n">
        <f aca="false">IF(LEFT(AH357,8)="COMPLETE",1,0)</f>
        <v>0</v>
      </c>
      <c r="AK357" s="61" t="n">
        <f aca="false">IF(AND(AI357=1,AJ357=0,AsOfUTC&gt;Q357),1,0)</f>
        <v>0</v>
      </c>
      <c r="AL357" s="61" t="n">
        <f aca="false">IF(AND(AI357=1,OR(TRIM(U357)="Fail",AND(TRIM(AB357)&lt;&gt;"",TRIM(AB357)&lt;&gt;"Closed"),AND(ISNUMBER(AF357),AF357&lt;&gt;0,TRIM(U357)&lt;&gt;"Pass after CA"))),1,0)</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row>
    <row r="358" customFormat="false" ht="41.25" hidden="false" customHeight="true" outlineLevel="0" collapsed="false">
      <c r="A358" s="57" t="s">
        <v>924</v>
      </c>
      <c r="B358" s="57" t="s">
        <v>250</v>
      </c>
      <c r="C358" s="57" t="str">
        <f aca="false">Flights!$F$15</f>
        <v>MH1149</v>
      </c>
      <c r="D358" s="58" t="n">
        <f aca="false">Flights!$D$15</f>
        <v>46307</v>
      </c>
      <c r="E358" s="57" t="str">
        <f aca="false">Flights!$G$15&amp;"-"&amp;Flights!$H$15</f>
        <v>PEN-KUL</v>
      </c>
      <c r="F358" s="57" t="str">
        <f aca="false">Flights!$K$15</f>
        <v>EY</v>
      </c>
      <c r="G358" s="57" t="s">
        <v>76</v>
      </c>
      <c r="H358" s="57" t="s">
        <v>343</v>
      </c>
      <c r="I358" s="57" t="s">
        <v>350</v>
      </c>
      <c r="J358" s="57" t="s">
        <v>351</v>
      </c>
      <c r="K358" s="67" t="s">
        <v>352</v>
      </c>
      <c r="L358" s="67" t="s">
        <v>347</v>
      </c>
      <c r="M358" s="67"/>
      <c r="N358" s="67" t="s">
        <v>348</v>
      </c>
      <c r="O358" s="67" t="s">
        <v>879</v>
      </c>
      <c r="P358" s="57" t="s">
        <v>179</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59" t="n">
        <f aca="false">Q358-T7EarlyD*24/24</f>
        <v>46286.3263888889</v>
      </c>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IF(N358="N/A – rule","N/A – RULE",IF(TRIM(U358)="N/A",IF(AT358=0,"INVALID – N/A not permitted for this mandatory check",IF(AND(TRIM(AC358)&lt;&gt;"",TRIM(AE358)&lt;&gt;"",TRIM(T358)&lt;&gt;"",TRIM(AE358)&lt;&gt;TRIM(T358)),"N/A – JUSTIFIED","INVALID – N/A needs justification, PIC and a different verifier")),IF(OR(TRIM(U358)="Pass",TRIM(U358)="Pass after CA"),IF(NOT(ISNUMBER(AD358)),"INVALID – completion time missing",IF(TRIM(T358)="","INVALID – PIC missing",IF(TRIM(V358)="","INVALID – result / assessment missing",IF(TRIM(Z358)="","INVALID – evidence missing",IF(TRIM(AE358)="","INVALID – verifier missing",IF(TRIM(AE358)=TRIM(T358),"INVALID – verifier must be someone other than the PIC",IF(AND(AQ358=1,TRIM(W358)=""),"INVALID – batch ID missing",IF(AND(AR358=1,OR(NOT(ISNUMBER(X358)),NOT(ISNUMBER(Y358)))),"INVALID – expected/actual qty missing",IF(IF(AND(TRIM(U358)="Pass",ISNUMBER(AF358)),IF(AF358&lt;&gt;0,"INVALID – qty variance: use Fail or Pass after CA",""),"")&amp;IF(AND(TRIM(U358)="Pass",TRIM(AB358)&lt;&gt;"",TRIM(AB358)&lt;&gt;"Closed"),"INVALID – corrective action not closed: use Fail, then Pass after CA","")&amp;IF(AND(TRIM(AA358)&lt;&gt;"",TRIM(AB358)=""),"INVALID – CA status missing for the recorded corrective action","")&amp;IF(AND(TRIM(U358)="Pass after CA",OR(TRIM(AA358)="",TRIM(AB358)&lt;&gt;"Closed")),"INVALID – corrective action not recorded/closed","")&lt;&gt;"",IF(AND(TRIM(U358)="Pass",ISNUMBER(AF358)),IF(AF358&lt;&gt;0,"INVALID – qty variance: use Fail or Pass after CA",""),"")&amp;IF(AND(TRIM(U358)="Pass",TRIM(AB358)&lt;&gt;"",TRIM(AB358)&lt;&gt;"Closed"),"INVALID – corrective action not closed: use Fail, then Pass after CA","")&amp;IF(AND(TRIM(AA358)&lt;&gt;"",TRIM(AB358)=""),"INVALID – CA status missing for the recorded corrective action","")&amp;IF(AND(TRIM(U358)="Pass after CA",OR(TRIM(AA358)="",TRIM(AB358)&lt;&gt;"Closed")),"INVALID – corrective action not recorded/closed",""),IF(AND(AS358=1,Documents!$J$15&lt;&gt;"ON FILE"),"INVALID – GLD not on file (Documents sheet)",IF(AND(AS358=2,Documents!$O$15&lt;&gt;"ON FILE"),"INVALID – menu checklist not on file (Documents sheet)",IF(AND(AS358=3,NOT(ISNUMBER(Flights!$AX$15))),"INVALID – enter carrying flight KUL departure (Flights AX)",IF(AND(AS358=3,OR(Flights!$AX$15&gt;=Flights!$AA$15,Flights!$AX$15&lt;Flights!$AA$15-3)),"INVALID – Flights AX must be before this leg's STD (within 3 days)",IF(AG358&gt;AsOfUTC,"INVALID – completion time is in the future",IF(AND(ISNUMBER(S358),AG358&lt;S358),IF(H358="Physical uplift","INVALID – before uplift window (cannot confirm loading)","INVALID – before valid window"),IF(AG358&gt;Flights!$AA$15,"INVALID – completed after departure (cannot establish readiness)",IF(AND(H358="Physical uplift",AG358&gt;Q358),"INVALID – recorded after the loading flight departed",IF(AG358&gt;Q358,"COMPLETE – LATE","COMPLETE")))))))))))))))))),IF(TRIM(U358)="Fail","FAIL – DISCREPANCY",IF(AND(TRIM(U358)&lt;&gt;"",TRIM(U358)&lt;&gt;"Not started",TRIM(U358)&lt;&gt;"In progress"),"INVALID – unrecognised status (use the list)",IF(AsOfUTC&gt;Q358,"OVERDUE",IF(N358="Clarification required","OPEN – CLARIFICATION","OPEN")))))))</f>
        <v>OPEN</v>
      </c>
      <c r="AI358" s="61" t="n">
        <f aca="false">IF(OR(AH358="N/A – RULE",AH358="N/A – JUSTIFIED"),0,1)</f>
        <v>1</v>
      </c>
      <c r="AJ358" s="61" t="n">
        <f aca="false">IF(LEFT(AH358,8)="COMPLETE",1,0)</f>
        <v>0</v>
      </c>
      <c r="AK358" s="61" t="n">
        <f aca="false">IF(AND(AI358=1,AJ358=0,AsOfUTC&gt;Q358),1,0)</f>
        <v>0</v>
      </c>
      <c r="AL358" s="61" t="n">
        <f aca="false">IF(AND(AI358=1,OR(TRIM(U358)="Fail",AND(TRIM(AB358)&lt;&gt;"",TRIM(AB358)&lt;&gt;"Closed"),AND(ISNUMBER(AF358),AF358&lt;&gt;0,TRIM(U358)&lt;&gt;"Pass after CA"))),1,0)</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8" t="b">
        <f aca="false">TRUE()</f>
        <v>1</v>
      </c>
    </row>
    <row r="359" customFormat="false" ht="41.25" hidden="false" customHeight="true" outlineLevel="0" collapsed="false">
      <c r="A359" s="57" t="s">
        <v>925</v>
      </c>
      <c r="B359" s="57" t="s">
        <v>250</v>
      </c>
      <c r="C359" s="57" t="str">
        <f aca="false">Flights!$F$15</f>
        <v>MH1149</v>
      </c>
      <c r="D359" s="58" t="n">
        <f aca="false">Flights!$D$15</f>
        <v>46307</v>
      </c>
      <c r="E359" s="57" t="str">
        <f aca="false">Flights!$G$15&amp;"-"&amp;Flights!$H$15</f>
        <v>PEN-KUL</v>
      </c>
      <c r="F359" s="57" t="str">
        <f aca="false">Flights!$K$15</f>
        <v>EY</v>
      </c>
      <c r="G359" s="57" t="s">
        <v>76</v>
      </c>
      <c r="H359" s="57" t="s">
        <v>343</v>
      </c>
      <c r="I359" s="57" t="s">
        <v>354</v>
      </c>
      <c r="J359" s="57" t="s">
        <v>355</v>
      </c>
      <c r="K359" s="67" t="s">
        <v>356</v>
      </c>
      <c r="L359" s="67" t="s">
        <v>347</v>
      </c>
      <c r="M359" s="67"/>
      <c r="N359" s="67" t="str">
        <f aca="false">IF(TRIM(Flights!$L$15)="A339","Required","N/A – rule")</f>
        <v>N/A – rule</v>
      </c>
      <c r="O359" s="67" t="s">
        <v>357</v>
      </c>
      <c r="P359" s="57" t="s">
        <v>179</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59" t="n">
        <f aca="false">Q359-T7EarlyD*24/24</f>
        <v>46286.3263888889</v>
      </c>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IF(N359="N/A – rule","N/A – RULE",IF(TRIM(U359)="N/A",IF(AT359=0,"INVALID – N/A not permitted for this mandatory check",IF(AND(TRIM(AC359)&lt;&gt;"",TRIM(AE359)&lt;&gt;"",TRIM(T359)&lt;&gt;"",TRIM(AE359)&lt;&gt;TRIM(T359)),"N/A – JUSTIFIED","INVALID – N/A needs justification, PIC and a different verifier")),IF(OR(TRIM(U359)="Pass",TRIM(U359)="Pass after CA"),IF(NOT(ISNUMBER(AD359)),"INVALID – completion time missing",IF(TRIM(T359)="","INVALID – PIC missing",IF(TRIM(V359)="","INVALID – result / assessment missing",IF(TRIM(Z359)="","INVALID – evidence missing",IF(TRIM(AE359)="","INVALID – verifier missing",IF(TRIM(AE359)=TRIM(T359),"INVALID – verifier must be someone other than the PIC",IF(AND(AQ359=1,TRIM(W359)=""),"INVALID – batch ID missing",IF(AND(AR359=1,OR(NOT(ISNUMBER(X359)),NOT(ISNUMBER(Y359)))),"INVALID – expected/actual qty missing",IF(IF(AND(TRIM(U359)="Pass",ISNUMBER(AF359)),IF(AF359&lt;&gt;0,"INVALID – qty variance: use Fail or Pass after CA",""),"")&amp;IF(AND(TRIM(U359)="Pass",TRIM(AB359)&lt;&gt;"",TRIM(AB359)&lt;&gt;"Closed"),"INVALID – corrective action not closed: use Fail, then Pass after CA","")&amp;IF(AND(TRIM(AA359)&lt;&gt;"",TRIM(AB359)=""),"INVALID – CA status missing for the recorded corrective action","")&amp;IF(AND(TRIM(U359)="Pass after CA",OR(TRIM(AA359)="",TRIM(AB359)&lt;&gt;"Closed")),"INVALID – corrective action not recorded/closed","")&lt;&gt;"",IF(AND(TRIM(U359)="Pass",ISNUMBER(AF359)),IF(AF359&lt;&gt;0,"INVALID – qty variance: use Fail or Pass after CA",""),"")&amp;IF(AND(TRIM(U359)="Pass",TRIM(AB359)&lt;&gt;"",TRIM(AB359)&lt;&gt;"Closed"),"INVALID – corrective action not closed: use Fail, then Pass after CA","")&amp;IF(AND(TRIM(AA359)&lt;&gt;"",TRIM(AB359)=""),"INVALID – CA status missing for the recorded corrective action","")&amp;IF(AND(TRIM(U359)="Pass after CA",OR(TRIM(AA359)="",TRIM(AB359)&lt;&gt;"Closed")),"INVALID – corrective action not recorded/closed",""),IF(AND(AS359=1,Documents!$J$15&lt;&gt;"ON FILE"),"INVALID – GLD not on file (Documents sheet)",IF(AND(AS359=2,Documents!$O$15&lt;&gt;"ON FILE"),"INVALID – menu checklist not on file (Documents sheet)",IF(AND(AS359=3,NOT(ISNUMBER(Flights!$AX$15))),"INVALID – enter carrying flight KUL departure (Flights AX)",IF(AND(AS359=3,OR(Flights!$AX$15&gt;=Flights!$AA$15,Flights!$AX$15&lt;Flights!$AA$15-3)),"INVALID – Flights AX must be before this leg's STD (within 3 days)",IF(AG359&gt;AsOfUTC,"INVALID – completion time is in the future",IF(AND(ISNUMBER(S359),AG359&lt;S359),IF(H359="Physical uplift","INVALID – before uplift window (cannot confirm loading)","INVALID – before valid window"),IF(AG359&gt;Flights!$AA$15,"INVALID – completed after departure (cannot establish readiness)",IF(AND(H359="Physical uplift",AG359&gt;Q359),"INVALID – recorded after the loading flight departed",IF(AG359&gt;Q359,"COMPLETE – LATE","COMPLETE")))))))))))))))))),IF(TRIM(U359)="Fail","FAIL – DISCREPANCY",IF(AND(TRIM(U359)&lt;&gt;"",TRIM(U359)&lt;&gt;"Not started",TRIM(U359)&lt;&gt;"In progress"),"INVALID – unrecognised status (use the list)",IF(AsOfUTC&gt;Q359,"OVERDUE",IF(N359="Clarification required","OPEN – CLARIFICATION","OPEN")))))))</f>
        <v>N/A – RULE</v>
      </c>
      <c r="AI359" s="61" t="n">
        <f aca="false">IF(OR(AH359="N/A – RULE",AH359="N/A – JUSTIFIED"),0,1)</f>
        <v>0</v>
      </c>
      <c r="AJ359" s="61" t="n">
        <f aca="false">IF(LEFT(AH359,8)="COMPLETE",1,0)</f>
        <v>0</v>
      </c>
      <c r="AK359" s="61" t="n">
        <f aca="false">IF(AND(AI359=1,AJ359=0,AsOfUTC&gt;Q359),1,0)</f>
        <v>0</v>
      </c>
      <c r="AL359" s="61" t="n">
        <f aca="false">IF(AND(AI359=1,OR(TRIM(U359)="Fail",AND(TRIM(AB359)&lt;&gt;"",TRIM(AB359)&lt;&gt;"Closed"),AND(ISNUMBER(AF359),AF359&lt;&gt;0,TRIM(U359)&lt;&gt;"Pass after CA"))),1,0)</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row>
    <row r="360" customFormat="false" ht="39.75" hidden="false" customHeight="true" outlineLevel="0" collapsed="false">
      <c r="A360" s="57" t="s">
        <v>926</v>
      </c>
      <c r="B360" s="57" t="s">
        <v>250</v>
      </c>
      <c r="C360" s="57" t="str">
        <f aca="false">Flights!$F$15</f>
        <v>MH1149</v>
      </c>
      <c r="D360" s="58" t="n">
        <f aca="false">Flights!$D$15</f>
        <v>46307</v>
      </c>
      <c r="E360" s="57" t="str">
        <f aca="false">Flights!$G$15&amp;"-"&amp;Flights!$H$15</f>
        <v>PEN-KUL</v>
      </c>
      <c r="F360" s="57" t="str">
        <f aca="false">Flights!$K$15</f>
        <v>EY</v>
      </c>
      <c r="G360" s="57" t="s">
        <v>76</v>
      </c>
      <c r="H360" s="57" t="s">
        <v>343</v>
      </c>
      <c r="I360" s="57" t="s">
        <v>359</v>
      </c>
      <c r="J360" s="57" t="s">
        <v>360</v>
      </c>
      <c r="K360" s="67" t="s">
        <v>361</v>
      </c>
      <c r="L360" s="67" t="s">
        <v>347</v>
      </c>
      <c r="M360" s="67"/>
      <c r="N360" s="67" t="s">
        <v>348</v>
      </c>
      <c r="O360" s="67"/>
      <c r="P360" s="57" t="s">
        <v>179</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59" t="n">
        <f aca="false">Q360-T7EarlyD*24/24</f>
        <v>46286.3263888889</v>
      </c>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IF(N360="N/A – rule","N/A – RULE",IF(TRIM(U360)="N/A",IF(AT360=0,"INVALID – N/A not permitted for this mandatory check",IF(AND(TRIM(AC360)&lt;&gt;"",TRIM(AE360)&lt;&gt;"",TRIM(T360)&lt;&gt;"",TRIM(AE360)&lt;&gt;TRIM(T360)),"N/A – JUSTIFIED","INVALID – N/A needs justification, PIC and a different verifier")),IF(OR(TRIM(U360)="Pass",TRIM(U360)="Pass after CA"),IF(NOT(ISNUMBER(AD360)),"INVALID – completion time missing",IF(TRIM(T360)="","INVALID – PIC missing",IF(TRIM(V360)="","INVALID – result / assessment missing",IF(TRIM(Z360)="","INVALID – evidence missing",IF(TRIM(AE360)="","INVALID – verifier missing",IF(TRIM(AE360)=TRIM(T360),"INVALID – verifier must be someone other than the PIC",IF(AND(AQ360=1,TRIM(W360)=""),"INVALID – batch ID missing",IF(AND(AR360=1,OR(NOT(ISNUMBER(X360)),NOT(ISNUMBER(Y360)))),"INVALID – expected/actual qty missing",IF(IF(AND(TRIM(U360)="Pass",ISNUMBER(AF360)),IF(AF360&lt;&gt;0,"INVALID – qty variance: use Fail or Pass after CA",""),"")&amp;IF(AND(TRIM(U360)="Pass",TRIM(AB360)&lt;&gt;"",TRIM(AB360)&lt;&gt;"Closed"),"INVALID – corrective action not closed: use Fail, then Pass after CA","")&amp;IF(AND(TRIM(AA360)&lt;&gt;"",TRIM(AB360)=""),"INVALID – CA status missing for the recorded corrective action","")&amp;IF(AND(TRIM(U360)="Pass after CA",OR(TRIM(AA360)="",TRIM(AB360)&lt;&gt;"Closed")),"INVALID – corrective action not recorded/closed","")&lt;&gt;"",IF(AND(TRIM(U360)="Pass",ISNUMBER(AF360)),IF(AF360&lt;&gt;0,"INVALID – qty variance: use Fail or Pass after CA",""),"")&amp;IF(AND(TRIM(U360)="Pass",TRIM(AB360)&lt;&gt;"",TRIM(AB360)&lt;&gt;"Closed"),"INVALID – corrective action not closed: use Fail, then Pass after CA","")&amp;IF(AND(TRIM(AA360)&lt;&gt;"",TRIM(AB360)=""),"INVALID – CA status missing for the recorded corrective action","")&amp;IF(AND(TRIM(U360)="Pass after CA",OR(TRIM(AA360)="",TRIM(AB360)&lt;&gt;"Closed")),"INVALID – corrective action not recorded/closed",""),IF(AND(AS360=1,Documents!$J$15&lt;&gt;"ON FILE"),"INVALID – GLD not on file (Documents sheet)",IF(AND(AS360=2,Documents!$O$15&lt;&gt;"ON FILE"),"INVALID – menu checklist not on file (Documents sheet)",IF(AND(AS360=3,NOT(ISNUMBER(Flights!$AX$15))),"INVALID – enter carrying flight KUL departure (Flights AX)",IF(AND(AS360=3,OR(Flights!$AX$15&gt;=Flights!$AA$15,Flights!$AX$15&lt;Flights!$AA$15-3)),"INVALID – Flights AX must be before this leg's STD (within 3 days)",IF(AG360&gt;AsOfUTC,"INVALID – completion time is in the future",IF(AND(ISNUMBER(S360),AG360&lt;S360),IF(H360="Physical uplift","INVALID – before uplift window (cannot confirm loading)","INVALID – before valid window"),IF(AG360&gt;Flights!$AA$15,"INVALID – completed after departure (cannot establish readiness)",IF(AND(H360="Physical uplift",AG360&gt;Q360),"INVALID – recorded after the loading flight departed",IF(AG360&gt;Q360,"COMPLETE – LATE","COMPLETE")))))))))))))))))),IF(TRIM(U360)="Fail","FAIL – DISCREPANCY",IF(AND(TRIM(U360)&lt;&gt;"",TRIM(U360)&lt;&gt;"Not started",TRIM(U360)&lt;&gt;"In progress"),"INVALID – unrecognised status (use the list)",IF(AsOfUTC&gt;Q360,"OVERDUE",IF(N360="Clarification required","OPEN – CLARIFICATION","OPEN")))))))</f>
        <v>OPEN</v>
      </c>
      <c r="AI360" s="61" t="n">
        <f aca="false">IF(OR(AH360="N/A – RULE",AH360="N/A – JUSTIFIED"),0,1)</f>
        <v>1</v>
      </c>
      <c r="AJ360" s="61" t="n">
        <f aca="false">IF(LEFT(AH360,8)="COMPLETE",1,0)</f>
        <v>0</v>
      </c>
      <c r="AK360" s="61" t="n">
        <f aca="false">IF(AND(AI360=1,AJ360=0,AsOfUTC&gt;Q360),1,0)</f>
        <v>0</v>
      </c>
      <c r="AL360" s="61" t="n">
        <f aca="false">IF(AND(AI360=1,OR(TRIM(U360)="Fail",AND(TRIM(AB360)&lt;&gt;"",TRIM(AB360)&lt;&gt;"Closed"),AND(ISNUMBER(AF360),AF360&lt;&gt;0,TRIM(U360)&lt;&gt;"Pass after CA"))),1,0)</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row>
    <row r="361" customFormat="false" ht="39.75" hidden="false" customHeight="true" outlineLevel="0" collapsed="false">
      <c r="A361" s="57" t="s">
        <v>927</v>
      </c>
      <c r="B361" s="57" t="s">
        <v>250</v>
      </c>
      <c r="C361" s="57" t="str">
        <f aca="false">Flights!$F$15</f>
        <v>MH1149</v>
      </c>
      <c r="D361" s="58" t="n">
        <f aca="false">Flights!$D$15</f>
        <v>46307</v>
      </c>
      <c r="E361" s="57" t="str">
        <f aca="false">Flights!$G$15&amp;"-"&amp;Flights!$H$15</f>
        <v>PEN-KUL</v>
      </c>
      <c r="F361" s="57" t="str">
        <f aca="false">Flights!$K$15</f>
        <v>EY</v>
      </c>
      <c r="G361" s="57" t="s">
        <v>76</v>
      </c>
      <c r="H361" s="57" t="s">
        <v>343</v>
      </c>
      <c r="I361" s="57" t="s">
        <v>363</v>
      </c>
      <c r="J361" s="57" t="s">
        <v>364</v>
      </c>
      <c r="K361" s="67" t="s">
        <v>365</v>
      </c>
      <c r="L361" s="67" t="s">
        <v>347</v>
      </c>
      <c r="M361" s="67"/>
      <c r="N361" s="67" t="s">
        <v>348</v>
      </c>
      <c r="O361" s="67"/>
      <c r="P361" s="57" t="s">
        <v>179</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59" t="n">
        <f aca="false">Q361-T7EarlyD*24/24</f>
        <v>46286.3263888889</v>
      </c>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IF(N361="N/A – rule","N/A – RULE",IF(TRIM(U361)="N/A",IF(AT361=0,"INVALID – N/A not permitted for this mandatory check",IF(AND(TRIM(AC361)&lt;&gt;"",TRIM(AE361)&lt;&gt;"",TRIM(T361)&lt;&gt;"",TRIM(AE361)&lt;&gt;TRIM(T361)),"N/A – JUSTIFIED","INVALID – N/A needs justification, PIC and a different verifier")),IF(OR(TRIM(U361)="Pass",TRIM(U361)="Pass after CA"),IF(NOT(ISNUMBER(AD361)),"INVALID – completion time missing",IF(TRIM(T361)="","INVALID – PIC missing",IF(TRIM(V361)="","INVALID – result / assessment missing",IF(TRIM(Z361)="","INVALID – evidence missing",IF(TRIM(AE361)="","INVALID – verifier missing",IF(TRIM(AE361)=TRIM(T361),"INVALID – verifier must be someone other than the PIC",IF(AND(AQ361=1,TRIM(W361)=""),"INVALID – batch ID missing",IF(AND(AR361=1,OR(NOT(ISNUMBER(X361)),NOT(ISNUMBER(Y361)))),"INVALID – expected/actual qty missing",IF(IF(AND(TRIM(U361)="Pass",ISNUMBER(AF361)),IF(AF361&lt;&gt;0,"INVALID – qty variance: use Fail or Pass after CA",""),"")&amp;IF(AND(TRIM(U361)="Pass",TRIM(AB361)&lt;&gt;"",TRIM(AB361)&lt;&gt;"Closed"),"INVALID – corrective action not closed: use Fail, then Pass after CA","")&amp;IF(AND(TRIM(AA361)&lt;&gt;"",TRIM(AB361)=""),"INVALID – CA status missing for the recorded corrective action","")&amp;IF(AND(TRIM(U361)="Pass after CA",OR(TRIM(AA361)="",TRIM(AB361)&lt;&gt;"Closed")),"INVALID – corrective action not recorded/closed","")&lt;&gt;"",IF(AND(TRIM(U361)="Pass",ISNUMBER(AF361)),IF(AF361&lt;&gt;0,"INVALID – qty variance: use Fail or Pass after CA",""),"")&amp;IF(AND(TRIM(U361)="Pass",TRIM(AB361)&lt;&gt;"",TRIM(AB361)&lt;&gt;"Closed"),"INVALID – corrective action not closed: use Fail, then Pass after CA","")&amp;IF(AND(TRIM(AA361)&lt;&gt;"",TRIM(AB361)=""),"INVALID – CA status missing for the recorded corrective action","")&amp;IF(AND(TRIM(U361)="Pass after CA",OR(TRIM(AA361)="",TRIM(AB361)&lt;&gt;"Closed")),"INVALID – corrective action not recorded/closed",""),IF(AND(AS361=1,Documents!$J$15&lt;&gt;"ON FILE"),"INVALID – GLD not on file (Documents sheet)",IF(AND(AS361=2,Documents!$O$15&lt;&gt;"ON FILE"),"INVALID – menu checklist not on file (Documents sheet)",IF(AND(AS361=3,NOT(ISNUMBER(Flights!$AX$15))),"INVALID – enter carrying flight KUL departure (Flights AX)",IF(AND(AS361=3,OR(Flights!$AX$15&gt;=Flights!$AA$15,Flights!$AX$15&lt;Flights!$AA$15-3)),"INVALID – Flights AX must be before this leg's STD (within 3 days)",IF(AG361&gt;AsOfUTC,"INVALID – completion time is in the future",IF(AND(ISNUMBER(S361),AG361&lt;S361),IF(H361="Physical uplift","INVALID – before uplift window (cannot confirm loading)","INVALID – before valid window"),IF(AG361&gt;Flights!$AA$15,"INVALID – completed after departure (cannot establish readiness)",IF(AND(H361="Physical uplift",AG361&gt;Q361),"INVALID – recorded after the loading flight departed",IF(AG361&gt;Q361,"COMPLETE – LATE","COMPLETE")))))))))))))))))),IF(TRIM(U361)="Fail","FAIL – DISCREPANCY",IF(AND(TRIM(U361)&lt;&gt;"",TRIM(U361)&lt;&gt;"Not started",TRIM(U361)&lt;&gt;"In progress"),"INVALID – unrecognised status (use the list)",IF(AsOfUTC&gt;Q361,"OVERDUE",IF(N361="Clarification required","OPEN – CLARIFICATION","OPEN")))))))</f>
        <v>OPEN</v>
      </c>
      <c r="AI361" s="61" t="n">
        <f aca="false">IF(OR(AH361="N/A – RULE",AH361="N/A – JUSTIFIED"),0,1)</f>
        <v>1</v>
      </c>
      <c r="AJ361" s="61" t="n">
        <f aca="false">IF(LEFT(AH361,8)="COMPLETE",1,0)</f>
        <v>0</v>
      </c>
      <c r="AK361" s="61" t="n">
        <f aca="false">IF(AND(AI361=1,AJ361=0,AsOfUTC&gt;Q361),1,0)</f>
        <v>0</v>
      </c>
      <c r="AL361" s="61" t="n">
        <f aca="false">IF(AND(AI361=1,OR(TRIM(U361)="Fail",AND(TRIM(AB361)&lt;&gt;"",TRIM(AB361)&lt;&gt;"Closed"),AND(ISNUMBER(AF361),AF361&lt;&gt;0,TRIM(U361)&lt;&gt;"Pass after CA"))),1,0)</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row>
    <row r="362" customFormat="false" ht="39.75" hidden="false" customHeight="true" outlineLevel="0" collapsed="false">
      <c r="A362" s="57" t="s">
        <v>928</v>
      </c>
      <c r="B362" s="57" t="s">
        <v>250</v>
      </c>
      <c r="C362" s="57" t="str">
        <f aca="false">Flights!$F$15</f>
        <v>MH1149</v>
      </c>
      <c r="D362" s="58" t="n">
        <f aca="false">Flights!$D$15</f>
        <v>46307</v>
      </c>
      <c r="E362" s="57" t="str">
        <f aca="false">Flights!$G$15&amp;"-"&amp;Flights!$H$15</f>
        <v>PEN-KUL</v>
      </c>
      <c r="F362" s="57" t="str">
        <f aca="false">Flights!$K$15</f>
        <v>EY</v>
      </c>
      <c r="G362" s="57" t="s">
        <v>76</v>
      </c>
      <c r="H362" s="57" t="s">
        <v>343</v>
      </c>
      <c r="I362" s="57" t="s">
        <v>363</v>
      </c>
      <c r="J362" s="57" t="s">
        <v>367</v>
      </c>
      <c r="K362" s="67" t="s">
        <v>368</v>
      </c>
      <c r="L362" s="67" t="s">
        <v>347</v>
      </c>
      <c r="M362" s="67"/>
      <c r="N362" s="67" t="s">
        <v>348</v>
      </c>
      <c r="O362" s="67"/>
      <c r="P362" s="57" t="s">
        <v>179</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59" t="n">
        <f aca="false">Q362-T7EarlyD*24/24</f>
        <v>46286.3263888889</v>
      </c>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IF(N362="N/A – rule","N/A – RULE",IF(TRIM(U362)="N/A",IF(AT362=0,"INVALID – N/A not permitted for this mandatory check",IF(AND(TRIM(AC362)&lt;&gt;"",TRIM(AE362)&lt;&gt;"",TRIM(T362)&lt;&gt;"",TRIM(AE362)&lt;&gt;TRIM(T362)),"N/A – JUSTIFIED","INVALID – N/A needs justification, PIC and a different verifier")),IF(OR(TRIM(U362)="Pass",TRIM(U362)="Pass after CA"),IF(NOT(ISNUMBER(AD362)),"INVALID – completion time missing",IF(TRIM(T362)="","INVALID – PIC missing",IF(TRIM(V362)="","INVALID – result / assessment missing",IF(TRIM(Z362)="","INVALID – evidence missing",IF(TRIM(AE362)="","INVALID – verifier missing",IF(TRIM(AE362)=TRIM(T362),"INVALID – verifier must be someone other than the PIC",IF(AND(AQ362=1,TRIM(W362)=""),"INVALID – batch ID missing",IF(AND(AR362=1,OR(NOT(ISNUMBER(X362)),NOT(ISNUMBER(Y362)))),"INVALID – expected/actual qty missing",IF(IF(AND(TRIM(U362)="Pass",ISNUMBER(AF362)),IF(AF362&lt;&gt;0,"INVALID – qty variance: use Fail or Pass after CA",""),"")&amp;IF(AND(TRIM(U362)="Pass",TRIM(AB362)&lt;&gt;"",TRIM(AB362)&lt;&gt;"Closed"),"INVALID – corrective action not closed: use Fail, then Pass after CA","")&amp;IF(AND(TRIM(AA362)&lt;&gt;"",TRIM(AB362)=""),"INVALID – CA status missing for the recorded corrective action","")&amp;IF(AND(TRIM(U362)="Pass after CA",OR(TRIM(AA362)="",TRIM(AB362)&lt;&gt;"Closed")),"INVALID – corrective action not recorded/closed","")&lt;&gt;"",IF(AND(TRIM(U362)="Pass",ISNUMBER(AF362)),IF(AF362&lt;&gt;0,"INVALID – qty variance: use Fail or Pass after CA",""),"")&amp;IF(AND(TRIM(U362)="Pass",TRIM(AB362)&lt;&gt;"",TRIM(AB362)&lt;&gt;"Closed"),"INVALID – corrective action not closed: use Fail, then Pass after CA","")&amp;IF(AND(TRIM(AA362)&lt;&gt;"",TRIM(AB362)=""),"INVALID – CA status missing for the recorded corrective action","")&amp;IF(AND(TRIM(U362)="Pass after CA",OR(TRIM(AA362)="",TRIM(AB362)&lt;&gt;"Closed")),"INVALID – corrective action not recorded/closed",""),IF(AND(AS362=1,Documents!$J$15&lt;&gt;"ON FILE"),"INVALID – GLD not on file (Documents sheet)",IF(AND(AS362=2,Documents!$O$15&lt;&gt;"ON FILE"),"INVALID – menu checklist not on file (Documents sheet)",IF(AND(AS362=3,NOT(ISNUMBER(Flights!$AX$15))),"INVALID – enter carrying flight KUL departure (Flights AX)",IF(AND(AS362=3,OR(Flights!$AX$15&gt;=Flights!$AA$15,Flights!$AX$15&lt;Flights!$AA$15-3)),"INVALID – Flights AX must be before this leg's STD (within 3 days)",IF(AG362&gt;AsOfUTC,"INVALID – completion time is in the future",IF(AND(ISNUMBER(S362),AG362&lt;S362),IF(H362="Physical uplift","INVALID – before uplift window (cannot confirm loading)","INVALID – before valid window"),IF(AG362&gt;Flights!$AA$15,"INVALID – completed after departure (cannot establish readiness)",IF(AND(H362="Physical uplift",AG362&gt;Q362),"INVALID – recorded after the loading flight departed",IF(AG362&gt;Q362,"COMPLETE – LATE","COMPLETE")))))))))))))))))),IF(TRIM(U362)="Fail","FAIL – DISCREPANCY",IF(AND(TRIM(U362)&lt;&gt;"",TRIM(U362)&lt;&gt;"Not started",TRIM(U362)&lt;&gt;"In progress"),"INVALID – unrecognised status (use the list)",IF(AsOfUTC&gt;Q362,"OVERDUE",IF(N362="Clarification required","OPEN – CLARIFICATION","OPEN")))))))</f>
        <v>OPEN</v>
      </c>
      <c r="AI362" s="61" t="n">
        <f aca="false">IF(OR(AH362="N/A – RULE",AH362="N/A – JUSTIFIED"),0,1)</f>
        <v>1</v>
      </c>
      <c r="AJ362" s="61" t="n">
        <f aca="false">IF(LEFT(AH362,8)="COMPLETE",1,0)</f>
        <v>0</v>
      </c>
      <c r="AK362" s="61" t="n">
        <f aca="false">IF(AND(AI362=1,AJ362=0,AsOfUTC&gt;Q362),1,0)</f>
        <v>0</v>
      </c>
      <c r="AL362" s="61" t="n">
        <f aca="false">IF(AND(AI362=1,OR(TRIM(U362)="Fail",AND(TRIM(AB362)&lt;&gt;"",TRIM(AB362)&lt;&gt;"Closed"),AND(ISNUMBER(AF362),AF362&lt;&gt;0,TRIM(U362)&lt;&gt;"Pass after CA"))),1,0)</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row>
    <row r="363" customFormat="false" ht="39.75" hidden="false" customHeight="true" outlineLevel="0" collapsed="false">
      <c r="A363" s="57" t="s">
        <v>929</v>
      </c>
      <c r="B363" s="57" t="s">
        <v>250</v>
      </c>
      <c r="C363" s="57" t="str">
        <f aca="false">Flights!$F$15</f>
        <v>MH1149</v>
      </c>
      <c r="D363" s="58" t="n">
        <f aca="false">Flights!$D$15</f>
        <v>46307</v>
      </c>
      <c r="E363" s="57" t="str">
        <f aca="false">Flights!$G$15&amp;"-"&amp;Flights!$H$15</f>
        <v>PEN-KUL</v>
      </c>
      <c r="F363" s="57" t="str">
        <f aca="false">Flights!$K$15</f>
        <v>EY</v>
      </c>
      <c r="G363" s="57" t="s">
        <v>76</v>
      </c>
      <c r="H363" s="57" t="s">
        <v>343</v>
      </c>
      <c r="I363" s="57" t="s">
        <v>370</v>
      </c>
      <c r="J363" s="57" t="s">
        <v>371</v>
      </c>
      <c r="K363" s="67" t="s">
        <v>372</v>
      </c>
      <c r="L363" s="67" t="s">
        <v>347</v>
      </c>
      <c r="M363" s="67"/>
      <c r="N363" s="67" t="s">
        <v>348</v>
      </c>
      <c r="O363" s="67"/>
      <c r="P363" s="57" t="s">
        <v>179</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59" t="n">
        <f aca="false">Q363-T7EarlyD*24/24</f>
        <v>46286.3263888889</v>
      </c>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IF(N363="N/A – rule","N/A – RULE",IF(TRIM(U363)="N/A",IF(AT363=0,"INVALID – N/A not permitted for this mandatory check",IF(AND(TRIM(AC363)&lt;&gt;"",TRIM(AE363)&lt;&gt;"",TRIM(T363)&lt;&gt;"",TRIM(AE363)&lt;&gt;TRIM(T363)),"N/A – JUSTIFIED","INVALID – N/A needs justification, PIC and a different verifier")),IF(OR(TRIM(U363)="Pass",TRIM(U363)="Pass after CA"),IF(NOT(ISNUMBER(AD363)),"INVALID – completion time missing",IF(TRIM(T363)="","INVALID – PIC missing",IF(TRIM(V363)="","INVALID – result / assessment missing",IF(TRIM(Z363)="","INVALID – evidence missing",IF(TRIM(AE363)="","INVALID – verifier missing",IF(TRIM(AE363)=TRIM(T363),"INVALID – verifier must be someone other than the PIC",IF(AND(AQ363=1,TRIM(W363)=""),"INVALID – batch ID missing",IF(AND(AR363=1,OR(NOT(ISNUMBER(X363)),NOT(ISNUMBER(Y363)))),"INVALID – expected/actual qty missing",IF(IF(AND(TRIM(U363)="Pass",ISNUMBER(AF363)),IF(AF363&lt;&gt;0,"INVALID – qty variance: use Fail or Pass after CA",""),"")&amp;IF(AND(TRIM(U363)="Pass",TRIM(AB363)&lt;&gt;"",TRIM(AB363)&lt;&gt;"Closed"),"INVALID – corrective action not closed: use Fail, then Pass after CA","")&amp;IF(AND(TRIM(AA363)&lt;&gt;"",TRIM(AB363)=""),"INVALID – CA status missing for the recorded corrective action","")&amp;IF(AND(TRIM(U363)="Pass after CA",OR(TRIM(AA363)="",TRIM(AB363)&lt;&gt;"Closed")),"INVALID – corrective action not recorded/closed","")&lt;&gt;"",IF(AND(TRIM(U363)="Pass",ISNUMBER(AF363)),IF(AF363&lt;&gt;0,"INVALID – qty variance: use Fail or Pass after CA",""),"")&amp;IF(AND(TRIM(U363)="Pass",TRIM(AB363)&lt;&gt;"",TRIM(AB363)&lt;&gt;"Closed"),"INVALID – corrective action not closed: use Fail, then Pass after CA","")&amp;IF(AND(TRIM(AA363)&lt;&gt;"",TRIM(AB363)=""),"INVALID – CA status missing for the recorded corrective action","")&amp;IF(AND(TRIM(U363)="Pass after CA",OR(TRIM(AA363)="",TRIM(AB363)&lt;&gt;"Closed")),"INVALID – corrective action not recorded/closed",""),IF(AND(AS363=1,Documents!$J$15&lt;&gt;"ON FILE"),"INVALID – GLD not on file (Documents sheet)",IF(AND(AS363=2,Documents!$O$15&lt;&gt;"ON FILE"),"INVALID – menu checklist not on file (Documents sheet)",IF(AND(AS363=3,NOT(ISNUMBER(Flights!$AX$15))),"INVALID – enter carrying flight KUL departure (Flights AX)",IF(AND(AS363=3,OR(Flights!$AX$15&gt;=Flights!$AA$15,Flights!$AX$15&lt;Flights!$AA$15-3)),"INVALID – Flights AX must be before this leg's STD (within 3 days)",IF(AG363&gt;AsOfUTC,"INVALID – completion time is in the future",IF(AND(ISNUMBER(S363),AG363&lt;S363),IF(H363="Physical uplift","INVALID – before uplift window (cannot confirm loading)","INVALID – before valid window"),IF(AG363&gt;Flights!$AA$15,"INVALID – completed after departure (cannot establish readiness)",IF(AND(H363="Physical uplift",AG363&gt;Q363),"INVALID – recorded after the loading flight departed",IF(AG363&gt;Q363,"COMPLETE – LATE","COMPLETE")))))))))))))))))),IF(TRIM(U363)="Fail","FAIL – DISCREPANCY",IF(AND(TRIM(U363)&lt;&gt;"",TRIM(U363)&lt;&gt;"Not started",TRIM(U363)&lt;&gt;"In progress"),"INVALID – unrecognised status (use the list)",IF(AsOfUTC&gt;Q363,"OVERDUE",IF(N363="Clarification required","OPEN – CLARIFICATION","OPEN")))))))</f>
        <v>OPEN</v>
      </c>
      <c r="AI363" s="61" t="n">
        <f aca="false">IF(OR(AH363="N/A – RULE",AH363="N/A – JUSTIFIED"),0,1)</f>
        <v>1</v>
      </c>
      <c r="AJ363" s="61" t="n">
        <f aca="false">IF(LEFT(AH363,8)="COMPLETE",1,0)</f>
        <v>0</v>
      </c>
      <c r="AK363" s="61" t="n">
        <f aca="false">IF(AND(AI363=1,AJ363=0,AsOfUTC&gt;Q363),1,0)</f>
        <v>0</v>
      </c>
      <c r="AL363" s="61" t="n">
        <f aca="false">IF(AND(AI363=1,OR(TRIM(U363)="Fail",AND(TRIM(AB363)&lt;&gt;"",TRIM(AB363)&lt;&gt;"Closed"),AND(ISNUMBER(AF363),AF363&lt;&gt;0,TRIM(U363)&lt;&gt;"Pass after CA"))),1,0)</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row>
    <row r="364" customFormat="false" ht="39.75" hidden="false" customHeight="true" outlineLevel="0" collapsed="false">
      <c r="A364" s="57" t="s">
        <v>930</v>
      </c>
      <c r="B364" s="57" t="s">
        <v>250</v>
      </c>
      <c r="C364" s="57" t="str">
        <f aca="false">Flights!$F$15</f>
        <v>MH1149</v>
      </c>
      <c r="D364" s="58" t="n">
        <f aca="false">Flights!$D$15</f>
        <v>46307</v>
      </c>
      <c r="E364" s="57" t="str">
        <f aca="false">Flights!$G$15&amp;"-"&amp;Flights!$H$15</f>
        <v>PEN-KUL</v>
      </c>
      <c r="F364" s="57" t="str">
        <f aca="false">Flights!$K$15</f>
        <v>EY</v>
      </c>
      <c r="G364" s="57" t="s">
        <v>76</v>
      </c>
      <c r="H364" s="57" t="s">
        <v>343</v>
      </c>
      <c r="I364" s="57" t="s">
        <v>370</v>
      </c>
      <c r="J364" s="57" t="s">
        <v>374</v>
      </c>
      <c r="K364" s="67" t="s">
        <v>372</v>
      </c>
      <c r="L364" s="67" t="s">
        <v>347</v>
      </c>
      <c r="M364" s="67"/>
      <c r="N364" s="67" t="s">
        <v>348</v>
      </c>
      <c r="O364" s="67"/>
      <c r="P364" s="57" t="s">
        <v>179</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59" t="n">
        <f aca="false">Q364-T7EarlyD*24/24</f>
        <v>46286.3263888889</v>
      </c>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IF(N364="N/A – rule","N/A – RULE",IF(TRIM(U364)="N/A",IF(AT364=0,"INVALID – N/A not permitted for this mandatory check",IF(AND(TRIM(AC364)&lt;&gt;"",TRIM(AE364)&lt;&gt;"",TRIM(T364)&lt;&gt;"",TRIM(AE364)&lt;&gt;TRIM(T364)),"N/A – JUSTIFIED","INVALID – N/A needs justification, PIC and a different verifier")),IF(OR(TRIM(U364)="Pass",TRIM(U364)="Pass after CA"),IF(NOT(ISNUMBER(AD364)),"INVALID – completion time missing",IF(TRIM(T364)="","INVALID – PIC missing",IF(TRIM(V364)="","INVALID – result / assessment missing",IF(TRIM(Z364)="","INVALID – evidence missing",IF(TRIM(AE364)="","INVALID – verifier missing",IF(TRIM(AE364)=TRIM(T364),"INVALID – verifier must be someone other than the PIC",IF(AND(AQ364=1,TRIM(W364)=""),"INVALID – batch ID missing",IF(AND(AR364=1,OR(NOT(ISNUMBER(X364)),NOT(ISNUMBER(Y364)))),"INVALID – expected/actual qty missing",IF(IF(AND(TRIM(U364)="Pass",ISNUMBER(AF364)),IF(AF364&lt;&gt;0,"INVALID – qty variance: use Fail or Pass after CA",""),"")&amp;IF(AND(TRIM(U364)="Pass",TRIM(AB364)&lt;&gt;"",TRIM(AB364)&lt;&gt;"Closed"),"INVALID – corrective action not closed: use Fail, then Pass after CA","")&amp;IF(AND(TRIM(AA364)&lt;&gt;"",TRIM(AB364)=""),"INVALID – CA status missing for the recorded corrective action","")&amp;IF(AND(TRIM(U364)="Pass after CA",OR(TRIM(AA364)="",TRIM(AB364)&lt;&gt;"Closed")),"INVALID – corrective action not recorded/closed","")&lt;&gt;"",IF(AND(TRIM(U364)="Pass",ISNUMBER(AF364)),IF(AF364&lt;&gt;0,"INVALID – qty variance: use Fail or Pass after CA",""),"")&amp;IF(AND(TRIM(U364)="Pass",TRIM(AB364)&lt;&gt;"",TRIM(AB364)&lt;&gt;"Closed"),"INVALID – corrective action not closed: use Fail, then Pass after CA","")&amp;IF(AND(TRIM(AA364)&lt;&gt;"",TRIM(AB364)=""),"INVALID – CA status missing for the recorded corrective action","")&amp;IF(AND(TRIM(U364)="Pass after CA",OR(TRIM(AA364)="",TRIM(AB364)&lt;&gt;"Closed")),"INVALID – corrective action not recorded/closed",""),IF(AND(AS364=1,Documents!$J$15&lt;&gt;"ON FILE"),"INVALID – GLD not on file (Documents sheet)",IF(AND(AS364=2,Documents!$O$15&lt;&gt;"ON FILE"),"INVALID – menu checklist not on file (Documents sheet)",IF(AND(AS364=3,NOT(ISNUMBER(Flights!$AX$15))),"INVALID – enter carrying flight KUL departure (Flights AX)",IF(AND(AS364=3,OR(Flights!$AX$15&gt;=Flights!$AA$15,Flights!$AX$15&lt;Flights!$AA$15-3)),"INVALID – Flights AX must be before this leg's STD (within 3 days)",IF(AG364&gt;AsOfUTC,"INVALID – completion time is in the future",IF(AND(ISNUMBER(S364),AG364&lt;S364),IF(H364="Physical uplift","INVALID – before uplift window (cannot confirm loading)","INVALID – before valid window"),IF(AG364&gt;Flights!$AA$15,"INVALID – completed after departure (cannot establish readiness)",IF(AND(H364="Physical uplift",AG364&gt;Q364),"INVALID – recorded after the loading flight departed",IF(AG364&gt;Q364,"COMPLETE – LATE","COMPLETE")))))))))))))))))),IF(TRIM(U364)="Fail","FAIL – DISCREPANCY",IF(AND(TRIM(U364)&lt;&gt;"",TRIM(U364)&lt;&gt;"Not started",TRIM(U364)&lt;&gt;"In progress"),"INVALID – unrecognised status (use the list)",IF(AsOfUTC&gt;Q364,"OVERDUE",IF(N364="Clarification required","OPEN – CLARIFICATION","OPEN")))))))</f>
        <v>OPEN</v>
      </c>
      <c r="AI364" s="61" t="n">
        <f aca="false">IF(OR(AH364="N/A – RULE",AH364="N/A – JUSTIFIED"),0,1)</f>
        <v>1</v>
      </c>
      <c r="AJ364" s="61" t="n">
        <f aca="false">IF(LEFT(AH364,8)="COMPLETE",1,0)</f>
        <v>0</v>
      </c>
      <c r="AK364" s="61" t="n">
        <f aca="false">IF(AND(AI364=1,AJ364=0,AsOfUTC&gt;Q364),1,0)</f>
        <v>0</v>
      </c>
      <c r="AL364" s="61" t="n">
        <f aca="false">IF(AND(AI364=1,OR(TRIM(U364)="Fail",AND(TRIM(AB364)&lt;&gt;"",TRIM(AB364)&lt;&gt;"Closed"),AND(ISNUMBER(AF364),AF364&lt;&gt;0,TRIM(U364)&lt;&gt;"Pass after CA"))),1,0)</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row>
    <row r="365" customFormat="false" ht="41.25" hidden="false" customHeight="true" outlineLevel="0" collapsed="false">
      <c r="A365" s="57" t="s">
        <v>931</v>
      </c>
      <c r="B365" s="57" t="s">
        <v>250</v>
      </c>
      <c r="C365" s="57" t="str">
        <f aca="false">Flights!$F$15</f>
        <v>MH1149</v>
      </c>
      <c r="D365" s="58" t="n">
        <f aca="false">Flights!$D$15</f>
        <v>46307</v>
      </c>
      <c r="E365" s="57" t="str">
        <f aca="false">Flights!$G$15&amp;"-"&amp;Flights!$H$15</f>
        <v>PEN-KUL</v>
      </c>
      <c r="F365" s="57" t="str">
        <f aca="false">Flights!$K$15</f>
        <v>EY</v>
      </c>
      <c r="G365" s="57" t="s">
        <v>76</v>
      </c>
      <c r="H365" s="57" t="s">
        <v>343</v>
      </c>
      <c r="I365" s="57" t="s">
        <v>376</v>
      </c>
      <c r="J365" s="57" t="s">
        <v>377</v>
      </c>
      <c r="K365" s="67" t="s">
        <v>887</v>
      </c>
      <c r="L365" s="67" t="s">
        <v>888</v>
      </c>
      <c r="M365" s="67"/>
      <c r="N365" s="67" t="s">
        <v>348</v>
      </c>
      <c r="O365" s="67" t="s">
        <v>932</v>
      </c>
      <c r="P365" s="57" t="s">
        <v>179</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59" t="n">
        <f aca="false">Q365-T7EarlyD*24/24</f>
        <v>46286.3263888889</v>
      </c>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IF(N365="N/A – rule","N/A – RULE",IF(TRIM(U365)="N/A",IF(AT365=0,"INVALID – N/A not permitted for this mandatory check",IF(AND(TRIM(AC365)&lt;&gt;"",TRIM(AE365)&lt;&gt;"",TRIM(T365)&lt;&gt;"",TRIM(AE365)&lt;&gt;TRIM(T365)),"N/A – JUSTIFIED","INVALID – N/A needs justification, PIC and a different verifier")),IF(OR(TRIM(U365)="Pass",TRIM(U365)="Pass after CA"),IF(NOT(ISNUMBER(AD365)),"INVALID – completion time missing",IF(TRIM(T365)="","INVALID – PIC missing",IF(TRIM(V365)="","INVALID – result / assessment missing",IF(TRIM(Z365)="","INVALID – evidence missing",IF(TRIM(AE365)="","INVALID – verifier missing",IF(TRIM(AE365)=TRIM(T365),"INVALID – verifier must be someone other than the PIC",IF(AND(AQ365=1,TRIM(W365)=""),"INVALID – batch ID missing",IF(AND(AR365=1,OR(NOT(ISNUMBER(X365)),NOT(ISNUMBER(Y365)))),"INVALID – expected/actual qty missing",IF(IF(AND(TRIM(U365)="Pass",ISNUMBER(AF365)),IF(AF365&lt;&gt;0,"INVALID – qty variance: use Fail or Pass after CA",""),"")&amp;IF(AND(TRIM(U365)="Pass",TRIM(AB365)&lt;&gt;"",TRIM(AB365)&lt;&gt;"Closed"),"INVALID – corrective action not closed: use Fail, then Pass after CA","")&amp;IF(AND(TRIM(AA365)&lt;&gt;"",TRIM(AB365)=""),"INVALID – CA status missing for the recorded corrective action","")&amp;IF(AND(TRIM(U365)="Pass after CA",OR(TRIM(AA365)="",TRIM(AB365)&lt;&gt;"Closed")),"INVALID – corrective action not recorded/closed","")&lt;&gt;"",IF(AND(TRIM(U365)="Pass",ISNUMBER(AF365)),IF(AF365&lt;&gt;0,"INVALID – qty variance: use Fail or Pass after CA",""),"")&amp;IF(AND(TRIM(U365)="Pass",TRIM(AB365)&lt;&gt;"",TRIM(AB365)&lt;&gt;"Closed"),"INVALID – corrective action not closed: use Fail, then Pass after CA","")&amp;IF(AND(TRIM(AA365)&lt;&gt;"",TRIM(AB365)=""),"INVALID – CA status missing for the recorded corrective action","")&amp;IF(AND(TRIM(U365)="Pass after CA",OR(TRIM(AA365)="",TRIM(AB365)&lt;&gt;"Closed")),"INVALID – corrective action not recorded/closed",""),IF(AND(AS365=1,Documents!$J$15&lt;&gt;"ON FILE"),"INVALID – GLD not on file (Documents sheet)",IF(AND(AS365=2,Documents!$O$15&lt;&gt;"ON FILE"),"INVALID – menu checklist not on file (Documents sheet)",IF(AND(AS365=3,NOT(ISNUMBER(Flights!$AX$15))),"INVALID – enter carrying flight KUL departure (Flights AX)",IF(AND(AS365=3,OR(Flights!$AX$15&gt;=Flights!$AA$15,Flights!$AX$15&lt;Flights!$AA$15-3)),"INVALID – Flights AX must be before this leg's STD (within 3 days)",IF(AG365&gt;AsOfUTC,"INVALID – completion time is in the future",IF(AND(ISNUMBER(S365),AG365&lt;S365),IF(H365="Physical uplift","INVALID – before uplift window (cannot confirm loading)","INVALID – before valid window"),IF(AG365&gt;Flights!$AA$15,"INVALID – completed after departure (cannot establish readiness)",IF(AND(H365="Physical uplift",AG365&gt;Q365),"INVALID – recorded after the loading flight departed",IF(AG365&gt;Q365,"COMPLETE – LATE","COMPLETE")))))))))))))))))),IF(TRIM(U365)="Fail","FAIL – DISCREPANCY",IF(AND(TRIM(U365)&lt;&gt;"",TRIM(U365)&lt;&gt;"Not started",TRIM(U365)&lt;&gt;"In progress"),"INVALID – unrecognised status (use the list)",IF(AsOfUTC&gt;Q365,"OVERDUE",IF(N365="Clarification required","OPEN – CLARIFICATION","OPEN")))))))</f>
        <v>OPEN</v>
      </c>
      <c r="AI365" s="61" t="n">
        <f aca="false">IF(OR(AH365="N/A – RULE",AH365="N/A – JUSTIFIED"),0,1)</f>
        <v>1</v>
      </c>
      <c r="AJ365" s="61" t="n">
        <f aca="false">IF(LEFT(AH365,8)="COMPLETE",1,0)</f>
        <v>0</v>
      </c>
      <c r="AK365" s="61" t="n">
        <f aca="false">IF(AND(AI365=1,AJ365=0,AsOfUTC&gt;Q365),1,0)</f>
        <v>0</v>
      </c>
      <c r="AL365" s="61" t="n">
        <f aca="false">IF(AND(AI365=1,OR(TRIM(U365)="Fail",AND(TRIM(AB365)&lt;&gt;"",TRIM(AB365)&lt;&gt;"Closed"),AND(ISNUMBER(AF365),AF365&lt;&gt;0,TRIM(U365)&lt;&gt;"Pass after CA"))),1,0)</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row>
    <row r="366" customFormat="false" ht="78.75" hidden="false" customHeight="true" outlineLevel="0" collapsed="false">
      <c r="A366" s="57" t="s">
        <v>933</v>
      </c>
      <c r="B366" s="57" t="s">
        <v>250</v>
      </c>
      <c r="C366" s="57" t="str">
        <f aca="false">Flights!$F$15</f>
        <v>MH1149</v>
      </c>
      <c r="D366" s="58" t="n">
        <f aca="false">Flights!$D$15</f>
        <v>46307</v>
      </c>
      <c r="E366" s="57" t="str">
        <f aca="false">Flights!$G$15&amp;"-"&amp;Flights!$H$15</f>
        <v>PEN-KUL</v>
      </c>
      <c r="F366" s="57" t="str">
        <f aca="false">Flights!$K$15</f>
        <v>EY</v>
      </c>
      <c r="G366" s="57" t="s">
        <v>76</v>
      </c>
      <c r="H366" s="57" t="s">
        <v>343</v>
      </c>
      <c r="I366" s="57" t="s">
        <v>376</v>
      </c>
      <c r="J366" s="57" t="s">
        <v>934</v>
      </c>
      <c r="K366" s="67" t="s">
        <v>935</v>
      </c>
      <c r="L366" s="67" t="s">
        <v>888</v>
      </c>
      <c r="M366" s="67"/>
      <c r="N366" s="67" t="s">
        <v>409</v>
      </c>
      <c r="O366" s="67" t="s">
        <v>936</v>
      </c>
      <c r="P366" s="57" t="s">
        <v>179</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59" t="n">
        <f aca="false">Q366-T7EarlyD*24/24</f>
        <v>46286.3263888889</v>
      </c>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IF(N366="N/A – rule","N/A – RULE",IF(TRIM(U366)="N/A",IF(AT366=0,"INVALID – N/A not permitted for this mandatory check",IF(AND(TRIM(AC366)&lt;&gt;"",TRIM(AE366)&lt;&gt;"",TRIM(T366)&lt;&gt;"",TRIM(AE366)&lt;&gt;TRIM(T366)),"N/A – JUSTIFIED","INVALID – N/A needs justification, PIC and a different verifier")),IF(OR(TRIM(U366)="Pass",TRIM(U366)="Pass after CA"),IF(NOT(ISNUMBER(AD366)),"INVALID – completion time missing",IF(TRIM(T366)="","INVALID – PIC missing",IF(TRIM(V366)="","INVALID – result / assessment missing",IF(TRIM(Z366)="","INVALID – evidence missing",IF(TRIM(AE366)="","INVALID – verifier missing",IF(TRIM(AE366)=TRIM(T366),"INVALID – verifier must be someone other than the PIC",IF(AND(AQ366=1,TRIM(W366)=""),"INVALID – batch ID missing",IF(AND(AR366=1,OR(NOT(ISNUMBER(X366)),NOT(ISNUMBER(Y366)))),"INVALID – expected/actual qty missing",IF(IF(AND(TRIM(U366)="Pass",ISNUMBER(AF366)),IF(AF366&lt;&gt;0,"INVALID – qty variance: use Fail or Pass after CA",""),"")&amp;IF(AND(TRIM(U366)="Pass",TRIM(AB366)&lt;&gt;"",TRIM(AB366)&lt;&gt;"Closed"),"INVALID – corrective action not closed: use Fail, then Pass after CA","")&amp;IF(AND(TRIM(AA366)&lt;&gt;"",TRIM(AB366)=""),"INVALID – CA status missing for the recorded corrective action","")&amp;IF(AND(TRIM(U366)="Pass after CA",OR(TRIM(AA366)="",TRIM(AB366)&lt;&gt;"Closed")),"INVALID – corrective action not recorded/closed","")&lt;&gt;"",IF(AND(TRIM(U366)="Pass",ISNUMBER(AF366)),IF(AF366&lt;&gt;0,"INVALID – qty variance: use Fail or Pass after CA",""),"")&amp;IF(AND(TRIM(U366)="Pass",TRIM(AB366)&lt;&gt;"",TRIM(AB366)&lt;&gt;"Closed"),"INVALID – corrective action not closed: use Fail, then Pass after CA","")&amp;IF(AND(TRIM(AA366)&lt;&gt;"",TRIM(AB366)=""),"INVALID – CA status missing for the recorded corrective action","")&amp;IF(AND(TRIM(U366)="Pass after CA",OR(TRIM(AA366)="",TRIM(AB366)&lt;&gt;"Closed")),"INVALID – corrective action not recorded/closed",""),IF(AND(AS366=1,Documents!$J$15&lt;&gt;"ON FILE"),"INVALID – GLD not on file (Documents sheet)",IF(AND(AS366=2,Documents!$O$15&lt;&gt;"ON FILE"),"INVALID – menu checklist not on file (Documents sheet)",IF(AND(AS366=3,NOT(ISNUMBER(Flights!$AX$15))),"INVALID – enter carrying flight KUL departure (Flights AX)",IF(AND(AS366=3,OR(Flights!$AX$15&gt;=Flights!$AA$15,Flights!$AX$15&lt;Flights!$AA$15-3)),"INVALID – Flights AX must be before this leg's STD (within 3 days)",IF(AG366&gt;AsOfUTC,"INVALID – completion time is in the future",IF(AND(ISNUMBER(S366),AG366&lt;S366),IF(H366="Physical uplift","INVALID – before uplift window (cannot confirm loading)","INVALID – before valid window"),IF(AG366&gt;Flights!$AA$15,"INVALID – completed after departure (cannot establish readiness)",IF(AND(H366="Physical uplift",AG366&gt;Q366),"INVALID – recorded after the loading flight departed",IF(AG366&gt;Q366,"COMPLETE – LATE","COMPLETE")))))))))))))))))),IF(TRIM(U366)="Fail","FAIL – DISCREPANCY",IF(AND(TRIM(U366)&lt;&gt;"",TRIM(U366)&lt;&gt;"Not started",TRIM(U366)&lt;&gt;"In progress"),"INVALID – unrecognised status (use the list)",IF(AsOfUTC&gt;Q366,"OVERDUE",IF(N366="Clarification required","OPEN – CLARIFICATION","OPEN")))))))</f>
        <v>OPEN – CLARIFICATION</v>
      </c>
      <c r="AI366" s="61" t="n">
        <f aca="false">IF(OR(AH366="N/A – RULE",AH366="N/A – JUSTIFIED"),0,1)</f>
        <v>1</v>
      </c>
      <c r="AJ366" s="61" t="n">
        <f aca="false">IF(LEFT(AH366,8)="COMPLETE",1,0)</f>
        <v>0</v>
      </c>
      <c r="AK366" s="61" t="n">
        <f aca="false">IF(AND(AI366=1,AJ366=0,AsOfUTC&gt;Q366),1,0)</f>
        <v>0</v>
      </c>
      <c r="AL366" s="61" t="n">
        <f aca="false">IF(AND(AI366=1,OR(TRIM(U366)="Fail",AND(TRIM(AB366)&lt;&gt;"",TRIM(AB366)&lt;&gt;"Closed"),AND(ISNUMBER(AF366),AF366&lt;&gt;0,TRIM(U366)&lt;&gt;"Pass after CA"))),1,0)</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8" t="b">
        <f aca="false">FALSE()</f>
        <v>0</v>
      </c>
    </row>
    <row r="367" customFormat="false" ht="39.75" hidden="false" customHeight="true" outlineLevel="0" collapsed="false">
      <c r="A367" s="57" t="s">
        <v>937</v>
      </c>
      <c r="B367" s="57" t="s">
        <v>250</v>
      </c>
      <c r="C367" s="57" t="str">
        <f aca="false">Flights!$F$15</f>
        <v>MH1149</v>
      </c>
      <c r="D367" s="58" t="n">
        <f aca="false">Flights!$D$15</f>
        <v>46307</v>
      </c>
      <c r="E367" s="57" t="str">
        <f aca="false">Flights!$G$15&amp;"-"&amp;Flights!$H$15</f>
        <v>PEN-KUL</v>
      </c>
      <c r="F367" s="57" t="str">
        <f aca="false">Flights!$K$15</f>
        <v>EY</v>
      </c>
      <c r="G367" s="57" t="s">
        <v>78</v>
      </c>
      <c r="H367" s="57" t="s">
        <v>343</v>
      </c>
      <c r="I367" s="57" t="s">
        <v>344</v>
      </c>
      <c r="J367" s="57" t="s">
        <v>381</v>
      </c>
      <c r="K367" s="67" t="s">
        <v>382</v>
      </c>
      <c r="L367" s="67" t="s">
        <v>383</v>
      </c>
      <c r="M367" s="67"/>
      <c r="N367" s="67" t="s">
        <v>348</v>
      </c>
      <c r="O367" s="67" t="s">
        <v>938</v>
      </c>
      <c r="P367" s="57" t="s">
        <v>179</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59" t="n">
        <f aca="false">Q367-T24EarlyH/24</f>
        <v>46305.3263888889</v>
      </c>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IF(N367="N/A – rule","N/A – RULE",IF(TRIM(U367)="N/A",IF(AT367=0,"INVALID – N/A not permitted for this mandatory check",IF(AND(TRIM(AC367)&lt;&gt;"",TRIM(AE367)&lt;&gt;"",TRIM(T367)&lt;&gt;"",TRIM(AE367)&lt;&gt;TRIM(T367)),"N/A – JUSTIFIED","INVALID – N/A needs justification, PIC and a different verifier")),IF(OR(TRIM(U367)="Pass",TRIM(U367)="Pass after CA"),IF(NOT(ISNUMBER(AD367)),"INVALID – completion time missing",IF(TRIM(T367)="","INVALID – PIC missing",IF(TRIM(V367)="","INVALID – result / assessment missing",IF(TRIM(Z367)="","INVALID – evidence missing",IF(TRIM(AE367)="","INVALID – verifier missing",IF(TRIM(AE367)=TRIM(T367),"INVALID – verifier must be someone other than the PIC",IF(AND(AQ367=1,TRIM(W367)=""),"INVALID – batch ID missing",IF(AND(AR367=1,OR(NOT(ISNUMBER(X367)),NOT(ISNUMBER(Y367)))),"INVALID – expected/actual qty missing",IF(IF(AND(TRIM(U367)="Pass",ISNUMBER(AF367)),IF(AF367&lt;&gt;0,"INVALID – qty variance: use Fail or Pass after CA",""),"")&amp;IF(AND(TRIM(U367)="Pass",TRIM(AB367)&lt;&gt;"",TRIM(AB367)&lt;&gt;"Closed"),"INVALID – corrective action not closed: use Fail, then Pass after CA","")&amp;IF(AND(TRIM(AA367)&lt;&gt;"",TRIM(AB367)=""),"INVALID – CA status missing for the recorded corrective action","")&amp;IF(AND(TRIM(U367)="Pass after CA",OR(TRIM(AA367)="",TRIM(AB367)&lt;&gt;"Closed")),"INVALID – corrective action not recorded/closed","")&lt;&gt;"",IF(AND(TRIM(U367)="Pass",ISNUMBER(AF367)),IF(AF367&lt;&gt;0,"INVALID – qty variance: use Fail or Pass after CA",""),"")&amp;IF(AND(TRIM(U367)="Pass",TRIM(AB367)&lt;&gt;"",TRIM(AB367)&lt;&gt;"Closed"),"INVALID – corrective action not closed: use Fail, then Pass after CA","")&amp;IF(AND(TRIM(AA367)&lt;&gt;"",TRIM(AB367)=""),"INVALID – CA status missing for the recorded corrective action","")&amp;IF(AND(TRIM(U367)="Pass after CA",OR(TRIM(AA367)="",TRIM(AB367)&lt;&gt;"Closed")),"INVALID – corrective action not recorded/closed",""),IF(AND(AS367=1,Documents!$J$15&lt;&gt;"ON FILE"),"INVALID – GLD not on file (Documents sheet)",IF(AND(AS367=2,Documents!$O$15&lt;&gt;"ON FILE"),"INVALID – menu checklist not on file (Documents sheet)",IF(AND(AS367=3,NOT(ISNUMBER(Flights!$AX$15))),"INVALID – enter carrying flight KUL departure (Flights AX)",IF(AND(AS367=3,OR(Flights!$AX$15&gt;=Flights!$AA$15,Flights!$AX$15&lt;Flights!$AA$15-3)),"INVALID – Flights AX must be before this leg's STD (within 3 days)",IF(AG367&gt;AsOfUTC,"INVALID – completion time is in the future",IF(AND(ISNUMBER(S367),AG367&lt;S367),IF(H367="Physical uplift","INVALID – before uplift window (cannot confirm loading)","INVALID – before valid window"),IF(AG367&gt;Flights!$AA$15,"INVALID – completed after departure (cannot establish readiness)",IF(AND(H367="Physical uplift",AG367&gt;Q367),"INVALID – recorded after the loading flight departed",IF(AG367&gt;Q367,"COMPLETE – LATE","COMPLETE")))))))))))))))))),IF(TRIM(U367)="Fail","FAIL – DISCREPANCY",IF(AND(TRIM(U367)&lt;&gt;"",TRIM(U367)&lt;&gt;"Not started",TRIM(U367)&lt;&gt;"In progress"),"INVALID – unrecognised status (use the list)",IF(AsOfUTC&gt;Q367,"OVERDUE",IF(N367="Clarification required","OPEN – CLARIFICATION","OPEN")))))))</f>
        <v>OPEN</v>
      </c>
      <c r="AI367" s="61" t="n">
        <f aca="false">IF(OR(AH367="N/A – RULE",AH367="N/A – JUSTIFIED"),0,1)</f>
        <v>1</v>
      </c>
      <c r="AJ367" s="61" t="n">
        <f aca="false">IF(LEFT(AH367,8)="COMPLETE",1,0)</f>
        <v>0</v>
      </c>
      <c r="AK367" s="61" t="n">
        <f aca="false">IF(AND(AI367=1,AJ367=0,AsOfUTC&gt;Q367),1,0)</f>
        <v>0</v>
      </c>
      <c r="AL367" s="61" t="n">
        <f aca="false">IF(AND(AI367=1,OR(TRIM(U367)="Fail",AND(TRIM(AB367)&lt;&gt;"",TRIM(AB367)&lt;&gt;"Closed"),AND(ISNUMBER(AF367),AF367&lt;&gt;0,TRIM(U367)&lt;&gt;"Pass after CA"))),1,0)</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row>
    <row r="368" customFormat="false" ht="41.25" hidden="false" customHeight="true" outlineLevel="0" collapsed="false">
      <c r="A368" s="57" t="s">
        <v>939</v>
      </c>
      <c r="B368" s="57" t="s">
        <v>250</v>
      </c>
      <c r="C368" s="57" t="str">
        <f aca="false">Flights!$F$15</f>
        <v>MH1149</v>
      </c>
      <c r="D368" s="58" t="n">
        <f aca="false">Flights!$D$15</f>
        <v>46307</v>
      </c>
      <c r="E368" s="57" t="str">
        <f aca="false">Flights!$G$15&amp;"-"&amp;Flights!$H$15</f>
        <v>PEN-KUL</v>
      </c>
      <c r="F368" s="57" t="str">
        <f aca="false">Flights!$K$15</f>
        <v>EY</v>
      </c>
      <c r="G368" s="57" t="s">
        <v>385</v>
      </c>
      <c r="H368" s="57" t="s">
        <v>343</v>
      </c>
      <c r="I368" s="57" t="s">
        <v>344</v>
      </c>
      <c r="J368" s="57" t="s">
        <v>386</v>
      </c>
      <c r="K368" s="67"/>
      <c r="L368" s="67" t="s">
        <v>387</v>
      </c>
      <c r="M368" s="67"/>
      <c r="N368" s="67" t="s">
        <v>348</v>
      </c>
      <c r="O368" s="67" t="s">
        <v>940</v>
      </c>
      <c r="P368" s="57" t="s">
        <v>179</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59" t="n">
        <f aca="false">Q368-T12EarlyH/24</f>
        <v>46306.3263888889</v>
      </c>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IF(N368="N/A – rule","N/A – RULE",IF(TRIM(U368)="N/A",IF(AT368=0,"INVALID – N/A not permitted for this mandatory check",IF(AND(TRIM(AC368)&lt;&gt;"",TRIM(AE368)&lt;&gt;"",TRIM(T368)&lt;&gt;"",TRIM(AE368)&lt;&gt;TRIM(T368)),"N/A – JUSTIFIED","INVALID – N/A needs justification, PIC and a different verifier")),IF(OR(TRIM(U368)="Pass",TRIM(U368)="Pass after CA"),IF(NOT(ISNUMBER(AD368)),"INVALID – completion time missing",IF(TRIM(T368)="","INVALID – PIC missing",IF(TRIM(V368)="","INVALID – result / assessment missing",IF(TRIM(Z368)="","INVALID – evidence missing",IF(TRIM(AE368)="","INVALID – verifier missing",IF(TRIM(AE368)=TRIM(T368),"INVALID – verifier must be someone other than the PIC",IF(AND(AQ368=1,TRIM(W368)=""),"INVALID – batch ID missing",IF(AND(AR368=1,OR(NOT(ISNUMBER(X368)),NOT(ISNUMBER(Y368)))),"INVALID – expected/actual qty missing",IF(IF(AND(TRIM(U368)="Pass",ISNUMBER(AF368)),IF(AF368&lt;&gt;0,"INVALID – qty variance: use Fail or Pass after CA",""),"")&amp;IF(AND(TRIM(U368)="Pass",TRIM(AB368)&lt;&gt;"",TRIM(AB368)&lt;&gt;"Closed"),"INVALID – corrective action not closed: use Fail, then Pass after CA","")&amp;IF(AND(TRIM(AA368)&lt;&gt;"",TRIM(AB368)=""),"INVALID – CA status missing for the recorded corrective action","")&amp;IF(AND(TRIM(U368)="Pass after CA",OR(TRIM(AA368)="",TRIM(AB368)&lt;&gt;"Closed")),"INVALID – corrective action not recorded/closed","")&lt;&gt;"",IF(AND(TRIM(U368)="Pass",ISNUMBER(AF368)),IF(AF368&lt;&gt;0,"INVALID – qty variance: use Fail or Pass after CA",""),"")&amp;IF(AND(TRIM(U368)="Pass",TRIM(AB368)&lt;&gt;"",TRIM(AB368)&lt;&gt;"Closed"),"INVALID – corrective action not closed: use Fail, then Pass after CA","")&amp;IF(AND(TRIM(AA368)&lt;&gt;"",TRIM(AB368)=""),"INVALID – CA status missing for the recorded corrective action","")&amp;IF(AND(TRIM(U368)="Pass after CA",OR(TRIM(AA368)="",TRIM(AB368)&lt;&gt;"Closed")),"INVALID – corrective action not recorded/closed",""),IF(AND(AS368=1,Documents!$J$15&lt;&gt;"ON FILE"),"INVALID – GLD not on file (Documents sheet)",IF(AND(AS368=2,Documents!$O$15&lt;&gt;"ON FILE"),"INVALID – menu checklist not on file (Documents sheet)",IF(AND(AS368=3,NOT(ISNUMBER(Flights!$AX$15))),"INVALID – enter carrying flight KUL departure (Flights AX)",IF(AND(AS368=3,OR(Flights!$AX$15&gt;=Flights!$AA$15,Flights!$AX$15&lt;Flights!$AA$15-3)),"INVALID – Flights AX must be before this leg's STD (within 3 days)",IF(AG368&gt;AsOfUTC,"INVALID – completion time is in the future",IF(AND(ISNUMBER(S368),AG368&lt;S368),IF(H368="Physical uplift","INVALID – before uplift window (cannot confirm loading)","INVALID – before valid window"),IF(AG368&gt;Flights!$AA$15,"INVALID – completed after departure (cannot establish readiness)",IF(AND(H368="Physical uplift",AG368&gt;Q368),"INVALID – recorded after the loading flight departed",IF(AG368&gt;Q368,"COMPLETE – LATE","COMPLETE")))))))))))))))))),IF(TRIM(U368)="Fail","FAIL – DISCREPANCY",IF(AND(TRIM(U368)&lt;&gt;"",TRIM(U368)&lt;&gt;"Not started",TRIM(U368)&lt;&gt;"In progress"),"INVALID – unrecognised status (use the list)",IF(AsOfUTC&gt;Q368,"OVERDUE",IF(N368="Clarification required","OPEN – CLARIFICATION","OPEN")))))))</f>
        <v>OPEN</v>
      </c>
      <c r="AI368" s="61" t="n">
        <f aca="false">IF(OR(AH368="N/A – RULE",AH368="N/A – JUSTIFIED"),0,1)</f>
        <v>1</v>
      </c>
      <c r="AJ368" s="61" t="n">
        <f aca="false">IF(LEFT(AH368,8)="COMPLETE",1,0)</f>
        <v>0</v>
      </c>
      <c r="AK368" s="61" t="n">
        <f aca="false">IF(AND(AI368=1,AJ368=0,AsOfUTC&gt;Q368),1,0)</f>
        <v>0</v>
      </c>
      <c r="AL368" s="61" t="n">
        <f aca="false">IF(AND(AI368=1,OR(TRIM(U368)="Fail",AND(TRIM(AB368)&lt;&gt;"",TRIM(AB368)&lt;&gt;"Closed"),AND(ISNUMBER(AF368),AF368&lt;&gt;0,TRIM(U368)&lt;&gt;"Pass after CA"))),1,0)</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row>
    <row r="369" customFormat="false" ht="41.25" hidden="false" customHeight="true" outlineLevel="0" collapsed="false">
      <c r="A369" s="57" t="s">
        <v>941</v>
      </c>
      <c r="B369" s="57" t="s">
        <v>250</v>
      </c>
      <c r="C369" s="57" t="str">
        <f aca="false">Flights!$F$15</f>
        <v>MH1149</v>
      </c>
      <c r="D369" s="58" t="n">
        <f aca="false">Flights!$D$15</f>
        <v>46307</v>
      </c>
      <c r="E369" s="57" t="str">
        <f aca="false">Flights!$G$15&amp;"-"&amp;Flights!$H$15</f>
        <v>PEN-KUL</v>
      </c>
      <c r="F369" s="57" t="str">
        <f aca="false">Flights!$K$15</f>
        <v>EY</v>
      </c>
      <c r="G369" s="57" t="s">
        <v>385</v>
      </c>
      <c r="H369" s="57" t="s">
        <v>343</v>
      </c>
      <c r="I369" s="57" t="s">
        <v>344</v>
      </c>
      <c r="J369" s="57" t="s">
        <v>390</v>
      </c>
      <c r="K369" s="67" t="s">
        <v>391</v>
      </c>
      <c r="L369" s="67" t="s">
        <v>387</v>
      </c>
      <c r="M369" s="67"/>
      <c r="N369" s="67" t="s">
        <v>348</v>
      </c>
      <c r="O369" s="67" t="s">
        <v>940</v>
      </c>
      <c r="P369" s="57" t="s">
        <v>179</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59" t="n">
        <f aca="false">Q369-T12EarlyH/24</f>
        <v>46306.3263888889</v>
      </c>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IF(N369="N/A – rule","N/A – RULE",IF(TRIM(U369)="N/A",IF(AT369=0,"INVALID – N/A not permitted for this mandatory check",IF(AND(TRIM(AC369)&lt;&gt;"",TRIM(AE369)&lt;&gt;"",TRIM(T369)&lt;&gt;"",TRIM(AE369)&lt;&gt;TRIM(T369)),"N/A – JUSTIFIED","INVALID – N/A needs justification, PIC and a different verifier")),IF(OR(TRIM(U369)="Pass",TRIM(U369)="Pass after CA"),IF(NOT(ISNUMBER(AD369)),"INVALID – completion time missing",IF(TRIM(T369)="","INVALID – PIC missing",IF(TRIM(V369)="","INVALID – result / assessment missing",IF(TRIM(Z369)="","INVALID – evidence missing",IF(TRIM(AE369)="","INVALID – verifier missing",IF(TRIM(AE369)=TRIM(T369),"INVALID – verifier must be someone other than the PIC",IF(AND(AQ369=1,TRIM(W369)=""),"INVALID – batch ID missing",IF(AND(AR369=1,OR(NOT(ISNUMBER(X369)),NOT(ISNUMBER(Y369)))),"INVALID – expected/actual qty missing",IF(IF(AND(TRIM(U369)="Pass",ISNUMBER(AF369)),IF(AF369&lt;&gt;0,"INVALID – qty variance: use Fail or Pass after CA",""),"")&amp;IF(AND(TRIM(U369)="Pass",TRIM(AB369)&lt;&gt;"",TRIM(AB369)&lt;&gt;"Closed"),"INVALID – corrective action not closed: use Fail, then Pass after CA","")&amp;IF(AND(TRIM(AA369)&lt;&gt;"",TRIM(AB369)=""),"INVALID – CA status missing for the recorded corrective action","")&amp;IF(AND(TRIM(U369)="Pass after CA",OR(TRIM(AA369)="",TRIM(AB369)&lt;&gt;"Closed")),"INVALID – corrective action not recorded/closed","")&lt;&gt;"",IF(AND(TRIM(U369)="Pass",ISNUMBER(AF369)),IF(AF369&lt;&gt;0,"INVALID – qty variance: use Fail or Pass after CA",""),"")&amp;IF(AND(TRIM(U369)="Pass",TRIM(AB369)&lt;&gt;"",TRIM(AB369)&lt;&gt;"Closed"),"INVALID – corrective action not closed: use Fail, then Pass after CA","")&amp;IF(AND(TRIM(AA369)&lt;&gt;"",TRIM(AB369)=""),"INVALID – CA status missing for the recorded corrective action","")&amp;IF(AND(TRIM(U369)="Pass after CA",OR(TRIM(AA369)="",TRIM(AB369)&lt;&gt;"Closed")),"INVALID – corrective action not recorded/closed",""),IF(AND(AS369=1,Documents!$J$15&lt;&gt;"ON FILE"),"INVALID – GLD not on file (Documents sheet)",IF(AND(AS369=2,Documents!$O$15&lt;&gt;"ON FILE"),"INVALID – menu checklist not on file (Documents sheet)",IF(AND(AS369=3,NOT(ISNUMBER(Flights!$AX$15))),"INVALID – enter carrying flight KUL departure (Flights AX)",IF(AND(AS369=3,OR(Flights!$AX$15&gt;=Flights!$AA$15,Flights!$AX$15&lt;Flights!$AA$15-3)),"INVALID – Flights AX must be before this leg's STD (within 3 days)",IF(AG369&gt;AsOfUTC,"INVALID – completion time is in the future",IF(AND(ISNUMBER(S369),AG369&lt;S369),IF(H369="Physical uplift","INVALID – before uplift window (cannot confirm loading)","INVALID – before valid window"),IF(AG369&gt;Flights!$AA$15,"INVALID – completed after departure (cannot establish readiness)",IF(AND(H369="Physical uplift",AG369&gt;Q369),"INVALID – recorded after the loading flight departed",IF(AG369&gt;Q369,"COMPLETE – LATE","COMPLETE")))))))))))))))))),IF(TRIM(U369)="Fail","FAIL – DISCREPANCY",IF(AND(TRIM(U369)&lt;&gt;"",TRIM(U369)&lt;&gt;"Not started",TRIM(U369)&lt;&gt;"In progress"),"INVALID – unrecognised status (use the list)",IF(AsOfUTC&gt;Q369,"OVERDUE",IF(N369="Clarification required","OPEN – CLARIFICATION","OPEN")))))))</f>
        <v>OPEN</v>
      </c>
      <c r="AI369" s="61" t="n">
        <f aca="false">IF(OR(AH369="N/A – RULE",AH369="N/A – JUSTIFIED"),0,1)</f>
        <v>1</v>
      </c>
      <c r="AJ369" s="61" t="n">
        <f aca="false">IF(LEFT(AH369,8)="COMPLETE",1,0)</f>
        <v>0</v>
      </c>
      <c r="AK369" s="61" t="n">
        <f aca="false">IF(AND(AI369=1,AJ369=0,AsOfUTC&gt;Q369),1,0)</f>
        <v>0</v>
      </c>
      <c r="AL369" s="61" t="n">
        <f aca="false">IF(AND(AI369=1,OR(TRIM(U369)="Fail",AND(TRIM(AB369)&lt;&gt;"",TRIM(AB369)&lt;&gt;"Closed"),AND(ISNUMBER(AF369),AF369&lt;&gt;0,TRIM(U369)&lt;&gt;"Pass after CA"))),1,0)</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row>
    <row r="370" customFormat="false" ht="41.25" hidden="false" customHeight="true" outlineLevel="0" collapsed="false">
      <c r="A370" s="57" t="s">
        <v>942</v>
      </c>
      <c r="B370" s="57" t="s">
        <v>250</v>
      </c>
      <c r="C370" s="57" t="str">
        <f aca="false">Flights!$F$15</f>
        <v>MH1149</v>
      </c>
      <c r="D370" s="58" t="n">
        <f aca="false">Flights!$D$15</f>
        <v>46307</v>
      </c>
      <c r="E370" s="57" t="str">
        <f aca="false">Flights!$G$15&amp;"-"&amp;Flights!$H$15</f>
        <v>PEN-KUL</v>
      </c>
      <c r="F370" s="57" t="str">
        <f aca="false">Flights!$K$15</f>
        <v>EY</v>
      </c>
      <c r="G370" s="57" t="s">
        <v>385</v>
      </c>
      <c r="H370" s="57" t="s">
        <v>343</v>
      </c>
      <c r="I370" s="57" t="s">
        <v>393</v>
      </c>
      <c r="J370" s="57" t="s">
        <v>394</v>
      </c>
      <c r="K370" s="67"/>
      <c r="L370" s="67" t="s">
        <v>387</v>
      </c>
      <c r="M370" s="67"/>
      <c r="N370" s="67" t="s">
        <v>348</v>
      </c>
      <c r="O370" s="67" t="s">
        <v>940</v>
      </c>
      <c r="P370" s="57" t="s">
        <v>179</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59" t="n">
        <f aca="false">Q370-T12EarlyH/24</f>
        <v>46306.3263888889</v>
      </c>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IF(N370="N/A – rule","N/A – RULE",IF(TRIM(U370)="N/A",IF(AT370=0,"INVALID – N/A not permitted for this mandatory check",IF(AND(TRIM(AC370)&lt;&gt;"",TRIM(AE370)&lt;&gt;"",TRIM(T370)&lt;&gt;"",TRIM(AE370)&lt;&gt;TRIM(T370)),"N/A – JUSTIFIED","INVALID – N/A needs justification, PIC and a different verifier")),IF(OR(TRIM(U370)="Pass",TRIM(U370)="Pass after CA"),IF(NOT(ISNUMBER(AD370)),"INVALID – completion time missing",IF(TRIM(T370)="","INVALID – PIC missing",IF(TRIM(V370)="","INVALID – result / assessment missing",IF(TRIM(Z370)="","INVALID – evidence missing",IF(TRIM(AE370)="","INVALID – verifier missing",IF(TRIM(AE370)=TRIM(T370),"INVALID – verifier must be someone other than the PIC",IF(AND(AQ370=1,TRIM(W370)=""),"INVALID – batch ID missing",IF(AND(AR370=1,OR(NOT(ISNUMBER(X370)),NOT(ISNUMBER(Y370)))),"INVALID – expected/actual qty missing",IF(IF(AND(TRIM(U370)="Pass",ISNUMBER(AF370)),IF(AF370&lt;&gt;0,"INVALID – qty variance: use Fail or Pass after CA",""),"")&amp;IF(AND(TRIM(U370)="Pass",TRIM(AB370)&lt;&gt;"",TRIM(AB370)&lt;&gt;"Closed"),"INVALID – corrective action not closed: use Fail, then Pass after CA","")&amp;IF(AND(TRIM(AA370)&lt;&gt;"",TRIM(AB370)=""),"INVALID – CA status missing for the recorded corrective action","")&amp;IF(AND(TRIM(U370)="Pass after CA",OR(TRIM(AA370)="",TRIM(AB370)&lt;&gt;"Closed")),"INVALID – corrective action not recorded/closed","")&lt;&gt;"",IF(AND(TRIM(U370)="Pass",ISNUMBER(AF370)),IF(AF370&lt;&gt;0,"INVALID – qty variance: use Fail or Pass after CA",""),"")&amp;IF(AND(TRIM(U370)="Pass",TRIM(AB370)&lt;&gt;"",TRIM(AB370)&lt;&gt;"Closed"),"INVALID – corrective action not closed: use Fail, then Pass after CA","")&amp;IF(AND(TRIM(AA370)&lt;&gt;"",TRIM(AB370)=""),"INVALID – CA status missing for the recorded corrective action","")&amp;IF(AND(TRIM(U370)="Pass after CA",OR(TRIM(AA370)="",TRIM(AB370)&lt;&gt;"Closed")),"INVALID – corrective action not recorded/closed",""),IF(AND(AS370=1,Documents!$J$15&lt;&gt;"ON FILE"),"INVALID – GLD not on file (Documents sheet)",IF(AND(AS370=2,Documents!$O$15&lt;&gt;"ON FILE"),"INVALID – menu checklist not on file (Documents sheet)",IF(AND(AS370=3,NOT(ISNUMBER(Flights!$AX$15))),"INVALID – enter carrying flight KUL departure (Flights AX)",IF(AND(AS370=3,OR(Flights!$AX$15&gt;=Flights!$AA$15,Flights!$AX$15&lt;Flights!$AA$15-3)),"INVALID – Flights AX must be before this leg's STD (within 3 days)",IF(AG370&gt;AsOfUTC,"INVALID – completion time is in the future",IF(AND(ISNUMBER(S370),AG370&lt;S370),IF(H370="Physical uplift","INVALID – before uplift window (cannot confirm loading)","INVALID – before valid window"),IF(AG370&gt;Flights!$AA$15,"INVALID – completed after departure (cannot establish readiness)",IF(AND(H370="Physical uplift",AG370&gt;Q370),"INVALID – recorded after the loading flight departed",IF(AG370&gt;Q370,"COMPLETE – LATE","COMPLETE")))))))))))))))))),IF(TRIM(U370)="Fail","FAIL – DISCREPANCY",IF(AND(TRIM(U370)&lt;&gt;"",TRIM(U370)&lt;&gt;"Not started",TRIM(U370)&lt;&gt;"In progress"),"INVALID – unrecognised status (use the list)",IF(AsOfUTC&gt;Q370,"OVERDUE",IF(N370="Clarification required","OPEN – CLARIFICATION","OPEN")))))))</f>
        <v>OPEN</v>
      </c>
      <c r="AI370" s="61" t="n">
        <f aca="false">IF(OR(AH370="N/A – RULE",AH370="N/A – JUSTIFIED"),0,1)</f>
        <v>1</v>
      </c>
      <c r="AJ370" s="61" t="n">
        <f aca="false">IF(LEFT(AH370,8)="COMPLETE",1,0)</f>
        <v>0</v>
      </c>
      <c r="AK370" s="61" t="n">
        <f aca="false">IF(AND(AI370=1,AJ370=0,AsOfUTC&gt;Q370),1,0)</f>
        <v>0</v>
      </c>
      <c r="AL370" s="61" t="n">
        <f aca="false">IF(AND(AI370=1,OR(TRIM(U370)="Fail",AND(TRIM(AB370)&lt;&gt;"",TRIM(AB370)&lt;&gt;"Closed"),AND(ISNUMBER(AF370),AF370&lt;&gt;0,TRIM(U370)&lt;&gt;"Pass after CA"))),1,0)</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row>
    <row r="371" customFormat="false" ht="41.25" hidden="false" customHeight="true" outlineLevel="0" collapsed="false">
      <c r="A371" s="57" t="s">
        <v>943</v>
      </c>
      <c r="B371" s="57" t="s">
        <v>250</v>
      </c>
      <c r="C371" s="57" t="str">
        <f aca="false">Flights!$F$15</f>
        <v>MH1149</v>
      </c>
      <c r="D371" s="58" t="n">
        <f aca="false">Flights!$D$15</f>
        <v>46307</v>
      </c>
      <c r="E371" s="57" t="str">
        <f aca="false">Flights!$G$15&amp;"-"&amp;Flights!$H$15</f>
        <v>PEN-KUL</v>
      </c>
      <c r="F371" s="57" t="str">
        <f aca="false">Flights!$K$15</f>
        <v>EY</v>
      </c>
      <c r="G371" s="57" t="s">
        <v>385</v>
      </c>
      <c r="H371" s="57" t="s">
        <v>343</v>
      </c>
      <c r="I371" s="57" t="s">
        <v>393</v>
      </c>
      <c r="J371" s="57" t="s">
        <v>396</v>
      </c>
      <c r="K371" s="67"/>
      <c r="L371" s="67" t="s">
        <v>387</v>
      </c>
      <c r="M371" s="67"/>
      <c r="N371" s="67" t="s">
        <v>348</v>
      </c>
      <c r="O371" s="67" t="s">
        <v>940</v>
      </c>
      <c r="P371" s="57" t="s">
        <v>179</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59" t="n">
        <f aca="false">Q371-T12EarlyH/24</f>
        <v>46306.3263888889</v>
      </c>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IF(N371="N/A – rule","N/A – RULE",IF(TRIM(U371)="N/A",IF(AT371=0,"INVALID – N/A not permitted for this mandatory check",IF(AND(TRIM(AC371)&lt;&gt;"",TRIM(AE371)&lt;&gt;"",TRIM(T371)&lt;&gt;"",TRIM(AE371)&lt;&gt;TRIM(T371)),"N/A – JUSTIFIED","INVALID – N/A needs justification, PIC and a different verifier")),IF(OR(TRIM(U371)="Pass",TRIM(U371)="Pass after CA"),IF(NOT(ISNUMBER(AD371)),"INVALID – completion time missing",IF(TRIM(T371)="","INVALID – PIC missing",IF(TRIM(V371)="","INVALID – result / assessment missing",IF(TRIM(Z371)="","INVALID – evidence missing",IF(TRIM(AE371)="","INVALID – verifier missing",IF(TRIM(AE371)=TRIM(T371),"INVALID – verifier must be someone other than the PIC",IF(AND(AQ371=1,TRIM(W371)=""),"INVALID – batch ID missing",IF(AND(AR371=1,OR(NOT(ISNUMBER(X371)),NOT(ISNUMBER(Y371)))),"INVALID – expected/actual qty missing",IF(IF(AND(TRIM(U371)="Pass",ISNUMBER(AF371)),IF(AF371&lt;&gt;0,"INVALID – qty variance: use Fail or Pass after CA",""),"")&amp;IF(AND(TRIM(U371)="Pass",TRIM(AB371)&lt;&gt;"",TRIM(AB371)&lt;&gt;"Closed"),"INVALID – corrective action not closed: use Fail, then Pass after CA","")&amp;IF(AND(TRIM(AA371)&lt;&gt;"",TRIM(AB371)=""),"INVALID – CA status missing for the recorded corrective action","")&amp;IF(AND(TRIM(U371)="Pass after CA",OR(TRIM(AA371)="",TRIM(AB371)&lt;&gt;"Closed")),"INVALID – corrective action not recorded/closed","")&lt;&gt;"",IF(AND(TRIM(U371)="Pass",ISNUMBER(AF371)),IF(AF371&lt;&gt;0,"INVALID – qty variance: use Fail or Pass after CA",""),"")&amp;IF(AND(TRIM(U371)="Pass",TRIM(AB371)&lt;&gt;"",TRIM(AB371)&lt;&gt;"Closed"),"INVALID – corrective action not closed: use Fail, then Pass after CA","")&amp;IF(AND(TRIM(AA371)&lt;&gt;"",TRIM(AB371)=""),"INVALID – CA status missing for the recorded corrective action","")&amp;IF(AND(TRIM(U371)="Pass after CA",OR(TRIM(AA371)="",TRIM(AB371)&lt;&gt;"Closed")),"INVALID – corrective action not recorded/closed",""),IF(AND(AS371=1,Documents!$J$15&lt;&gt;"ON FILE"),"INVALID – GLD not on file (Documents sheet)",IF(AND(AS371=2,Documents!$O$15&lt;&gt;"ON FILE"),"INVALID – menu checklist not on file (Documents sheet)",IF(AND(AS371=3,NOT(ISNUMBER(Flights!$AX$15))),"INVALID – enter carrying flight KUL departure (Flights AX)",IF(AND(AS371=3,OR(Flights!$AX$15&gt;=Flights!$AA$15,Flights!$AX$15&lt;Flights!$AA$15-3)),"INVALID – Flights AX must be before this leg's STD (within 3 days)",IF(AG371&gt;AsOfUTC,"INVALID – completion time is in the future",IF(AND(ISNUMBER(S371),AG371&lt;S371),IF(H371="Physical uplift","INVALID – before uplift window (cannot confirm loading)","INVALID – before valid window"),IF(AG371&gt;Flights!$AA$15,"INVALID – completed after departure (cannot establish readiness)",IF(AND(H371="Physical uplift",AG371&gt;Q371),"INVALID – recorded after the loading flight departed",IF(AG371&gt;Q371,"COMPLETE – LATE","COMPLETE")))))))))))))))))),IF(TRIM(U371)="Fail","FAIL – DISCREPANCY",IF(AND(TRIM(U371)&lt;&gt;"",TRIM(U371)&lt;&gt;"Not started",TRIM(U371)&lt;&gt;"In progress"),"INVALID – unrecognised status (use the list)",IF(AsOfUTC&gt;Q371,"OVERDUE",IF(N371="Clarification required","OPEN – CLARIFICATION","OPEN")))))))</f>
        <v>OPEN</v>
      </c>
      <c r="AI371" s="61" t="n">
        <f aca="false">IF(OR(AH371="N/A – RULE",AH371="N/A – JUSTIFIED"),0,1)</f>
        <v>1</v>
      </c>
      <c r="AJ371" s="61" t="n">
        <f aca="false">IF(LEFT(AH371,8)="COMPLETE",1,0)</f>
        <v>0</v>
      </c>
      <c r="AK371" s="61" t="n">
        <f aca="false">IF(AND(AI371=1,AJ371=0,AsOfUTC&gt;Q371),1,0)</f>
        <v>0</v>
      </c>
      <c r="AL371" s="61" t="n">
        <f aca="false">IF(AND(AI371=1,OR(TRIM(U371)="Fail",AND(TRIM(AB371)&lt;&gt;"",TRIM(AB371)&lt;&gt;"Closed"),AND(ISNUMBER(AF371),AF371&lt;&gt;0,TRIM(U371)&lt;&gt;"Pass after CA"))),1,0)</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row>
    <row r="372" customFormat="false" ht="41.25" hidden="false" customHeight="true" outlineLevel="0" collapsed="false">
      <c r="A372" s="57" t="s">
        <v>944</v>
      </c>
      <c r="B372" s="57" t="s">
        <v>250</v>
      </c>
      <c r="C372" s="57" t="str">
        <f aca="false">Flights!$F$15</f>
        <v>MH1149</v>
      </c>
      <c r="D372" s="58" t="n">
        <f aca="false">Flights!$D$15</f>
        <v>46307</v>
      </c>
      <c r="E372" s="57" t="str">
        <f aca="false">Flights!$G$15&amp;"-"&amp;Flights!$H$15</f>
        <v>PEN-KUL</v>
      </c>
      <c r="F372" s="57" t="str">
        <f aca="false">Flights!$K$15</f>
        <v>EY</v>
      </c>
      <c r="G372" s="57" t="s">
        <v>385</v>
      </c>
      <c r="H372" s="57" t="s">
        <v>343</v>
      </c>
      <c r="I372" s="57" t="s">
        <v>393</v>
      </c>
      <c r="J372" s="57" t="s">
        <v>398</v>
      </c>
      <c r="K372" s="67"/>
      <c r="L372" s="67" t="s">
        <v>387</v>
      </c>
      <c r="M372" s="67"/>
      <c r="N372" s="67" t="s">
        <v>348</v>
      </c>
      <c r="O372" s="67" t="s">
        <v>940</v>
      </c>
      <c r="P372" s="57" t="s">
        <v>179</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59" t="n">
        <f aca="false">Q372-T12EarlyH/24</f>
        <v>46306.3263888889</v>
      </c>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IF(N372="N/A – rule","N/A – RULE",IF(TRIM(U372)="N/A",IF(AT372=0,"INVALID – N/A not permitted for this mandatory check",IF(AND(TRIM(AC372)&lt;&gt;"",TRIM(AE372)&lt;&gt;"",TRIM(T372)&lt;&gt;"",TRIM(AE372)&lt;&gt;TRIM(T372)),"N/A – JUSTIFIED","INVALID – N/A needs justification, PIC and a different verifier")),IF(OR(TRIM(U372)="Pass",TRIM(U372)="Pass after CA"),IF(NOT(ISNUMBER(AD372)),"INVALID – completion time missing",IF(TRIM(T372)="","INVALID – PIC missing",IF(TRIM(V372)="","INVALID – result / assessment missing",IF(TRIM(Z372)="","INVALID – evidence missing",IF(TRIM(AE372)="","INVALID – verifier missing",IF(TRIM(AE372)=TRIM(T372),"INVALID – verifier must be someone other than the PIC",IF(AND(AQ372=1,TRIM(W372)=""),"INVALID – batch ID missing",IF(AND(AR372=1,OR(NOT(ISNUMBER(X372)),NOT(ISNUMBER(Y372)))),"INVALID – expected/actual qty missing",IF(IF(AND(TRIM(U372)="Pass",ISNUMBER(AF372)),IF(AF372&lt;&gt;0,"INVALID – qty variance: use Fail or Pass after CA",""),"")&amp;IF(AND(TRIM(U372)="Pass",TRIM(AB372)&lt;&gt;"",TRIM(AB372)&lt;&gt;"Closed"),"INVALID – corrective action not closed: use Fail, then Pass after CA","")&amp;IF(AND(TRIM(AA372)&lt;&gt;"",TRIM(AB372)=""),"INVALID – CA status missing for the recorded corrective action","")&amp;IF(AND(TRIM(U372)="Pass after CA",OR(TRIM(AA372)="",TRIM(AB372)&lt;&gt;"Closed")),"INVALID – corrective action not recorded/closed","")&lt;&gt;"",IF(AND(TRIM(U372)="Pass",ISNUMBER(AF372)),IF(AF372&lt;&gt;0,"INVALID – qty variance: use Fail or Pass after CA",""),"")&amp;IF(AND(TRIM(U372)="Pass",TRIM(AB372)&lt;&gt;"",TRIM(AB372)&lt;&gt;"Closed"),"INVALID – corrective action not closed: use Fail, then Pass after CA","")&amp;IF(AND(TRIM(AA372)&lt;&gt;"",TRIM(AB372)=""),"INVALID – CA status missing for the recorded corrective action","")&amp;IF(AND(TRIM(U372)="Pass after CA",OR(TRIM(AA372)="",TRIM(AB372)&lt;&gt;"Closed")),"INVALID – corrective action not recorded/closed",""),IF(AND(AS372=1,Documents!$J$15&lt;&gt;"ON FILE"),"INVALID – GLD not on file (Documents sheet)",IF(AND(AS372=2,Documents!$O$15&lt;&gt;"ON FILE"),"INVALID – menu checklist not on file (Documents sheet)",IF(AND(AS372=3,NOT(ISNUMBER(Flights!$AX$15))),"INVALID – enter carrying flight KUL departure (Flights AX)",IF(AND(AS372=3,OR(Flights!$AX$15&gt;=Flights!$AA$15,Flights!$AX$15&lt;Flights!$AA$15-3)),"INVALID – Flights AX must be before this leg's STD (within 3 days)",IF(AG372&gt;AsOfUTC,"INVALID – completion time is in the future",IF(AND(ISNUMBER(S372),AG372&lt;S372),IF(H372="Physical uplift","INVALID – before uplift window (cannot confirm loading)","INVALID – before valid window"),IF(AG372&gt;Flights!$AA$15,"INVALID – completed after departure (cannot establish readiness)",IF(AND(H372="Physical uplift",AG372&gt;Q372),"INVALID – recorded after the loading flight departed",IF(AG372&gt;Q372,"COMPLETE – LATE","COMPLETE")))))))))))))))))),IF(TRIM(U372)="Fail","FAIL – DISCREPANCY",IF(AND(TRIM(U372)&lt;&gt;"",TRIM(U372)&lt;&gt;"Not started",TRIM(U372)&lt;&gt;"In progress"),"INVALID – unrecognised status (use the list)",IF(AsOfUTC&gt;Q372,"OVERDUE",IF(N372="Clarification required","OPEN – CLARIFICATION","OPEN")))))))</f>
        <v>OPEN</v>
      </c>
      <c r="AI372" s="61" t="n">
        <f aca="false">IF(OR(AH372="N/A – RULE",AH372="N/A – JUSTIFIED"),0,1)</f>
        <v>1</v>
      </c>
      <c r="AJ372" s="61" t="n">
        <f aca="false">IF(LEFT(AH372,8)="COMPLETE",1,0)</f>
        <v>0</v>
      </c>
      <c r="AK372" s="61" t="n">
        <f aca="false">IF(AND(AI372=1,AJ372=0,AsOfUTC&gt;Q372),1,0)</f>
        <v>0</v>
      </c>
      <c r="AL372" s="61" t="n">
        <f aca="false">IF(AND(AI372=1,OR(TRIM(U372)="Fail",AND(TRIM(AB372)&lt;&gt;"",TRIM(AB372)&lt;&gt;"Closed"),AND(ISNUMBER(AF372),AF372&lt;&gt;0,TRIM(U372)&lt;&gt;"Pass after CA"))),1,0)</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row>
    <row r="373" customFormat="false" ht="78.75" hidden="false" customHeight="true" outlineLevel="0" collapsed="false">
      <c r="A373" s="57" t="s">
        <v>945</v>
      </c>
      <c r="B373" s="57" t="s">
        <v>250</v>
      </c>
      <c r="C373" s="57" t="str">
        <f aca="false">Flights!$F$15</f>
        <v>MH1149</v>
      </c>
      <c r="D373" s="58" t="n">
        <f aca="false">Flights!$D$15</f>
        <v>46307</v>
      </c>
      <c r="E373" s="57" t="str">
        <f aca="false">Flights!$G$15&amp;"-"&amp;Flights!$H$15</f>
        <v>PEN-KUL</v>
      </c>
      <c r="F373" s="57" t="str">
        <f aca="false">Flights!$K$15</f>
        <v>EY</v>
      </c>
      <c r="G373" s="57" t="s">
        <v>385</v>
      </c>
      <c r="H373" s="57" t="s">
        <v>343</v>
      </c>
      <c r="I373" s="57" t="s">
        <v>393</v>
      </c>
      <c r="J373" s="57" t="s">
        <v>400</v>
      </c>
      <c r="K373" s="67" t="s">
        <v>456</v>
      </c>
      <c r="L373" s="67" t="s">
        <v>387</v>
      </c>
      <c r="M373" s="67"/>
      <c r="N373" s="67" t="s">
        <v>348</v>
      </c>
      <c r="O373" s="67" t="s">
        <v>940</v>
      </c>
      <c r="P373" s="57" t="s">
        <v>179</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59" t="n">
        <f aca="false">Q373-T12EarlyH/24</f>
        <v>46306.3263888889</v>
      </c>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IF(N373="N/A – rule","N/A – RULE",IF(TRIM(U373)="N/A",IF(AT373=0,"INVALID – N/A not permitted for this mandatory check",IF(AND(TRIM(AC373)&lt;&gt;"",TRIM(AE373)&lt;&gt;"",TRIM(T373)&lt;&gt;"",TRIM(AE373)&lt;&gt;TRIM(T373)),"N/A – JUSTIFIED","INVALID – N/A needs justification, PIC and a different verifier")),IF(OR(TRIM(U373)="Pass",TRIM(U373)="Pass after CA"),IF(NOT(ISNUMBER(AD373)),"INVALID – completion time missing",IF(TRIM(T373)="","INVALID – PIC missing",IF(TRIM(V373)="","INVALID – result / assessment missing",IF(TRIM(Z373)="","INVALID – evidence missing",IF(TRIM(AE373)="","INVALID – verifier missing",IF(TRIM(AE373)=TRIM(T373),"INVALID – verifier must be someone other than the PIC",IF(AND(AQ373=1,TRIM(W373)=""),"INVALID – batch ID missing",IF(AND(AR373=1,OR(NOT(ISNUMBER(X373)),NOT(ISNUMBER(Y373)))),"INVALID – expected/actual qty missing",IF(IF(AND(TRIM(U373)="Pass",ISNUMBER(AF373)),IF(AF373&lt;&gt;0,"INVALID – qty variance: use Fail or Pass after CA",""),"")&amp;IF(AND(TRIM(U373)="Pass",TRIM(AB373)&lt;&gt;"",TRIM(AB373)&lt;&gt;"Closed"),"INVALID – corrective action not closed: use Fail, then Pass after CA","")&amp;IF(AND(TRIM(AA373)&lt;&gt;"",TRIM(AB373)=""),"INVALID – CA status missing for the recorded corrective action","")&amp;IF(AND(TRIM(U373)="Pass after CA",OR(TRIM(AA373)="",TRIM(AB373)&lt;&gt;"Closed")),"INVALID – corrective action not recorded/closed","")&lt;&gt;"",IF(AND(TRIM(U373)="Pass",ISNUMBER(AF373)),IF(AF373&lt;&gt;0,"INVALID – qty variance: use Fail or Pass after CA",""),"")&amp;IF(AND(TRIM(U373)="Pass",TRIM(AB373)&lt;&gt;"",TRIM(AB373)&lt;&gt;"Closed"),"INVALID – corrective action not closed: use Fail, then Pass after CA","")&amp;IF(AND(TRIM(AA373)&lt;&gt;"",TRIM(AB373)=""),"INVALID – CA status missing for the recorded corrective action","")&amp;IF(AND(TRIM(U373)="Pass after CA",OR(TRIM(AA373)="",TRIM(AB373)&lt;&gt;"Closed")),"INVALID – corrective action not recorded/closed",""),IF(AND(AS373=1,Documents!$J$15&lt;&gt;"ON FILE"),"INVALID – GLD not on file (Documents sheet)",IF(AND(AS373=2,Documents!$O$15&lt;&gt;"ON FILE"),"INVALID – menu checklist not on file (Documents sheet)",IF(AND(AS373=3,NOT(ISNUMBER(Flights!$AX$15))),"INVALID – enter carrying flight KUL departure (Flights AX)",IF(AND(AS373=3,OR(Flights!$AX$15&gt;=Flights!$AA$15,Flights!$AX$15&lt;Flights!$AA$15-3)),"INVALID – Flights AX must be before this leg's STD (within 3 days)",IF(AG373&gt;AsOfUTC,"INVALID – completion time is in the future",IF(AND(ISNUMBER(S373),AG373&lt;S373),IF(H373="Physical uplift","INVALID – before uplift window (cannot confirm loading)","INVALID – before valid window"),IF(AG373&gt;Flights!$AA$15,"INVALID – completed after departure (cannot establish readiness)",IF(AND(H373="Physical uplift",AG373&gt;Q373),"INVALID – recorded after the loading flight departed",IF(AG373&gt;Q373,"COMPLETE – LATE","COMPLETE")))))))))))))))))),IF(TRIM(U373)="Fail","FAIL – DISCREPANCY",IF(AND(TRIM(U373)&lt;&gt;"",TRIM(U373)&lt;&gt;"Not started",TRIM(U373)&lt;&gt;"In progress"),"INVALID – unrecognised status (use the list)",IF(AsOfUTC&gt;Q373,"OVERDUE",IF(N373="Clarification required","OPEN – CLARIFICATION","OPEN")))))))</f>
        <v>OPEN</v>
      </c>
      <c r="AI373" s="61" t="n">
        <f aca="false">IF(OR(AH373="N/A – RULE",AH373="N/A – JUSTIFIED"),0,1)</f>
        <v>1</v>
      </c>
      <c r="AJ373" s="61" t="n">
        <f aca="false">IF(LEFT(AH373,8)="COMPLETE",1,0)</f>
        <v>0</v>
      </c>
      <c r="AK373" s="61" t="n">
        <f aca="false">IF(AND(AI373=1,AJ373=0,AsOfUTC&gt;Q373),1,0)</f>
        <v>0</v>
      </c>
      <c r="AL373" s="61" t="n">
        <f aca="false">IF(AND(AI373=1,OR(TRIM(U373)="Fail",AND(TRIM(AB373)&lt;&gt;"",TRIM(AB373)&lt;&gt;"Closed"),AND(ISNUMBER(AF373),AF373&lt;&gt;0,TRIM(U373)&lt;&gt;"Pass after CA"))),1,0)</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row>
    <row r="374" customFormat="false" ht="41.25" hidden="false" customHeight="true" outlineLevel="0" collapsed="false">
      <c r="A374" s="57" t="s">
        <v>946</v>
      </c>
      <c r="B374" s="57" t="s">
        <v>250</v>
      </c>
      <c r="C374" s="57" t="str">
        <f aca="false">Flights!$F$15</f>
        <v>MH1149</v>
      </c>
      <c r="D374" s="58" t="n">
        <f aca="false">Flights!$D$15</f>
        <v>46307</v>
      </c>
      <c r="E374" s="57" t="str">
        <f aca="false">Flights!$G$15&amp;"-"&amp;Flights!$H$15</f>
        <v>PEN-KUL</v>
      </c>
      <c r="F374" s="57" t="str">
        <f aca="false">Flights!$K$15</f>
        <v>EY</v>
      </c>
      <c r="G374" s="57" t="s">
        <v>385</v>
      </c>
      <c r="H374" s="57" t="s">
        <v>343</v>
      </c>
      <c r="I374" s="57" t="s">
        <v>393</v>
      </c>
      <c r="J374" s="57" t="s">
        <v>403</v>
      </c>
      <c r="K374" s="67"/>
      <c r="L374" s="67" t="s">
        <v>387</v>
      </c>
      <c r="M374" s="67"/>
      <c r="N374" s="67" t="s">
        <v>348</v>
      </c>
      <c r="O374" s="67" t="s">
        <v>940</v>
      </c>
      <c r="P374" s="57" t="s">
        <v>179</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59" t="n">
        <f aca="false">Q374-T12EarlyH/24</f>
        <v>46306.3263888889</v>
      </c>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IF(N374="N/A – rule","N/A – RULE",IF(TRIM(U374)="N/A",IF(AT374=0,"INVALID – N/A not permitted for this mandatory check",IF(AND(TRIM(AC374)&lt;&gt;"",TRIM(AE374)&lt;&gt;"",TRIM(T374)&lt;&gt;"",TRIM(AE374)&lt;&gt;TRIM(T374)),"N/A – JUSTIFIED","INVALID – N/A needs justification, PIC and a different verifier")),IF(OR(TRIM(U374)="Pass",TRIM(U374)="Pass after CA"),IF(NOT(ISNUMBER(AD374)),"INVALID – completion time missing",IF(TRIM(T374)="","INVALID – PIC missing",IF(TRIM(V374)="","INVALID – result / assessment missing",IF(TRIM(Z374)="","INVALID – evidence missing",IF(TRIM(AE374)="","INVALID – verifier missing",IF(TRIM(AE374)=TRIM(T374),"INVALID – verifier must be someone other than the PIC",IF(AND(AQ374=1,TRIM(W374)=""),"INVALID – batch ID missing",IF(AND(AR374=1,OR(NOT(ISNUMBER(X374)),NOT(ISNUMBER(Y374)))),"INVALID – expected/actual qty missing",IF(IF(AND(TRIM(U374)="Pass",ISNUMBER(AF374)),IF(AF374&lt;&gt;0,"INVALID – qty variance: use Fail or Pass after CA",""),"")&amp;IF(AND(TRIM(U374)="Pass",TRIM(AB374)&lt;&gt;"",TRIM(AB374)&lt;&gt;"Closed"),"INVALID – corrective action not closed: use Fail, then Pass after CA","")&amp;IF(AND(TRIM(AA374)&lt;&gt;"",TRIM(AB374)=""),"INVALID – CA status missing for the recorded corrective action","")&amp;IF(AND(TRIM(U374)="Pass after CA",OR(TRIM(AA374)="",TRIM(AB374)&lt;&gt;"Closed")),"INVALID – corrective action not recorded/closed","")&lt;&gt;"",IF(AND(TRIM(U374)="Pass",ISNUMBER(AF374)),IF(AF374&lt;&gt;0,"INVALID – qty variance: use Fail or Pass after CA",""),"")&amp;IF(AND(TRIM(U374)="Pass",TRIM(AB374)&lt;&gt;"",TRIM(AB374)&lt;&gt;"Closed"),"INVALID – corrective action not closed: use Fail, then Pass after CA","")&amp;IF(AND(TRIM(AA374)&lt;&gt;"",TRIM(AB374)=""),"INVALID – CA status missing for the recorded corrective action","")&amp;IF(AND(TRIM(U374)="Pass after CA",OR(TRIM(AA374)="",TRIM(AB374)&lt;&gt;"Closed")),"INVALID – corrective action not recorded/closed",""),IF(AND(AS374=1,Documents!$J$15&lt;&gt;"ON FILE"),"INVALID – GLD not on file (Documents sheet)",IF(AND(AS374=2,Documents!$O$15&lt;&gt;"ON FILE"),"INVALID – menu checklist not on file (Documents sheet)",IF(AND(AS374=3,NOT(ISNUMBER(Flights!$AX$15))),"INVALID – enter carrying flight KUL departure (Flights AX)",IF(AND(AS374=3,OR(Flights!$AX$15&gt;=Flights!$AA$15,Flights!$AX$15&lt;Flights!$AA$15-3)),"INVALID – Flights AX must be before this leg's STD (within 3 days)",IF(AG374&gt;AsOfUTC,"INVALID – completion time is in the future",IF(AND(ISNUMBER(S374),AG374&lt;S374),IF(H374="Physical uplift","INVALID – before uplift window (cannot confirm loading)","INVALID – before valid window"),IF(AG374&gt;Flights!$AA$15,"INVALID – completed after departure (cannot establish readiness)",IF(AND(H374="Physical uplift",AG374&gt;Q374),"INVALID – recorded after the loading flight departed",IF(AG374&gt;Q374,"COMPLETE – LATE","COMPLETE")))))))))))))))))),IF(TRIM(U374)="Fail","FAIL – DISCREPANCY",IF(AND(TRIM(U374)&lt;&gt;"",TRIM(U374)&lt;&gt;"Not started",TRIM(U374)&lt;&gt;"In progress"),"INVALID – unrecognised status (use the list)",IF(AsOfUTC&gt;Q374,"OVERDUE",IF(N374="Clarification required","OPEN – CLARIFICATION","OPEN")))))))</f>
        <v>OPEN</v>
      </c>
      <c r="AI374" s="61" t="n">
        <f aca="false">IF(OR(AH374="N/A – RULE",AH374="N/A – JUSTIFIED"),0,1)</f>
        <v>1</v>
      </c>
      <c r="AJ374" s="61" t="n">
        <f aca="false">IF(LEFT(AH374,8)="COMPLETE",1,0)</f>
        <v>0</v>
      </c>
      <c r="AK374" s="61" t="n">
        <f aca="false">IF(AND(AI374=1,AJ374=0,AsOfUTC&gt;Q374),1,0)</f>
        <v>0</v>
      </c>
      <c r="AL374" s="61" t="n">
        <f aca="false">IF(AND(AI374=1,OR(TRIM(U374)="Fail",AND(TRIM(AB374)&lt;&gt;"",TRIM(AB374)&lt;&gt;"Closed"),AND(ISNUMBER(AF374),AF374&lt;&gt;0,TRIM(U374)&lt;&gt;"Pass after CA"))),1,0)</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row>
    <row r="375" customFormat="false" ht="66" hidden="false" customHeight="true" outlineLevel="0" collapsed="false">
      <c r="A375" s="57" t="s">
        <v>947</v>
      </c>
      <c r="B375" s="57" t="s">
        <v>250</v>
      </c>
      <c r="C375" s="57" t="str">
        <f aca="false">Flights!$F$15</f>
        <v>MH1149</v>
      </c>
      <c r="D375" s="58" t="n">
        <f aca="false">Flights!$D$15</f>
        <v>46307</v>
      </c>
      <c r="E375" s="57" t="str">
        <f aca="false">Flights!$G$15&amp;"-"&amp;Flights!$H$15</f>
        <v>PEN-KUL</v>
      </c>
      <c r="F375" s="57" t="str">
        <f aca="false">Flights!$K$15</f>
        <v>EY</v>
      </c>
      <c r="G375" s="57" t="s">
        <v>385</v>
      </c>
      <c r="H375" s="57" t="s">
        <v>343</v>
      </c>
      <c r="I375" s="57" t="s">
        <v>412</v>
      </c>
      <c r="J375" s="57" t="s">
        <v>413</v>
      </c>
      <c r="K375" s="67" t="s">
        <v>414</v>
      </c>
      <c r="L375" s="67" t="s">
        <v>948</v>
      </c>
      <c r="M375" s="67" t="s">
        <v>416</v>
      </c>
      <c r="N375" s="67" t="s">
        <v>348</v>
      </c>
      <c r="O375" s="67" t="s">
        <v>949</v>
      </c>
      <c r="P375" s="57" t="s">
        <v>179</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59" t="n">
        <f aca="false">Q375-T12EarlyH/24</f>
        <v>46306.3263888889</v>
      </c>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IF(N375="N/A – rule","N/A – RULE",IF(TRIM(U375)="N/A",IF(AT375=0,"INVALID – N/A not permitted for this mandatory check",IF(AND(TRIM(AC375)&lt;&gt;"",TRIM(AE375)&lt;&gt;"",TRIM(T375)&lt;&gt;"",TRIM(AE375)&lt;&gt;TRIM(T375)),"N/A – JUSTIFIED","INVALID – N/A needs justification, PIC and a different verifier")),IF(OR(TRIM(U375)="Pass",TRIM(U375)="Pass after CA"),IF(NOT(ISNUMBER(AD375)),"INVALID – completion time missing",IF(TRIM(T375)="","INVALID – PIC missing",IF(TRIM(V375)="","INVALID – result / assessment missing",IF(TRIM(Z375)="","INVALID – evidence missing",IF(TRIM(AE375)="","INVALID – verifier missing",IF(TRIM(AE375)=TRIM(T375),"INVALID – verifier must be someone other than the PIC",IF(AND(AQ375=1,TRIM(W375)=""),"INVALID – batch ID missing",IF(AND(AR375=1,OR(NOT(ISNUMBER(X375)),NOT(ISNUMBER(Y375)))),"INVALID – expected/actual qty missing",IF(IF(AND(TRIM(U375)="Pass",ISNUMBER(AF375)),IF(AF375&lt;&gt;0,"INVALID – qty variance: use Fail or Pass after CA",""),"")&amp;IF(AND(TRIM(U375)="Pass",TRIM(AB375)&lt;&gt;"",TRIM(AB375)&lt;&gt;"Closed"),"INVALID – corrective action not closed: use Fail, then Pass after CA","")&amp;IF(AND(TRIM(AA375)&lt;&gt;"",TRIM(AB375)=""),"INVALID – CA status missing for the recorded corrective action","")&amp;IF(AND(TRIM(U375)="Pass after CA",OR(TRIM(AA375)="",TRIM(AB375)&lt;&gt;"Closed")),"INVALID – corrective action not recorded/closed","")&lt;&gt;"",IF(AND(TRIM(U375)="Pass",ISNUMBER(AF375)),IF(AF375&lt;&gt;0,"INVALID – qty variance: use Fail or Pass after CA",""),"")&amp;IF(AND(TRIM(U375)="Pass",TRIM(AB375)&lt;&gt;"",TRIM(AB375)&lt;&gt;"Closed"),"INVALID – corrective action not closed: use Fail, then Pass after CA","")&amp;IF(AND(TRIM(AA375)&lt;&gt;"",TRIM(AB375)=""),"INVALID – CA status missing for the recorded corrective action","")&amp;IF(AND(TRIM(U375)="Pass after CA",OR(TRIM(AA375)="",TRIM(AB375)&lt;&gt;"Closed")),"INVALID – corrective action not recorded/closed",""),IF(AND(AS375=1,Documents!$J$15&lt;&gt;"ON FILE"),"INVALID – GLD not on file (Documents sheet)",IF(AND(AS375=2,Documents!$O$15&lt;&gt;"ON FILE"),"INVALID – menu checklist not on file (Documents sheet)",IF(AND(AS375=3,NOT(ISNUMBER(Flights!$AX$15))),"INVALID – enter carrying flight KUL departure (Flights AX)",IF(AND(AS375=3,OR(Flights!$AX$15&gt;=Flights!$AA$15,Flights!$AX$15&lt;Flights!$AA$15-3)),"INVALID – Flights AX must be before this leg's STD (within 3 days)",IF(AG375&gt;AsOfUTC,"INVALID – completion time is in the future",IF(AND(ISNUMBER(S375),AG375&lt;S375),IF(H375="Physical uplift","INVALID – before uplift window (cannot confirm loading)","INVALID – before valid window"),IF(AG375&gt;Flights!$AA$15,"INVALID – completed after departure (cannot establish readiness)",IF(AND(H375="Physical uplift",AG375&gt;Q375),"INVALID – recorded after the loading flight departed",IF(AG375&gt;Q375,"COMPLETE – LATE","COMPLETE")))))))))))))))))),IF(TRIM(U375)="Fail","FAIL – DISCREPANCY",IF(AND(TRIM(U375)&lt;&gt;"",TRIM(U375)&lt;&gt;"Not started",TRIM(U375)&lt;&gt;"In progress"),"INVALID – unrecognised status (use the list)",IF(AsOfUTC&gt;Q375,"OVERDUE",IF(N375="Clarification required","OPEN – CLARIFICATION","OPEN")))))))</f>
        <v>OPEN</v>
      </c>
      <c r="AI375" s="61" t="n">
        <f aca="false">IF(OR(AH375="N/A – RULE",AH375="N/A – JUSTIFIED"),0,1)</f>
        <v>1</v>
      </c>
      <c r="AJ375" s="61" t="n">
        <f aca="false">IF(LEFT(AH375,8)="COMPLETE",1,0)</f>
        <v>0</v>
      </c>
      <c r="AK375" s="61" t="n">
        <f aca="false">IF(AND(AI375=1,AJ375=0,AsOfUTC&gt;Q375),1,0)</f>
        <v>0</v>
      </c>
      <c r="AL375" s="61" t="n">
        <f aca="false">IF(AND(AI375=1,OR(TRIM(U375)="Fail",AND(TRIM(AB375)&lt;&gt;"",TRIM(AB375)&lt;&gt;"Closed"),AND(ISNUMBER(AF375),AF375&lt;&gt;0,TRIM(U375)&lt;&gt;"Pass after CA"))),1,0)</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8" t="b">
        <f aca="false">TRUE()</f>
        <v>1</v>
      </c>
    </row>
    <row r="376" customFormat="false" ht="39.75" hidden="false" customHeight="true" outlineLevel="0" collapsed="false">
      <c r="A376" s="57" t="s">
        <v>950</v>
      </c>
      <c r="B376" s="57" t="s">
        <v>250</v>
      </c>
      <c r="C376" s="57" t="str">
        <f aca="false">Flights!$F$15</f>
        <v>MH1149</v>
      </c>
      <c r="D376" s="58" t="n">
        <f aca="false">Flights!$D$15</f>
        <v>46307</v>
      </c>
      <c r="E376" s="57" t="str">
        <f aca="false">Flights!$G$15&amp;"-"&amp;Flights!$H$15</f>
        <v>PEN-KUL</v>
      </c>
      <c r="F376" s="57" t="str">
        <f aca="false">Flights!$K$15</f>
        <v>EY</v>
      </c>
      <c r="G376" s="57" t="s">
        <v>424</v>
      </c>
      <c r="H376" s="57" t="s">
        <v>425</v>
      </c>
      <c r="I376" s="57" t="s">
        <v>344</v>
      </c>
      <c r="J376" s="57" t="s">
        <v>426</v>
      </c>
      <c r="K376" s="67" t="s">
        <v>391</v>
      </c>
      <c r="L376" s="67" t="s">
        <v>427</v>
      </c>
      <c r="M376" s="67"/>
      <c r="N376" s="67" t="s">
        <v>348</v>
      </c>
      <c r="O376" s="67" t="s">
        <v>428</v>
      </c>
      <c r="P376" s="57" t="s">
        <v>246</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59" t="n">
        <f aca="false">IF(ISNUMBER(Flights!$AY$15),MAX(Q376-UpliftWindowH/24,Flights!$AY$15+UpliftWindowH/24),Q376-UpliftWindowH/24)</f>
        <v>46307.15625</v>
      </c>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IF(N376="N/A – rule","N/A – RULE",IF(TRIM(U376)="N/A",IF(AT376=0,"INVALID – N/A not permitted for this mandatory check",IF(AND(TRIM(AC376)&lt;&gt;"",TRIM(AE376)&lt;&gt;"",TRIM(T376)&lt;&gt;"",TRIM(AE376)&lt;&gt;TRIM(T376)),"N/A – JUSTIFIED","INVALID – N/A needs justification, PIC and a different verifier")),IF(OR(TRIM(U376)="Pass",TRIM(U376)="Pass after CA"),IF(NOT(ISNUMBER(AD376)),"INVALID – completion time missing",IF(TRIM(T376)="","INVALID – PIC missing",IF(TRIM(V376)="","INVALID – result / assessment missing",IF(TRIM(Z376)="","INVALID – evidence missing",IF(TRIM(AE376)="","INVALID – verifier missing",IF(TRIM(AE376)=TRIM(T376),"INVALID – verifier must be someone other than the PIC",IF(AND(AQ376=1,TRIM(W376)=""),"INVALID – batch ID missing",IF(AND(AR376=1,OR(NOT(ISNUMBER(X376)),NOT(ISNUMBER(Y376)))),"INVALID – expected/actual qty missing",IF(IF(AND(TRIM(U376)="Pass",ISNUMBER(AF376)),IF(AF376&lt;&gt;0,"INVALID – qty variance: use Fail or Pass after CA",""),"")&amp;IF(AND(TRIM(U376)="Pass",TRIM(AB376)&lt;&gt;"",TRIM(AB376)&lt;&gt;"Closed"),"INVALID – corrective action not closed: use Fail, then Pass after CA","")&amp;IF(AND(TRIM(AA376)&lt;&gt;"",TRIM(AB376)=""),"INVALID – CA status missing for the recorded corrective action","")&amp;IF(AND(TRIM(U376)="Pass after CA",OR(TRIM(AA376)="",TRIM(AB376)&lt;&gt;"Closed")),"INVALID – corrective action not recorded/closed","")&lt;&gt;"",IF(AND(TRIM(U376)="Pass",ISNUMBER(AF376)),IF(AF376&lt;&gt;0,"INVALID – qty variance: use Fail or Pass after CA",""),"")&amp;IF(AND(TRIM(U376)="Pass",TRIM(AB376)&lt;&gt;"",TRIM(AB376)&lt;&gt;"Closed"),"INVALID – corrective action not closed: use Fail, then Pass after CA","")&amp;IF(AND(TRIM(AA376)&lt;&gt;"",TRIM(AB376)=""),"INVALID – CA status missing for the recorded corrective action","")&amp;IF(AND(TRIM(U376)="Pass after CA",OR(TRIM(AA376)="",TRIM(AB376)&lt;&gt;"Closed")),"INVALID – corrective action not recorded/closed",""),IF(AND(AS376=1,Documents!$J$15&lt;&gt;"ON FILE"),"INVALID – GLD not on file (Documents sheet)",IF(AND(AS376=2,Documents!$O$15&lt;&gt;"ON FILE"),"INVALID – menu checklist not on file (Documents sheet)",IF(AND(AS376=3,NOT(ISNUMBER(Flights!$AX$15))),"INVALID – enter carrying flight KUL departure (Flights AX)",IF(AND(AS376=3,OR(Flights!$AX$15&gt;=Flights!$AA$15,Flights!$AX$15&lt;Flights!$AA$15-3)),"INVALID – Flights AX must be before this leg's STD (within 3 days)",IF(AG376&gt;AsOfUTC,"INVALID – completion time is in the future",IF(AND(ISNUMBER(S376),AG376&lt;S376),IF(H376="Physical uplift","INVALID – before uplift window (cannot confirm loading)","INVALID – before valid window"),IF(AG376&gt;Flights!$AA$15,"INVALID – completed after departure (cannot establish readiness)",IF(AND(H376="Physical uplift",AG376&gt;Q376),"INVALID – recorded after the loading flight departed",IF(AG376&gt;Q376,"COMPLETE – LATE","COMPLETE")))))))))))))))))),IF(TRIM(U376)="Fail","FAIL – DISCREPANCY",IF(AND(TRIM(U376)&lt;&gt;"",TRIM(U376)&lt;&gt;"Not started",TRIM(U376)&lt;&gt;"In progress"),"INVALID – unrecognised status (use the list)",IF(AsOfUTC&gt;Q376,"OVERDUE",IF(N376="Clarification required","OPEN – CLARIFICATION","OPEN")))))))</f>
        <v>OPEN</v>
      </c>
      <c r="AI376" s="61" t="n">
        <f aca="false">IF(OR(AH376="N/A – RULE",AH376="N/A – JUSTIFIED"),0,1)</f>
        <v>1</v>
      </c>
      <c r="AJ376" s="61" t="n">
        <f aca="false">IF(LEFT(AH376,8)="COMPLETE",1,0)</f>
        <v>0</v>
      </c>
      <c r="AK376" s="61" t="n">
        <f aca="false">IF(AND(AI376=1,AJ376=0,AsOfUTC&gt;Q376),1,0)</f>
        <v>0</v>
      </c>
      <c r="AL376" s="61" t="n">
        <f aca="false">IF(AND(AI376=1,OR(TRIM(U376)="Fail",AND(TRIM(AB376)&lt;&gt;"",TRIM(AB376)&lt;&gt;"Closed"),AND(ISNUMBER(AF376),AF376&lt;&gt;0,TRIM(U376)&lt;&gt;"Pass after CA"))),1,0)</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row>
    <row r="377" customFormat="false" ht="39.75" hidden="false" customHeight="true" outlineLevel="0" collapsed="false">
      <c r="A377" s="57" t="s">
        <v>951</v>
      </c>
      <c r="B377" s="57" t="s">
        <v>250</v>
      </c>
      <c r="C377" s="57" t="str">
        <f aca="false">Flights!$F$15</f>
        <v>MH1149</v>
      </c>
      <c r="D377" s="58" t="n">
        <f aca="false">Flights!$D$15</f>
        <v>46307</v>
      </c>
      <c r="E377" s="57" t="str">
        <f aca="false">Flights!$G$15&amp;"-"&amp;Flights!$H$15</f>
        <v>PEN-KUL</v>
      </c>
      <c r="F377" s="57" t="str">
        <f aca="false">Flights!$K$15</f>
        <v>EY</v>
      </c>
      <c r="G377" s="57" t="s">
        <v>424</v>
      </c>
      <c r="H377" s="57" t="s">
        <v>425</v>
      </c>
      <c r="I377" s="57" t="s">
        <v>393</v>
      </c>
      <c r="J377" s="57" t="s">
        <v>430</v>
      </c>
      <c r="K377" s="67" t="s">
        <v>391</v>
      </c>
      <c r="L377" s="67" t="s">
        <v>427</v>
      </c>
      <c r="M377" s="67"/>
      <c r="N377" s="67" t="s">
        <v>348</v>
      </c>
      <c r="O377" s="67" t="s">
        <v>428</v>
      </c>
      <c r="P377" s="57" t="s">
        <v>246</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59" t="n">
        <f aca="false">IF(ISNUMBER(Flights!$AY$15),MAX(Q377-UpliftWindowH/24,Flights!$AY$15+UpliftWindowH/24),Q377-UpliftWindowH/24)</f>
        <v>46307.15625</v>
      </c>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IF(N377="N/A – rule","N/A – RULE",IF(TRIM(U377)="N/A",IF(AT377=0,"INVALID – N/A not permitted for this mandatory check",IF(AND(TRIM(AC377)&lt;&gt;"",TRIM(AE377)&lt;&gt;"",TRIM(T377)&lt;&gt;"",TRIM(AE377)&lt;&gt;TRIM(T377)),"N/A – JUSTIFIED","INVALID – N/A needs justification, PIC and a different verifier")),IF(OR(TRIM(U377)="Pass",TRIM(U377)="Pass after CA"),IF(NOT(ISNUMBER(AD377)),"INVALID – completion time missing",IF(TRIM(T377)="","INVALID – PIC missing",IF(TRIM(V377)="","INVALID – result / assessment missing",IF(TRIM(Z377)="","INVALID – evidence missing",IF(TRIM(AE377)="","INVALID – verifier missing",IF(TRIM(AE377)=TRIM(T377),"INVALID – verifier must be someone other than the PIC",IF(AND(AQ377=1,TRIM(W377)=""),"INVALID – batch ID missing",IF(AND(AR377=1,OR(NOT(ISNUMBER(X377)),NOT(ISNUMBER(Y377)))),"INVALID – expected/actual qty missing",IF(IF(AND(TRIM(U377)="Pass",ISNUMBER(AF377)),IF(AF377&lt;&gt;0,"INVALID – qty variance: use Fail or Pass after CA",""),"")&amp;IF(AND(TRIM(U377)="Pass",TRIM(AB377)&lt;&gt;"",TRIM(AB377)&lt;&gt;"Closed"),"INVALID – corrective action not closed: use Fail, then Pass after CA","")&amp;IF(AND(TRIM(AA377)&lt;&gt;"",TRIM(AB377)=""),"INVALID – CA status missing for the recorded corrective action","")&amp;IF(AND(TRIM(U377)="Pass after CA",OR(TRIM(AA377)="",TRIM(AB377)&lt;&gt;"Closed")),"INVALID – corrective action not recorded/closed","")&lt;&gt;"",IF(AND(TRIM(U377)="Pass",ISNUMBER(AF377)),IF(AF377&lt;&gt;0,"INVALID – qty variance: use Fail or Pass after CA",""),"")&amp;IF(AND(TRIM(U377)="Pass",TRIM(AB377)&lt;&gt;"",TRIM(AB377)&lt;&gt;"Closed"),"INVALID – corrective action not closed: use Fail, then Pass after CA","")&amp;IF(AND(TRIM(AA377)&lt;&gt;"",TRIM(AB377)=""),"INVALID – CA status missing for the recorded corrective action","")&amp;IF(AND(TRIM(U377)="Pass after CA",OR(TRIM(AA377)="",TRIM(AB377)&lt;&gt;"Closed")),"INVALID – corrective action not recorded/closed",""),IF(AND(AS377=1,Documents!$J$15&lt;&gt;"ON FILE"),"INVALID – GLD not on file (Documents sheet)",IF(AND(AS377=2,Documents!$O$15&lt;&gt;"ON FILE"),"INVALID – menu checklist not on file (Documents sheet)",IF(AND(AS377=3,NOT(ISNUMBER(Flights!$AX$15))),"INVALID – enter carrying flight KUL departure (Flights AX)",IF(AND(AS377=3,OR(Flights!$AX$15&gt;=Flights!$AA$15,Flights!$AX$15&lt;Flights!$AA$15-3)),"INVALID – Flights AX must be before this leg's STD (within 3 days)",IF(AG377&gt;AsOfUTC,"INVALID – completion time is in the future",IF(AND(ISNUMBER(S377),AG377&lt;S377),IF(H377="Physical uplift","INVALID – before uplift window (cannot confirm loading)","INVALID – before valid window"),IF(AG377&gt;Flights!$AA$15,"INVALID – completed after departure (cannot establish readiness)",IF(AND(H377="Physical uplift",AG377&gt;Q377),"INVALID – recorded after the loading flight departed",IF(AG377&gt;Q377,"COMPLETE – LATE","COMPLETE")))))))))))))))))),IF(TRIM(U377)="Fail","FAIL – DISCREPANCY",IF(AND(TRIM(U377)&lt;&gt;"",TRIM(U377)&lt;&gt;"Not started",TRIM(U377)&lt;&gt;"In progress"),"INVALID – unrecognised status (use the list)",IF(AsOfUTC&gt;Q377,"OVERDUE",IF(N377="Clarification required","OPEN – CLARIFICATION","OPEN")))))))</f>
        <v>OPEN</v>
      </c>
      <c r="AI377" s="61" t="n">
        <f aca="false">IF(OR(AH377="N/A – RULE",AH377="N/A – JUSTIFIED"),0,1)</f>
        <v>1</v>
      </c>
      <c r="AJ377" s="61" t="n">
        <f aca="false">IF(LEFT(AH377,8)="COMPLETE",1,0)</f>
        <v>0</v>
      </c>
      <c r="AK377" s="61" t="n">
        <f aca="false">IF(AND(AI377=1,AJ377=0,AsOfUTC&gt;Q377),1,0)</f>
        <v>0</v>
      </c>
      <c r="AL377" s="61" t="n">
        <f aca="false">IF(AND(AI377=1,OR(TRIM(U377)="Fail",AND(TRIM(AB377)&lt;&gt;"",TRIM(AB377)&lt;&gt;"Closed"),AND(ISNUMBER(AF377),AF377&lt;&gt;0,TRIM(U377)&lt;&gt;"Pass after CA"))),1,0)</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row>
    <row r="378" customFormat="false" ht="66" hidden="false" customHeight="true" outlineLevel="0" collapsed="false">
      <c r="A378" s="57" t="s">
        <v>952</v>
      </c>
      <c r="B378" s="57" t="s">
        <v>250</v>
      </c>
      <c r="C378" s="57" t="str">
        <f aca="false">Flights!$F$15</f>
        <v>MH1149</v>
      </c>
      <c r="D378" s="58" t="n">
        <f aca="false">Flights!$D$15</f>
        <v>46307</v>
      </c>
      <c r="E378" s="57" t="str">
        <f aca="false">Flights!$G$15&amp;"-"&amp;Flights!$H$15</f>
        <v>PEN-KUL</v>
      </c>
      <c r="F378" s="57" t="str">
        <f aca="false">Flights!$K$15</f>
        <v>EY</v>
      </c>
      <c r="G378" s="57" t="s">
        <v>424</v>
      </c>
      <c r="H378" s="57" t="s">
        <v>425</v>
      </c>
      <c r="I378" s="57" t="s">
        <v>376</v>
      </c>
      <c r="J378" s="57" t="s">
        <v>953</v>
      </c>
      <c r="K378" s="67" t="s">
        <v>954</v>
      </c>
      <c r="L378" s="67" t="s">
        <v>955</v>
      </c>
      <c r="M378" s="67"/>
      <c r="N378" s="67" t="s">
        <v>348</v>
      </c>
      <c r="O378" s="67" t="s">
        <v>956</v>
      </c>
      <c r="P378" s="57" t="s">
        <v>179</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59" t="n">
        <f aca="false">Q378-UpliftWindowH/24</f>
        <v>46306.90625</v>
      </c>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IF(N378="N/A – rule","N/A – RULE",IF(TRIM(U378)="N/A",IF(AT378=0,"INVALID – N/A not permitted for this mandatory check",IF(AND(TRIM(AC378)&lt;&gt;"",TRIM(AE378)&lt;&gt;"",TRIM(T378)&lt;&gt;"",TRIM(AE378)&lt;&gt;TRIM(T378)),"N/A – JUSTIFIED","INVALID – N/A needs justification, PIC and a different verifier")),IF(OR(TRIM(U378)="Pass",TRIM(U378)="Pass after CA"),IF(NOT(ISNUMBER(AD378)),"INVALID – completion time missing",IF(TRIM(T378)="","INVALID – PIC missing",IF(TRIM(V378)="","INVALID – result / assessment missing",IF(TRIM(Z378)="","INVALID – evidence missing",IF(TRIM(AE378)="","INVALID – verifier missing",IF(TRIM(AE378)=TRIM(T378),"INVALID – verifier must be someone other than the PIC",IF(AND(AQ378=1,TRIM(W378)=""),"INVALID – batch ID missing",IF(AND(AR378=1,OR(NOT(ISNUMBER(X378)),NOT(ISNUMBER(Y378)))),"INVALID – expected/actual qty missing",IF(IF(AND(TRIM(U378)="Pass",ISNUMBER(AF378)),IF(AF378&lt;&gt;0,"INVALID – qty variance: use Fail or Pass after CA",""),"")&amp;IF(AND(TRIM(U378)="Pass",TRIM(AB378)&lt;&gt;"",TRIM(AB378)&lt;&gt;"Closed"),"INVALID – corrective action not closed: use Fail, then Pass after CA","")&amp;IF(AND(TRIM(AA378)&lt;&gt;"",TRIM(AB378)=""),"INVALID – CA status missing for the recorded corrective action","")&amp;IF(AND(TRIM(U378)="Pass after CA",OR(TRIM(AA378)="",TRIM(AB378)&lt;&gt;"Closed")),"INVALID – corrective action not recorded/closed","")&lt;&gt;"",IF(AND(TRIM(U378)="Pass",ISNUMBER(AF378)),IF(AF378&lt;&gt;0,"INVALID – qty variance: use Fail or Pass after CA",""),"")&amp;IF(AND(TRIM(U378)="Pass",TRIM(AB378)&lt;&gt;"",TRIM(AB378)&lt;&gt;"Closed"),"INVALID – corrective action not closed: use Fail, then Pass after CA","")&amp;IF(AND(TRIM(AA378)&lt;&gt;"",TRIM(AB378)=""),"INVALID – CA status missing for the recorded corrective action","")&amp;IF(AND(TRIM(U378)="Pass after CA",OR(TRIM(AA378)="",TRIM(AB378)&lt;&gt;"Closed")),"INVALID – corrective action not recorded/closed",""),IF(AND(AS378=1,Documents!$J$15&lt;&gt;"ON FILE"),"INVALID – GLD not on file (Documents sheet)",IF(AND(AS378=2,Documents!$O$15&lt;&gt;"ON FILE"),"INVALID – menu checklist not on file (Documents sheet)",IF(AND(AS378=3,NOT(ISNUMBER(Flights!$AX$15))),"INVALID – enter carrying flight KUL departure (Flights AX)",IF(AND(AS378=3,OR(Flights!$AX$15&gt;=Flights!$AA$15,Flights!$AX$15&lt;Flights!$AA$15-3)),"INVALID – Flights AX must be before this leg's STD (within 3 days)",IF(AG378&gt;AsOfUTC,"INVALID – completion time is in the future",IF(AND(ISNUMBER(S378),AG378&lt;S378),IF(H378="Physical uplift","INVALID – before uplift window (cannot confirm loading)","INVALID – before valid window"),IF(AG378&gt;Flights!$AA$15,"INVALID – completed after departure (cannot establish readiness)",IF(AND(H378="Physical uplift",AG378&gt;Q378),"INVALID – recorded after the loading flight departed",IF(AG378&gt;Q378,"COMPLETE – LATE","COMPLETE")))))))))))))))))),IF(TRIM(U378)="Fail","FAIL – DISCREPANCY",IF(AND(TRIM(U378)&lt;&gt;"",TRIM(U378)&lt;&gt;"Not started",TRIM(U378)&lt;&gt;"In progress"),"INVALID – unrecognised status (use the list)",IF(AsOfUTC&gt;Q378,"OVERDUE",IF(N378="Clarification required","OPEN – CLARIFICATION","OPEN")))))))</f>
        <v>OPEN</v>
      </c>
      <c r="AI378" s="61" t="n">
        <f aca="false">IF(OR(AH378="N/A – RULE",AH378="N/A – JUSTIFIED"),0,1)</f>
        <v>1</v>
      </c>
      <c r="AJ378" s="61" t="n">
        <f aca="false">IF(LEFT(AH378,8)="COMPLETE",1,0)</f>
        <v>0</v>
      </c>
      <c r="AK378" s="61" t="n">
        <f aca="false">IF(AND(AI378=1,AJ378=0,AsOfUTC&gt;Q378),1,0)</f>
        <v>0</v>
      </c>
      <c r="AL378" s="61" t="n">
        <f aca="false">IF(AND(AI378=1,OR(TRIM(U378)="Fail",AND(TRIM(AB378)&lt;&gt;"",TRIM(AB378)&lt;&gt;"Closed"),AND(ISNUMBER(AF378),AF378&lt;&gt;0,TRIM(U378)&lt;&gt;"Pass after CA"))),1,0)</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row>
    <row r="379" customFormat="false" ht="39.75" hidden="false" customHeight="true" outlineLevel="0" collapsed="false">
      <c r="A379" s="57" t="s">
        <v>957</v>
      </c>
      <c r="B379" s="57" t="s">
        <v>250</v>
      </c>
      <c r="C379" s="57" t="str">
        <f aca="false">Flights!$F$15</f>
        <v>MH1149</v>
      </c>
      <c r="D379" s="58" t="n">
        <f aca="false">Flights!$D$15</f>
        <v>46307</v>
      </c>
      <c r="E379" s="57" t="str">
        <f aca="false">Flights!$G$15&amp;"-"&amp;Flights!$H$15</f>
        <v>PEN-KUL</v>
      </c>
      <c r="F379" s="57" t="str">
        <f aca="false">Flights!$K$15</f>
        <v>EY</v>
      </c>
      <c r="G379" s="57" t="s">
        <v>424</v>
      </c>
      <c r="H379" s="57" t="s">
        <v>425</v>
      </c>
      <c r="I379" s="57" t="s">
        <v>412</v>
      </c>
      <c r="J379" s="57" t="s">
        <v>434</v>
      </c>
      <c r="K379" s="67" t="s">
        <v>414</v>
      </c>
      <c r="L379" s="67" t="s">
        <v>948</v>
      </c>
      <c r="M379" s="67" t="s">
        <v>416</v>
      </c>
      <c r="N379" s="67" t="s">
        <v>348</v>
      </c>
      <c r="O379" s="67"/>
      <c r="P379" s="57" t="s">
        <v>246</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59" t="n">
        <f aca="false">IF(ISNUMBER(Flights!$AY$15),MAX(Q379-UpliftWindowH/24,Flights!$AY$15+UpliftWindowH/24),Q379-UpliftWindowH/24)</f>
        <v>46307.15625</v>
      </c>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IF(N379="N/A – rule","N/A – RULE",IF(TRIM(U379)="N/A",IF(AT379=0,"INVALID – N/A not permitted for this mandatory check",IF(AND(TRIM(AC379)&lt;&gt;"",TRIM(AE379)&lt;&gt;"",TRIM(T379)&lt;&gt;"",TRIM(AE379)&lt;&gt;TRIM(T379)),"N/A – JUSTIFIED","INVALID – N/A needs justification, PIC and a different verifier")),IF(OR(TRIM(U379)="Pass",TRIM(U379)="Pass after CA"),IF(NOT(ISNUMBER(AD379)),"INVALID – completion time missing",IF(TRIM(T379)="","INVALID – PIC missing",IF(TRIM(V379)="","INVALID – result / assessment missing",IF(TRIM(Z379)="","INVALID – evidence missing",IF(TRIM(AE379)="","INVALID – verifier missing",IF(TRIM(AE379)=TRIM(T379),"INVALID – verifier must be someone other than the PIC",IF(AND(AQ379=1,TRIM(W379)=""),"INVALID – batch ID missing",IF(AND(AR379=1,OR(NOT(ISNUMBER(X379)),NOT(ISNUMBER(Y379)))),"INVALID – expected/actual qty missing",IF(IF(AND(TRIM(U379)="Pass",ISNUMBER(AF379)),IF(AF379&lt;&gt;0,"INVALID – qty variance: use Fail or Pass after CA",""),"")&amp;IF(AND(TRIM(U379)="Pass",TRIM(AB379)&lt;&gt;"",TRIM(AB379)&lt;&gt;"Closed"),"INVALID – corrective action not closed: use Fail, then Pass after CA","")&amp;IF(AND(TRIM(AA379)&lt;&gt;"",TRIM(AB379)=""),"INVALID – CA status missing for the recorded corrective action","")&amp;IF(AND(TRIM(U379)="Pass after CA",OR(TRIM(AA379)="",TRIM(AB379)&lt;&gt;"Closed")),"INVALID – corrective action not recorded/closed","")&lt;&gt;"",IF(AND(TRIM(U379)="Pass",ISNUMBER(AF379)),IF(AF379&lt;&gt;0,"INVALID – qty variance: use Fail or Pass after CA",""),"")&amp;IF(AND(TRIM(U379)="Pass",TRIM(AB379)&lt;&gt;"",TRIM(AB379)&lt;&gt;"Closed"),"INVALID – corrective action not closed: use Fail, then Pass after CA","")&amp;IF(AND(TRIM(AA379)&lt;&gt;"",TRIM(AB379)=""),"INVALID – CA status missing for the recorded corrective action","")&amp;IF(AND(TRIM(U379)="Pass after CA",OR(TRIM(AA379)="",TRIM(AB379)&lt;&gt;"Closed")),"INVALID – corrective action not recorded/closed",""),IF(AND(AS379=1,Documents!$J$15&lt;&gt;"ON FILE"),"INVALID – GLD not on file (Documents sheet)",IF(AND(AS379=2,Documents!$O$15&lt;&gt;"ON FILE"),"INVALID – menu checklist not on file (Documents sheet)",IF(AND(AS379=3,NOT(ISNUMBER(Flights!$AX$15))),"INVALID – enter carrying flight KUL departure (Flights AX)",IF(AND(AS379=3,OR(Flights!$AX$15&gt;=Flights!$AA$15,Flights!$AX$15&lt;Flights!$AA$15-3)),"INVALID – Flights AX must be before this leg's STD (within 3 days)",IF(AG379&gt;AsOfUTC,"INVALID – completion time is in the future",IF(AND(ISNUMBER(S379),AG379&lt;S379),IF(H379="Physical uplift","INVALID – before uplift window (cannot confirm loading)","INVALID – before valid window"),IF(AG379&gt;Flights!$AA$15,"INVALID – completed after departure (cannot establish readiness)",IF(AND(H379="Physical uplift",AG379&gt;Q379),"INVALID – recorded after the loading flight departed",IF(AG379&gt;Q379,"COMPLETE – LATE","COMPLETE")))))))))))))))))),IF(TRIM(U379)="Fail","FAIL – DISCREPANCY",IF(AND(TRIM(U379)&lt;&gt;"",TRIM(U379)&lt;&gt;"Not started",TRIM(U379)&lt;&gt;"In progress"),"INVALID – unrecognised status (use the list)",IF(AsOfUTC&gt;Q379,"OVERDUE",IF(N379="Clarification required","OPEN – CLARIFICATION","OPEN")))))))</f>
        <v>OPEN</v>
      </c>
      <c r="AI379" s="61" t="n">
        <f aca="false">IF(OR(AH379="N/A – RULE",AH379="N/A – JUSTIFIED"),0,1)</f>
        <v>1</v>
      </c>
      <c r="AJ379" s="61" t="n">
        <f aca="false">IF(LEFT(AH379,8)="COMPLETE",1,0)</f>
        <v>0</v>
      </c>
      <c r="AK379" s="61" t="n">
        <f aca="false">IF(AND(AI379=1,AJ379=0,AsOfUTC&gt;Q379),1,0)</f>
        <v>0</v>
      </c>
      <c r="AL379" s="61" t="n">
        <f aca="false">IF(AND(AI379=1,OR(TRIM(U379)="Fail",AND(TRIM(AB379)&lt;&gt;"",TRIM(AB379)&lt;&gt;"Closed"),AND(ISNUMBER(AF379),AF379&lt;&gt;0,TRIM(U379)&lt;&gt;"Pass after CA"))),1,0)</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8" t="b">
        <f aca="false">TRUE()</f>
        <v>1</v>
      </c>
    </row>
    <row r="380" customFormat="false" ht="39.75" hidden="false" customHeight="true" outlineLevel="0" collapsed="false">
      <c r="A380" s="57" t="s">
        <v>958</v>
      </c>
      <c r="B380" s="57" t="s">
        <v>253</v>
      </c>
      <c r="C380" s="57" t="str">
        <f aca="false">Flights!$F$16</f>
        <v>MH0139</v>
      </c>
      <c r="D380" s="58" t="n">
        <f aca="false">Flights!$D$16</f>
        <v>46307</v>
      </c>
      <c r="E380" s="57" t="str">
        <f aca="false">Flights!$G$16&amp;"-"&amp;Flights!$H$16</f>
        <v>KUL-ADL</v>
      </c>
      <c r="F380" s="57" t="str">
        <f aca="false">Flights!$K$16</f>
        <v>BC</v>
      </c>
      <c r="G380" s="57" t="s">
        <v>76</v>
      </c>
      <c r="H380" s="57" t="s">
        <v>343</v>
      </c>
      <c r="I380" s="57" t="s">
        <v>344</v>
      </c>
      <c r="J380" s="57" t="s">
        <v>345</v>
      </c>
      <c r="K380" s="67" t="s">
        <v>346</v>
      </c>
      <c r="L380" s="67" t="s">
        <v>347</v>
      </c>
      <c r="M380" s="67"/>
      <c r="N380" s="67" t="s">
        <v>348</v>
      </c>
      <c r="O380" s="67"/>
      <c r="P380" s="57" t="s">
        <v>179</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59" t="n">
        <f aca="false">Q380-T7EarlyD*24/24</f>
        <v>46286.6006944444</v>
      </c>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IF(N380="N/A – rule","N/A – RULE",IF(TRIM(U380)="N/A",IF(AT380=0,"INVALID – N/A not permitted for this mandatory check",IF(AND(TRIM(AC380)&lt;&gt;"",TRIM(AE380)&lt;&gt;"",TRIM(T380)&lt;&gt;"",TRIM(AE380)&lt;&gt;TRIM(T380)),"N/A – JUSTIFIED","INVALID – N/A needs justification, PIC and a different verifier")),IF(OR(TRIM(U380)="Pass",TRIM(U380)="Pass after CA"),IF(NOT(ISNUMBER(AD380)),"INVALID – completion time missing",IF(TRIM(T380)="","INVALID – PIC missing",IF(TRIM(V380)="","INVALID – result / assessment missing",IF(TRIM(Z380)="","INVALID – evidence missing",IF(TRIM(AE380)="","INVALID – verifier missing",IF(TRIM(AE380)=TRIM(T380),"INVALID – verifier must be someone other than the PIC",IF(AND(AQ380=1,TRIM(W380)=""),"INVALID – batch ID missing",IF(AND(AR380=1,OR(NOT(ISNUMBER(X380)),NOT(ISNUMBER(Y380)))),"INVALID – expected/actual qty missing",IF(IF(AND(TRIM(U380)="Pass",ISNUMBER(AF380)),IF(AF380&lt;&gt;0,"INVALID – qty variance: use Fail or Pass after CA",""),"")&amp;IF(AND(TRIM(U380)="Pass",TRIM(AB380)&lt;&gt;"",TRIM(AB380)&lt;&gt;"Closed"),"INVALID – corrective action not closed: use Fail, then Pass after CA","")&amp;IF(AND(TRIM(AA380)&lt;&gt;"",TRIM(AB380)=""),"INVALID – CA status missing for the recorded corrective action","")&amp;IF(AND(TRIM(U380)="Pass after CA",OR(TRIM(AA380)="",TRIM(AB380)&lt;&gt;"Closed")),"INVALID – corrective action not recorded/closed","")&lt;&gt;"",IF(AND(TRIM(U380)="Pass",ISNUMBER(AF380)),IF(AF380&lt;&gt;0,"INVALID – qty variance: use Fail or Pass after CA",""),"")&amp;IF(AND(TRIM(U380)="Pass",TRIM(AB380)&lt;&gt;"",TRIM(AB380)&lt;&gt;"Closed"),"INVALID – corrective action not closed: use Fail, then Pass after CA","")&amp;IF(AND(TRIM(AA380)&lt;&gt;"",TRIM(AB380)=""),"INVALID – CA status missing for the recorded corrective action","")&amp;IF(AND(TRIM(U380)="Pass after CA",OR(TRIM(AA380)="",TRIM(AB380)&lt;&gt;"Closed")),"INVALID – corrective action not recorded/closed",""),IF(AND(AS380=1,Documents!$J$16&lt;&gt;"ON FILE"),"INVALID – GLD not on file (Documents sheet)",IF(AND(AS380=2,Documents!$O$16&lt;&gt;"ON FILE"),"INVALID – menu checklist not on file (Documents sheet)",IF(AND(AS380=3,NOT(ISNUMBER(Flights!$AX$16))),"INVALID – enter carrying flight KUL departure (Flights AX)",IF(AND(AS380=3,OR(Flights!$AX$16&gt;=Flights!$AA$16,Flights!$AX$16&lt;Flights!$AA$16-3)),"INVALID – Flights AX must be before this leg's STD (within 3 days)",IF(AG380&gt;AsOfUTC,"INVALID – completion time is in the future",IF(AND(ISNUMBER(S380),AG380&lt;S380),IF(H380="Physical uplift","INVALID – before uplift window (cannot confirm loading)","INVALID – before valid window"),IF(AG380&gt;Flights!$AA$16,"INVALID – completed after departure (cannot establish readiness)",IF(AND(H380="Physical uplift",AG380&gt;Q380),"INVALID – recorded after the loading flight departed",IF(AG380&gt;Q380,"COMPLETE – LATE","COMPLETE")))))))))))))))))),IF(TRIM(U380)="Fail","FAIL – DISCREPANCY",IF(AND(TRIM(U380)&lt;&gt;"",TRIM(U380)&lt;&gt;"Not started",TRIM(U380)&lt;&gt;"In progress"),"INVALID – unrecognised status (use the list)",IF(AsOfUTC&gt;Q380,"OVERDUE",IF(N380="Clarification required","OPEN – CLARIFICATION","OPEN")))))))</f>
        <v>OPEN</v>
      </c>
      <c r="AI380" s="61" t="n">
        <f aca="false">IF(OR(AH380="N/A – RULE",AH380="N/A – JUSTIFIED"),0,1)</f>
        <v>1</v>
      </c>
      <c r="AJ380" s="61" t="n">
        <f aca="false">IF(LEFT(AH380,8)="COMPLETE",1,0)</f>
        <v>0</v>
      </c>
      <c r="AK380" s="61" t="n">
        <f aca="false">IF(AND(AI380=1,AJ380=0,AsOfUTC&gt;Q380),1,0)</f>
        <v>0</v>
      </c>
      <c r="AL380" s="61" t="n">
        <f aca="false">IF(AND(AI380=1,OR(TRIM(U380)="Fail",AND(TRIM(AB380)&lt;&gt;"",TRIM(AB380)&lt;&gt;"Closed"),AND(ISNUMBER(AF380),AF380&lt;&gt;0,TRIM(U380)&lt;&gt;"Pass after CA"))),1,0)</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row>
    <row r="381" customFormat="false" ht="39.75" hidden="false" customHeight="true" outlineLevel="0" collapsed="false">
      <c r="A381" s="57" t="s">
        <v>959</v>
      </c>
      <c r="B381" s="57" t="s">
        <v>253</v>
      </c>
      <c r="C381" s="57" t="str">
        <f aca="false">Flights!$F$16</f>
        <v>MH0139</v>
      </c>
      <c r="D381" s="58" t="n">
        <f aca="false">Flights!$D$16</f>
        <v>46307</v>
      </c>
      <c r="E381" s="57" t="str">
        <f aca="false">Flights!$G$16&amp;"-"&amp;Flights!$H$16</f>
        <v>KUL-ADL</v>
      </c>
      <c r="F381" s="57" t="str">
        <f aca="false">Flights!$K$16</f>
        <v>BC</v>
      </c>
      <c r="G381" s="57" t="s">
        <v>76</v>
      </c>
      <c r="H381" s="57" t="s">
        <v>343</v>
      </c>
      <c r="I381" s="57" t="s">
        <v>350</v>
      </c>
      <c r="J381" s="57" t="s">
        <v>351</v>
      </c>
      <c r="K381" s="67" t="s">
        <v>352</v>
      </c>
      <c r="L381" s="67" t="s">
        <v>347</v>
      </c>
      <c r="M381" s="67"/>
      <c r="N381" s="67" t="s">
        <v>348</v>
      </c>
      <c r="O381" s="67"/>
      <c r="P381" s="57" t="s">
        <v>179</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59" t="n">
        <f aca="false">Q381-T7EarlyD*24/24</f>
        <v>46286.6006944444</v>
      </c>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IF(N381="N/A – rule","N/A – RULE",IF(TRIM(U381)="N/A",IF(AT381=0,"INVALID – N/A not permitted for this mandatory check",IF(AND(TRIM(AC381)&lt;&gt;"",TRIM(AE381)&lt;&gt;"",TRIM(T381)&lt;&gt;"",TRIM(AE381)&lt;&gt;TRIM(T381)),"N/A – JUSTIFIED","INVALID – N/A needs justification, PIC and a different verifier")),IF(OR(TRIM(U381)="Pass",TRIM(U381)="Pass after CA"),IF(NOT(ISNUMBER(AD381)),"INVALID – completion time missing",IF(TRIM(T381)="","INVALID – PIC missing",IF(TRIM(V381)="","INVALID – result / assessment missing",IF(TRIM(Z381)="","INVALID – evidence missing",IF(TRIM(AE381)="","INVALID – verifier missing",IF(TRIM(AE381)=TRIM(T381),"INVALID – verifier must be someone other than the PIC",IF(AND(AQ381=1,TRIM(W381)=""),"INVALID – batch ID missing",IF(AND(AR381=1,OR(NOT(ISNUMBER(X381)),NOT(ISNUMBER(Y381)))),"INVALID – expected/actual qty missing",IF(IF(AND(TRIM(U381)="Pass",ISNUMBER(AF381)),IF(AF381&lt;&gt;0,"INVALID – qty variance: use Fail or Pass after CA",""),"")&amp;IF(AND(TRIM(U381)="Pass",TRIM(AB381)&lt;&gt;"",TRIM(AB381)&lt;&gt;"Closed"),"INVALID – corrective action not closed: use Fail, then Pass after CA","")&amp;IF(AND(TRIM(AA381)&lt;&gt;"",TRIM(AB381)=""),"INVALID – CA status missing for the recorded corrective action","")&amp;IF(AND(TRIM(U381)="Pass after CA",OR(TRIM(AA381)="",TRIM(AB381)&lt;&gt;"Closed")),"INVALID – corrective action not recorded/closed","")&lt;&gt;"",IF(AND(TRIM(U381)="Pass",ISNUMBER(AF381)),IF(AF381&lt;&gt;0,"INVALID – qty variance: use Fail or Pass after CA",""),"")&amp;IF(AND(TRIM(U381)="Pass",TRIM(AB381)&lt;&gt;"",TRIM(AB381)&lt;&gt;"Closed"),"INVALID – corrective action not closed: use Fail, then Pass after CA","")&amp;IF(AND(TRIM(AA381)&lt;&gt;"",TRIM(AB381)=""),"INVALID – CA status missing for the recorded corrective action","")&amp;IF(AND(TRIM(U381)="Pass after CA",OR(TRIM(AA381)="",TRIM(AB381)&lt;&gt;"Closed")),"INVALID – corrective action not recorded/closed",""),IF(AND(AS381=1,Documents!$J$16&lt;&gt;"ON FILE"),"INVALID – GLD not on file (Documents sheet)",IF(AND(AS381=2,Documents!$O$16&lt;&gt;"ON FILE"),"INVALID – menu checklist not on file (Documents sheet)",IF(AND(AS381=3,NOT(ISNUMBER(Flights!$AX$16))),"INVALID – enter carrying flight KUL departure (Flights AX)",IF(AND(AS381=3,OR(Flights!$AX$16&gt;=Flights!$AA$16,Flights!$AX$16&lt;Flights!$AA$16-3)),"INVALID – Flights AX must be before this leg's STD (within 3 days)",IF(AG381&gt;AsOfUTC,"INVALID – completion time is in the future",IF(AND(ISNUMBER(S381),AG381&lt;S381),IF(H381="Physical uplift","INVALID – before uplift window (cannot confirm loading)","INVALID – before valid window"),IF(AG381&gt;Flights!$AA$16,"INVALID – completed after departure (cannot establish readiness)",IF(AND(H381="Physical uplift",AG381&gt;Q381),"INVALID – recorded after the loading flight departed",IF(AG381&gt;Q381,"COMPLETE – LATE","COMPLETE")))))))))))))))))),IF(TRIM(U381)="Fail","FAIL – DISCREPANCY",IF(AND(TRIM(U381)&lt;&gt;"",TRIM(U381)&lt;&gt;"Not started",TRIM(U381)&lt;&gt;"In progress"),"INVALID – unrecognised status (use the list)",IF(AsOfUTC&gt;Q381,"OVERDUE",IF(N381="Clarification required","OPEN – CLARIFICATION","OPEN")))))))</f>
        <v>OPEN</v>
      </c>
      <c r="AI381" s="61" t="n">
        <f aca="false">IF(OR(AH381="N/A – RULE",AH381="N/A – JUSTIFIED"),0,1)</f>
        <v>1</v>
      </c>
      <c r="AJ381" s="61" t="n">
        <f aca="false">IF(LEFT(AH381,8)="COMPLETE",1,0)</f>
        <v>0</v>
      </c>
      <c r="AK381" s="61" t="n">
        <f aca="false">IF(AND(AI381=1,AJ381=0,AsOfUTC&gt;Q381),1,0)</f>
        <v>0</v>
      </c>
      <c r="AL381" s="61" t="n">
        <f aca="false">IF(AND(AI381=1,OR(TRIM(U381)="Fail",AND(TRIM(AB381)&lt;&gt;"",TRIM(AB381)&lt;&gt;"Closed"),AND(ISNUMBER(AF381),AF381&lt;&gt;0,TRIM(U381)&lt;&gt;"Pass after CA"))),1,0)</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8" t="b">
        <f aca="false">TRUE()</f>
        <v>1</v>
      </c>
    </row>
    <row r="382" customFormat="false" ht="41.25" hidden="false" customHeight="true" outlineLevel="0" collapsed="false">
      <c r="A382" s="57" t="s">
        <v>960</v>
      </c>
      <c r="B382" s="57" t="s">
        <v>253</v>
      </c>
      <c r="C382" s="57" t="str">
        <f aca="false">Flights!$F$16</f>
        <v>MH0139</v>
      </c>
      <c r="D382" s="58" t="n">
        <f aca="false">Flights!$D$16</f>
        <v>46307</v>
      </c>
      <c r="E382" s="57" t="str">
        <f aca="false">Flights!$G$16&amp;"-"&amp;Flights!$H$16</f>
        <v>KUL-ADL</v>
      </c>
      <c r="F382" s="57" t="str">
        <f aca="false">Flights!$K$16</f>
        <v>BC</v>
      </c>
      <c r="G382" s="57" t="s">
        <v>76</v>
      </c>
      <c r="H382" s="57" t="s">
        <v>343</v>
      </c>
      <c r="I382" s="57" t="s">
        <v>354</v>
      </c>
      <c r="J382" s="57" t="s">
        <v>355</v>
      </c>
      <c r="K382" s="67" t="s">
        <v>356</v>
      </c>
      <c r="L382" s="67" t="s">
        <v>347</v>
      </c>
      <c r="M382" s="67"/>
      <c r="N382" s="67" t="str">
        <f aca="false">IF(TRIM(Flights!$L$16)="A339","Required","N/A – rule")</f>
        <v>Required</v>
      </c>
      <c r="O382" s="67" t="s">
        <v>357</v>
      </c>
      <c r="P382" s="57" t="s">
        <v>179</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59" t="n">
        <f aca="false">Q382-T7EarlyD*24/24</f>
        <v>46286.6006944444</v>
      </c>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IF(N382="N/A – rule","N/A – RULE",IF(TRIM(U382)="N/A",IF(AT382=0,"INVALID – N/A not permitted for this mandatory check",IF(AND(TRIM(AC382)&lt;&gt;"",TRIM(AE382)&lt;&gt;"",TRIM(T382)&lt;&gt;"",TRIM(AE382)&lt;&gt;TRIM(T382)),"N/A – JUSTIFIED","INVALID – N/A needs justification, PIC and a different verifier")),IF(OR(TRIM(U382)="Pass",TRIM(U382)="Pass after CA"),IF(NOT(ISNUMBER(AD382)),"INVALID – completion time missing",IF(TRIM(T382)="","INVALID – PIC missing",IF(TRIM(V382)="","INVALID – result / assessment missing",IF(TRIM(Z382)="","INVALID – evidence missing",IF(TRIM(AE382)="","INVALID – verifier missing",IF(TRIM(AE382)=TRIM(T382),"INVALID – verifier must be someone other than the PIC",IF(AND(AQ382=1,TRIM(W382)=""),"INVALID – batch ID missing",IF(AND(AR382=1,OR(NOT(ISNUMBER(X382)),NOT(ISNUMBER(Y382)))),"INVALID – expected/actual qty missing",IF(IF(AND(TRIM(U382)="Pass",ISNUMBER(AF382)),IF(AF382&lt;&gt;0,"INVALID – qty variance: use Fail or Pass after CA",""),"")&amp;IF(AND(TRIM(U382)="Pass",TRIM(AB382)&lt;&gt;"",TRIM(AB382)&lt;&gt;"Closed"),"INVALID – corrective action not closed: use Fail, then Pass after CA","")&amp;IF(AND(TRIM(AA382)&lt;&gt;"",TRIM(AB382)=""),"INVALID – CA status missing for the recorded corrective action","")&amp;IF(AND(TRIM(U382)="Pass after CA",OR(TRIM(AA382)="",TRIM(AB382)&lt;&gt;"Closed")),"INVALID – corrective action not recorded/closed","")&lt;&gt;"",IF(AND(TRIM(U382)="Pass",ISNUMBER(AF382)),IF(AF382&lt;&gt;0,"INVALID – qty variance: use Fail or Pass after CA",""),"")&amp;IF(AND(TRIM(U382)="Pass",TRIM(AB382)&lt;&gt;"",TRIM(AB382)&lt;&gt;"Closed"),"INVALID – corrective action not closed: use Fail, then Pass after CA","")&amp;IF(AND(TRIM(AA382)&lt;&gt;"",TRIM(AB382)=""),"INVALID – CA status missing for the recorded corrective action","")&amp;IF(AND(TRIM(U382)="Pass after CA",OR(TRIM(AA382)="",TRIM(AB382)&lt;&gt;"Closed")),"INVALID – corrective action not recorded/closed",""),IF(AND(AS382=1,Documents!$J$16&lt;&gt;"ON FILE"),"INVALID – GLD not on file (Documents sheet)",IF(AND(AS382=2,Documents!$O$16&lt;&gt;"ON FILE"),"INVALID – menu checklist not on file (Documents sheet)",IF(AND(AS382=3,NOT(ISNUMBER(Flights!$AX$16))),"INVALID – enter carrying flight KUL departure (Flights AX)",IF(AND(AS382=3,OR(Flights!$AX$16&gt;=Flights!$AA$16,Flights!$AX$16&lt;Flights!$AA$16-3)),"INVALID – Flights AX must be before this leg's STD (within 3 days)",IF(AG382&gt;AsOfUTC,"INVALID – completion time is in the future",IF(AND(ISNUMBER(S382),AG382&lt;S382),IF(H382="Physical uplift","INVALID – before uplift window (cannot confirm loading)","INVALID – before valid window"),IF(AG382&gt;Flights!$AA$16,"INVALID – completed after departure (cannot establish readiness)",IF(AND(H382="Physical uplift",AG382&gt;Q382),"INVALID – recorded after the loading flight departed",IF(AG382&gt;Q382,"COMPLETE – LATE","COMPLETE")))))))))))))))))),IF(TRIM(U382)="Fail","FAIL – DISCREPANCY",IF(AND(TRIM(U382)&lt;&gt;"",TRIM(U382)&lt;&gt;"Not started",TRIM(U382)&lt;&gt;"In progress"),"INVALID – unrecognised status (use the list)",IF(AsOfUTC&gt;Q382,"OVERDUE",IF(N382="Clarification required","OPEN – CLARIFICATION","OPEN")))))))</f>
        <v>OPEN</v>
      </c>
      <c r="AI382" s="61" t="n">
        <f aca="false">IF(OR(AH382="N/A – RULE",AH382="N/A – JUSTIFIED"),0,1)</f>
        <v>1</v>
      </c>
      <c r="AJ382" s="61" t="n">
        <f aca="false">IF(LEFT(AH382,8)="COMPLETE",1,0)</f>
        <v>0</v>
      </c>
      <c r="AK382" s="61" t="n">
        <f aca="false">IF(AND(AI382=1,AJ382=0,AsOfUTC&gt;Q382),1,0)</f>
        <v>0</v>
      </c>
      <c r="AL382" s="61" t="n">
        <f aca="false">IF(AND(AI382=1,OR(TRIM(U382)="Fail",AND(TRIM(AB382)&lt;&gt;"",TRIM(AB382)&lt;&gt;"Closed"),AND(ISNUMBER(AF382),AF382&lt;&gt;0,TRIM(U382)&lt;&gt;"Pass after CA"))),1,0)</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row>
    <row r="383" customFormat="false" ht="39.75" hidden="false" customHeight="true" outlineLevel="0" collapsed="false">
      <c r="A383" s="57" t="s">
        <v>961</v>
      </c>
      <c r="B383" s="57" t="s">
        <v>253</v>
      </c>
      <c r="C383" s="57" t="str">
        <f aca="false">Flights!$F$16</f>
        <v>MH0139</v>
      </c>
      <c r="D383" s="58" t="n">
        <f aca="false">Flights!$D$16</f>
        <v>46307</v>
      </c>
      <c r="E383" s="57" t="str">
        <f aca="false">Flights!$G$16&amp;"-"&amp;Flights!$H$16</f>
        <v>KUL-ADL</v>
      </c>
      <c r="F383" s="57" t="str">
        <f aca="false">Flights!$K$16</f>
        <v>BC</v>
      </c>
      <c r="G383" s="57" t="s">
        <v>76</v>
      </c>
      <c r="H383" s="57" t="s">
        <v>343</v>
      </c>
      <c r="I383" s="57" t="s">
        <v>359</v>
      </c>
      <c r="J383" s="57" t="s">
        <v>360</v>
      </c>
      <c r="K383" s="67" t="s">
        <v>361</v>
      </c>
      <c r="L383" s="67" t="s">
        <v>347</v>
      </c>
      <c r="M383" s="67"/>
      <c r="N383" s="67" t="s">
        <v>348</v>
      </c>
      <c r="O383" s="67"/>
      <c r="P383" s="57" t="s">
        <v>179</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59" t="n">
        <f aca="false">Q383-T7EarlyD*24/24</f>
        <v>46286.6006944444</v>
      </c>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IF(N383="N/A – rule","N/A – RULE",IF(TRIM(U383)="N/A",IF(AT383=0,"INVALID – N/A not permitted for this mandatory check",IF(AND(TRIM(AC383)&lt;&gt;"",TRIM(AE383)&lt;&gt;"",TRIM(T383)&lt;&gt;"",TRIM(AE383)&lt;&gt;TRIM(T383)),"N/A – JUSTIFIED","INVALID – N/A needs justification, PIC and a different verifier")),IF(OR(TRIM(U383)="Pass",TRIM(U383)="Pass after CA"),IF(NOT(ISNUMBER(AD383)),"INVALID – completion time missing",IF(TRIM(T383)="","INVALID – PIC missing",IF(TRIM(V383)="","INVALID – result / assessment missing",IF(TRIM(Z383)="","INVALID – evidence missing",IF(TRIM(AE383)="","INVALID – verifier missing",IF(TRIM(AE383)=TRIM(T383),"INVALID – verifier must be someone other than the PIC",IF(AND(AQ383=1,TRIM(W383)=""),"INVALID – batch ID missing",IF(AND(AR383=1,OR(NOT(ISNUMBER(X383)),NOT(ISNUMBER(Y383)))),"INVALID – expected/actual qty missing",IF(IF(AND(TRIM(U383)="Pass",ISNUMBER(AF383)),IF(AF383&lt;&gt;0,"INVALID – qty variance: use Fail or Pass after CA",""),"")&amp;IF(AND(TRIM(U383)="Pass",TRIM(AB383)&lt;&gt;"",TRIM(AB383)&lt;&gt;"Closed"),"INVALID – corrective action not closed: use Fail, then Pass after CA","")&amp;IF(AND(TRIM(AA383)&lt;&gt;"",TRIM(AB383)=""),"INVALID – CA status missing for the recorded corrective action","")&amp;IF(AND(TRIM(U383)="Pass after CA",OR(TRIM(AA383)="",TRIM(AB383)&lt;&gt;"Closed")),"INVALID – corrective action not recorded/closed","")&lt;&gt;"",IF(AND(TRIM(U383)="Pass",ISNUMBER(AF383)),IF(AF383&lt;&gt;0,"INVALID – qty variance: use Fail or Pass after CA",""),"")&amp;IF(AND(TRIM(U383)="Pass",TRIM(AB383)&lt;&gt;"",TRIM(AB383)&lt;&gt;"Closed"),"INVALID – corrective action not closed: use Fail, then Pass after CA","")&amp;IF(AND(TRIM(AA383)&lt;&gt;"",TRIM(AB383)=""),"INVALID – CA status missing for the recorded corrective action","")&amp;IF(AND(TRIM(U383)="Pass after CA",OR(TRIM(AA383)="",TRIM(AB383)&lt;&gt;"Closed")),"INVALID – corrective action not recorded/closed",""),IF(AND(AS383=1,Documents!$J$16&lt;&gt;"ON FILE"),"INVALID – GLD not on file (Documents sheet)",IF(AND(AS383=2,Documents!$O$16&lt;&gt;"ON FILE"),"INVALID – menu checklist not on file (Documents sheet)",IF(AND(AS383=3,NOT(ISNUMBER(Flights!$AX$16))),"INVALID – enter carrying flight KUL departure (Flights AX)",IF(AND(AS383=3,OR(Flights!$AX$16&gt;=Flights!$AA$16,Flights!$AX$16&lt;Flights!$AA$16-3)),"INVALID – Flights AX must be before this leg's STD (within 3 days)",IF(AG383&gt;AsOfUTC,"INVALID – completion time is in the future",IF(AND(ISNUMBER(S383),AG383&lt;S383),IF(H383="Physical uplift","INVALID – before uplift window (cannot confirm loading)","INVALID – before valid window"),IF(AG383&gt;Flights!$AA$16,"INVALID – completed after departure (cannot establish readiness)",IF(AND(H383="Physical uplift",AG383&gt;Q383),"INVALID – recorded after the loading flight departed",IF(AG383&gt;Q383,"COMPLETE – LATE","COMPLETE")))))))))))))))))),IF(TRIM(U383)="Fail","FAIL – DISCREPANCY",IF(AND(TRIM(U383)&lt;&gt;"",TRIM(U383)&lt;&gt;"Not started",TRIM(U383)&lt;&gt;"In progress"),"INVALID – unrecognised status (use the list)",IF(AsOfUTC&gt;Q383,"OVERDUE",IF(N383="Clarification required","OPEN – CLARIFICATION","OPEN")))))))</f>
        <v>OPEN</v>
      </c>
      <c r="AI383" s="61" t="n">
        <f aca="false">IF(OR(AH383="N/A – RULE",AH383="N/A – JUSTIFIED"),0,1)</f>
        <v>1</v>
      </c>
      <c r="AJ383" s="61" t="n">
        <f aca="false">IF(LEFT(AH383,8)="COMPLETE",1,0)</f>
        <v>0</v>
      </c>
      <c r="AK383" s="61" t="n">
        <f aca="false">IF(AND(AI383=1,AJ383=0,AsOfUTC&gt;Q383),1,0)</f>
        <v>0</v>
      </c>
      <c r="AL383" s="61" t="n">
        <f aca="false">IF(AND(AI383=1,OR(TRIM(U383)="Fail",AND(TRIM(AB383)&lt;&gt;"",TRIM(AB383)&lt;&gt;"Closed"),AND(ISNUMBER(AF383),AF383&lt;&gt;0,TRIM(U383)&lt;&gt;"Pass after CA"))),1,0)</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row>
    <row r="384" customFormat="false" ht="39.75" hidden="false" customHeight="true" outlineLevel="0" collapsed="false">
      <c r="A384" s="57" t="s">
        <v>962</v>
      </c>
      <c r="B384" s="57" t="s">
        <v>253</v>
      </c>
      <c r="C384" s="57" t="str">
        <f aca="false">Flights!$F$16</f>
        <v>MH0139</v>
      </c>
      <c r="D384" s="58" t="n">
        <f aca="false">Flights!$D$16</f>
        <v>46307</v>
      </c>
      <c r="E384" s="57" t="str">
        <f aca="false">Flights!$G$16&amp;"-"&amp;Flights!$H$16</f>
        <v>KUL-ADL</v>
      </c>
      <c r="F384" s="57" t="str">
        <f aca="false">Flights!$K$16</f>
        <v>BC</v>
      </c>
      <c r="G384" s="57" t="s">
        <v>76</v>
      </c>
      <c r="H384" s="57" t="s">
        <v>343</v>
      </c>
      <c r="I384" s="57" t="s">
        <v>363</v>
      </c>
      <c r="J384" s="57" t="s">
        <v>364</v>
      </c>
      <c r="K384" s="67" t="s">
        <v>365</v>
      </c>
      <c r="L384" s="67" t="s">
        <v>347</v>
      </c>
      <c r="M384" s="67"/>
      <c r="N384" s="67" t="s">
        <v>348</v>
      </c>
      <c r="O384" s="67"/>
      <c r="P384" s="57" t="s">
        <v>179</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59" t="n">
        <f aca="false">Q384-T7EarlyD*24/24</f>
        <v>46286.6006944444</v>
      </c>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IF(N384="N/A – rule","N/A – RULE",IF(TRIM(U384)="N/A",IF(AT384=0,"INVALID – N/A not permitted for this mandatory check",IF(AND(TRIM(AC384)&lt;&gt;"",TRIM(AE384)&lt;&gt;"",TRIM(T384)&lt;&gt;"",TRIM(AE384)&lt;&gt;TRIM(T384)),"N/A – JUSTIFIED","INVALID – N/A needs justification, PIC and a different verifier")),IF(OR(TRIM(U384)="Pass",TRIM(U384)="Pass after CA"),IF(NOT(ISNUMBER(AD384)),"INVALID – completion time missing",IF(TRIM(T384)="","INVALID – PIC missing",IF(TRIM(V384)="","INVALID – result / assessment missing",IF(TRIM(Z384)="","INVALID – evidence missing",IF(TRIM(AE384)="","INVALID – verifier missing",IF(TRIM(AE384)=TRIM(T384),"INVALID – verifier must be someone other than the PIC",IF(AND(AQ384=1,TRIM(W384)=""),"INVALID – batch ID missing",IF(AND(AR384=1,OR(NOT(ISNUMBER(X384)),NOT(ISNUMBER(Y384)))),"INVALID – expected/actual qty missing",IF(IF(AND(TRIM(U384)="Pass",ISNUMBER(AF384)),IF(AF384&lt;&gt;0,"INVALID – qty variance: use Fail or Pass after CA",""),"")&amp;IF(AND(TRIM(U384)="Pass",TRIM(AB384)&lt;&gt;"",TRIM(AB384)&lt;&gt;"Closed"),"INVALID – corrective action not closed: use Fail, then Pass after CA","")&amp;IF(AND(TRIM(AA384)&lt;&gt;"",TRIM(AB384)=""),"INVALID – CA status missing for the recorded corrective action","")&amp;IF(AND(TRIM(U384)="Pass after CA",OR(TRIM(AA384)="",TRIM(AB384)&lt;&gt;"Closed")),"INVALID – corrective action not recorded/closed","")&lt;&gt;"",IF(AND(TRIM(U384)="Pass",ISNUMBER(AF384)),IF(AF384&lt;&gt;0,"INVALID – qty variance: use Fail or Pass after CA",""),"")&amp;IF(AND(TRIM(U384)="Pass",TRIM(AB384)&lt;&gt;"",TRIM(AB384)&lt;&gt;"Closed"),"INVALID – corrective action not closed: use Fail, then Pass after CA","")&amp;IF(AND(TRIM(AA384)&lt;&gt;"",TRIM(AB384)=""),"INVALID – CA status missing for the recorded corrective action","")&amp;IF(AND(TRIM(U384)="Pass after CA",OR(TRIM(AA384)="",TRIM(AB384)&lt;&gt;"Closed")),"INVALID – corrective action not recorded/closed",""),IF(AND(AS384=1,Documents!$J$16&lt;&gt;"ON FILE"),"INVALID – GLD not on file (Documents sheet)",IF(AND(AS384=2,Documents!$O$16&lt;&gt;"ON FILE"),"INVALID – menu checklist not on file (Documents sheet)",IF(AND(AS384=3,NOT(ISNUMBER(Flights!$AX$16))),"INVALID – enter carrying flight KUL departure (Flights AX)",IF(AND(AS384=3,OR(Flights!$AX$16&gt;=Flights!$AA$16,Flights!$AX$16&lt;Flights!$AA$16-3)),"INVALID – Flights AX must be before this leg's STD (within 3 days)",IF(AG384&gt;AsOfUTC,"INVALID – completion time is in the future",IF(AND(ISNUMBER(S384),AG384&lt;S384),IF(H384="Physical uplift","INVALID – before uplift window (cannot confirm loading)","INVALID – before valid window"),IF(AG384&gt;Flights!$AA$16,"INVALID – completed after departure (cannot establish readiness)",IF(AND(H384="Physical uplift",AG384&gt;Q384),"INVALID – recorded after the loading flight departed",IF(AG384&gt;Q384,"COMPLETE – LATE","COMPLETE")))))))))))))))))),IF(TRIM(U384)="Fail","FAIL – DISCREPANCY",IF(AND(TRIM(U384)&lt;&gt;"",TRIM(U384)&lt;&gt;"Not started",TRIM(U384)&lt;&gt;"In progress"),"INVALID – unrecognised status (use the list)",IF(AsOfUTC&gt;Q384,"OVERDUE",IF(N384="Clarification required","OPEN – CLARIFICATION","OPEN")))))))</f>
        <v>OPEN</v>
      </c>
      <c r="AI384" s="61" t="n">
        <f aca="false">IF(OR(AH384="N/A – RULE",AH384="N/A – JUSTIFIED"),0,1)</f>
        <v>1</v>
      </c>
      <c r="AJ384" s="61" t="n">
        <f aca="false">IF(LEFT(AH384,8)="COMPLETE",1,0)</f>
        <v>0</v>
      </c>
      <c r="AK384" s="61" t="n">
        <f aca="false">IF(AND(AI384=1,AJ384=0,AsOfUTC&gt;Q384),1,0)</f>
        <v>0</v>
      </c>
      <c r="AL384" s="61" t="n">
        <f aca="false">IF(AND(AI384=1,OR(TRIM(U384)="Fail",AND(TRIM(AB384)&lt;&gt;"",TRIM(AB384)&lt;&gt;"Closed"),AND(ISNUMBER(AF384),AF384&lt;&gt;0,TRIM(U384)&lt;&gt;"Pass after CA"))),1,0)</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row>
    <row r="385" customFormat="false" ht="39.75" hidden="false" customHeight="true" outlineLevel="0" collapsed="false">
      <c r="A385" s="57" t="s">
        <v>963</v>
      </c>
      <c r="B385" s="57" t="s">
        <v>253</v>
      </c>
      <c r="C385" s="57" t="str">
        <f aca="false">Flights!$F$16</f>
        <v>MH0139</v>
      </c>
      <c r="D385" s="58" t="n">
        <f aca="false">Flights!$D$16</f>
        <v>46307</v>
      </c>
      <c r="E385" s="57" t="str">
        <f aca="false">Flights!$G$16&amp;"-"&amp;Flights!$H$16</f>
        <v>KUL-ADL</v>
      </c>
      <c r="F385" s="57" t="str">
        <f aca="false">Flights!$K$16</f>
        <v>BC</v>
      </c>
      <c r="G385" s="57" t="s">
        <v>76</v>
      </c>
      <c r="H385" s="57" t="s">
        <v>343</v>
      </c>
      <c r="I385" s="57" t="s">
        <v>363</v>
      </c>
      <c r="J385" s="57" t="s">
        <v>367</v>
      </c>
      <c r="K385" s="67" t="s">
        <v>368</v>
      </c>
      <c r="L385" s="67" t="s">
        <v>347</v>
      </c>
      <c r="M385" s="67"/>
      <c r="N385" s="67" t="s">
        <v>348</v>
      </c>
      <c r="O385" s="67"/>
      <c r="P385" s="57" t="s">
        <v>179</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59" t="n">
        <f aca="false">Q385-T7EarlyD*24/24</f>
        <v>46286.6006944444</v>
      </c>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IF(N385="N/A – rule","N/A – RULE",IF(TRIM(U385)="N/A",IF(AT385=0,"INVALID – N/A not permitted for this mandatory check",IF(AND(TRIM(AC385)&lt;&gt;"",TRIM(AE385)&lt;&gt;"",TRIM(T385)&lt;&gt;"",TRIM(AE385)&lt;&gt;TRIM(T385)),"N/A – JUSTIFIED","INVALID – N/A needs justification, PIC and a different verifier")),IF(OR(TRIM(U385)="Pass",TRIM(U385)="Pass after CA"),IF(NOT(ISNUMBER(AD385)),"INVALID – completion time missing",IF(TRIM(T385)="","INVALID – PIC missing",IF(TRIM(V385)="","INVALID – result / assessment missing",IF(TRIM(Z385)="","INVALID – evidence missing",IF(TRIM(AE385)="","INVALID – verifier missing",IF(TRIM(AE385)=TRIM(T385),"INVALID – verifier must be someone other than the PIC",IF(AND(AQ385=1,TRIM(W385)=""),"INVALID – batch ID missing",IF(AND(AR385=1,OR(NOT(ISNUMBER(X385)),NOT(ISNUMBER(Y385)))),"INVALID – expected/actual qty missing",IF(IF(AND(TRIM(U385)="Pass",ISNUMBER(AF385)),IF(AF385&lt;&gt;0,"INVALID – qty variance: use Fail or Pass after CA",""),"")&amp;IF(AND(TRIM(U385)="Pass",TRIM(AB385)&lt;&gt;"",TRIM(AB385)&lt;&gt;"Closed"),"INVALID – corrective action not closed: use Fail, then Pass after CA","")&amp;IF(AND(TRIM(AA385)&lt;&gt;"",TRIM(AB385)=""),"INVALID – CA status missing for the recorded corrective action","")&amp;IF(AND(TRIM(U385)="Pass after CA",OR(TRIM(AA385)="",TRIM(AB385)&lt;&gt;"Closed")),"INVALID – corrective action not recorded/closed","")&lt;&gt;"",IF(AND(TRIM(U385)="Pass",ISNUMBER(AF385)),IF(AF385&lt;&gt;0,"INVALID – qty variance: use Fail or Pass after CA",""),"")&amp;IF(AND(TRIM(U385)="Pass",TRIM(AB385)&lt;&gt;"",TRIM(AB385)&lt;&gt;"Closed"),"INVALID – corrective action not closed: use Fail, then Pass after CA","")&amp;IF(AND(TRIM(AA385)&lt;&gt;"",TRIM(AB385)=""),"INVALID – CA status missing for the recorded corrective action","")&amp;IF(AND(TRIM(U385)="Pass after CA",OR(TRIM(AA385)="",TRIM(AB385)&lt;&gt;"Closed")),"INVALID – corrective action not recorded/closed",""),IF(AND(AS385=1,Documents!$J$16&lt;&gt;"ON FILE"),"INVALID – GLD not on file (Documents sheet)",IF(AND(AS385=2,Documents!$O$16&lt;&gt;"ON FILE"),"INVALID – menu checklist not on file (Documents sheet)",IF(AND(AS385=3,NOT(ISNUMBER(Flights!$AX$16))),"INVALID – enter carrying flight KUL departure (Flights AX)",IF(AND(AS385=3,OR(Flights!$AX$16&gt;=Flights!$AA$16,Flights!$AX$16&lt;Flights!$AA$16-3)),"INVALID – Flights AX must be before this leg's STD (within 3 days)",IF(AG385&gt;AsOfUTC,"INVALID – completion time is in the future",IF(AND(ISNUMBER(S385),AG385&lt;S385),IF(H385="Physical uplift","INVALID – before uplift window (cannot confirm loading)","INVALID – before valid window"),IF(AG385&gt;Flights!$AA$16,"INVALID – completed after departure (cannot establish readiness)",IF(AND(H385="Physical uplift",AG385&gt;Q385),"INVALID – recorded after the loading flight departed",IF(AG385&gt;Q385,"COMPLETE – LATE","COMPLETE")))))))))))))))))),IF(TRIM(U385)="Fail","FAIL – DISCREPANCY",IF(AND(TRIM(U385)&lt;&gt;"",TRIM(U385)&lt;&gt;"Not started",TRIM(U385)&lt;&gt;"In progress"),"INVALID – unrecognised status (use the list)",IF(AsOfUTC&gt;Q385,"OVERDUE",IF(N385="Clarification required","OPEN – CLARIFICATION","OPEN")))))))</f>
        <v>OPEN</v>
      </c>
      <c r="AI385" s="61" t="n">
        <f aca="false">IF(OR(AH385="N/A – RULE",AH385="N/A – JUSTIFIED"),0,1)</f>
        <v>1</v>
      </c>
      <c r="AJ385" s="61" t="n">
        <f aca="false">IF(LEFT(AH385,8)="COMPLETE",1,0)</f>
        <v>0</v>
      </c>
      <c r="AK385" s="61" t="n">
        <f aca="false">IF(AND(AI385=1,AJ385=0,AsOfUTC&gt;Q385),1,0)</f>
        <v>0</v>
      </c>
      <c r="AL385" s="61" t="n">
        <f aca="false">IF(AND(AI385=1,OR(TRIM(U385)="Fail",AND(TRIM(AB385)&lt;&gt;"",TRIM(AB385)&lt;&gt;"Closed"),AND(ISNUMBER(AF385),AF385&lt;&gt;0,TRIM(U385)&lt;&gt;"Pass after CA"))),1,0)</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row>
    <row r="386" customFormat="false" ht="39.75" hidden="false" customHeight="true" outlineLevel="0" collapsed="false">
      <c r="A386" s="57" t="s">
        <v>964</v>
      </c>
      <c r="B386" s="57" t="s">
        <v>253</v>
      </c>
      <c r="C386" s="57" t="str">
        <f aca="false">Flights!$F$16</f>
        <v>MH0139</v>
      </c>
      <c r="D386" s="58" t="n">
        <f aca="false">Flights!$D$16</f>
        <v>46307</v>
      </c>
      <c r="E386" s="57" t="str">
        <f aca="false">Flights!$G$16&amp;"-"&amp;Flights!$H$16</f>
        <v>KUL-ADL</v>
      </c>
      <c r="F386" s="57" t="str">
        <f aca="false">Flights!$K$16</f>
        <v>BC</v>
      </c>
      <c r="G386" s="57" t="s">
        <v>76</v>
      </c>
      <c r="H386" s="57" t="s">
        <v>343</v>
      </c>
      <c r="I386" s="57" t="s">
        <v>370</v>
      </c>
      <c r="J386" s="57" t="s">
        <v>371</v>
      </c>
      <c r="K386" s="67" t="s">
        <v>372</v>
      </c>
      <c r="L386" s="67" t="s">
        <v>347</v>
      </c>
      <c r="M386" s="67"/>
      <c r="N386" s="67" t="s">
        <v>348</v>
      </c>
      <c r="O386" s="67"/>
      <c r="P386" s="57" t="s">
        <v>179</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59" t="n">
        <f aca="false">Q386-T7EarlyD*24/24</f>
        <v>46286.6006944444</v>
      </c>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IF(N386="N/A – rule","N/A – RULE",IF(TRIM(U386)="N/A",IF(AT386=0,"INVALID – N/A not permitted for this mandatory check",IF(AND(TRIM(AC386)&lt;&gt;"",TRIM(AE386)&lt;&gt;"",TRIM(T386)&lt;&gt;"",TRIM(AE386)&lt;&gt;TRIM(T386)),"N/A – JUSTIFIED","INVALID – N/A needs justification, PIC and a different verifier")),IF(OR(TRIM(U386)="Pass",TRIM(U386)="Pass after CA"),IF(NOT(ISNUMBER(AD386)),"INVALID – completion time missing",IF(TRIM(T386)="","INVALID – PIC missing",IF(TRIM(V386)="","INVALID – result / assessment missing",IF(TRIM(Z386)="","INVALID – evidence missing",IF(TRIM(AE386)="","INVALID – verifier missing",IF(TRIM(AE386)=TRIM(T386),"INVALID – verifier must be someone other than the PIC",IF(AND(AQ386=1,TRIM(W386)=""),"INVALID – batch ID missing",IF(AND(AR386=1,OR(NOT(ISNUMBER(X386)),NOT(ISNUMBER(Y386)))),"INVALID – expected/actual qty missing",IF(IF(AND(TRIM(U386)="Pass",ISNUMBER(AF386)),IF(AF386&lt;&gt;0,"INVALID – qty variance: use Fail or Pass after CA",""),"")&amp;IF(AND(TRIM(U386)="Pass",TRIM(AB386)&lt;&gt;"",TRIM(AB386)&lt;&gt;"Closed"),"INVALID – corrective action not closed: use Fail, then Pass after CA","")&amp;IF(AND(TRIM(AA386)&lt;&gt;"",TRIM(AB386)=""),"INVALID – CA status missing for the recorded corrective action","")&amp;IF(AND(TRIM(U386)="Pass after CA",OR(TRIM(AA386)="",TRIM(AB386)&lt;&gt;"Closed")),"INVALID – corrective action not recorded/closed","")&lt;&gt;"",IF(AND(TRIM(U386)="Pass",ISNUMBER(AF386)),IF(AF386&lt;&gt;0,"INVALID – qty variance: use Fail or Pass after CA",""),"")&amp;IF(AND(TRIM(U386)="Pass",TRIM(AB386)&lt;&gt;"",TRIM(AB386)&lt;&gt;"Closed"),"INVALID – corrective action not closed: use Fail, then Pass after CA","")&amp;IF(AND(TRIM(AA386)&lt;&gt;"",TRIM(AB386)=""),"INVALID – CA status missing for the recorded corrective action","")&amp;IF(AND(TRIM(U386)="Pass after CA",OR(TRIM(AA386)="",TRIM(AB386)&lt;&gt;"Closed")),"INVALID – corrective action not recorded/closed",""),IF(AND(AS386=1,Documents!$J$16&lt;&gt;"ON FILE"),"INVALID – GLD not on file (Documents sheet)",IF(AND(AS386=2,Documents!$O$16&lt;&gt;"ON FILE"),"INVALID – menu checklist not on file (Documents sheet)",IF(AND(AS386=3,NOT(ISNUMBER(Flights!$AX$16))),"INVALID – enter carrying flight KUL departure (Flights AX)",IF(AND(AS386=3,OR(Flights!$AX$16&gt;=Flights!$AA$16,Flights!$AX$16&lt;Flights!$AA$16-3)),"INVALID – Flights AX must be before this leg's STD (within 3 days)",IF(AG386&gt;AsOfUTC,"INVALID – completion time is in the future",IF(AND(ISNUMBER(S386),AG386&lt;S386),IF(H386="Physical uplift","INVALID – before uplift window (cannot confirm loading)","INVALID – before valid window"),IF(AG386&gt;Flights!$AA$16,"INVALID – completed after departure (cannot establish readiness)",IF(AND(H386="Physical uplift",AG386&gt;Q386),"INVALID – recorded after the loading flight departed",IF(AG386&gt;Q386,"COMPLETE – LATE","COMPLETE")))))))))))))))))),IF(TRIM(U386)="Fail","FAIL – DISCREPANCY",IF(AND(TRIM(U386)&lt;&gt;"",TRIM(U386)&lt;&gt;"Not started",TRIM(U386)&lt;&gt;"In progress"),"INVALID – unrecognised status (use the list)",IF(AsOfUTC&gt;Q386,"OVERDUE",IF(N386="Clarification required","OPEN – CLARIFICATION","OPEN")))))))</f>
        <v>OPEN</v>
      </c>
      <c r="AI386" s="61" t="n">
        <f aca="false">IF(OR(AH386="N/A – RULE",AH386="N/A – JUSTIFIED"),0,1)</f>
        <v>1</v>
      </c>
      <c r="AJ386" s="61" t="n">
        <f aca="false">IF(LEFT(AH386,8)="COMPLETE",1,0)</f>
        <v>0</v>
      </c>
      <c r="AK386" s="61" t="n">
        <f aca="false">IF(AND(AI386=1,AJ386=0,AsOfUTC&gt;Q386),1,0)</f>
        <v>0</v>
      </c>
      <c r="AL386" s="61" t="n">
        <f aca="false">IF(AND(AI386=1,OR(TRIM(U386)="Fail",AND(TRIM(AB386)&lt;&gt;"",TRIM(AB386)&lt;&gt;"Closed"),AND(ISNUMBER(AF386),AF386&lt;&gt;0,TRIM(U386)&lt;&gt;"Pass after CA"))),1,0)</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row>
    <row r="387" customFormat="false" ht="39.75" hidden="false" customHeight="true" outlineLevel="0" collapsed="false">
      <c r="A387" s="57" t="s">
        <v>965</v>
      </c>
      <c r="B387" s="57" t="s">
        <v>253</v>
      </c>
      <c r="C387" s="57" t="str">
        <f aca="false">Flights!$F$16</f>
        <v>MH0139</v>
      </c>
      <c r="D387" s="58" t="n">
        <f aca="false">Flights!$D$16</f>
        <v>46307</v>
      </c>
      <c r="E387" s="57" t="str">
        <f aca="false">Flights!$G$16&amp;"-"&amp;Flights!$H$16</f>
        <v>KUL-ADL</v>
      </c>
      <c r="F387" s="57" t="str">
        <f aca="false">Flights!$K$16</f>
        <v>BC</v>
      </c>
      <c r="G387" s="57" t="s">
        <v>76</v>
      </c>
      <c r="H387" s="57" t="s">
        <v>343</v>
      </c>
      <c r="I387" s="57" t="s">
        <v>370</v>
      </c>
      <c r="J387" s="57" t="s">
        <v>374</v>
      </c>
      <c r="K387" s="67" t="s">
        <v>372</v>
      </c>
      <c r="L387" s="67" t="s">
        <v>347</v>
      </c>
      <c r="M387" s="67"/>
      <c r="N387" s="67" t="s">
        <v>348</v>
      </c>
      <c r="O387" s="67"/>
      <c r="P387" s="57" t="s">
        <v>179</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59" t="n">
        <f aca="false">Q387-T7EarlyD*24/24</f>
        <v>46286.6006944444</v>
      </c>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IF(N387="N/A – rule","N/A – RULE",IF(TRIM(U387)="N/A",IF(AT387=0,"INVALID – N/A not permitted for this mandatory check",IF(AND(TRIM(AC387)&lt;&gt;"",TRIM(AE387)&lt;&gt;"",TRIM(T387)&lt;&gt;"",TRIM(AE387)&lt;&gt;TRIM(T387)),"N/A – JUSTIFIED","INVALID – N/A needs justification, PIC and a different verifier")),IF(OR(TRIM(U387)="Pass",TRIM(U387)="Pass after CA"),IF(NOT(ISNUMBER(AD387)),"INVALID – completion time missing",IF(TRIM(T387)="","INVALID – PIC missing",IF(TRIM(V387)="","INVALID – result / assessment missing",IF(TRIM(Z387)="","INVALID – evidence missing",IF(TRIM(AE387)="","INVALID – verifier missing",IF(TRIM(AE387)=TRIM(T387),"INVALID – verifier must be someone other than the PIC",IF(AND(AQ387=1,TRIM(W387)=""),"INVALID – batch ID missing",IF(AND(AR387=1,OR(NOT(ISNUMBER(X387)),NOT(ISNUMBER(Y387)))),"INVALID – expected/actual qty missing",IF(IF(AND(TRIM(U387)="Pass",ISNUMBER(AF387)),IF(AF387&lt;&gt;0,"INVALID – qty variance: use Fail or Pass after CA",""),"")&amp;IF(AND(TRIM(U387)="Pass",TRIM(AB387)&lt;&gt;"",TRIM(AB387)&lt;&gt;"Closed"),"INVALID – corrective action not closed: use Fail, then Pass after CA","")&amp;IF(AND(TRIM(AA387)&lt;&gt;"",TRIM(AB387)=""),"INVALID – CA status missing for the recorded corrective action","")&amp;IF(AND(TRIM(U387)="Pass after CA",OR(TRIM(AA387)="",TRIM(AB387)&lt;&gt;"Closed")),"INVALID – corrective action not recorded/closed","")&lt;&gt;"",IF(AND(TRIM(U387)="Pass",ISNUMBER(AF387)),IF(AF387&lt;&gt;0,"INVALID – qty variance: use Fail or Pass after CA",""),"")&amp;IF(AND(TRIM(U387)="Pass",TRIM(AB387)&lt;&gt;"",TRIM(AB387)&lt;&gt;"Closed"),"INVALID – corrective action not closed: use Fail, then Pass after CA","")&amp;IF(AND(TRIM(AA387)&lt;&gt;"",TRIM(AB387)=""),"INVALID – CA status missing for the recorded corrective action","")&amp;IF(AND(TRIM(U387)="Pass after CA",OR(TRIM(AA387)="",TRIM(AB387)&lt;&gt;"Closed")),"INVALID – corrective action not recorded/closed",""),IF(AND(AS387=1,Documents!$J$16&lt;&gt;"ON FILE"),"INVALID – GLD not on file (Documents sheet)",IF(AND(AS387=2,Documents!$O$16&lt;&gt;"ON FILE"),"INVALID – menu checklist not on file (Documents sheet)",IF(AND(AS387=3,NOT(ISNUMBER(Flights!$AX$16))),"INVALID – enter carrying flight KUL departure (Flights AX)",IF(AND(AS387=3,OR(Flights!$AX$16&gt;=Flights!$AA$16,Flights!$AX$16&lt;Flights!$AA$16-3)),"INVALID – Flights AX must be before this leg's STD (within 3 days)",IF(AG387&gt;AsOfUTC,"INVALID – completion time is in the future",IF(AND(ISNUMBER(S387),AG387&lt;S387),IF(H387="Physical uplift","INVALID – before uplift window (cannot confirm loading)","INVALID – before valid window"),IF(AG387&gt;Flights!$AA$16,"INVALID – completed after departure (cannot establish readiness)",IF(AND(H387="Physical uplift",AG387&gt;Q387),"INVALID – recorded after the loading flight departed",IF(AG387&gt;Q387,"COMPLETE – LATE","COMPLETE")))))))))))))))))),IF(TRIM(U387)="Fail","FAIL – DISCREPANCY",IF(AND(TRIM(U387)&lt;&gt;"",TRIM(U387)&lt;&gt;"Not started",TRIM(U387)&lt;&gt;"In progress"),"INVALID – unrecognised status (use the list)",IF(AsOfUTC&gt;Q387,"OVERDUE",IF(N387="Clarification required","OPEN – CLARIFICATION","OPEN")))))))</f>
        <v>OPEN</v>
      </c>
      <c r="AI387" s="61" t="n">
        <f aca="false">IF(OR(AH387="N/A – RULE",AH387="N/A – JUSTIFIED"),0,1)</f>
        <v>1</v>
      </c>
      <c r="AJ387" s="61" t="n">
        <f aca="false">IF(LEFT(AH387,8)="COMPLETE",1,0)</f>
        <v>0</v>
      </c>
      <c r="AK387" s="61" t="n">
        <f aca="false">IF(AND(AI387=1,AJ387=0,AsOfUTC&gt;Q387),1,0)</f>
        <v>0</v>
      </c>
      <c r="AL387" s="61" t="n">
        <f aca="false">IF(AND(AI387=1,OR(TRIM(U387)="Fail",AND(TRIM(AB387)&lt;&gt;"",TRIM(AB387)&lt;&gt;"Closed"),AND(ISNUMBER(AF387),AF387&lt;&gt;0,TRIM(U387)&lt;&gt;"Pass after CA"))),1,0)</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row>
    <row r="388" customFormat="false" ht="39.75" hidden="false" customHeight="true" outlineLevel="0" collapsed="false">
      <c r="A388" s="57" t="s">
        <v>966</v>
      </c>
      <c r="B388" s="57" t="s">
        <v>253</v>
      </c>
      <c r="C388" s="57" t="str">
        <f aca="false">Flights!$F$16</f>
        <v>MH0139</v>
      </c>
      <c r="D388" s="58" t="n">
        <f aca="false">Flights!$D$16</f>
        <v>46307</v>
      </c>
      <c r="E388" s="57" t="str">
        <f aca="false">Flights!$G$16&amp;"-"&amp;Flights!$H$16</f>
        <v>KUL-ADL</v>
      </c>
      <c r="F388" s="57" t="str">
        <f aca="false">Flights!$K$16</f>
        <v>BC</v>
      </c>
      <c r="G388" s="57" t="s">
        <v>76</v>
      </c>
      <c r="H388" s="57" t="s">
        <v>343</v>
      </c>
      <c r="I388" s="57" t="s">
        <v>376</v>
      </c>
      <c r="J388" s="57" t="s">
        <v>377</v>
      </c>
      <c r="K388" s="67" t="s">
        <v>967</v>
      </c>
      <c r="L388" s="67" t="s">
        <v>968</v>
      </c>
      <c r="M388" s="67"/>
      <c r="N388" s="67" t="s">
        <v>348</v>
      </c>
      <c r="O388" s="67"/>
      <c r="P388" s="57" t="s">
        <v>179</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59" t="n">
        <f aca="false">Q388-T7EarlyD*24/24</f>
        <v>46286.6006944444</v>
      </c>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IF(N388="N/A – rule","N/A – RULE",IF(TRIM(U388)="N/A",IF(AT388=0,"INVALID – N/A not permitted for this mandatory check",IF(AND(TRIM(AC388)&lt;&gt;"",TRIM(AE388)&lt;&gt;"",TRIM(T388)&lt;&gt;"",TRIM(AE388)&lt;&gt;TRIM(T388)),"N/A – JUSTIFIED","INVALID – N/A needs justification, PIC and a different verifier")),IF(OR(TRIM(U388)="Pass",TRIM(U388)="Pass after CA"),IF(NOT(ISNUMBER(AD388)),"INVALID – completion time missing",IF(TRIM(T388)="","INVALID – PIC missing",IF(TRIM(V388)="","INVALID – result / assessment missing",IF(TRIM(Z388)="","INVALID – evidence missing",IF(TRIM(AE388)="","INVALID – verifier missing",IF(TRIM(AE388)=TRIM(T388),"INVALID – verifier must be someone other than the PIC",IF(AND(AQ388=1,TRIM(W388)=""),"INVALID – batch ID missing",IF(AND(AR388=1,OR(NOT(ISNUMBER(X388)),NOT(ISNUMBER(Y388)))),"INVALID – expected/actual qty missing",IF(IF(AND(TRIM(U388)="Pass",ISNUMBER(AF388)),IF(AF388&lt;&gt;0,"INVALID – qty variance: use Fail or Pass after CA",""),"")&amp;IF(AND(TRIM(U388)="Pass",TRIM(AB388)&lt;&gt;"",TRIM(AB388)&lt;&gt;"Closed"),"INVALID – corrective action not closed: use Fail, then Pass after CA","")&amp;IF(AND(TRIM(AA388)&lt;&gt;"",TRIM(AB388)=""),"INVALID – CA status missing for the recorded corrective action","")&amp;IF(AND(TRIM(U388)="Pass after CA",OR(TRIM(AA388)="",TRIM(AB388)&lt;&gt;"Closed")),"INVALID – corrective action not recorded/closed","")&lt;&gt;"",IF(AND(TRIM(U388)="Pass",ISNUMBER(AF388)),IF(AF388&lt;&gt;0,"INVALID – qty variance: use Fail or Pass after CA",""),"")&amp;IF(AND(TRIM(U388)="Pass",TRIM(AB388)&lt;&gt;"",TRIM(AB388)&lt;&gt;"Closed"),"INVALID – corrective action not closed: use Fail, then Pass after CA","")&amp;IF(AND(TRIM(AA388)&lt;&gt;"",TRIM(AB388)=""),"INVALID – CA status missing for the recorded corrective action","")&amp;IF(AND(TRIM(U388)="Pass after CA",OR(TRIM(AA388)="",TRIM(AB388)&lt;&gt;"Closed")),"INVALID – corrective action not recorded/closed",""),IF(AND(AS388=1,Documents!$J$16&lt;&gt;"ON FILE"),"INVALID – GLD not on file (Documents sheet)",IF(AND(AS388=2,Documents!$O$16&lt;&gt;"ON FILE"),"INVALID – menu checklist not on file (Documents sheet)",IF(AND(AS388=3,NOT(ISNUMBER(Flights!$AX$16))),"INVALID – enter carrying flight KUL departure (Flights AX)",IF(AND(AS388=3,OR(Flights!$AX$16&gt;=Flights!$AA$16,Flights!$AX$16&lt;Flights!$AA$16-3)),"INVALID – Flights AX must be before this leg's STD (within 3 days)",IF(AG388&gt;AsOfUTC,"INVALID – completion time is in the future",IF(AND(ISNUMBER(S388),AG388&lt;S388),IF(H388="Physical uplift","INVALID – before uplift window (cannot confirm loading)","INVALID – before valid window"),IF(AG388&gt;Flights!$AA$16,"INVALID – completed after departure (cannot establish readiness)",IF(AND(H388="Physical uplift",AG388&gt;Q388),"INVALID – recorded after the loading flight departed",IF(AG388&gt;Q388,"COMPLETE – LATE","COMPLETE")))))))))))))))))),IF(TRIM(U388)="Fail","FAIL – DISCREPANCY",IF(AND(TRIM(U388)&lt;&gt;"",TRIM(U388)&lt;&gt;"Not started",TRIM(U388)&lt;&gt;"In progress"),"INVALID – unrecognised status (use the list)",IF(AsOfUTC&gt;Q388,"OVERDUE",IF(N388="Clarification required","OPEN – CLARIFICATION","OPEN")))))))</f>
        <v>OPEN</v>
      </c>
      <c r="AI388" s="61" t="n">
        <f aca="false">IF(OR(AH388="N/A – RULE",AH388="N/A – JUSTIFIED"),0,1)</f>
        <v>1</v>
      </c>
      <c r="AJ388" s="61" t="n">
        <f aca="false">IF(LEFT(AH388,8)="COMPLETE",1,0)</f>
        <v>0</v>
      </c>
      <c r="AK388" s="61" t="n">
        <f aca="false">IF(AND(AI388=1,AJ388=0,AsOfUTC&gt;Q388),1,0)</f>
        <v>0</v>
      </c>
      <c r="AL388" s="61" t="n">
        <f aca="false">IF(AND(AI388=1,OR(TRIM(U388)="Fail",AND(TRIM(AB388)&lt;&gt;"",TRIM(AB388)&lt;&gt;"Closed"),AND(ISNUMBER(AF388),AF388&lt;&gt;0,TRIM(U388)&lt;&gt;"Pass after CA"))),1,0)</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row>
    <row r="389" customFormat="false" ht="39.75" hidden="false" customHeight="true" outlineLevel="0" collapsed="false">
      <c r="A389" s="57" t="s">
        <v>969</v>
      </c>
      <c r="B389" s="57" t="s">
        <v>253</v>
      </c>
      <c r="C389" s="57" t="str">
        <f aca="false">Flights!$F$16</f>
        <v>MH0139</v>
      </c>
      <c r="D389" s="58" t="n">
        <f aca="false">Flights!$D$16</f>
        <v>46307</v>
      </c>
      <c r="E389" s="57" t="str">
        <f aca="false">Flights!$G$16&amp;"-"&amp;Flights!$H$16</f>
        <v>KUL-ADL</v>
      </c>
      <c r="F389" s="57" t="str">
        <f aca="false">Flights!$K$16</f>
        <v>BC</v>
      </c>
      <c r="G389" s="57" t="s">
        <v>78</v>
      </c>
      <c r="H389" s="57" t="s">
        <v>343</v>
      </c>
      <c r="I389" s="57" t="s">
        <v>344</v>
      </c>
      <c r="J389" s="57" t="s">
        <v>381</v>
      </c>
      <c r="K389" s="67" t="s">
        <v>382</v>
      </c>
      <c r="L389" s="67" t="s">
        <v>383</v>
      </c>
      <c r="M389" s="67"/>
      <c r="N389" s="67" t="s">
        <v>348</v>
      </c>
      <c r="O389" s="67"/>
      <c r="P389" s="57" t="s">
        <v>179</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59" t="n">
        <f aca="false">Q389-T24EarlyH/24</f>
        <v>46305.6006944444</v>
      </c>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IF(N389="N/A – rule","N/A – RULE",IF(TRIM(U389)="N/A",IF(AT389=0,"INVALID – N/A not permitted for this mandatory check",IF(AND(TRIM(AC389)&lt;&gt;"",TRIM(AE389)&lt;&gt;"",TRIM(T389)&lt;&gt;"",TRIM(AE389)&lt;&gt;TRIM(T389)),"N/A – JUSTIFIED","INVALID – N/A needs justification, PIC and a different verifier")),IF(OR(TRIM(U389)="Pass",TRIM(U389)="Pass after CA"),IF(NOT(ISNUMBER(AD389)),"INVALID – completion time missing",IF(TRIM(T389)="","INVALID – PIC missing",IF(TRIM(V389)="","INVALID – result / assessment missing",IF(TRIM(Z389)="","INVALID – evidence missing",IF(TRIM(AE389)="","INVALID – verifier missing",IF(TRIM(AE389)=TRIM(T389),"INVALID – verifier must be someone other than the PIC",IF(AND(AQ389=1,TRIM(W389)=""),"INVALID – batch ID missing",IF(AND(AR389=1,OR(NOT(ISNUMBER(X389)),NOT(ISNUMBER(Y389)))),"INVALID – expected/actual qty missing",IF(IF(AND(TRIM(U389)="Pass",ISNUMBER(AF389)),IF(AF389&lt;&gt;0,"INVALID – qty variance: use Fail or Pass after CA",""),"")&amp;IF(AND(TRIM(U389)="Pass",TRIM(AB389)&lt;&gt;"",TRIM(AB389)&lt;&gt;"Closed"),"INVALID – corrective action not closed: use Fail, then Pass after CA","")&amp;IF(AND(TRIM(AA389)&lt;&gt;"",TRIM(AB389)=""),"INVALID – CA status missing for the recorded corrective action","")&amp;IF(AND(TRIM(U389)="Pass after CA",OR(TRIM(AA389)="",TRIM(AB389)&lt;&gt;"Closed")),"INVALID – corrective action not recorded/closed","")&lt;&gt;"",IF(AND(TRIM(U389)="Pass",ISNUMBER(AF389)),IF(AF389&lt;&gt;0,"INVALID – qty variance: use Fail or Pass after CA",""),"")&amp;IF(AND(TRIM(U389)="Pass",TRIM(AB389)&lt;&gt;"",TRIM(AB389)&lt;&gt;"Closed"),"INVALID – corrective action not closed: use Fail, then Pass after CA","")&amp;IF(AND(TRIM(AA389)&lt;&gt;"",TRIM(AB389)=""),"INVALID – CA status missing for the recorded corrective action","")&amp;IF(AND(TRIM(U389)="Pass after CA",OR(TRIM(AA389)="",TRIM(AB389)&lt;&gt;"Closed")),"INVALID – corrective action not recorded/closed",""),IF(AND(AS389=1,Documents!$J$16&lt;&gt;"ON FILE"),"INVALID – GLD not on file (Documents sheet)",IF(AND(AS389=2,Documents!$O$16&lt;&gt;"ON FILE"),"INVALID – menu checklist not on file (Documents sheet)",IF(AND(AS389=3,NOT(ISNUMBER(Flights!$AX$16))),"INVALID – enter carrying flight KUL departure (Flights AX)",IF(AND(AS389=3,OR(Flights!$AX$16&gt;=Flights!$AA$16,Flights!$AX$16&lt;Flights!$AA$16-3)),"INVALID – Flights AX must be before this leg's STD (within 3 days)",IF(AG389&gt;AsOfUTC,"INVALID – completion time is in the future",IF(AND(ISNUMBER(S389),AG389&lt;S389),IF(H389="Physical uplift","INVALID – before uplift window (cannot confirm loading)","INVALID – before valid window"),IF(AG389&gt;Flights!$AA$16,"INVALID – completed after departure (cannot establish readiness)",IF(AND(H389="Physical uplift",AG389&gt;Q389),"INVALID – recorded after the loading flight departed",IF(AG389&gt;Q389,"COMPLETE – LATE","COMPLETE")))))))))))))))))),IF(TRIM(U389)="Fail","FAIL – DISCREPANCY",IF(AND(TRIM(U389)&lt;&gt;"",TRIM(U389)&lt;&gt;"Not started",TRIM(U389)&lt;&gt;"In progress"),"INVALID – unrecognised status (use the list)",IF(AsOfUTC&gt;Q389,"OVERDUE",IF(N389="Clarification required","OPEN – CLARIFICATION","OPEN")))))))</f>
        <v>OPEN</v>
      </c>
      <c r="AI389" s="61" t="n">
        <f aca="false">IF(OR(AH389="N/A – RULE",AH389="N/A – JUSTIFIED"),0,1)</f>
        <v>1</v>
      </c>
      <c r="AJ389" s="61" t="n">
        <f aca="false">IF(LEFT(AH389,8)="COMPLETE",1,0)</f>
        <v>0</v>
      </c>
      <c r="AK389" s="61" t="n">
        <f aca="false">IF(AND(AI389=1,AJ389=0,AsOfUTC&gt;Q389),1,0)</f>
        <v>0</v>
      </c>
      <c r="AL389" s="61" t="n">
        <f aca="false">IF(AND(AI389=1,OR(TRIM(U389)="Fail",AND(TRIM(AB389)&lt;&gt;"",TRIM(AB389)&lt;&gt;"Closed"),AND(ISNUMBER(AF389),AF389&lt;&gt;0,TRIM(U389)&lt;&gt;"Pass after CA"))),1,0)</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row>
    <row r="390" customFormat="false" ht="39.75" hidden="false" customHeight="true" outlineLevel="0" collapsed="false">
      <c r="A390" s="57" t="s">
        <v>970</v>
      </c>
      <c r="B390" s="57" t="s">
        <v>253</v>
      </c>
      <c r="C390" s="57" t="str">
        <f aca="false">Flights!$F$16</f>
        <v>MH0139</v>
      </c>
      <c r="D390" s="58" t="n">
        <f aca="false">Flights!$D$16</f>
        <v>46307</v>
      </c>
      <c r="E390" s="57" t="str">
        <f aca="false">Flights!$G$16&amp;"-"&amp;Flights!$H$16</f>
        <v>KUL-ADL</v>
      </c>
      <c r="F390" s="57" t="str">
        <f aca="false">Flights!$K$16</f>
        <v>BC</v>
      </c>
      <c r="G390" s="57" t="s">
        <v>385</v>
      </c>
      <c r="H390" s="57" t="s">
        <v>343</v>
      </c>
      <c r="I390" s="57" t="s">
        <v>344</v>
      </c>
      <c r="J390" s="57" t="s">
        <v>386</v>
      </c>
      <c r="K390" s="67"/>
      <c r="L390" s="67" t="s">
        <v>387</v>
      </c>
      <c r="M390" s="67"/>
      <c r="N390" s="67" t="s">
        <v>348</v>
      </c>
      <c r="O390" s="67" t="s">
        <v>388</v>
      </c>
      <c r="P390" s="57" t="s">
        <v>179</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59" t="n">
        <f aca="false">Q390-T12EarlyH/24</f>
        <v>46306.6006944444</v>
      </c>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IF(N390="N/A – rule","N/A – RULE",IF(TRIM(U390)="N/A",IF(AT390=0,"INVALID – N/A not permitted for this mandatory check",IF(AND(TRIM(AC390)&lt;&gt;"",TRIM(AE390)&lt;&gt;"",TRIM(T390)&lt;&gt;"",TRIM(AE390)&lt;&gt;TRIM(T390)),"N/A – JUSTIFIED","INVALID – N/A needs justification, PIC and a different verifier")),IF(OR(TRIM(U390)="Pass",TRIM(U390)="Pass after CA"),IF(NOT(ISNUMBER(AD390)),"INVALID – completion time missing",IF(TRIM(T390)="","INVALID – PIC missing",IF(TRIM(V390)="","INVALID – result / assessment missing",IF(TRIM(Z390)="","INVALID – evidence missing",IF(TRIM(AE390)="","INVALID – verifier missing",IF(TRIM(AE390)=TRIM(T390),"INVALID – verifier must be someone other than the PIC",IF(AND(AQ390=1,TRIM(W390)=""),"INVALID – batch ID missing",IF(AND(AR390=1,OR(NOT(ISNUMBER(X390)),NOT(ISNUMBER(Y390)))),"INVALID – expected/actual qty missing",IF(IF(AND(TRIM(U390)="Pass",ISNUMBER(AF390)),IF(AF390&lt;&gt;0,"INVALID – qty variance: use Fail or Pass after CA",""),"")&amp;IF(AND(TRIM(U390)="Pass",TRIM(AB390)&lt;&gt;"",TRIM(AB390)&lt;&gt;"Closed"),"INVALID – corrective action not closed: use Fail, then Pass after CA","")&amp;IF(AND(TRIM(AA390)&lt;&gt;"",TRIM(AB390)=""),"INVALID – CA status missing for the recorded corrective action","")&amp;IF(AND(TRIM(U390)="Pass after CA",OR(TRIM(AA390)="",TRIM(AB390)&lt;&gt;"Closed")),"INVALID – corrective action not recorded/closed","")&lt;&gt;"",IF(AND(TRIM(U390)="Pass",ISNUMBER(AF390)),IF(AF390&lt;&gt;0,"INVALID – qty variance: use Fail or Pass after CA",""),"")&amp;IF(AND(TRIM(U390)="Pass",TRIM(AB390)&lt;&gt;"",TRIM(AB390)&lt;&gt;"Closed"),"INVALID – corrective action not closed: use Fail, then Pass after CA","")&amp;IF(AND(TRIM(AA390)&lt;&gt;"",TRIM(AB390)=""),"INVALID – CA status missing for the recorded corrective action","")&amp;IF(AND(TRIM(U390)="Pass after CA",OR(TRIM(AA390)="",TRIM(AB390)&lt;&gt;"Closed")),"INVALID – corrective action not recorded/closed",""),IF(AND(AS390=1,Documents!$J$16&lt;&gt;"ON FILE"),"INVALID – GLD not on file (Documents sheet)",IF(AND(AS390=2,Documents!$O$16&lt;&gt;"ON FILE"),"INVALID – menu checklist not on file (Documents sheet)",IF(AND(AS390=3,NOT(ISNUMBER(Flights!$AX$16))),"INVALID – enter carrying flight KUL departure (Flights AX)",IF(AND(AS390=3,OR(Flights!$AX$16&gt;=Flights!$AA$16,Flights!$AX$16&lt;Flights!$AA$16-3)),"INVALID – Flights AX must be before this leg's STD (within 3 days)",IF(AG390&gt;AsOfUTC,"INVALID – completion time is in the future",IF(AND(ISNUMBER(S390),AG390&lt;S390),IF(H390="Physical uplift","INVALID – before uplift window (cannot confirm loading)","INVALID – before valid window"),IF(AG390&gt;Flights!$AA$16,"INVALID – completed after departure (cannot establish readiness)",IF(AND(H390="Physical uplift",AG390&gt;Q390),"INVALID – recorded after the loading flight departed",IF(AG390&gt;Q390,"COMPLETE – LATE","COMPLETE")))))))))))))))))),IF(TRIM(U390)="Fail","FAIL – DISCREPANCY",IF(AND(TRIM(U390)&lt;&gt;"",TRIM(U390)&lt;&gt;"Not started",TRIM(U390)&lt;&gt;"In progress"),"INVALID – unrecognised status (use the list)",IF(AsOfUTC&gt;Q390,"OVERDUE",IF(N390="Clarification required","OPEN – CLARIFICATION","OPEN")))))))</f>
        <v>OPEN</v>
      </c>
      <c r="AI390" s="61" t="n">
        <f aca="false">IF(OR(AH390="N/A – RULE",AH390="N/A – JUSTIFIED"),0,1)</f>
        <v>1</v>
      </c>
      <c r="AJ390" s="61" t="n">
        <f aca="false">IF(LEFT(AH390,8)="COMPLETE",1,0)</f>
        <v>0</v>
      </c>
      <c r="AK390" s="61" t="n">
        <f aca="false">IF(AND(AI390=1,AJ390=0,AsOfUTC&gt;Q390),1,0)</f>
        <v>0</v>
      </c>
      <c r="AL390" s="61" t="n">
        <f aca="false">IF(AND(AI390=1,OR(TRIM(U390)="Fail",AND(TRIM(AB390)&lt;&gt;"",TRIM(AB390)&lt;&gt;"Closed"),AND(ISNUMBER(AF390),AF390&lt;&gt;0,TRIM(U390)&lt;&gt;"Pass after CA"))),1,0)</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row>
    <row r="391" customFormat="false" ht="39.75" hidden="false" customHeight="true" outlineLevel="0" collapsed="false">
      <c r="A391" s="57" t="s">
        <v>971</v>
      </c>
      <c r="B391" s="57" t="s">
        <v>253</v>
      </c>
      <c r="C391" s="57" t="str">
        <f aca="false">Flights!$F$16</f>
        <v>MH0139</v>
      </c>
      <c r="D391" s="58" t="n">
        <f aca="false">Flights!$D$16</f>
        <v>46307</v>
      </c>
      <c r="E391" s="57" t="str">
        <f aca="false">Flights!$G$16&amp;"-"&amp;Flights!$H$16</f>
        <v>KUL-ADL</v>
      </c>
      <c r="F391" s="57" t="str">
        <f aca="false">Flights!$K$16</f>
        <v>BC</v>
      </c>
      <c r="G391" s="57" t="s">
        <v>385</v>
      </c>
      <c r="H391" s="57" t="s">
        <v>343</v>
      </c>
      <c r="I391" s="57" t="s">
        <v>344</v>
      </c>
      <c r="J391" s="57" t="s">
        <v>390</v>
      </c>
      <c r="K391" s="67" t="s">
        <v>391</v>
      </c>
      <c r="L391" s="67" t="s">
        <v>387</v>
      </c>
      <c r="M391" s="67"/>
      <c r="N391" s="67" t="s">
        <v>348</v>
      </c>
      <c r="O391" s="67" t="s">
        <v>388</v>
      </c>
      <c r="P391" s="57" t="s">
        <v>179</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59" t="n">
        <f aca="false">Q391-T12EarlyH/24</f>
        <v>46306.6006944444</v>
      </c>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IF(N391="N/A – rule","N/A – RULE",IF(TRIM(U391)="N/A",IF(AT391=0,"INVALID – N/A not permitted for this mandatory check",IF(AND(TRIM(AC391)&lt;&gt;"",TRIM(AE391)&lt;&gt;"",TRIM(T391)&lt;&gt;"",TRIM(AE391)&lt;&gt;TRIM(T391)),"N/A – JUSTIFIED","INVALID – N/A needs justification, PIC and a different verifier")),IF(OR(TRIM(U391)="Pass",TRIM(U391)="Pass after CA"),IF(NOT(ISNUMBER(AD391)),"INVALID – completion time missing",IF(TRIM(T391)="","INVALID – PIC missing",IF(TRIM(V391)="","INVALID – result / assessment missing",IF(TRIM(Z391)="","INVALID – evidence missing",IF(TRIM(AE391)="","INVALID – verifier missing",IF(TRIM(AE391)=TRIM(T391),"INVALID – verifier must be someone other than the PIC",IF(AND(AQ391=1,TRIM(W391)=""),"INVALID – batch ID missing",IF(AND(AR391=1,OR(NOT(ISNUMBER(X391)),NOT(ISNUMBER(Y391)))),"INVALID – expected/actual qty missing",IF(IF(AND(TRIM(U391)="Pass",ISNUMBER(AF391)),IF(AF391&lt;&gt;0,"INVALID – qty variance: use Fail or Pass after CA",""),"")&amp;IF(AND(TRIM(U391)="Pass",TRIM(AB391)&lt;&gt;"",TRIM(AB391)&lt;&gt;"Closed"),"INVALID – corrective action not closed: use Fail, then Pass after CA","")&amp;IF(AND(TRIM(AA391)&lt;&gt;"",TRIM(AB391)=""),"INVALID – CA status missing for the recorded corrective action","")&amp;IF(AND(TRIM(U391)="Pass after CA",OR(TRIM(AA391)="",TRIM(AB391)&lt;&gt;"Closed")),"INVALID – corrective action not recorded/closed","")&lt;&gt;"",IF(AND(TRIM(U391)="Pass",ISNUMBER(AF391)),IF(AF391&lt;&gt;0,"INVALID – qty variance: use Fail or Pass after CA",""),"")&amp;IF(AND(TRIM(U391)="Pass",TRIM(AB391)&lt;&gt;"",TRIM(AB391)&lt;&gt;"Closed"),"INVALID – corrective action not closed: use Fail, then Pass after CA","")&amp;IF(AND(TRIM(AA391)&lt;&gt;"",TRIM(AB391)=""),"INVALID – CA status missing for the recorded corrective action","")&amp;IF(AND(TRIM(U391)="Pass after CA",OR(TRIM(AA391)="",TRIM(AB391)&lt;&gt;"Closed")),"INVALID – corrective action not recorded/closed",""),IF(AND(AS391=1,Documents!$J$16&lt;&gt;"ON FILE"),"INVALID – GLD not on file (Documents sheet)",IF(AND(AS391=2,Documents!$O$16&lt;&gt;"ON FILE"),"INVALID – menu checklist not on file (Documents sheet)",IF(AND(AS391=3,NOT(ISNUMBER(Flights!$AX$16))),"INVALID – enter carrying flight KUL departure (Flights AX)",IF(AND(AS391=3,OR(Flights!$AX$16&gt;=Flights!$AA$16,Flights!$AX$16&lt;Flights!$AA$16-3)),"INVALID – Flights AX must be before this leg's STD (within 3 days)",IF(AG391&gt;AsOfUTC,"INVALID – completion time is in the future",IF(AND(ISNUMBER(S391),AG391&lt;S391),IF(H391="Physical uplift","INVALID – before uplift window (cannot confirm loading)","INVALID – before valid window"),IF(AG391&gt;Flights!$AA$16,"INVALID – completed after departure (cannot establish readiness)",IF(AND(H391="Physical uplift",AG391&gt;Q391),"INVALID – recorded after the loading flight departed",IF(AG391&gt;Q391,"COMPLETE – LATE","COMPLETE")))))))))))))))))),IF(TRIM(U391)="Fail","FAIL – DISCREPANCY",IF(AND(TRIM(U391)&lt;&gt;"",TRIM(U391)&lt;&gt;"Not started",TRIM(U391)&lt;&gt;"In progress"),"INVALID – unrecognised status (use the list)",IF(AsOfUTC&gt;Q391,"OVERDUE",IF(N391="Clarification required","OPEN – CLARIFICATION","OPEN")))))))</f>
        <v>OPEN</v>
      </c>
      <c r="AI391" s="61" t="n">
        <f aca="false">IF(OR(AH391="N/A – RULE",AH391="N/A – JUSTIFIED"),0,1)</f>
        <v>1</v>
      </c>
      <c r="AJ391" s="61" t="n">
        <f aca="false">IF(LEFT(AH391,8)="COMPLETE",1,0)</f>
        <v>0</v>
      </c>
      <c r="AK391" s="61" t="n">
        <f aca="false">IF(AND(AI391=1,AJ391=0,AsOfUTC&gt;Q391),1,0)</f>
        <v>0</v>
      </c>
      <c r="AL391" s="61" t="n">
        <f aca="false">IF(AND(AI391=1,OR(TRIM(U391)="Fail",AND(TRIM(AB391)&lt;&gt;"",TRIM(AB391)&lt;&gt;"Closed"),AND(ISNUMBER(AF391),AF391&lt;&gt;0,TRIM(U391)&lt;&gt;"Pass after CA"))),1,0)</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row>
    <row r="392" customFormat="false" ht="39.75" hidden="false" customHeight="true" outlineLevel="0" collapsed="false">
      <c r="A392" s="57" t="s">
        <v>972</v>
      </c>
      <c r="B392" s="57" t="s">
        <v>253</v>
      </c>
      <c r="C392" s="57" t="str">
        <f aca="false">Flights!$F$16</f>
        <v>MH0139</v>
      </c>
      <c r="D392" s="58" t="n">
        <f aca="false">Flights!$D$16</f>
        <v>46307</v>
      </c>
      <c r="E392" s="57" t="str">
        <f aca="false">Flights!$G$16&amp;"-"&amp;Flights!$H$16</f>
        <v>KUL-ADL</v>
      </c>
      <c r="F392" s="57" t="str">
        <f aca="false">Flights!$K$16</f>
        <v>BC</v>
      </c>
      <c r="G392" s="57" t="s">
        <v>385</v>
      </c>
      <c r="H392" s="57" t="s">
        <v>343</v>
      </c>
      <c r="I392" s="57" t="s">
        <v>393</v>
      </c>
      <c r="J392" s="57" t="s">
        <v>394</v>
      </c>
      <c r="K392" s="67"/>
      <c r="L392" s="67" t="s">
        <v>387</v>
      </c>
      <c r="M392" s="67"/>
      <c r="N392" s="67" t="s">
        <v>348</v>
      </c>
      <c r="O392" s="67" t="s">
        <v>388</v>
      </c>
      <c r="P392" s="57" t="s">
        <v>179</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59" t="n">
        <f aca="false">Q392-T12EarlyH/24</f>
        <v>46306.6006944444</v>
      </c>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IF(N392="N/A – rule","N/A – RULE",IF(TRIM(U392)="N/A",IF(AT392=0,"INVALID – N/A not permitted for this mandatory check",IF(AND(TRIM(AC392)&lt;&gt;"",TRIM(AE392)&lt;&gt;"",TRIM(T392)&lt;&gt;"",TRIM(AE392)&lt;&gt;TRIM(T392)),"N/A – JUSTIFIED","INVALID – N/A needs justification, PIC and a different verifier")),IF(OR(TRIM(U392)="Pass",TRIM(U392)="Pass after CA"),IF(NOT(ISNUMBER(AD392)),"INVALID – completion time missing",IF(TRIM(T392)="","INVALID – PIC missing",IF(TRIM(V392)="","INVALID – result / assessment missing",IF(TRIM(Z392)="","INVALID – evidence missing",IF(TRIM(AE392)="","INVALID – verifier missing",IF(TRIM(AE392)=TRIM(T392),"INVALID – verifier must be someone other than the PIC",IF(AND(AQ392=1,TRIM(W392)=""),"INVALID – batch ID missing",IF(AND(AR392=1,OR(NOT(ISNUMBER(X392)),NOT(ISNUMBER(Y392)))),"INVALID – expected/actual qty missing",IF(IF(AND(TRIM(U392)="Pass",ISNUMBER(AF392)),IF(AF392&lt;&gt;0,"INVALID – qty variance: use Fail or Pass after CA",""),"")&amp;IF(AND(TRIM(U392)="Pass",TRIM(AB392)&lt;&gt;"",TRIM(AB392)&lt;&gt;"Closed"),"INVALID – corrective action not closed: use Fail, then Pass after CA","")&amp;IF(AND(TRIM(AA392)&lt;&gt;"",TRIM(AB392)=""),"INVALID – CA status missing for the recorded corrective action","")&amp;IF(AND(TRIM(U392)="Pass after CA",OR(TRIM(AA392)="",TRIM(AB392)&lt;&gt;"Closed")),"INVALID – corrective action not recorded/closed","")&lt;&gt;"",IF(AND(TRIM(U392)="Pass",ISNUMBER(AF392)),IF(AF392&lt;&gt;0,"INVALID – qty variance: use Fail or Pass after CA",""),"")&amp;IF(AND(TRIM(U392)="Pass",TRIM(AB392)&lt;&gt;"",TRIM(AB392)&lt;&gt;"Closed"),"INVALID – corrective action not closed: use Fail, then Pass after CA","")&amp;IF(AND(TRIM(AA392)&lt;&gt;"",TRIM(AB392)=""),"INVALID – CA status missing for the recorded corrective action","")&amp;IF(AND(TRIM(U392)="Pass after CA",OR(TRIM(AA392)="",TRIM(AB392)&lt;&gt;"Closed")),"INVALID – corrective action not recorded/closed",""),IF(AND(AS392=1,Documents!$J$16&lt;&gt;"ON FILE"),"INVALID – GLD not on file (Documents sheet)",IF(AND(AS392=2,Documents!$O$16&lt;&gt;"ON FILE"),"INVALID – menu checklist not on file (Documents sheet)",IF(AND(AS392=3,NOT(ISNUMBER(Flights!$AX$16))),"INVALID – enter carrying flight KUL departure (Flights AX)",IF(AND(AS392=3,OR(Flights!$AX$16&gt;=Flights!$AA$16,Flights!$AX$16&lt;Flights!$AA$16-3)),"INVALID – Flights AX must be before this leg's STD (within 3 days)",IF(AG392&gt;AsOfUTC,"INVALID – completion time is in the future",IF(AND(ISNUMBER(S392),AG392&lt;S392),IF(H392="Physical uplift","INVALID – before uplift window (cannot confirm loading)","INVALID – before valid window"),IF(AG392&gt;Flights!$AA$16,"INVALID – completed after departure (cannot establish readiness)",IF(AND(H392="Physical uplift",AG392&gt;Q392),"INVALID – recorded after the loading flight departed",IF(AG392&gt;Q392,"COMPLETE – LATE","COMPLETE")))))))))))))))))),IF(TRIM(U392)="Fail","FAIL – DISCREPANCY",IF(AND(TRIM(U392)&lt;&gt;"",TRIM(U392)&lt;&gt;"Not started",TRIM(U392)&lt;&gt;"In progress"),"INVALID – unrecognised status (use the list)",IF(AsOfUTC&gt;Q392,"OVERDUE",IF(N392="Clarification required","OPEN – CLARIFICATION","OPEN")))))))</f>
        <v>OPEN</v>
      </c>
      <c r="AI392" s="61" t="n">
        <f aca="false">IF(OR(AH392="N/A – RULE",AH392="N/A – JUSTIFIED"),0,1)</f>
        <v>1</v>
      </c>
      <c r="AJ392" s="61" t="n">
        <f aca="false">IF(LEFT(AH392,8)="COMPLETE",1,0)</f>
        <v>0</v>
      </c>
      <c r="AK392" s="61" t="n">
        <f aca="false">IF(AND(AI392=1,AJ392=0,AsOfUTC&gt;Q392),1,0)</f>
        <v>0</v>
      </c>
      <c r="AL392" s="61" t="n">
        <f aca="false">IF(AND(AI392=1,OR(TRIM(U392)="Fail",AND(TRIM(AB392)&lt;&gt;"",TRIM(AB392)&lt;&gt;"Closed"),AND(ISNUMBER(AF392),AF392&lt;&gt;0,TRIM(U392)&lt;&gt;"Pass after CA"))),1,0)</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row>
    <row r="393" customFormat="false" ht="39.75" hidden="false" customHeight="true" outlineLevel="0" collapsed="false">
      <c r="A393" s="57" t="s">
        <v>973</v>
      </c>
      <c r="B393" s="57" t="s">
        <v>253</v>
      </c>
      <c r="C393" s="57" t="str">
        <f aca="false">Flights!$F$16</f>
        <v>MH0139</v>
      </c>
      <c r="D393" s="58" t="n">
        <f aca="false">Flights!$D$16</f>
        <v>46307</v>
      </c>
      <c r="E393" s="57" t="str">
        <f aca="false">Flights!$G$16&amp;"-"&amp;Flights!$H$16</f>
        <v>KUL-ADL</v>
      </c>
      <c r="F393" s="57" t="str">
        <f aca="false">Flights!$K$16</f>
        <v>BC</v>
      </c>
      <c r="G393" s="57" t="s">
        <v>385</v>
      </c>
      <c r="H393" s="57" t="s">
        <v>343</v>
      </c>
      <c r="I393" s="57" t="s">
        <v>393</v>
      </c>
      <c r="J393" s="57" t="s">
        <v>396</v>
      </c>
      <c r="K393" s="67"/>
      <c r="L393" s="67" t="s">
        <v>387</v>
      </c>
      <c r="M393" s="67"/>
      <c r="N393" s="67" t="s">
        <v>348</v>
      </c>
      <c r="O393" s="67" t="s">
        <v>388</v>
      </c>
      <c r="P393" s="57" t="s">
        <v>179</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59" t="n">
        <f aca="false">Q393-T12EarlyH/24</f>
        <v>46306.6006944444</v>
      </c>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IF(N393="N/A – rule","N/A – RULE",IF(TRIM(U393)="N/A",IF(AT393=0,"INVALID – N/A not permitted for this mandatory check",IF(AND(TRIM(AC393)&lt;&gt;"",TRIM(AE393)&lt;&gt;"",TRIM(T393)&lt;&gt;"",TRIM(AE393)&lt;&gt;TRIM(T393)),"N/A – JUSTIFIED","INVALID – N/A needs justification, PIC and a different verifier")),IF(OR(TRIM(U393)="Pass",TRIM(U393)="Pass after CA"),IF(NOT(ISNUMBER(AD393)),"INVALID – completion time missing",IF(TRIM(T393)="","INVALID – PIC missing",IF(TRIM(V393)="","INVALID – result / assessment missing",IF(TRIM(Z393)="","INVALID – evidence missing",IF(TRIM(AE393)="","INVALID – verifier missing",IF(TRIM(AE393)=TRIM(T393),"INVALID – verifier must be someone other than the PIC",IF(AND(AQ393=1,TRIM(W393)=""),"INVALID – batch ID missing",IF(AND(AR393=1,OR(NOT(ISNUMBER(X393)),NOT(ISNUMBER(Y393)))),"INVALID – expected/actual qty missing",IF(IF(AND(TRIM(U393)="Pass",ISNUMBER(AF393)),IF(AF393&lt;&gt;0,"INVALID – qty variance: use Fail or Pass after CA",""),"")&amp;IF(AND(TRIM(U393)="Pass",TRIM(AB393)&lt;&gt;"",TRIM(AB393)&lt;&gt;"Closed"),"INVALID – corrective action not closed: use Fail, then Pass after CA","")&amp;IF(AND(TRIM(AA393)&lt;&gt;"",TRIM(AB393)=""),"INVALID – CA status missing for the recorded corrective action","")&amp;IF(AND(TRIM(U393)="Pass after CA",OR(TRIM(AA393)="",TRIM(AB393)&lt;&gt;"Closed")),"INVALID – corrective action not recorded/closed","")&lt;&gt;"",IF(AND(TRIM(U393)="Pass",ISNUMBER(AF393)),IF(AF393&lt;&gt;0,"INVALID – qty variance: use Fail or Pass after CA",""),"")&amp;IF(AND(TRIM(U393)="Pass",TRIM(AB393)&lt;&gt;"",TRIM(AB393)&lt;&gt;"Closed"),"INVALID – corrective action not closed: use Fail, then Pass after CA","")&amp;IF(AND(TRIM(AA393)&lt;&gt;"",TRIM(AB393)=""),"INVALID – CA status missing for the recorded corrective action","")&amp;IF(AND(TRIM(U393)="Pass after CA",OR(TRIM(AA393)="",TRIM(AB393)&lt;&gt;"Closed")),"INVALID – corrective action not recorded/closed",""),IF(AND(AS393=1,Documents!$J$16&lt;&gt;"ON FILE"),"INVALID – GLD not on file (Documents sheet)",IF(AND(AS393=2,Documents!$O$16&lt;&gt;"ON FILE"),"INVALID – menu checklist not on file (Documents sheet)",IF(AND(AS393=3,NOT(ISNUMBER(Flights!$AX$16))),"INVALID – enter carrying flight KUL departure (Flights AX)",IF(AND(AS393=3,OR(Flights!$AX$16&gt;=Flights!$AA$16,Flights!$AX$16&lt;Flights!$AA$16-3)),"INVALID – Flights AX must be before this leg's STD (within 3 days)",IF(AG393&gt;AsOfUTC,"INVALID – completion time is in the future",IF(AND(ISNUMBER(S393),AG393&lt;S393),IF(H393="Physical uplift","INVALID – before uplift window (cannot confirm loading)","INVALID – before valid window"),IF(AG393&gt;Flights!$AA$16,"INVALID – completed after departure (cannot establish readiness)",IF(AND(H393="Physical uplift",AG393&gt;Q393),"INVALID – recorded after the loading flight departed",IF(AG393&gt;Q393,"COMPLETE – LATE","COMPLETE")))))))))))))))))),IF(TRIM(U393)="Fail","FAIL – DISCREPANCY",IF(AND(TRIM(U393)&lt;&gt;"",TRIM(U393)&lt;&gt;"Not started",TRIM(U393)&lt;&gt;"In progress"),"INVALID – unrecognised status (use the list)",IF(AsOfUTC&gt;Q393,"OVERDUE",IF(N393="Clarification required","OPEN – CLARIFICATION","OPEN")))))))</f>
        <v>OPEN</v>
      </c>
      <c r="AI393" s="61" t="n">
        <f aca="false">IF(OR(AH393="N/A – RULE",AH393="N/A – JUSTIFIED"),0,1)</f>
        <v>1</v>
      </c>
      <c r="AJ393" s="61" t="n">
        <f aca="false">IF(LEFT(AH393,8)="COMPLETE",1,0)</f>
        <v>0</v>
      </c>
      <c r="AK393" s="61" t="n">
        <f aca="false">IF(AND(AI393=1,AJ393=0,AsOfUTC&gt;Q393),1,0)</f>
        <v>0</v>
      </c>
      <c r="AL393" s="61" t="n">
        <f aca="false">IF(AND(AI393=1,OR(TRIM(U393)="Fail",AND(TRIM(AB393)&lt;&gt;"",TRIM(AB393)&lt;&gt;"Closed"),AND(ISNUMBER(AF393),AF393&lt;&gt;0,TRIM(U393)&lt;&gt;"Pass after CA"))),1,0)</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row>
    <row r="394" customFormat="false" ht="39.75" hidden="false" customHeight="true" outlineLevel="0" collapsed="false">
      <c r="A394" s="57" t="s">
        <v>974</v>
      </c>
      <c r="B394" s="57" t="s">
        <v>253</v>
      </c>
      <c r="C394" s="57" t="str">
        <f aca="false">Flights!$F$16</f>
        <v>MH0139</v>
      </c>
      <c r="D394" s="58" t="n">
        <f aca="false">Flights!$D$16</f>
        <v>46307</v>
      </c>
      <c r="E394" s="57" t="str">
        <f aca="false">Flights!$G$16&amp;"-"&amp;Flights!$H$16</f>
        <v>KUL-ADL</v>
      </c>
      <c r="F394" s="57" t="str">
        <f aca="false">Flights!$K$16</f>
        <v>BC</v>
      </c>
      <c r="G394" s="57" t="s">
        <v>385</v>
      </c>
      <c r="H394" s="57" t="s">
        <v>343</v>
      </c>
      <c r="I394" s="57" t="s">
        <v>393</v>
      </c>
      <c r="J394" s="57" t="s">
        <v>398</v>
      </c>
      <c r="K394" s="67"/>
      <c r="L394" s="67" t="s">
        <v>387</v>
      </c>
      <c r="M394" s="67"/>
      <c r="N394" s="67" t="s">
        <v>348</v>
      </c>
      <c r="O394" s="67" t="s">
        <v>388</v>
      </c>
      <c r="P394" s="57" t="s">
        <v>179</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59" t="n">
        <f aca="false">Q394-T12EarlyH/24</f>
        <v>46306.6006944444</v>
      </c>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IF(N394="N/A – rule","N/A – RULE",IF(TRIM(U394)="N/A",IF(AT394=0,"INVALID – N/A not permitted for this mandatory check",IF(AND(TRIM(AC394)&lt;&gt;"",TRIM(AE394)&lt;&gt;"",TRIM(T394)&lt;&gt;"",TRIM(AE394)&lt;&gt;TRIM(T394)),"N/A – JUSTIFIED","INVALID – N/A needs justification, PIC and a different verifier")),IF(OR(TRIM(U394)="Pass",TRIM(U394)="Pass after CA"),IF(NOT(ISNUMBER(AD394)),"INVALID – completion time missing",IF(TRIM(T394)="","INVALID – PIC missing",IF(TRIM(V394)="","INVALID – result / assessment missing",IF(TRIM(Z394)="","INVALID – evidence missing",IF(TRIM(AE394)="","INVALID – verifier missing",IF(TRIM(AE394)=TRIM(T394),"INVALID – verifier must be someone other than the PIC",IF(AND(AQ394=1,TRIM(W394)=""),"INVALID – batch ID missing",IF(AND(AR394=1,OR(NOT(ISNUMBER(X394)),NOT(ISNUMBER(Y394)))),"INVALID – expected/actual qty missing",IF(IF(AND(TRIM(U394)="Pass",ISNUMBER(AF394)),IF(AF394&lt;&gt;0,"INVALID – qty variance: use Fail or Pass after CA",""),"")&amp;IF(AND(TRIM(U394)="Pass",TRIM(AB394)&lt;&gt;"",TRIM(AB394)&lt;&gt;"Closed"),"INVALID – corrective action not closed: use Fail, then Pass after CA","")&amp;IF(AND(TRIM(AA394)&lt;&gt;"",TRIM(AB394)=""),"INVALID – CA status missing for the recorded corrective action","")&amp;IF(AND(TRIM(U394)="Pass after CA",OR(TRIM(AA394)="",TRIM(AB394)&lt;&gt;"Closed")),"INVALID – corrective action not recorded/closed","")&lt;&gt;"",IF(AND(TRIM(U394)="Pass",ISNUMBER(AF394)),IF(AF394&lt;&gt;0,"INVALID – qty variance: use Fail or Pass after CA",""),"")&amp;IF(AND(TRIM(U394)="Pass",TRIM(AB394)&lt;&gt;"",TRIM(AB394)&lt;&gt;"Closed"),"INVALID – corrective action not closed: use Fail, then Pass after CA","")&amp;IF(AND(TRIM(AA394)&lt;&gt;"",TRIM(AB394)=""),"INVALID – CA status missing for the recorded corrective action","")&amp;IF(AND(TRIM(U394)="Pass after CA",OR(TRIM(AA394)="",TRIM(AB394)&lt;&gt;"Closed")),"INVALID – corrective action not recorded/closed",""),IF(AND(AS394=1,Documents!$J$16&lt;&gt;"ON FILE"),"INVALID – GLD not on file (Documents sheet)",IF(AND(AS394=2,Documents!$O$16&lt;&gt;"ON FILE"),"INVALID – menu checklist not on file (Documents sheet)",IF(AND(AS394=3,NOT(ISNUMBER(Flights!$AX$16))),"INVALID – enter carrying flight KUL departure (Flights AX)",IF(AND(AS394=3,OR(Flights!$AX$16&gt;=Flights!$AA$16,Flights!$AX$16&lt;Flights!$AA$16-3)),"INVALID – Flights AX must be before this leg's STD (within 3 days)",IF(AG394&gt;AsOfUTC,"INVALID – completion time is in the future",IF(AND(ISNUMBER(S394),AG394&lt;S394),IF(H394="Physical uplift","INVALID – before uplift window (cannot confirm loading)","INVALID – before valid window"),IF(AG394&gt;Flights!$AA$16,"INVALID – completed after departure (cannot establish readiness)",IF(AND(H394="Physical uplift",AG394&gt;Q394),"INVALID – recorded after the loading flight departed",IF(AG394&gt;Q394,"COMPLETE – LATE","COMPLETE")))))))))))))))))),IF(TRIM(U394)="Fail","FAIL – DISCREPANCY",IF(AND(TRIM(U394)&lt;&gt;"",TRIM(U394)&lt;&gt;"Not started",TRIM(U394)&lt;&gt;"In progress"),"INVALID – unrecognised status (use the list)",IF(AsOfUTC&gt;Q394,"OVERDUE",IF(N394="Clarification required","OPEN – CLARIFICATION","OPEN")))))))</f>
        <v>OPEN</v>
      </c>
      <c r="AI394" s="61" t="n">
        <f aca="false">IF(OR(AH394="N/A – RULE",AH394="N/A – JUSTIFIED"),0,1)</f>
        <v>1</v>
      </c>
      <c r="AJ394" s="61" t="n">
        <f aca="false">IF(LEFT(AH394,8)="COMPLETE",1,0)</f>
        <v>0</v>
      </c>
      <c r="AK394" s="61" t="n">
        <f aca="false">IF(AND(AI394=1,AJ394=0,AsOfUTC&gt;Q394),1,0)</f>
        <v>0</v>
      </c>
      <c r="AL394" s="61" t="n">
        <f aca="false">IF(AND(AI394=1,OR(TRIM(U394)="Fail",AND(TRIM(AB394)&lt;&gt;"",TRIM(AB394)&lt;&gt;"Closed"),AND(ISNUMBER(AF394),AF394&lt;&gt;0,TRIM(U394)&lt;&gt;"Pass after CA"))),1,0)</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row>
    <row r="395" customFormat="false" ht="78.75" hidden="false" customHeight="true" outlineLevel="0" collapsed="false">
      <c r="A395" s="57" t="s">
        <v>975</v>
      </c>
      <c r="B395" s="57" t="s">
        <v>253</v>
      </c>
      <c r="C395" s="57" t="str">
        <f aca="false">Flights!$F$16</f>
        <v>MH0139</v>
      </c>
      <c r="D395" s="58" t="n">
        <f aca="false">Flights!$D$16</f>
        <v>46307</v>
      </c>
      <c r="E395" s="57" t="str">
        <f aca="false">Flights!$G$16&amp;"-"&amp;Flights!$H$16</f>
        <v>KUL-ADL</v>
      </c>
      <c r="F395" s="57" t="str">
        <f aca="false">Flights!$K$16</f>
        <v>BC</v>
      </c>
      <c r="G395" s="57" t="s">
        <v>385</v>
      </c>
      <c r="H395" s="57" t="s">
        <v>343</v>
      </c>
      <c r="I395" s="57" t="s">
        <v>393</v>
      </c>
      <c r="J395" s="57" t="s">
        <v>400</v>
      </c>
      <c r="K395" s="67" t="s">
        <v>976</v>
      </c>
      <c r="L395" s="67" t="s">
        <v>387</v>
      </c>
      <c r="M395" s="67"/>
      <c r="N395" s="67" t="s">
        <v>348</v>
      </c>
      <c r="O395" s="67" t="s">
        <v>388</v>
      </c>
      <c r="P395" s="57" t="s">
        <v>179</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59" t="n">
        <f aca="false">Q395-T12EarlyH/24</f>
        <v>46306.6006944444</v>
      </c>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IF(N395="N/A – rule","N/A – RULE",IF(TRIM(U395)="N/A",IF(AT395=0,"INVALID – N/A not permitted for this mandatory check",IF(AND(TRIM(AC395)&lt;&gt;"",TRIM(AE395)&lt;&gt;"",TRIM(T395)&lt;&gt;"",TRIM(AE395)&lt;&gt;TRIM(T395)),"N/A – JUSTIFIED","INVALID – N/A needs justification, PIC and a different verifier")),IF(OR(TRIM(U395)="Pass",TRIM(U395)="Pass after CA"),IF(NOT(ISNUMBER(AD395)),"INVALID – completion time missing",IF(TRIM(T395)="","INVALID – PIC missing",IF(TRIM(V395)="","INVALID – result / assessment missing",IF(TRIM(Z395)="","INVALID – evidence missing",IF(TRIM(AE395)="","INVALID – verifier missing",IF(TRIM(AE395)=TRIM(T395),"INVALID – verifier must be someone other than the PIC",IF(AND(AQ395=1,TRIM(W395)=""),"INVALID – batch ID missing",IF(AND(AR395=1,OR(NOT(ISNUMBER(X395)),NOT(ISNUMBER(Y395)))),"INVALID – expected/actual qty missing",IF(IF(AND(TRIM(U395)="Pass",ISNUMBER(AF395)),IF(AF395&lt;&gt;0,"INVALID – qty variance: use Fail or Pass after CA",""),"")&amp;IF(AND(TRIM(U395)="Pass",TRIM(AB395)&lt;&gt;"",TRIM(AB395)&lt;&gt;"Closed"),"INVALID – corrective action not closed: use Fail, then Pass after CA","")&amp;IF(AND(TRIM(AA395)&lt;&gt;"",TRIM(AB395)=""),"INVALID – CA status missing for the recorded corrective action","")&amp;IF(AND(TRIM(U395)="Pass after CA",OR(TRIM(AA395)="",TRIM(AB395)&lt;&gt;"Closed")),"INVALID – corrective action not recorded/closed","")&lt;&gt;"",IF(AND(TRIM(U395)="Pass",ISNUMBER(AF395)),IF(AF395&lt;&gt;0,"INVALID – qty variance: use Fail or Pass after CA",""),"")&amp;IF(AND(TRIM(U395)="Pass",TRIM(AB395)&lt;&gt;"",TRIM(AB395)&lt;&gt;"Closed"),"INVALID – corrective action not closed: use Fail, then Pass after CA","")&amp;IF(AND(TRIM(AA395)&lt;&gt;"",TRIM(AB395)=""),"INVALID – CA status missing for the recorded corrective action","")&amp;IF(AND(TRIM(U395)="Pass after CA",OR(TRIM(AA395)="",TRIM(AB395)&lt;&gt;"Closed")),"INVALID – corrective action not recorded/closed",""),IF(AND(AS395=1,Documents!$J$16&lt;&gt;"ON FILE"),"INVALID – GLD not on file (Documents sheet)",IF(AND(AS395=2,Documents!$O$16&lt;&gt;"ON FILE"),"INVALID – menu checklist not on file (Documents sheet)",IF(AND(AS395=3,NOT(ISNUMBER(Flights!$AX$16))),"INVALID – enter carrying flight KUL departure (Flights AX)",IF(AND(AS395=3,OR(Flights!$AX$16&gt;=Flights!$AA$16,Flights!$AX$16&lt;Flights!$AA$16-3)),"INVALID – Flights AX must be before this leg's STD (within 3 days)",IF(AG395&gt;AsOfUTC,"INVALID – completion time is in the future",IF(AND(ISNUMBER(S395),AG395&lt;S395),IF(H395="Physical uplift","INVALID – before uplift window (cannot confirm loading)","INVALID – before valid window"),IF(AG395&gt;Flights!$AA$16,"INVALID – completed after departure (cannot establish readiness)",IF(AND(H395="Physical uplift",AG395&gt;Q395),"INVALID – recorded after the loading flight departed",IF(AG395&gt;Q395,"COMPLETE – LATE","COMPLETE")))))))))))))))))),IF(TRIM(U395)="Fail","FAIL – DISCREPANCY",IF(AND(TRIM(U395)&lt;&gt;"",TRIM(U395)&lt;&gt;"Not started",TRIM(U395)&lt;&gt;"In progress"),"INVALID – unrecognised status (use the list)",IF(AsOfUTC&gt;Q395,"OVERDUE",IF(N395="Clarification required","OPEN – CLARIFICATION","OPEN")))))))</f>
        <v>OPEN</v>
      </c>
      <c r="AI395" s="61" t="n">
        <f aca="false">IF(OR(AH395="N/A – RULE",AH395="N/A – JUSTIFIED"),0,1)</f>
        <v>1</v>
      </c>
      <c r="AJ395" s="61" t="n">
        <f aca="false">IF(LEFT(AH395,8)="COMPLETE",1,0)</f>
        <v>0</v>
      </c>
      <c r="AK395" s="61" t="n">
        <f aca="false">IF(AND(AI395=1,AJ395=0,AsOfUTC&gt;Q395),1,0)</f>
        <v>0</v>
      </c>
      <c r="AL395" s="61" t="n">
        <f aca="false">IF(AND(AI395=1,OR(TRIM(U395)="Fail",AND(TRIM(AB395)&lt;&gt;"",TRIM(AB395)&lt;&gt;"Closed"),AND(ISNUMBER(AF395),AF395&lt;&gt;0,TRIM(U395)&lt;&gt;"Pass after CA"))),1,0)</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row>
    <row r="396" customFormat="false" ht="39.75" hidden="false" customHeight="true" outlineLevel="0" collapsed="false">
      <c r="A396" s="57" t="s">
        <v>977</v>
      </c>
      <c r="B396" s="57" t="s">
        <v>253</v>
      </c>
      <c r="C396" s="57" t="str">
        <f aca="false">Flights!$F$16</f>
        <v>MH0139</v>
      </c>
      <c r="D396" s="58" t="n">
        <f aca="false">Flights!$D$16</f>
        <v>46307</v>
      </c>
      <c r="E396" s="57" t="str">
        <f aca="false">Flights!$G$16&amp;"-"&amp;Flights!$H$16</f>
        <v>KUL-ADL</v>
      </c>
      <c r="F396" s="57" t="str">
        <f aca="false">Flights!$K$16</f>
        <v>BC</v>
      </c>
      <c r="G396" s="57" t="s">
        <v>385</v>
      </c>
      <c r="H396" s="57" t="s">
        <v>343</v>
      </c>
      <c r="I396" s="57" t="s">
        <v>393</v>
      </c>
      <c r="J396" s="57" t="s">
        <v>403</v>
      </c>
      <c r="K396" s="67"/>
      <c r="L396" s="67" t="s">
        <v>387</v>
      </c>
      <c r="M396" s="67"/>
      <c r="N396" s="67" t="s">
        <v>348</v>
      </c>
      <c r="O396" s="67" t="s">
        <v>388</v>
      </c>
      <c r="P396" s="57" t="s">
        <v>179</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59" t="n">
        <f aca="false">Q396-T12EarlyH/24</f>
        <v>46306.6006944444</v>
      </c>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IF(N396="N/A – rule","N/A – RULE",IF(TRIM(U396)="N/A",IF(AT396=0,"INVALID – N/A not permitted for this mandatory check",IF(AND(TRIM(AC396)&lt;&gt;"",TRIM(AE396)&lt;&gt;"",TRIM(T396)&lt;&gt;"",TRIM(AE396)&lt;&gt;TRIM(T396)),"N/A – JUSTIFIED","INVALID – N/A needs justification, PIC and a different verifier")),IF(OR(TRIM(U396)="Pass",TRIM(U396)="Pass after CA"),IF(NOT(ISNUMBER(AD396)),"INVALID – completion time missing",IF(TRIM(T396)="","INVALID – PIC missing",IF(TRIM(V396)="","INVALID – result / assessment missing",IF(TRIM(Z396)="","INVALID – evidence missing",IF(TRIM(AE396)="","INVALID – verifier missing",IF(TRIM(AE396)=TRIM(T396),"INVALID – verifier must be someone other than the PIC",IF(AND(AQ396=1,TRIM(W396)=""),"INVALID – batch ID missing",IF(AND(AR396=1,OR(NOT(ISNUMBER(X396)),NOT(ISNUMBER(Y396)))),"INVALID – expected/actual qty missing",IF(IF(AND(TRIM(U396)="Pass",ISNUMBER(AF396)),IF(AF396&lt;&gt;0,"INVALID – qty variance: use Fail or Pass after CA",""),"")&amp;IF(AND(TRIM(U396)="Pass",TRIM(AB396)&lt;&gt;"",TRIM(AB396)&lt;&gt;"Closed"),"INVALID – corrective action not closed: use Fail, then Pass after CA","")&amp;IF(AND(TRIM(AA396)&lt;&gt;"",TRIM(AB396)=""),"INVALID – CA status missing for the recorded corrective action","")&amp;IF(AND(TRIM(U396)="Pass after CA",OR(TRIM(AA396)="",TRIM(AB396)&lt;&gt;"Closed")),"INVALID – corrective action not recorded/closed","")&lt;&gt;"",IF(AND(TRIM(U396)="Pass",ISNUMBER(AF396)),IF(AF396&lt;&gt;0,"INVALID – qty variance: use Fail or Pass after CA",""),"")&amp;IF(AND(TRIM(U396)="Pass",TRIM(AB396)&lt;&gt;"",TRIM(AB396)&lt;&gt;"Closed"),"INVALID – corrective action not closed: use Fail, then Pass after CA","")&amp;IF(AND(TRIM(AA396)&lt;&gt;"",TRIM(AB396)=""),"INVALID – CA status missing for the recorded corrective action","")&amp;IF(AND(TRIM(U396)="Pass after CA",OR(TRIM(AA396)="",TRIM(AB396)&lt;&gt;"Closed")),"INVALID – corrective action not recorded/closed",""),IF(AND(AS396=1,Documents!$J$16&lt;&gt;"ON FILE"),"INVALID – GLD not on file (Documents sheet)",IF(AND(AS396=2,Documents!$O$16&lt;&gt;"ON FILE"),"INVALID – menu checklist not on file (Documents sheet)",IF(AND(AS396=3,NOT(ISNUMBER(Flights!$AX$16))),"INVALID – enter carrying flight KUL departure (Flights AX)",IF(AND(AS396=3,OR(Flights!$AX$16&gt;=Flights!$AA$16,Flights!$AX$16&lt;Flights!$AA$16-3)),"INVALID – Flights AX must be before this leg's STD (within 3 days)",IF(AG396&gt;AsOfUTC,"INVALID – completion time is in the future",IF(AND(ISNUMBER(S396),AG396&lt;S396),IF(H396="Physical uplift","INVALID – before uplift window (cannot confirm loading)","INVALID – before valid window"),IF(AG396&gt;Flights!$AA$16,"INVALID – completed after departure (cannot establish readiness)",IF(AND(H396="Physical uplift",AG396&gt;Q396),"INVALID – recorded after the loading flight departed",IF(AG396&gt;Q396,"COMPLETE – LATE","COMPLETE")))))))))))))))))),IF(TRIM(U396)="Fail","FAIL – DISCREPANCY",IF(AND(TRIM(U396)&lt;&gt;"",TRIM(U396)&lt;&gt;"Not started",TRIM(U396)&lt;&gt;"In progress"),"INVALID – unrecognised status (use the list)",IF(AsOfUTC&gt;Q396,"OVERDUE",IF(N396="Clarification required","OPEN – CLARIFICATION","OPEN")))))))</f>
        <v>OPEN</v>
      </c>
      <c r="AI396" s="61" t="n">
        <f aca="false">IF(OR(AH396="N/A – RULE",AH396="N/A – JUSTIFIED"),0,1)</f>
        <v>1</v>
      </c>
      <c r="AJ396" s="61" t="n">
        <f aca="false">IF(LEFT(AH396,8)="COMPLETE",1,0)</f>
        <v>0</v>
      </c>
      <c r="AK396" s="61" t="n">
        <f aca="false">IF(AND(AI396=1,AJ396=0,AsOfUTC&gt;Q396),1,0)</f>
        <v>0</v>
      </c>
      <c r="AL396" s="61" t="n">
        <f aca="false">IF(AND(AI396=1,OR(TRIM(U396)="Fail",AND(TRIM(AB396)&lt;&gt;"",TRIM(AB396)&lt;&gt;"Closed"),AND(ISNUMBER(AF396),AF396&lt;&gt;0,TRIM(U396)&lt;&gt;"Pass after CA"))),1,0)</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row>
    <row r="397" customFormat="false" ht="39.75" hidden="false" customHeight="true" outlineLevel="0" collapsed="false">
      <c r="A397" s="57" t="s">
        <v>978</v>
      </c>
      <c r="B397" s="57" t="s">
        <v>253</v>
      </c>
      <c r="C397" s="57" t="str">
        <f aca="false">Flights!$F$16</f>
        <v>MH0139</v>
      </c>
      <c r="D397" s="58" t="n">
        <f aca="false">Flights!$D$16</f>
        <v>46307</v>
      </c>
      <c r="E397" s="57" t="str">
        <f aca="false">Flights!$G$16&amp;"-"&amp;Flights!$H$16</f>
        <v>KUL-ADL</v>
      </c>
      <c r="F397" s="57" t="str">
        <f aca="false">Flights!$K$16</f>
        <v>BC</v>
      </c>
      <c r="G397" s="57" t="s">
        <v>385</v>
      </c>
      <c r="H397" s="57" t="s">
        <v>343</v>
      </c>
      <c r="I397" s="57" t="s">
        <v>405</v>
      </c>
      <c r="J397" s="57" t="s">
        <v>406</v>
      </c>
      <c r="K397" s="67" t="s">
        <v>466</v>
      </c>
      <c r="L397" s="67" t="s">
        <v>979</v>
      </c>
      <c r="M397" s="67" t="s">
        <v>179</v>
      </c>
      <c r="N397" s="67" t="s">
        <v>348</v>
      </c>
      <c r="O397" s="67"/>
      <c r="P397" s="57" t="s">
        <v>179</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59" t="n">
        <f aca="false">Q397-T12EarlyH/24</f>
        <v>46306.6006944444</v>
      </c>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IF(N397="N/A – rule","N/A – RULE",IF(TRIM(U397)="N/A",IF(AT397=0,"INVALID – N/A not permitted for this mandatory check",IF(AND(TRIM(AC397)&lt;&gt;"",TRIM(AE397)&lt;&gt;"",TRIM(T397)&lt;&gt;"",TRIM(AE397)&lt;&gt;TRIM(T397)),"N/A – JUSTIFIED","INVALID – N/A needs justification, PIC and a different verifier")),IF(OR(TRIM(U397)="Pass",TRIM(U397)="Pass after CA"),IF(NOT(ISNUMBER(AD397)),"INVALID – completion time missing",IF(TRIM(T397)="","INVALID – PIC missing",IF(TRIM(V397)="","INVALID – result / assessment missing",IF(TRIM(Z397)="","INVALID – evidence missing",IF(TRIM(AE397)="","INVALID – verifier missing",IF(TRIM(AE397)=TRIM(T397),"INVALID – verifier must be someone other than the PIC",IF(AND(AQ397=1,TRIM(W397)=""),"INVALID – batch ID missing",IF(AND(AR397=1,OR(NOT(ISNUMBER(X397)),NOT(ISNUMBER(Y397)))),"INVALID – expected/actual qty missing",IF(IF(AND(TRIM(U397)="Pass",ISNUMBER(AF397)),IF(AF397&lt;&gt;0,"INVALID – qty variance: use Fail or Pass after CA",""),"")&amp;IF(AND(TRIM(U397)="Pass",TRIM(AB397)&lt;&gt;"",TRIM(AB397)&lt;&gt;"Closed"),"INVALID – corrective action not closed: use Fail, then Pass after CA","")&amp;IF(AND(TRIM(AA397)&lt;&gt;"",TRIM(AB397)=""),"INVALID – CA status missing for the recorded corrective action","")&amp;IF(AND(TRIM(U397)="Pass after CA",OR(TRIM(AA397)="",TRIM(AB397)&lt;&gt;"Closed")),"INVALID – corrective action not recorded/closed","")&lt;&gt;"",IF(AND(TRIM(U397)="Pass",ISNUMBER(AF397)),IF(AF397&lt;&gt;0,"INVALID – qty variance: use Fail or Pass after CA",""),"")&amp;IF(AND(TRIM(U397)="Pass",TRIM(AB397)&lt;&gt;"",TRIM(AB397)&lt;&gt;"Closed"),"INVALID – corrective action not closed: use Fail, then Pass after CA","")&amp;IF(AND(TRIM(AA397)&lt;&gt;"",TRIM(AB397)=""),"INVALID – CA status missing for the recorded corrective action","")&amp;IF(AND(TRIM(U397)="Pass after CA",OR(TRIM(AA397)="",TRIM(AB397)&lt;&gt;"Closed")),"INVALID – corrective action not recorded/closed",""),IF(AND(AS397=1,Documents!$J$16&lt;&gt;"ON FILE"),"INVALID – GLD not on file (Documents sheet)",IF(AND(AS397=2,Documents!$O$16&lt;&gt;"ON FILE"),"INVALID – menu checklist not on file (Documents sheet)",IF(AND(AS397=3,NOT(ISNUMBER(Flights!$AX$16))),"INVALID – enter carrying flight KUL departure (Flights AX)",IF(AND(AS397=3,OR(Flights!$AX$16&gt;=Flights!$AA$16,Flights!$AX$16&lt;Flights!$AA$16-3)),"INVALID – Flights AX must be before this leg's STD (within 3 days)",IF(AG397&gt;AsOfUTC,"INVALID – completion time is in the future",IF(AND(ISNUMBER(S397),AG397&lt;S397),IF(H397="Physical uplift","INVALID – before uplift window (cannot confirm loading)","INVALID – before valid window"),IF(AG397&gt;Flights!$AA$16,"INVALID – completed after departure (cannot establish readiness)",IF(AND(H397="Physical uplift",AG397&gt;Q397),"INVALID – recorded after the loading flight departed",IF(AG397&gt;Q397,"COMPLETE – LATE","COMPLETE")))))))))))))))))),IF(TRIM(U397)="Fail","FAIL – DISCREPANCY",IF(AND(TRIM(U397)&lt;&gt;"",TRIM(U397)&lt;&gt;"Not started",TRIM(U397)&lt;&gt;"In progress"),"INVALID – unrecognised status (use the list)",IF(AsOfUTC&gt;Q397,"OVERDUE",IF(N397="Clarification required","OPEN – CLARIFICATION","OPEN")))))))</f>
        <v>OPEN</v>
      </c>
      <c r="AI397" s="61" t="n">
        <f aca="false">IF(OR(AH397="N/A – RULE",AH397="N/A – JUSTIFIED"),0,1)</f>
        <v>1</v>
      </c>
      <c r="AJ397" s="61" t="n">
        <f aca="false">IF(LEFT(AH397,8)="COMPLETE",1,0)</f>
        <v>0</v>
      </c>
      <c r="AK397" s="61" t="n">
        <f aca="false">IF(AND(AI397=1,AJ397=0,AsOfUTC&gt;Q397),1,0)</f>
        <v>0</v>
      </c>
      <c r="AL397" s="61" t="n">
        <f aca="false">IF(AND(AI397=1,OR(TRIM(U397)="Fail",AND(TRIM(AB397)&lt;&gt;"",TRIM(AB397)&lt;&gt;"Closed"),AND(ISNUMBER(AF397),AF397&lt;&gt;0,TRIM(U397)&lt;&gt;"Pass after CA"))),1,0)</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8" t="b">
        <f aca="false">TRUE()</f>
        <v>1</v>
      </c>
    </row>
    <row r="398" customFormat="false" ht="39.75" hidden="false" customHeight="true" outlineLevel="0" collapsed="false">
      <c r="A398" s="57" t="s">
        <v>980</v>
      </c>
      <c r="B398" s="57" t="s">
        <v>253</v>
      </c>
      <c r="C398" s="57" t="str">
        <f aca="false">Flights!$F$16</f>
        <v>MH0139</v>
      </c>
      <c r="D398" s="58" t="n">
        <f aca="false">Flights!$D$16</f>
        <v>46307</v>
      </c>
      <c r="E398" s="57" t="str">
        <f aca="false">Flights!$G$16&amp;"-"&amp;Flights!$H$16</f>
        <v>KUL-ADL</v>
      </c>
      <c r="F398" s="57" t="str">
        <f aca="false">Flights!$K$16</f>
        <v>BC</v>
      </c>
      <c r="G398" s="57" t="s">
        <v>385</v>
      </c>
      <c r="H398" s="57" t="s">
        <v>343</v>
      </c>
      <c r="I398" s="57" t="s">
        <v>405</v>
      </c>
      <c r="J398" s="57" t="s">
        <v>568</v>
      </c>
      <c r="K398" s="67" t="s">
        <v>466</v>
      </c>
      <c r="L398" s="67" t="s">
        <v>981</v>
      </c>
      <c r="M398" s="67" t="s">
        <v>179</v>
      </c>
      <c r="N398" s="67" t="s">
        <v>348</v>
      </c>
      <c r="O398" s="67"/>
      <c r="P398" s="57" t="s">
        <v>179</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59" t="n">
        <f aca="false">Q398-T12EarlyH/24</f>
        <v>46306.6006944444</v>
      </c>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IF(N398="N/A – rule","N/A – RULE",IF(TRIM(U398)="N/A",IF(AT398=0,"INVALID – N/A not permitted for this mandatory check",IF(AND(TRIM(AC398)&lt;&gt;"",TRIM(AE398)&lt;&gt;"",TRIM(T398)&lt;&gt;"",TRIM(AE398)&lt;&gt;TRIM(T398)),"N/A – JUSTIFIED","INVALID – N/A needs justification, PIC and a different verifier")),IF(OR(TRIM(U398)="Pass",TRIM(U398)="Pass after CA"),IF(NOT(ISNUMBER(AD398)),"INVALID – completion time missing",IF(TRIM(T398)="","INVALID – PIC missing",IF(TRIM(V398)="","INVALID – result / assessment missing",IF(TRIM(Z398)="","INVALID – evidence missing",IF(TRIM(AE398)="","INVALID – verifier missing",IF(TRIM(AE398)=TRIM(T398),"INVALID – verifier must be someone other than the PIC",IF(AND(AQ398=1,TRIM(W398)=""),"INVALID – batch ID missing",IF(AND(AR398=1,OR(NOT(ISNUMBER(X398)),NOT(ISNUMBER(Y398)))),"INVALID – expected/actual qty missing",IF(IF(AND(TRIM(U398)="Pass",ISNUMBER(AF398)),IF(AF398&lt;&gt;0,"INVALID – qty variance: use Fail or Pass after CA",""),"")&amp;IF(AND(TRIM(U398)="Pass",TRIM(AB398)&lt;&gt;"",TRIM(AB398)&lt;&gt;"Closed"),"INVALID – corrective action not closed: use Fail, then Pass after CA","")&amp;IF(AND(TRIM(AA398)&lt;&gt;"",TRIM(AB398)=""),"INVALID – CA status missing for the recorded corrective action","")&amp;IF(AND(TRIM(U398)="Pass after CA",OR(TRIM(AA398)="",TRIM(AB398)&lt;&gt;"Closed")),"INVALID – corrective action not recorded/closed","")&lt;&gt;"",IF(AND(TRIM(U398)="Pass",ISNUMBER(AF398)),IF(AF398&lt;&gt;0,"INVALID – qty variance: use Fail or Pass after CA",""),"")&amp;IF(AND(TRIM(U398)="Pass",TRIM(AB398)&lt;&gt;"",TRIM(AB398)&lt;&gt;"Closed"),"INVALID – corrective action not closed: use Fail, then Pass after CA","")&amp;IF(AND(TRIM(AA398)&lt;&gt;"",TRIM(AB398)=""),"INVALID – CA status missing for the recorded corrective action","")&amp;IF(AND(TRIM(U398)="Pass after CA",OR(TRIM(AA398)="",TRIM(AB398)&lt;&gt;"Closed")),"INVALID – corrective action not recorded/closed",""),IF(AND(AS398=1,Documents!$J$16&lt;&gt;"ON FILE"),"INVALID – GLD not on file (Documents sheet)",IF(AND(AS398=2,Documents!$O$16&lt;&gt;"ON FILE"),"INVALID – menu checklist not on file (Documents sheet)",IF(AND(AS398=3,NOT(ISNUMBER(Flights!$AX$16))),"INVALID – enter carrying flight KUL departure (Flights AX)",IF(AND(AS398=3,OR(Flights!$AX$16&gt;=Flights!$AA$16,Flights!$AX$16&lt;Flights!$AA$16-3)),"INVALID – Flights AX must be before this leg's STD (within 3 days)",IF(AG398&gt;AsOfUTC,"INVALID – completion time is in the future",IF(AND(ISNUMBER(S398),AG398&lt;S398),IF(H398="Physical uplift","INVALID – before uplift window (cannot confirm loading)","INVALID – before valid window"),IF(AG398&gt;Flights!$AA$16,"INVALID – completed after departure (cannot establish readiness)",IF(AND(H398="Physical uplift",AG398&gt;Q398),"INVALID – recorded after the loading flight departed",IF(AG398&gt;Q398,"COMPLETE – LATE","COMPLETE")))))))))))))))))),IF(TRIM(U398)="Fail","FAIL – DISCREPANCY",IF(AND(TRIM(U398)&lt;&gt;"",TRIM(U398)&lt;&gt;"Not started",TRIM(U398)&lt;&gt;"In progress"),"INVALID – unrecognised status (use the list)",IF(AsOfUTC&gt;Q398,"OVERDUE",IF(N398="Clarification required","OPEN – CLARIFICATION","OPEN")))))))</f>
        <v>OPEN</v>
      </c>
      <c r="AI398" s="61" t="n">
        <f aca="false">IF(OR(AH398="N/A – RULE",AH398="N/A – JUSTIFIED"),0,1)</f>
        <v>1</v>
      </c>
      <c r="AJ398" s="61" t="n">
        <f aca="false">IF(LEFT(AH398,8)="COMPLETE",1,0)</f>
        <v>0</v>
      </c>
      <c r="AK398" s="61" t="n">
        <f aca="false">IF(AND(AI398=1,AJ398=0,AsOfUTC&gt;Q398),1,0)</f>
        <v>0</v>
      </c>
      <c r="AL398" s="61" t="n">
        <f aca="false">IF(AND(AI398=1,OR(TRIM(U398)="Fail",AND(TRIM(AB398)&lt;&gt;"",TRIM(AB398)&lt;&gt;"Closed"),AND(ISNUMBER(AF398),AF398&lt;&gt;0,TRIM(U398)&lt;&gt;"Pass after CA"))),1,0)</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8" t="b">
        <f aca="false">TRUE()</f>
        <v>1</v>
      </c>
    </row>
    <row r="399" customFormat="false" ht="41.25" hidden="false" customHeight="true" outlineLevel="0" collapsed="false">
      <c r="A399" s="57" t="s">
        <v>982</v>
      </c>
      <c r="B399" s="57" t="s">
        <v>253</v>
      </c>
      <c r="C399" s="57" t="str">
        <f aca="false">Flights!$F$16</f>
        <v>MH0139</v>
      </c>
      <c r="D399" s="58" t="n">
        <f aca="false">Flights!$D$16</f>
        <v>46307</v>
      </c>
      <c r="E399" s="57" t="str">
        <f aca="false">Flights!$G$16&amp;"-"&amp;Flights!$H$16</f>
        <v>KUL-ADL</v>
      </c>
      <c r="F399" s="57" t="str">
        <f aca="false">Flights!$K$16</f>
        <v>BC</v>
      </c>
      <c r="G399" s="57" t="s">
        <v>385</v>
      </c>
      <c r="H399" s="57" t="s">
        <v>343</v>
      </c>
      <c r="I399" s="57" t="s">
        <v>464</v>
      </c>
      <c r="J399" s="57" t="s">
        <v>465</v>
      </c>
      <c r="K399" s="67" t="s">
        <v>466</v>
      </c>
      <c r="L399" s="67" t="s">
        <v>983</v>
      </c>
      <c r="M399" s="67" t="s">
        <v>416</v>
      </c>
      <c r="N399" s="67" t="s">
        <v>348</v>
      </c>
      <c r="O399" s="67" t="s">
        <v>468</v>
      </c>
      <c r="P399" s="57" t="s">
        <v>179</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59" t="n">
        <f aca="false">Q399-T12EarlyH/24</f>
        <v>46306.6006944444</v>
      </c>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IF(N399="N/A – rule","N/A – RULE",IF(TRIM(U399)="N/A",IF(AT399=0,"INVALID – N/A not permitted for this mandatory check",IF(AND(TRIM(AC399)&lt;&gt;"",TRIM(AE399)&lt;&gt;"",TRIM(T399)&lt;&gt;"",TRIM(AE399)&lt;&gt;TRIM(T399)),"N/A – JUSTIFIED","INVALID – N/A needs justification, PIC and a different verifier")),IF(OR(TRIM(U399)="Pass",TRIM(U399)="Pass after CA"),IF(NOT(ISNUMBER(AD399)),"INVALID – completion time missing",IF(TRIM(T399)="","INVALID – PIC missing",IF(TRIM(V399)="","INVALID – result / assessment missing",IF(TRIM(Z399)="","INVALID – evidence missing",IF(TRIM(AE399)="","INVALID – verifier missing",IF(TRIM(AE399)=TRIM(T399),"INVALID – verifier must be someone other than the PIC",IF(AND(AQ399=1,TRIM(W399)=""),"INVALID – batch ID missing",IF(AND(AR399=1,OR(NOT(ISNUMBER(X399)),NOT(ISNUMBER(Y399)))),"INVALID – expected/actual qty missing",IF(IF(AND(TRIM(U399)="Pass",ISNUMBER(AF399)),IF(AF399&lt;&gt;0,"INVALID – qty variance: use Fail or Pass after CA",""),"")&amp;IF(AND(TRIM(U399)="Pass",TRIM(AB399)&lt;&gt;"",TRIM(AB399)&lt;&gt;"Closed"),"INVALID – corrective action not closed: use Fail, then Pass after CA","")&amp;IF(AND(TRIM(AA399)&lt;&gt;"",TRIM(AB399)=""),"INVALID – CA status missing for the recorded corrective action","")&amp;IF(AND(TRIM(U399)="Pass after CA",OR(TRIM(AA399)="",TRIM(AB399)&lt;&gt;"Closed")),"INVALID – corrective action not recorded/closed","")&lt;&gt;"",IF(AND(TRIM(U399)="Pass",ISNUMBER(AF399)),IF(AF399&lt;&gt;0,"INVALID – qty variance: use Fail or Pass after CA",""),"")&amp;IF(AND(TRIM(U399)="Pass",TRIM(AB399)&lt;&gt;"",TRIM(AB399)&lt;&gt;"Closed"),"INVALID – corrective action not closed: use Fail, then Pass after CA","")&amp;IF(AND(TRIM(AA399)&lt;&gt;"",TRIM(AB399)=""),"INVALID – CA status missing for the recorded corrective action","")&amp;IF(AND(TRIM(U399)="Pass after CA",OR(TRIM(AA399)="",TRIM(AB399)&lt;&gt;"Closed")),"INVALID – corrective action not recorded/closed",""),IF(AND(AS399=1,Documents!$J$16&lt;&gt;"ON FILE"),"INVALID – GLD not on file (Documents sheet)",IF(AND(AS399=2,Documents!$O$16&lt;&gt;"ON FILE"),"INVALID – menu checklist not on file (Documents sheet)",IF(AND(AS399=3,NOT(ISNUMBER(Flights!$AX$16))),"INVALID – enter carrying flight KUL departure (Flights AX)",IF(AND(AS399=3,OR(Flights!$AX$16&gt;=Flights!$AA$16,Flights!$AX$16&lt;Flights!$AA$16-3)),"INVALID – Flights AX must be before this leg's STD (within 3 days)",IF(AG399&gt;AsOfUTC,"INVALID – completion time is in the future",IF(AND(ISNUMBER(S399),AG399&lt;S399),IF(H399="Physical uplift","INVALID – before uplift window (cannot confirm loading)","INVALID – before valid window"),IF(AG399&gt;Flights!$AA$16,"INVALID – completed after departure (cannot establish readiness)",IF(AND(H399="Physical uplift",AG399&gt;Q399),"INVALID – recorded after the loading flight departed",IF(AG399&gt;Q399,"COMPLETE – LATE","COMPLETE")))))))))))))))))),IF(TRIM(U399)="Fail","FAIL – DISCREPANCY",IF(AND(TRIM(U399)&lt;&gt;"",TRIM(U399)&lt;&gt;"Not started",TRIM(U399)&lt;&gt;"In progress"),"INVALID – unrecognised status (use the list)",IF(AsOfUTC&gt;Q399,"OVERDUE",IF(N399="Clarification required","OPEN – CLARIFICATION","OPEN")))))))</f>
        <v>OPEN</v>
      </c>
      <c r="AI399" s="61" t="n">
        <f aca="false">IF(OR(AH399="N/A – RULE",AH399="N/A – JUSTIFIED"),0,1)</f>
        <v>1</v>
      </c>
      <c r="AJ399" s="61" t="n">
        <f aca="false">IF(LEFT(AH399,8)="COMPLETE",1,0)</f>
        <v>0</v>
      </c>
      <c r="AK399" s="61" t="n">
        <f aca="false">IF(AND(AI399=1,AJ399=0,AsOfUTC&gt;Q399),1,0)</f>
        <v>0</v>
      </c>
      <c r="AL399" s="61" t="n">
        <f aca="false">IF(AND(AI399=1,OR(TRIM(U399)="Fail",AND(TRIM(AB399)&lt;&gt;"",TRIM(AB399)&lt;&gt;"Closed"),AND(ISNUMBER(AF399),AF399&lt;&gt;0,TRIM(U399)&lt;&gt;"Pass after CA"))),1,0)</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8" t="b">
        <f aca="false">TRUE()</f>
        <v>1</v>
      </c>
    </row>
    <row r="400" customFormat="false" ht="41.25" hidden="false" customHeight="true" outlineLevel="0" collapsed="false">
      <c r="A400" s="57" t="s">
        <v>984</v>
      </c>
      <c r="B400" s="57" t="s">
        <v>253</v>
      </c>
      <c r="C400" s="57" t="str">
        <f aca="false">Flights!$F$16</f>
        <v>MH0139</v>
      </c>
      <c r="D400" s="58" t="n">
        <f aca="false">Flights!$D$16</f>
        <v>46307</v>
      </c>
      <c r="E400" s="57" t="str">
        <f aca="false">Flights!$G$16&amp;"-"&amp;Flights!$H$16</f>
        <v>KUL-ADL</v>
      </c>
      <c r="F400" s="57" t="str">
        <f aca="false">Flights!$K$16</f>
        <v>BC</v>
      </c>
      <c r="G400" s="57" t="s">
        <v>385</v>
      </c>
      <c r="H400" s="57" t="s">
        <v>343</v>
      </c>
      <c r="I400" s="57" t="s">
        <v>464</v>
      </c>
      <c r="J400" s="57" t="s">
        <v>470</v>
      </c>
      <c r="K400" s="67" t="s">
        <v>466</v>
      </c>
      <c r="L400" s="67" t="s">
        <v>985</v>
      </c>
      <c r="M400" s="67" t="s">
        <v>416</v>
      </c>
      <c r="N400" s="67" t="s">
        <v>348</v>
      </c>
      <c r="O400" s="67" t="s">
        <v>468</v>
      </c>
      <c r="P400" s="57" t="s">
        <v>179</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59" t="n">
        <f aca="false">Q400-T12EarlyH/24</f>
        <v>46306.6006944444</v>
      </c>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IF(N400="N/A – rule","N/A – RULE",IF(TRIM(U400)="N/A",IF(AT400=0,"INVALID – N/A not permitted for this mandatory check",IF(AND(TRIM(AC400)&lt;&gt;"",TRIM(AE400)&lt;&gt;"",TRIM(T400)&lt;&gt;"",TRIM(AE400)&lt;&gt;TRIM(T400)),"N/A – JUSTIFIED","INVALID – N/A needs justification, PIC and a different verifier")),IF(OR(TRIM(U400)="Pass",TRIM(U400)="Pass after CA"),IF(NOT(ISNUMBER(AD400)),"INVALID – completion time missing",IF(TRIM(T400)="","INVALID – PIC missing",IF(TRIM(V400)="","INVALID – result / assessment missing",IF(TRIM(Z400)="","INVALID – evidence missing",IF(TRIM(AE400)="","INVALID – verifier missing",IF(TRIM(AE400)=TRIM(T400),"INVALID – verifier must be someone other than the PIC",IF(AND(AQ400=1,TRIM(W400)=""),"INVALID – batch ID missing",IF(AND(AR400=1,OR(NOT(ISNUMBER(X400)),NOT(ISNUMBER(Y400)))),"INVALID – expected/actual qty missing",IF(IF(AND(TRIM(U400)="Pass",ISNUMBER(AF400)),IF(AF400&lt;&gt;0,"INVALID – qty variance: use Fail or Pass after CA",""),"")&amp;IF(AND(TRIM(U400)="Pass",TRIM(AB400)&lt;&gt;"",TRIM(AB400)&lt;&gt;"Closed"),"INVALID – corrective action not closed: use Fail, then Pass after CA","")&amp;IF(AND(TRIM(AA400)&lt;&gt;"",TRIM(AB400)=""),"INVALID – CA status missing for the recorded corrective action","")&amp;IF(AND(TRIM(U400)="Pass after CA",OR(TRIM(AA400)="",TRIM(AB400)&lt;&gt;"Closed")),"INVALID – corrective action not recorded/closed","")&lt;&gt;"",IF(AND(TRIM(U400)="Pass",ISNUMBER(AF400)),IF(AF400&lt;&gt;0,"INVALID – qty variance: use Fail or Pass after CA",""),"")&amp;IF(AND(TRIM(U400)="Pass",TRIM(AB400)&lt;&gt;"",TRIM(AB400)&lt;&gt;"Closed"),"INVALID – corrective action not closed: use Fail, then Pass after CA","")&amp;IF(AND(TRIM(AA400)&lt;&gt;"",TRIM(AB400)=""),"INVALID – CA status missing for the recorded corrective action","")&amp;IF(AND(TRIM(U400)="Pass after CA",OR(TRIM(AA400)="",TRIM(AB400)&lt;&gt;"Closed")),"INVALID – corrective action not recorded/closed",""),IF(AND(AS400=1,Documents!$J$16&lt;&gt;"ON FILE"),"INVALID – GLD not on file (Documents sheet)",IF(AND(AS400=2,Documents!$O$16&lt;&gt;"ON FILE"),"INVALID – menu checklist not on file (Documents sheet)",IF(AND(AS400=3,NOT(ISNUMBER(Flights!$AX$16))),"INVALID – enter carrying flight KUL departure (Flights AX)",IF(AND(AS400=3,OR(Flights!$AX$16&gt;=Flights!$AA$16,Flights!$AX$16&lt;Flights!$AA$16-3)),"INVALID – Flights AX must be before this leg's STD (within 3 days)",IF(AG400&gt;AsOfUTC,"INVALID – completion time is in the future",IF(AND(ISNUMBER(S400),AG400&lt;S400),IF(H400="Physical uplift","INVALID – before uplift window (cannot confirm loading)","INVALID – before valid window"),IF(AG400&gt;Flights!$AA$16,"INVALID – completed after departure (cannot establish readiness)",IF(AND(H400="Physical uplift",AG400&gt;Q400),"INVALID – recorded after the loading flight departed",IF(AG400&gt;Q400,"COMPLETE – LATE","COMPLETE")))))))))))))))))),IF(TRIM(U400)="Fail","FAIL – DISCREPANCY",IF(AND(TRIM(U400)&lt;&gt;"",TRIM(U400)&lt;&gt;"Not started",TRIM(U400)&lt;&gt;"In progress"),"INVALID – unrecognised status (use the list)",IF(AsOfUTC&gt;Q400,"OVERDUE",IF(N400="Clarification required","OPEN – CLARIFICATION","OPEN")))))))</f>
        <v>OPEN</v>
      </c>
      <c r="AI400" s="61" t="n">
        <f aca="false">IF(OR(AH400="N/A – RULE",AH400="N/A – JUSTIFIED"),0,1)</f>
        <v>1</v>
      </c>
      <c r="AJ400" s="61" t="n">
        <f aca="false">IF(LEFT(AH400,8)="COMPLETE",1,0)</f>
        <v>0</v>
      </c>
      <c r="AK400" s="61" t="n">
        <f aca="false">IF(AND(AI400=1,AJ400=0,AsOfUTC&gt;Q400),1,0)</f>
        <v>0</v>
      </c>
      <c r="AL400" s="61" t="n">
        <f aca="false">IF(AND(AI400=1,OR(TRIM(U400)="Fail",AND(TRIM(AB400)&lt;&gt;"",TRIM(AB400)&lt;&gt;"Closed"),AND(ISNUMBER(AF400),AF400&lt;&gt;0,TRIM(U400)&lt;&gt;"Pass after CA"))),1,0)</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8" t="b">
        <f aca="false">TRUE()</f>
        <v>1</v>
      </c>
    </row>
    <row r="401" customFormat="false" ht="41.25" hidden="false" customHeight="true" outlineLevel="0" collapsed="false">
      <c r="A401" s="57" t="s">
        <v>986</v>
      </c>
      <c r="B401" s="57" t="s">
        <v>253</v>
      </c>
      <c r="C401" s="57" t="str">
        <f aca="false">Flights!$F$16</f>
        <v>MH0139</v>
      </c>
      <c r="D401" s="58" t="n">
        <f aca="false">Flights!$D$16</f>
        <v>46307</v>
      </c>
      <c r="E401" s="57" t="str">
        <f aca="false">Flights!$G$16&amp;"-"&amp;Flights!$H$16</f>
        <v>KUL-ADL</v>
      </c>
      <c r="F401" s="57" t="str">
        <f aca="false">Flights!$K$16</f>
        <v>BC</v>
      </c>
      <c r="G401" s="57" t="s">
        <v>385</v>
      </c>
      <c r="H401" s="57" t="s">
        <v>343</v>
      </c>
      <c r="I401" s="57" t="s">
        <v>464</v>
      </c>
      <c r="J401" s="57" t="s">
        <v>473</v>
      </c>
      <c r="K401" s="67" t="s">
        <v>466</v>
      </c>
      <c r="L401" s="67" t="s">
        <v>987</v>
      </c>
      <c r="M401" s="67" t="s">
        <v>416</v>
      </c>
      <c r="N401" s="67" t="s">
        <v>348</v>
      </c>
      <c r="O401" s="67" t="s">
        <v>468</v>
      </c>
      <c r="P401" s="57" t="s">
        <v>179</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59" t="n">
        <f aca="false">Q401-T12EarlyH/24</f>
        <v>46306.6006944444</v>
      </c>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IF(N401="N/A – rule","N/A – RULE",IF(TRIM(U401)="N/A",IF(AT401=0,"INVALID – N/A not permitted for this mandatory check",IF(AND(TRIM(AC401)&lt;&gt;"",TRIM(AE401)&lt;&gt;"",TRIM(T401)&lt;&gt;"",TRIM(AE401)&lt;&gt;TRIM(T401)),"N/A – JUSTIFIED","INVALID – N/A needs justification, PIC and a different verifier")),IF(OR(TRIM(U401)="Pass",TRIM(U401)="Pass after CA"),IF(NOT(ISNUMBER(AD401)),"INVALID – completion time missing",IF(TRIM(T401)="","INVALID – PIC missing",IF(TRIM(V401)="","INVALID – result / assessment missing",IF(TRIM(Z401)="","INVALID – evidence missing",IF(TRIM(AE401)="","INVALID – verifier missing",IF(TRIM(AE401)=TRIM(T401),"INVALID – verifier must be someone other than the PIC",IF(AND(AQ401=1,TRIM(W401)=""),"INVALID – batch ID missing",IF(AND(AR401=1,OR(NOT(ISNUMBER(X401)),NOT(ISNUMBER(Y401)))),"INVALID – expected/actual qty missing",IF(IF(AND(TRIM(U401)="Pass",ISNUMBER(AF401)),IF(AF401&lt;&gt;0,"INVALID – qty variance: use Fail or Pass after CA",""),"")&amp;IF(AND(TRIM(U401)="Pass",TRIM(AB401)&lt;&gt;"",TRIM(AB401)&lt;&gt;"Closed"),"INVALID – corrective action not closed: use Fail, then Pass after CA","")&amp;IF(AND(TRIM(AA401)&lt;&gt;"",TRIM(AB401)=""),"INVALID – CA status missing for the recorded corrective action","")&amp;IF(AND(TRIM(U401)="Pass after CA",OR(TRIM(AA401)="",TRIM(AB401)&lt;&gt;"Closed")),"INVALID – corrective action not recorded/closed","")&lt;&gt;"",IF(AND(TRIM(U401)="Pass",ISNUMBER(AF401)),IF(AF401&lt;&gt;0,"INVALID – qty variance: use Fail or Pass after CA",""),"")&amp;IF(AND(TRIM(U401)="Pass",TRIM(AB401)&lt;&gt;"",TRIM(AB401)&lt;&gt;"Closed"),"INVALID – corrective action not closed: use Fail, then Pass after CA","")&amp;IF(AND(TRIM(AA401)&lt;&gt;"",TRIM(AB401)=""),"INVALID – CA status missing for the recorded corrective action","")&amp;IF(AND(TRIM(U401)="Pass after CA",OR(TRIM(AA401)="",TRIM(AB401)&lt;&gt;"Closed")),"INVALID – corrective action not recorded/closed",""),IF(AND(AS401=1,Documents!$J$16&lt;&gt;"ON FILE"),"INVALID – GLD not on file (Documents sheet)",IF(AND(AS401=2,Documents!$O$16&lt;&gt;"ON FILE"),"INVALID – menu checklist not on file (Documents sheet)",IF(AND(AS401=3,NOT(ISNUMBER(Flights!$AX$16))),"INVALID – enter carrying flight KUL departure (Flights AX)",IF(AND(AS401=3,OR(Flights!$AX$16&gt;=Flights!$AA$16,Flights!$AX$16&lt;Flights!$AA$16-3)),"INVALID – Flights AX must be before this leg's STD (within 3 days)",IF(AG401&gt;AsOfUTC,"INVALID – completion time is in the future",IF(AND(ISNUMBER(S401),AG401&lt;S401),IF(H401="Physical uplift","INVALID – before uplift window (cannot confirm loading)","INVALID – before valid window"),IF(AG401&gt;Flights!$AA$16,"INVALID – completed after departure (cannot establish readiness)",IF(AND(H401="Physical uplift",AG401&gt;Q401),"INVALID – recorded after the loading flight departed",IF(AG401&gt;Q401,"COMPLETE – LATE","COMPLETE")))))))))))))))))),IF(TRIM(U401)="Fail","FAIL – DISCREPANCY",IF(AND(TRIM(U401)&lt;&gt;"",TRIM(U401)&lt;&gt;"Not started",TRIM(U401)&lt;&gt;"In progress"),"INVALID – unrecognised status (use the list)",IF(AsOfUTC&gt;Q401,"OVERDUE",IF(N401="Clarification required","OPEN – CLARIFICATION","OPEN")))))))</f>
        <v>OPEN</v>
      </c>
      <c r="AI401" s="61" t="n">
        <f aca="false">IF(OR(AH401="N/A – RULE",AH401="N/A – JUSTIFIED"),0,1)</f>
        <v>1</v>
      </c>
      <c r="AJ401" s="61" t="n">
        <f aca="false">IF(LEFT(AH401,8)="COMPLETE",1,0)</f>
        <v>0</v>
      </c>
      <c r="AK401" s="61" t="n">
        <f aca="false">IF(AND(AI401=1,AJ401=0,AsOfUTC&gt;Q401),1,0)</f>
        <v>0</v>
      </c>
      <c r="AL401" s="61" t="n">
        <f aca="false">IF(AND(AI401=1,OR(TRIM(U401)="Fail",AND(TRIM(AB401)&lt;&gt;"",TRIM(AB401)&lt;&gt;"Closed"),AND(ISNUMBER(AF401),AF401&lt;&gt;0,TRIM(U401)&lt;&gt;"Pass after CA"))),1,0)</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8" t="b">
        <f aca="false">TRUE()</f>
        <v>1</v>
      </c>
    </row>
    <row r="402" customFormat="false" ht="41.25" hidden="false" customHeight="true" outlineLevel="0" collapsed="false">
      <c r="A402" s="57" t="s">
        <v>988</v>
      </c>
      <c r="B402" s="57" t="s">
        <v>253</v>
      </c>
      <c r="C402" s="57" t="str">
        <f aca="false">Flights!$F$16</f>
        <v>MH0139</v>
      </c>
      <c r="D402" s="58" t="n">
        <f aca="false">Flights!$D$16</f>
        <v>46307</v>
      </c>
      <c r="E402" s="57" t="str">
        <f aca="false">Flights!$G$16&amp;"-"&amp;Flights!$H$16</f>
        <v>KUL-ADL</v>
      </c>
      <c r="F402" s="57" t="str">
        <f aca="false">Flights!$K$16</f>
        <v>BC</v>
      </c>
      <c r="G402" s="57" t="s">
        <v>385</v>
      </c>
      <c r="H402" s="57" t="s">
        <v>343</v>
      </c>
      <c r="I402" s="57" t="s">
        <v>464</v>
      </c>
      <c r="J402" s="57" t="s">
        <v>476</v>
      </c>
      <c r="K402" s="67" t="s">
        <v>466</v>
      </c>
      <c r="L402" s="67" t="s">
        <v>989</v>
      </c>
      <c r="M402" s="67" t="s">
        <v>416</v>
      </c>
      <c r="N402" s="67" t="s">
        <v>348</v>
      </c>
      <c r="O402" s="67" t="s">
        <v>468</v>
      </c>
      <c r="P402" s="57" t="s">
        <v>179</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59" t="n">
        <f aca="false">Q402-T12EarlyH/24</f>
        <v>46306.6006944444</v>
      </c>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IF(N402="N/A – rule","N/A – RULE",IF(TRIM(U402)="N/A",IF(AT402=0,"INVALID – N/A not permitted for this mandatory check",IF(AND(TRIM(AC402)&lt;&gt;"",TRIM(AE402)&lt;&gt;"",TRIM(T402)&lt;&gt;"",TRIM(AE402)&lt;&gt;TRIM(T402)),"N/A – JUSTIFIED","INVALID – N/A needs justification, PIC and a different verifier")),IF(OR(TRIM(U402)="Pass",TRIM(U402)="Pass after CA"),IF(NOT(ISNUMBER(AD402)),"INVALID – completion time missing",IF(TRIM(T402)="","INVALID – PIC missing",IF(TRIM(V402)="","INVALID – result / assessment missing",IF(TRIM(Z402)="","INVALID – evidence missing",IF(TRIM(AE402)="","INVALID – verifier missing",IF(TRIM(AE402)=TRIM(T402),"INVALID – verifier must be someone other than the PIC",IF(AND(AQ402=1,TRIM(W402)=""),"INVALID – batch ID missing",IF(AND(AR402=1,OR(NOT(ISNUMBER(X402)),NOT(ISNUMBER(Y402)))),"INVALID – expected/actual qty missing",IF(IF(AND(TRIM(U402)="Pass",ISNUMBER(AF402)),IF(AF402&lt;&gt;0,"INVALID – qty variance: use Fail or Pass after CA",""),"")&amp;IF(AND(TRIM(U402)="Pass",TRIM(AB402)&lt;&gt;"",TRIM(AB402)&lt;&gt;"Closed"),"INVALID – corrective action not closed: use Fail, then Pass after CA","")&amp;IF(AND(TRIM(AA402)&lt;&gt;"",TRIM(AB402)=""),"INVALID – CA status missing for the recorded corrective action","")&amp;IF(AND(TRIM(U402)="Pass after CA",OR(TRIM(AA402)="",TRIM(AB402)&lt;&gt;"Closed")),"INVALID – corrective action not recorded/closed","")&lt;&gt;"",IF(AND(TRIM(U402)="Pass",ISNUMBER(AF402)),IF(AF402&lt;&gt;0,"INVALID – qty variance: use Fail or Pass after CA",""),"")&amp;IF(AND(TRIM(U402)="Pass",TRIM(AB402)&lt;&gt;"",TRIM(AB402)&lt;&gt;"Closed"),"INVALID – corrective action not closed: use Fail, then Pass after CA","")&amp;IF(AND(TRIM(AA402)&lt;&gt;"",TRIM(AB402)=""),"INVALID – CA status missing for the recorded corrective action","")&amp;IF(AND(TRIM(U402)="Pass after CA",OR(TRIM(AA402)="",TRIM(AB402)&lt;&gt;"Closed")),"INVALID – corrective action not recorded/closed",""),IF(AND(AS402=1,Documents!$J$16&lt;&gt;"ON FILE"),"INVALID – GLD not on file (Documents sheet)",IF(AND(AS402=2,Documents!$O$16&lt;&gt;"ON FILE"),"INVALID – menu checklist not on file (Documents sheet)",IF(AND(AS402=3,NOT(ISNUMBER(Flights!$AX$16))),"INVALID – enter carrying flight KUL departure (Flights AX)",IF(AND(AS402=3,OR(Flights!$AX$16&gt;=Flights!$AA$16,Flights!$AX$16&lt;Flights!$AA$16-3)),"INVALID – Flights AX must be before this leg's STD (within 3 days)",IF(AG402&gt;AsOfUTC,"INVALID – completion time is in the future",IF(AND(ISNUMBER(S402),AG402&lt;S402),IF(H402="Physical uplift","INVALID – before uplift window (cannot confirm loading)","INVALID – before valid window"),IF(AG402&gt;Flights!$AA$16,"INVALID – completed after departure (cannot establish readiness)",IF(AND(H402="Physical uplift",AG402&gt;Q402),"INVALID – recorded after the loading flight departed",IF(AG402&gt;Q402,"COMPLETE – LATE","COMPLETE")))))))))))))))))),IF(TRIM(U402)="Fail","FAIL – DISCREPANCY",IF(AND(TRIM(U402)&lt;&gt;"",TRIM(U402)&lt;&gt;"Not started",TRIM(U402)&lt;&gt;"In progress"),"INVALID – unrecognised status (use the list)",IF(AsOfUTC&gt;Q402,"OVERDUE",IF(N402="Clarification required","OPEN – CLARIFICATION","OPEN")))))))</f>
        <v>OPEN</v>
      </c>
      <c r="AI402" s="61" t="n">
        <f aca="false">IF(OR(AH402="N/A – RULE",AH402="N/A – JUSTIFIED"),0,1)</f>
        <v>1</v>
      </c>
      <c r="AJ402" s="61" t="n">
        <f aca="false">IF(LEFT(AH402,8)="COMPLETE",1,0)</f>
        <v>0</v>
      </c>
      <c r="AK402" s="61" t="n">
        <f aca="false">IF(AND(AI402=1,AJ402=0,AsOfUTC&gt;Q402),1,0)</f>
        <v>0</v>
      </c>
      <c r="AL402" s="61" t="n">
        <f aca="false">IF(AND(AI402=1,OR(TRIM(U402)="Fail",AND(TRIM(AB402)&lt;&gt;"",TRIM(AB402)&lt;&gt;"Closed"),AND(ISNUMBER(AF402),AF402&lt;&gt;0,TRIM(U402)&lt;&gt;"Pass after CA"))),1,0)</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8" t="b">
        <f aca="false">TRUE()</f>
        <v>1</v>
      </c>
    </row>
    <row r="403" customFormat="false" ht="41.25" hidden="false" customHeight="true" outlineLevel="0" collapsed="false">
      <c r="A403" s="57" t="s">
        <v>990</v>
      </c>
      <c r="B403" s="57" t="s">
        <v>253</v>
      </c>
      <c r="C403" s="57" t="str">
        <f aca="false">Flights!$F$16</f>
        <v>MH0139</v>
      </c>
      <c r="D403" s="58" t="n">
        <f aca="false">Flights!$D$16</f>
        <v>46307</v>
      </c>
      <c r="E403" s="57" t="str">
        <f aca="false">Flights!$G$16&amp;"-"&amp;Flights!$H$16</f>
        <v>KUL-ADL</v>
      </c>
      <c r="F403" s="57" t="str">
        <f aca="false">Flights!$K$16</f>
        <v>BC</v>
      </c>
      <c r="G403" s="57" t="s">
        <v>385</v>
      </c>
      <c r="H403" s="57" t="s">
        <v>343</v>
      </c>
      <c r="I403" s="57" t="s">
        <v>464</v>
      </c>
      <c r="J403" s="57" t="s">
        <v>480</v>
      </c>
      <c r="K403" s="67" t="s">
        <v>466</v>
      </c>
      <c r="L403" s="67" t="s">
        <v>991</v>
      </c>
      <c r="M403" s="67" t="s">
        <v>416</v>
      </c>
      <c r="N403" s="67" t="s">
        <v>348</v>
      </c>
      <c r="O403" s="67" t="s">
        <v>468</v>
      </c>
      <c r="P403" s="57" t="s">
        <v>179</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59" t="n">
        <f aca="false">Q403-T12EarlyH/24</f>
        <v>46306.6006944444</v>
      </c>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IF(N403="N/A – rule","N/A – RULE",IF(TRIM(U403)="N/A",IF(AT403=0,"INVALID – N/A not permitted for this mandatory check",IF(AND(TRIM(AC403)&lt;&gt;"",TRIM(AE403)&lt;&gt;"",TRIM(T403)&lt;&gt;"",TRIM(AE403)&lt;&gt;TRIM(T403)),"N/A – JUSTIFIED","INVALID – N/A needs justification, PIC and a different verifier")),IF(OR(TRIM(U403)="Pass",TRIM(U403)="Pass after CA"),IF(NOT(ISNUMBER(AD403)),"INVALID – completion time missing",IF(TRIM(T403)="","INVALID – PIC missing",IF(TRIM(V403)="","INVALID – result / assessment missing",IF(TRIM(Z403)="","INVALID – evidence missing",IF(TRIM(AE403)="","INVALID – verifier missing",IF(TRIM(AE403)=TRIM(T403),"INVALID – verifier must be someone other than the PIC",IF(AND(AQ403=1,TRIM(W403)=""),"INVALID – batch ID missing",IF(AND(AR403=1,OR(NOT(ISNUMBER(X403)),NOT(ISNUMBER(Y403)))),"INVALID – expected/actual qty missing",IF(IF(AND(TRIM(U403)="Pass",ISNUMBER(AF403)),IF(AF403&lt;&gt;0,"INVALID – qty variance: use Fail or Pass after CA",""),"")&amp;IF(AND(TRIM(U403)="Pass",TRIM(AB403)&lt;&gt;"",TRIM(AB403)&lt;&gt;"Closed"),"INVALID – corrective action not closed: use Fail, then Pass after CA","")&amp;IF(AND(TRIM(AA403)&lt;&gt;"",TRIM(AB403)=""),"INVALID – CA status missing for the recorded corrective action","")&amp;IF(AND(TRIM(U403)="Pass after CA",OR(TRIM(AA403)="",TRIM(AB403)&lt;&gt;"Closed")),"INVALID – corrective action not recorded/closed","")&lt;&gt;"",IF(AND(TRIM(U403)="Pass",ISNUMBER(AF403)),IF(AF403&lt;&gt;0,"INVALID – qty variance: use Fail or Pass after CA",""),"")&amp;IF(AND(TRIM(U403)="Pass",TRIM(AB403)&lt;&gt;"",TRIM(AB403)&lt;&gt;"Closed"),"INVALID – corrective action not closed: use Fail, then Pass after CA","")&amp;IF(AND(TRIM(AA403)&lt;&gt;"",TRIM(AB403)=""),"INVALID – CA status missing for the recorded corrective action","")&amp;IF(AND(TRIM(U403)="Pass after CA",OR(TRIM(AA403)="",TRIM(AB403)&lt;&gt;"Closed")),"INVALID – corrective action not recorded/closed",""),IF(AND(AS403=1,Documents!$J$16&lt;&gt;"ON FILE"),"INVALID – GLD not on file (Documents sheet)",IF(AND(AS403=2,Documents!$O$16&lt;&gt;"ON FILE"),"INVALID – menu checklist not on file (Documents sheet)",IF(AND(AS403=3,NOT(ISNUMBER(Flights!$AX$16))),"INVALID – enter carrying flight KUL departure (Flights AX)",IF(AND(AS403=3,OR(Flights!$AX$16&gt;=Flights!$AA$16,Flights!$AX$16&lt;Flights!$AA$16-3)),"INVALID – Flights AX must be before this leg's STD (within 3 days)",IF(AG403&gt;AsOfUTC,"INVALID – completion time is in the future",IF(AND(ISNUMBER(S403),AG403&lt;S403),IF(H403="Physical uplift","INVALID – before uplift window (cannot confirm loading)","INVALID – before valid window"),IF(AG403&gt;Flights!$AA$16,"INVALID – completed after departure (cannot establish readiness)",IF(AND(H403="Physical uplift",AG403&gt;Q403),"INVALID – recorded after the loading flight departed",IF(AG403&gt;Q403,"COMPLETE – LATE","COMPLETE")))))))))))))))))),IF(TRIM(U403)="Fail","FAIL – DISCREPANCY",IF(AND(TRIM(U403)&lt;&gt;"",TRIM(U403)&lt;&gt;"Not started",TRIM(U403)&lt;&gt;"In progress"),"INVALID – unrecognised status (use the list)",IF(AsOfUTC&gt;Q403,"OVERDUE",IF(N403="Clarification required","OPEN – CLARIFICATION","OPEN")))))))</f>
        <v>OPEN</v>
      </c>
      <c r="AI403" s="61" t="n">
        <f aca="false">IF(OR(AH403="N/A – RULE",AH403="N/A – JUSTIFIED"),0,1)</f>
        <v>1</v>
      </c>
      <c r="AJ403" s="61" t="n">
        <f aca="false">IF(LEFT(AH403,8)="COMPLETE",1,0)</f>
        <v>0</v>
      </c>
      <c r="AK403" s="61" t="n">
        <f aca="false">IF(AND(AI403=1,AJ403=0,AsOfUTC&gt;Q403),1,0)</f>
        <v>0</v>
      </c>
      <c r="AL403" s="61" t="n">
        <f aca="false">IF(AND(AI403=1,OR(TRIM(U403)="Fail",AND(TRIM(AB403)&lt;&gt;"",TRIM(AB403)&lt;&gt;"Closed"),AND(ISNUMBER(AF403),AF403&lt;&gt;0,TRIM(U403)&lt;&gt;"Pass after CA"))),1,0)</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8" t="b">
        <f aca="false">TRUE()</f>
        <v>1</v>
      </c>
    </row>
    <row r="404" customFormat="false" ht="54" hidden="false" customHeight="true" outlineLevel="0" collapsed="false">
      <c r="A404" s="57" t="s">
        <v>992</v>
      </c>
      <c r="B404" s="57" t="s">
        <v>253</v>
      </c>
      <c r="C404" s="57" t="str">
        <f aca="false">Flights!$F$16</f>
        <v>MH0139</v>
      </c>
      <c r="D404" s="58" t="n">
        <f aca="false">Flights!$D$16</f>
        <v>46307</v>
      </c>
      <c r="E404" s="57" t="str">
        <f aca="false">Flights!$G$16&amp;"-"&amp;Flights!$H$16</f>
        <v>KUL-ADL</v>
      </c>
      <c r="F404" s="57" t="str">
        <f aca="false">Flights!$K$16</f>
        <v>BC</v>
      </c>
      <c r="G404" s="57" t="s">
        <v>385</v>
      </c>
      <c r="H404" s="57" t="s">
        <v>343</v>
      </c>
      <c r="I404" s="57" t="s">
        <v>464</v>
      </c>
      <c r="J404" s="57" t="s">
        <v>483</v>
      </c>
      <c r="K404" s="67" t="s">
        <v>581</v>
      </c>
      <c r="L404" s="67" t="s">
        <v>993</v>
      </c>
      <c r="M404" s="67" t="s">
        <v>416</v>
      </c>
      <c r="N404" s="67" t="s">
        <v>348</v>
      </c>
      <c r="O404" s="67" t="s">
        <v>486</v>
      </c>
      <c r="P404" s="57" t="s">
        <v>179</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59" t="n">
        <f aca="false">Q404-T12EarlyH/24</f>
        <v>46306.6006944444</v>
      </c>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IF(N404="N/A – rule","N/A – RULE",IF(TRIM(U404)="N/A",IF(AT404=0,"INVALID – N/A not permitted for this mandatory check",IF(AND(TRIM(AC404)&lt;&gt;"",TRIM(AE404)&lt;&gt;"",TRIM(T404)&lt;&gt;"",TRIM(AE404)&lt;&gt;TRIM(T404)),"N/A – JUSTIFIED","INVALID – N/A needs justification, PIC and a different verifier")),IF(OR(TRIM(U404)="Pass",TRIM(U404)="Pass after CA"),IF(NOT(ISNUMBER(AD404)),"INVALID – completion time missing",IF(TRIM(T404)="","INVALID – PIC missing",IF(TRIM(V404)="","INVALID – result / assessment missing",IF(TRIM(Z404)="","INVALID – evidence missing",IF(TRIM(AE404)="","INVALID – verifier missing",IF(TRIM(AE404)=TRIM(T404),"INVALID – verifier must be someone other than the PIC",IF(AND(AQ404=1,TRIM(W404)=""),"INVALID – batch ID missing",IF(AND(AR404=1,OR(NOT(ISNUMBER(X404)),NOT(ISNUMBER(Y404)))),"INVALID – expected/actual qty missing",IF(IF(AND(TRIM(U404)="Pass",ISNUMBER(AF404)),IF(AF404&lt;&gt;0,"INVALID – qty variance: use Fail or Pass after CA",""),"")&amp;IF(AND(TRIM(U404)="Pass",TRIM(AB404)&lt;&gt;"",TRIM(AB404)&lt;&gt;"Closed"),"INVALID – corrective action not closed: use Fail, then Pass after CA","")&amp;IF(AND(TRIM(AA404)&lt;&gt;"",TRIM(AB404)=""),"INVALID – CA status missing for the recorded corrective action","")&amp;IF(AND(TRIM(U404)="Pass after CA",OR(TRIM(AA404)="",TRIM(AB404)&lt;&gt;"Closed")),"INVALID – corrective action not recorded/closed","")&lt;&gt;"",IF(AND(TRIM(U404)="Pass",ISNUMBER(AF404)),IF(AF404&lt;&gt;0,"INVALID – qty variance: use Fail or Pass after CA",""),"")&amp;IF(AND(TRIM(U404)="Pass",TRIM(AB404)&lt;&gt;"",TRIM(AB404)&lt;&gt;"Closed"),"INVALID – corrective action not closed: use Fail, then Pass after CA","")&amp;IF(AND(TRIM(AA404)&lt;&gt;"",TRIM(AB404)=""),"INVALID – CA status missing for the recorded corrective action","")&amp;IF(AND(TRIM(U404)="Pass after CA",OR(TRIM(AA404)="",TRIM(AB404)&lt;&gt;"Closed")),"INVALID – corrective action not recorded/closed",""),IF(AND(AS404=1,Documents!$J$16&lt;&gt;"ON FILE"),"INVALID – GLD not on file (Documents sheet)",IF(AND(AS404=2,Documents!$O$16&lt;&gt;"ON FILE"),"INVALID – menu checklist not on file (Documents sheet)",IF(AND(AS404=3,NOT(ISNUMBER(Flights!$AX$16))),"INVALID – enter carrying flight KUL departure (Flights AX)",IF(AND(AS404=3,OR(Flights!$AX$16&gt;=Flights!$AA$16,Flights!$AX$16&lt;Flights!$AA$16-3)),"INVALID – Flights AX must be before this leg's STD (within 3 days)",IF(AG404&gt;AsOfUTC,"INVALID – completion time is in the future",IF(AND(ISNUMBER(S404),AG404&lt;S404),IF(H404="Physical uplift","INVALID – before uplift window (cannot confirm loading)","INVALID – before valid window"),IF(AG404&gt;Flights!$AA$16,"INVALID – completed after departure (cannot establish readiness)",IF(AND(H404="Physical uplift",AG404&gt;Q404),"INVALID – recorded after the loading flight departed",IF(AG404&gt;Q404,"COMPLETE – LATE","COMPLETE")))))))))))))))))),IF(TRIM(U404)="Fail","FAIL – DISCREPANCY",IF(AND(TRIM(U404)&lt;&gt;"",TRIM(U404)&lt;&gt;"Not started",TRIM(U404)&lt;&gt;"In progress"),"INVALID – unrecognised status (use the list)",IF(AsOfUTC&gt;Q404,"OVERDUE",IF(N404="Clarification required","OPEN – CLARIFICATION","OPEN")))))))</f>
        <v>OPEN</v>
      </c>
      <c r="AI404" s="61" t="n">
        <f aca="false">IF(OR(AH404="N/A – RULE",AH404="N/A – JUSTIFIED"),0,1)</f>
        <v>1</v>
      </c>
      <c r="AJ404" s="61" t="n">
        <f aca="false">IF(LEFT(AH404,8)="COMPLETE",1,0)</f>
        <v>0</v>
      </c>
      <c r="AK404" s="61" t="n">
        <f aca="false">IF(AND(AI404=1,AJ404=0,AsOfUTC&gt;Q404),1,0)</f>
        <v>0</v>
      </c>
      <c r="AL404" s="61" t="n">
        <f aca="false">IF(AND(AI404=1,OR(TRIM(U404)="Fail",AND(TRIM(AB404)&lt;&gt;"",TRIM(AB404)&lt;&gt;"Closed"),AND(ISNUMBER(AF404),AF404&lt;&gt;0,TRIM(U404)&lt;&gt;"Pass after CA"))),1,0)</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8" t="b">
        <f aca="false">TRUE()</f>
        <v>1</v>
      </c>
    </row>
    <row r="405" customFormat="false" ht="41.25" hidden="false" customHeight="true" outlineLevel="0" collapsed="false">
      <c r="A405" s="57" t="s">
        <v>994</v>
      </c>
      <c r="B405" s="57" t="s">
        <v>253</v>
      </c>
      <c r="C405" s="57" t="str">
        <f aca="false">Flights!$F$16</f>
        <v>MH0139</v>
      </c>
      <c r="D405" s="58" t="n">
        <f aca="false">Flights!$D$16</f>
        <v>46307</v>
      </c>
      <c r="E405" s="57" t="str">
        <f aca="false">Flights!$G$16&amp;"-"&amp;Flights!$H$16</f>
        <v>KUL-ADL</v>
      </c>
      <c r="F405" s="57" t="str">
        <f aca="false">Flights!$K$16</f>
        <v>BC</v>
      </c>
      <c r="G405" s="57" t="s">
        <v>385</v>
      </c>
      <c r="H405" s="57" t="s">
        <v>343</v>
      </c>
      <c r="I405" s="57" t="s">
        <v>464</v>
      </c>
      <c r="J405" s="57" t="s">
        <v>488</v>
      </c>
      <c r="K405" s="67" t="s">
        <v>466</v>
      </c>
      <c r="L405" s="67" t="s">
        <v>995</v>
      </c>
      <c r="M405" s="67" t="s">
        <v>416</v>
      </c>
      <c r="N405" s="67" t="s">
        <v>348</v>
      </c>
      <c r="O405" s="67" t="s">
        <v>468</v>
      </c>
      <c r="P405" s="57" t="s">
        <v>179</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59" t="n">
        <f aca="false">Q405-T12EarlyH/24</f>
        <v>46306.6006944444</v>
      </c>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IF(N405="N/A – rule","N/A – RULE",IF(TRIM(U405)="N/A",IF(AT405=0,"INVALID – N/A not permitted for this mandatory check",IF(AND(TRIM(AC405)&lt;&gt;"",TRIM(AE405)&lt;&gt;"",TRIM(T405)&lt;&gt;"",TRIM(AE405)&lt;&gt;TRIM(T405)),"N/A – JUSTIFIED","INVALID – N/A needs justification, PIC and a different verifier")),IF(OR(TRIM(U405)="Pass",TRIM(U405)="Pass after CA"),IF(NOT(ISNUMBER(AD405)),"INVALID – completion time missing",IF(TRIM(T405)="","INVALID – PIC missing",IF(TRIM(V405)="","INVALID – result / assessment missing",IF(TRIM(Z405)="","INVALID – evidence missing",IF(TRIM(AE405)="","INVALID – verifier missing",IF(TRIM(AE405)=TRIM(T405),"INVALID – verifier must be someone other than the PIC",IF(AND(AQ405=1,TRIM(W405)=""),"INVALID – batch ID missing",IF(AND(AR405=1,OR(NOT(ISNUMBER(X405)),NOT(ISNUMBER(Y405)))),"INVALID – expected/actual qty missing",IF(IF(AND(TRIM(U405)="Pass",ISNUMBER(AF405)),IF(AF405&lt;&gt;0,"INVALID – qty variance: use Fail or Pass after CA",""),"")&amp;IF(AND(TRIM(U405)="Pass",TRIM(AB405)&lt;&gt;"",TRIM(AB405)&lt;&gt;"Closed"),"INVALID – corrective action not closed: use Fail, then Pass after CA","")&amp;IF(AND(TRIM(AA405)&lt;&gt;"",TRIM(AB405)=""),"INVALID – CA status missing for the recorded corrective action","")&amp;IF(AND(TRIM(U405)="Pass after CA",OR(TRIM(AA405)="",TRIM(AB405)&lt;&gt;"Closed")),"INVALID – corrective action not recorded/closed","")&lt;&gt;"",IF(AND(TRIM(U405)="Pass",ISNUMBER(AF405)),IF(AF405&lt;&gt;0,"INVALID – qty variance: use Fail or Pass after CA",""),"")&amp;IF(AND(TRIM(U405)="Pass",TRIM(AB405)&lt;&gt;"",TRIM(AB405)&lt;&gt;"Closed"),"INVALID – corrective action not closed: use Fail, then Pass after CA","")&amp;IF(AND(TRIM(AA405)&lt;&gt;"",TRIM(AB405)=""),"INVALID – CA status missing for the recorded corrective action","")&amp;IF(AND(TRIM(U405)="Pass after CA",OR(TRIM(AA405)="",TRIM(AB405)&lt;&gt;"Closed")),"INVALID – corrective action not recorded/closed",""),IF(AND(AS405=1,Documents!$J$16&lt;&gt;"ON FILE"),"INVALID – GLD not on file (Documents sheet)",IF(AND(AS405=2,Documents!$O$16&lt;&gt;"ON FILE"),"INVALID – menu checklist not on file (Documents sheet)",IF(AND(AS405=3,NOT(ISNUMBER(Flights!$AX$16))),"INVALID – enter carrying flight KUL departure (Flights AX)",IF(AND(AS405=3,OR(Flights!$AX$16&gt;=Flights!$AA$16,Flights!$AX$16&lt;Flights!$AA$16-3)),"INVALID – Flights AX must be before this leg's STD (within 3 days)",IF(AG405&gt;AsOfUTC,"INVALID – completion time is in the future",IF(AND(ISNUMBER(S405),AG405&lt;S405),IF(H405="Physical uplift","INVALID – before uplift window (cannot confirm loading)","INVALID – before valid window"),IF(AG405&gt;Flights!$AA$16,"INVALID – completed after departure (cannot establish readiness)",IF(AND(H405="Physical uplift",AG405&gt;Q405),"INVALID – recorded after the loading flight departed",IF(AG405&gt;Q405,"COMPLETE – LATE","COMPLETE")))))))))))))))))),IF(TRIM(U405)="Fail","FAIL – DISCREPANCY",IF(AND(TRIM(U405)&lt;&gt;"",TRIM(U405)&lt;&gt;"Not started",TRIM(U405)&lt;&gt;"In progress"),"INVALID – unrecognised status (use the list)",IF(AsOfUTC&gt;Q405,"OVERDUE",IF(N405="Clarification required","OPEN – CLARIFICATION","OPEN")))))))</f>
        <v>OPEN</v>
      </c>
      <c r="AI405" s="61" t="n">
        <f aca="false">IF(OR(AH405="N/A – RULE",AH405="N/A – JUSTIFIED"),0,1)</f>
        <v>1</v>
      </c>
      <c r="AJ405" s="61" t="n">
        <f aca="false">IF(LEFT(AH405,8)="COMPLETE",1,0)</f>
        <v>0</v>
      </c>
      <c r="AK405" s="61" t="n">
        <f aca="false">IF(AND(AI405=1,AJ405=0,AsOfUTC&gt;Q405),1,0)</f>
        <v>0</v>
      </c>
      <c r="AL405" s="61" t="n">
        <f aca="false">IF(AND(AI405=1,OR(TRIM(U405)="Fail",AND(TRIM(AB405)&lt;&gt;"",TRIM(AB405)&lt;&gt;"Closed"),AND(ISNUMBER(AF405),AF405&lt;&gt;0,TRIM(U405)&lt;&gt;"Pass after CA"))),1,0)</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8" t="b">
        <f aca="false">TRUE()</f>
        <v>1</v>
      </c>
    </row>
    <row r="406" customFormat="false" ht="41.25" hidden="false" customHeight="true" outlineLevel="0" collapsed="false">
      <c r="A406" s="57" t="s">
        <v>996</v>
      </c>
      <c r="B406" s="57" t="s">
        <v>253</v>
      </c>
      <c r="C406" s="57" t="str">
        <f aca="false">Flights!$F$16</f>
        <v>MH0139</v>
      </c>
      <c r="D406" s="58" t="n">
        <f aca="false">Flights!$D$16</f>
        <v>46307</v>
      </c>
      <c r="E406" s="57" t="str">
        <f aca="false">Flights!$G$16&amp;"-"&amp;Flights!$H$16</f>
        <v>KUL-ADL</v>
      </c>
      <c r="F406" s="57" t="str">
        <f aca="false">Flights!$K$16</f>
        <v>BC</v>
      </c>
      <c r="G406" s="57" t="s">
        <v>385</v>
      </c>
      <c r="H406" s="57" t="s">
        <v>343</v>
      </c>
      <c r="I406" s="57" t="s">
        <v>412</v>
      </c>
      <c r="J406" s="57" t="s">
        <v>491</v>
      </c>
      <c r="K406" s="67" t="s">
        <v>414</v>
      </c>
      <c r="L406" s="67" t="s">
        <v>997</v>
      </c>
      <c r="M406" s="67" t="s">
        <v>416</v>
      </c>
      <c r="N406" s="67" t="s">
        <v>348</v>
      </c>
      <c r="O406" s="67" t="s">
        <v>468</v>
      </c>
      <c r="P406" s="57" t="s">
        <v>179</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59" t="n">
        <f aca="false">Q406-T12EarlyH/24</f>
        <v>46306.6006944444</v>
      </c>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IF(N406="N/A – rule","N/A – RULE",IF(TRIM(U406)="N/A",IF(AT406=0,"INVALID – N/A not permitted for this mandatory check",IF(AND(TRIM(AC406)&lt;&gt;"",TRIM(AE406)&lt;&gt;"",TRIM(T406)&lt;&gt;"",TRIM(AE406)&lt;&gt;TRIM(T406)),"N/A – JUSTIFIED","INVALID – N/A needs justification, PIC and a different verifier")),IF(OR(TRIM(U406)="Pass",TRIM(U406)="Pass after CA"),IF(NOT(ISNUMBER(AD406)),"INVALID – completion time missing",IF(TRIM(T406)="","INVALID – PIC missing",IF(TRIM(V406)="","INVALID – result / assessment missing",IF(TRIM(Z406)="","INVALID – evidence missing",IF(TRIM(AE406)="","INVALID – verifier missing",IF(TRIM(AE406)=TRIM(T406),"INVALID – verifier must be someone other than the PIC",IF(AND(AQ406=1,TRIM(W406)=""),"INVALID – batch ID missing",IF(AND(AR406=1,OR(NOT(ISNUMBER(X406)),NOT(ISNUMBER(Y406)))),"INVALID – expected/actual qty missing",IF(IF(AND(TRIM(U406)="Pass",ISNUMBER(AF406)),IF(AF406&lt;&gt;0,"INVALID – qty variance: use Fail or Pass after CA",""),"")&amp;IF(AND(TRIM(U406)="Pass",TRIM(AB406)&lt;&gt;"",TRIM(AB406)&lt;&gt;"Closed"),"INVALID – corrective action not closed: use Fail, then Pass after CA","")&amp;IF(AND(TRIM(AA406)&lt;&gt;"",TRIM(AB406)=""),"INVALID – CA status missing for the recorded corrective action","")&amp;IF(AND(TRIM(U406)="Pass after CA",OR(TRIM(AA406)="",TRIM(AB406)&lt;&gt;"Closed")),"INVALID – corrective action not recorded/closed","")&lt;&gt;"",IF(AND(TRIM(U406)="Pass",ISNUMBER(AF406)),IF(AF406&lt;&gt;0,"INVALID – qty variance: use Fail or Pass after CA",""),"")&amp;IF(AND(TRIM(U406)="Pass",TRIM(AB406)&lt;&gt;"",TRIM(AB406)&lt;&gt;"Closed"),"INVALID – corrective action not closed: use Fail, then Pass after CA","")&amp;IF(AND(TRIM(AA406)&lt;&gt;"",TRIM(AB406)=""),"INVALID – CA status missing for the recorded corrective action","")&amp;IF(AND(TRIM(U406)="Pass after CA",OR(TRIM(AA406)="",TRIM(AB406)&lt;&gt;"Closed")),"INVALID – corrective action not recorded/closed",""),IF(AND(AS406=1,Documents!$J$16&lt;&gt;"ON FILE"),"INVALID – GLD not on file (Documents sheet)",IF(AND(AS406=2,Documents!$O$16&lt;&gt;"ON FILE"),"INVALID – menu checklist not on file (Documents sheet)",IF(AND(AS406=3,NOT(ISNUMBER(Flights!$AX$16))),"INVALID – enter carrying flight KUL departure (Flights AX)",IF(AND(AS406=3,OR(Flights!$AX$16&gt;=Flights!$AA$16,Flights!$AX$16&lt;Flights!$AA$16-3)),"INVALID – Flights AX must be before this leg's STD (within 3 days)",IF(AG406&gt;AsOfUTC,"INVALID – completion time is in the future",IF(AND(ISNUMBER(S406),AG406&lt;S406),IF(H406="Physical uplift","INVALID – before uplift window (cannot confirm loading)","INVALID – before valid window"),IF(AG406&gt;Flights!$AA$16,"INVALID – completed after departure (cannot establish readiness)",IF(AND(H406="Physical uplift",AG406&gt;Q406),"INVALID – recorded after the loading flight departed",IF(AG406&gt;Q406,"COMPLETE – LATE","COMPLETE")))))))))))))))))),IF(TRIM(U406)="Fail","FAIL – DISCREPANCY",IF(AND(TRIM(U406)&lt;&gt;"",TRIM(U406)&lt;&gt;"Not started",TRIM(U406)&lt;&gt;"In progress"),"INVALID – unrecognised status (use the list)",IF(AsOfUTC&gt;Q406,"OVERDUE",IF(N406="Clarification required","OPEN – CLARIFICATION","OPEN")))))))</f>
        <v>OPEN</v>
      </c>
      <c r="AI406" s="61" t="n">
        <f aca="false">IF(OR(AH406="N/A – RULE",AH406="N/A – JUSTIFIED"),0,1)</f>
        <v>1</v>
      </c>
      <c r="AJ406" s="61" t="n">
        <f aca="false">IF(LEFT(AH406,8)="COMPLETE",1,0)</f>
        <v>0</v>
      </c>
      <c r="AK406" s="61" t="n">
        <f aca="false">IF(AND(AI406=1,AJ406=0,AsOfUTC&gt;Q406),1,0)</f>
        <v>0</v>
      </c>
      <c r="AL406" s="61" t="n">
        <f aca="false">IF(AND(AI406=1,OR(TRIM(U406)="Fail",AND(TRIM(AB406)&lt;&gt;"",TRIM(AB406)&lt;&gt;"Closed"),AND(ISNUMBER(AF406),AF406&lt;&gt;0,TRIM(U406)&lt;&gt;"Pass after CA"))),1,0)</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8" t="b">
        <f aca="false">TRUE()</f>
        <v>1</v>
      </c>
    </row>
    <row r="407" customFormat="false" ht="41.25" hidden="false" customHeight="true" outlineLevel="0" collapsed="false">
      <c r="A407" s="57" t="s">
        <v>998</v>
      </c>
      <c r="B407" s="57" t="s">
        <v>253</v>
      </c>
      <c r="C407" s="57" t="str">
        <f aca="false">Flights!$F$16</f>
        <v>MH0139</v>
      </c>
      <c r="D407" s="58" t="n">
        <f aca="false">Flights!$D$16</f>
        <v>46307</v>
      </c>
      <c r="E407" s="57" t="str">
        <f aca="false">Flights!$G$16&amp;"-"&amp;Flights!$H$16</f>
        <v>KUL-ADL</v>
      </c>
      <c r="F407" s="57" t="str">
        <f aca="false">Flights!$K$16</f>
        <v>BC</v>
      </c>
      <c r="G407" s="57" t="s">
        <v>385</v>
      </c>
      <c r="H407" s="57" t="s">
        <v>343</v>
      </c>
      <c r="I407" s="57" t="s">
        <v>412</v>
      </c>
      <c r="J407" s="57" t="s">
        <v>588</v>
      </c>
      <c r="K407" s="67" t="s">
        <v>414</v>
      </c>
      <c r="L407" s="67" t="s">
        <v>999</v>
      </c>
      <c r="M407" s="67" t="s">
        <v>416</v>
      </c>
      <c r="N407" s="67" t="s">
        <v>348</v>
      </c>
      <c r="O407" s="67" t="s">
        <v>468</v>
      </c>
      <c r="P407" s="57" t="s">
        <v>179</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59" t="n">
        <f aca="false">Q407-T12EarlyH/24</f>
        <v>46306.6006944444</v>
      </c>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IF(N407="N/A – rule","N/A – RULE",IF(TRIM(U407)="N/A",IF(AT407=0,"INVALID – N/A not permitted for this mandatory check",IF(AND(TRIM(AC407)&lt;&gt;"",TRIM(AE407)&lt;&gt;"",TRIM(T407)&lt;&gt;"",TRIM(AE407)&lt;&gt;TRIM(T407)),"N/A – JUSTIFIED","INVALID – N/A needs justification, PIC and a different verifier")),IF(OR(TRIM(U407)="Pass",TRIM(U407)="Pass after CA"),IF(NOT(ISNUMBER(AD407)),"INVALID – completion time missing",IF(TRIM(T407)="","INVALID – PIC missing",IF(TRIM(V407)="","INVALID – result / assessment missing",IF(TRIM(Z407)="","INVALID – evidence missing",IF(TRIM(AE407)="","INVALID – verifier missing",IF(TRIM(AE407)=TRIM(T407),"INVALID – verifier must be someone other than the PIC",IF(AND(AQ407=1,TRIM(W407)=""),"INVALID – batch ID missing",IF(AND(AR407=1,OR(NOT(ISNUMBER(X407)),NOT(ISNUMBER(Y407)))),"INVALID – expected/actual qty missing",IF(IF(AND(TRIM(U407)="Pass",ISNUMBER(AF407)),IF(AF407&lt;&gt;0,"INVALID – qty variance: use Fail or Pass after CA",""),"")&amp;IF(AND(TRIM(U407)="Pass",TRIM(AB407)&lt;&gt;"",TRIM(AB407)&lt;&gt;"Closed"),"INVALID – corrective action not closed: use Fail, then Pass after CA","")&amp;IF(AND(TRIM(AA407)&lt;&gt;"",TRIM(AB407)=""),"INVALID – CA status missing for the recorded corrective action","")&amp;IF(AND(TRIM(U407)="Pass after CA",OR(TRIM(AA407)="",TRIM(AB407)&lt;&gt;"Closed")),"INVALID – corrective action not recorded/closed","")&lt;&gt;"",IF(AND(TRIM(U407)="Pass",ISNUMBER(AF407)),IF(AF407&lt;&gt;0,"INVALID – qty variance: use Fail or Pass after CA",""),"")&amp;IF(AND(TRIM(U407)="Pass",TRIM(AB407)&lt;&gt;"",TRIM(AB407)&lt;&gt;"Closed"),"INVALID – corrective action not closed: use Fail, then Pass after CA","")&amp;IF(AND(TRIM(AA407)&lt;&gt;"",TRIM(AB407)=""),"INVALID – CA status missing for the recorded corrective action","")&amp;IF(AND(TRIM(U407)="Pass after CA",OR(TRIM(AA407)="",TRIM(AB407)&lt;&gt;"Closed")),"INVALID – corrective action not recorded/closed",""),IF(AND(AS407=1,Documents!$J$16&lt;&gt;"ON FILE"),"INVALID – GLD not on file (Documents sheet)",IF(AND(AS407=2,Documents!$O$16&lt;&gt;"ON FILE"),"INVALID – menu checklist not on file (Documents sheet)",IF(AND(AS407=3,NOT(ISNUMBER(Flights!$AX$16))),"INVALID – enter carrying flight KUL departure (Flights AX)",IF(AND(AS407=3,OR(Flights!$AX$16&gt;=Flights!$AA$16,Flights!$AX$16&lt;Flights!$AA$16-3)),"INVALID – Flights AX must be before this leg's STD (within 3 days)",IF(AG407&gt;AsOfUTC,"INVALID – completion time is in the future",IF(AND(ISNUMBER(S407),AG407&lt;S407),IF(H407="Physical uplift","INVALID – before uplift window (cannot confirm loading)","INVALID – before valid window"),IF(AG407&gt;Flights!$AA$16,"INVALID – completed after departure (cannot establish readiness)",IF(AND(H407="Physical uplift",AG407&gt;Q407),"INVALID – recorded after the loading flight departed",IF(AG407&gt;Q407,"COMPLETE – LATE","COMPLETE")))))))))))))))))),IF(TRIM(U407)="Fail","FAIL – DISCREPANCY",IF(AND(TRIM(U407)&lt;&gt;"",TRIM(U407)&lt;&gt;"Not started",TRIM(U407)&lt;&gt;"In progress"),"INVALID – unrecognised status (use the list)",IF(AsOfUTC&gt;Q407,"OVERDUE",IF(N407="Clarification required","OPEN – CLARIFICATION","OPEN")))))))</f>
        <v>OPEN</v>
      </c>
      <c r="AI407" s="61" t="n">
        <f aca="false">IF(OR(AH407="N/A – RULE",AH407="N/A – JUSTIFIED"),0,1)</f>
        <v>1</v>
      </c>
      <c r="AJ407" s="61" t="n">
        <f aca="false">IF(LEFT(AH407,8)="COMPLETE",1,0)</f>
        <v>0</v>
      </c>
      <c r="AK407" s="61" t="n">
        <f aca="false">IF(AND(AI407=1,AJ407=0,AsOfUTC&gt;Q407),1,0)</f>
        <v>0</v>
      </c>
      <c r="AL407" s="61" t="n">
        <f aca="false">IF(AND(AI407=1,OR(TRIM(U407)="Fail",AND(TRIM(AB407)&lt;&gt;"",TRIM(AB407)&lt;&gt;"Closed"),AND(ISNUMBER(AF407),AF407&lt;&gt;0,TRIM(U407)&lt;&gt;"Pass after CA"))),1,0)</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8" t="b">
        <f aca="false">TRUE()</f>
        <v>1</v>
      </c>
    </row>
    <row r="408" customFormat="false" ht="41.25" hidden="false" customHeight="true" outlineLevel="0" collapsed="false">
      <c r="A408" s="57" t="s">
        <v>1000</v>
      </c>
      <c r="B408" s="57" t="s">
        <v>253</v>
      </c>
      <c r="C408" s="57" t="str">
        <f aca="false">Flights!$F$16</f>
        <v>MH0139</v>
      </c>
      <c r="D408" s="58" t="n">
        <f aca="false">Flights!$D$16</f>
        <v>46307</v>
      </c>
      <c r="E408" s="57" t="str">
        <f aca="false">Flights!$G$16&amp;"-"&amp;Flights!$H$16</f>
        <v>KUL-ADL</v>
      </c>
      <c r="F408" s="57" t="str">
        <f aca="false">Flights!$K$16</f>
        <v>BC</v>
      </c>
      <c r="G408" s="57" t="s">
        <v>385</v>
      </c>
      <c r="H408" s="57" t="s">
        <v>343</v>
      </c>
      <c r="I408" s="57" t="s">
        <v>412</v>
      </c>
      <c r="J408" s="57" t="s">
        <v>591</v>
      </c>
      <c r="K408" s="67" t="s">
        <v>414</v>
      </c>
      <c r="L408" s="67" t="s">
        <v>1001</v>
      </c>
      <c r="M408" s="67" t="s">
        <v>416</v>
      </c>
      <c r="N408" s="67" t="s">
        <v>348</v>
      </c>
      <c r="O408" s="67" t="s">
        <v>468</v>
      </c>
      <c r="P408" s="57" t="s">
        <v>179</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59" t="n">
        <f aca="false">Q408-T12EarlyH/24</f>
        <v>46306.6006944444</v>
      </c>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IF(N408="N/A – rule","N/A – RULE",IF(TRIM(U408)="N/A",IF(AT408=0,"INVALID – N/A not permitted for this mandatory check",IF(AND(TRIM(AC408)&lt;&gt;"",TRIM(AE408)&lt;&gt;"",TRIM(T408)&lt;&gt;"",TRIM(AE408)&lt;&gt;TRIM(T408)),"N/A – JUSTIFIED","INVALID – N/A needs justification, PIC and a different verifier")),IF(OR(TRIM(U408)="Pass",TRIM(U408)="Pass after CA"),IF(NOT(ISNUMBER(AD408)),"INVALID – completion time missing",IF(TRIM(T408)="","INVALID – PIC missing",IF(TRIM(V408)="","INVALID – result / assessment missing",IF(TRIM(Z408)="","INVALID – evidence missing",IF(TRIM(AE408)="","INVALID – verifier missing",IF(TRIM(AE408)=TRIM(T408),"INVALID – verifier must be someone other than the PIC",IF(AND(AQ408=1,TRIM(W408)=""),"INVALID – batch ID missing",IF(AND(AR408=1,OR(NOT(ISNUMBER(X408)),NOT(ISNUMBER(Y408)))),"INVALID – expected/actual qty missing",IF(IF(AND(TRIM(U408)="Pass",ISNUMBER(AF408)),IF(AF408&lt;&gt;0,"INVALID – qty variance: use Fail or Pass after CA",""),"")&amp;IF(AND(TRIM(U408)="Pass",TRIM(AB408)&lt;&gt;"",TRIM(AB408)&lt;&gt;"Closed"),"INVALID – corrective action not closed: use Fail, then Pass after CA","")&amp;IF(AND(TRIM(AA408)&lt;&gt;"",TRIM(AB408)=""),"INVALID – CA status missing for the recorded corrective action","")&amp;IF(AND(TRIM(U408)="Pass after CA",OR(TRIM(AA408)="",TRIM(AB408)&lt;&gt;"Closed")),"INVALID – corrective action not recorded/closed","")&lt;&gt;"",IF(AND(TRIM(U408)="Pass",ISNUMBER(AF408)),IF(AF408&lt;&gt;0,"INVALID – qty variance: use Fail or Pass after CA",""),"")&amp;IF(AND(TRIM(U408)="Pass",TRIM(AB408)&lt;&gt;"",TRIM(AB408)&lt;&gt;"Closed"),"INVALID – corrective action not closed: use Fail, then Pass after CA","")&amp;IF(AND(TRIM(AA408)&lt;&gt;"",TRIM(AB408)=""),"INVALID – CA status missing for the recorded corrective action","")&amp;IF(AND(TRIM(U408)="Pass after CA",OR(TRIM(AA408)="",TRIM(AB408)&lt;&gt;"Closed")),"INVALID – corrective action not recorded/closed",""),IF(AND(AS408=1,Documents!$J$16&lt;&gt;"ON FILE"),"INVALID – GLD not on file (Documents sheet)",IF(AND(AS408=2,Documents!$O$16&lt;&gt;"ON FILE"),"INVALID – menu checklist not on file (Documents sheet)",IF(AND(AS408=3,NOT(ISNUMBER(Flights!$AX$16))),"INVALID – enter carrying flight KUL departure (Flights AX)",IF(AND(AS408=3,OR(Flights!$AX$16&gt;=Flights!$AA$16,Flights!$AX$16&lt;Flights!$AA$16-3)),"INVALID – Flights AX must be before this leg's STD (within 3 days)",IF(AG408&gt;AsOfUTC,"INVALID – completion time is in the future",IF(AND(ISNUMBER(S408),AG408&lt;S408),IF(H408="Physical uplift","INVALID – before uplift window (cannot confirm loading)","INVALID – before valid window"),IF(AG408&gt;Flights!$AA$16,"INVALID – completed after departure (cannot establish readiness)",IF(AND(H408="Physical uplift",AG408&gt;Q408),"INVALID – recorded after the loading flight departed",IF(AG408&gt;Q408,"COMPLETE – LATE","COMPLETE")))))))))))))))))),IF(TRIM(U408)="Fail","FAIL – DISCREPANCY",IF(AND(TRIM(U408)&lt;&gt;"",TRIM(U408)&lt;&gt;"Not started",TRIM(U408)&lt;&gt;"In progress"),"INVALID – unrecognised status (use the list)",IF(AsOfUTC&gt;Q408,"OVERDUE",IF(N408="Clarification required","OPEN – CLARIFICATION","OPEN")))))))</f>
        <v>OPEN</v>
      </c>
      <c r="AI408" s="61" t="n">
        <f aca="false">IF(OR(AH408="N/A – RULE",AH408="N/A – JUSTIFIED"),0,1)</f>
        <v>1</v>
      </c>
      <c r="AJ408" s="61" t="n">
        <f aca="false">IF(LEFT(AH408,8)="COMPLETE",1,0)</f>
        <v>0</v>
      </c>
      <c r="AK408" s="61" t="n">
        <f aca="false">IF(AND(AI408=1,AJ408=0,AsOfUTC&gt;Q408),1,0)</f>
        <v>0</v>
      </c>
      <c r="AL408" s="61" t="n">
        <f aca="false">IF(AND(AI408=1,OR(TRIM(U408)="Fail",AND(TRIM(AB408)&lt;&gt;"",TRIM(AB408)&lt;&gt;"Closed"),AND(ISNUMBER(AF408),AF408&lt;&gt;0,TRIM(U408)&lt;&gt;"Pass after CA"))),1,0)</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8" t="b">
        <f aca="false">TRUE()</f>
        <v>1</v>
      </c>
    </row>
    <row r="409" customFormat="false" ht="39.75" hidden="false" customHeight="true" outlineLevel="0" collapsed="false">
      <c r="A409" s="57" t="s">
        <v>1002</v>
      </c>
      <c r="B409" s="57" t="s">
        <v>253</v>
      </c>
      <c r="C409" s="57" t="str">
        <f aca="false">Flights!$F$16</f>
        <v>MH0139</v>
      </c>
      <c r="D409" s="58" t="n">
        <f aca="false">Flights!$D$16</f>
        <v>46307</v>
      </c>
      <c r="E409" s="57" t="str">
        <f aca="false">Flights!$G$16&amp;"-"&amp;Flights!$H$16</f>
        <v>KUL-ADL</v>
      </c>
      <c r="F409" s="57" t="str">
        <f aca="false">Flights!$K$16</f>
        <v>BC</v>
      </c>
      <c r="G409" s="57" t="s">
        <v>385</v>
      </c>
      <c r="H409" s="57" t="s">
        <v>343</v>
      </c>
      <c r="I409" s="57" t="s">
        <v>594</v>
      </c>
      <c r="J409" s="57" t="s">
        <v>595</v>
      </c>
      <c r="K409" s="67" t="s">
        <v>466</v>
      </c>
      <c r="L409" s="67" t="s">
        <v>1003</v>
      </c>
      <c r="M409" s="67" t="s">
        <v>179</v>
      </c>
      <c r="N409" s="67" t="s">
        <v>348</v>
      </c>
      <c r="O409" s="67" t="s">
        <v>597</v>
      </c>
      <c r="P409" s="57" t="s">
        <v>179</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59" t="n">
        <f aca="false">Q409-T12EarlyH/24</f>
        <v>46306.6006944444</v>
      </c>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IF(N409="N/A – rule","N/A – RULE",IF(TRIM(U409)="N/A",IF(AT409=0,"INVALID – N/A not permitted for this mandatory check",IF(AND(TRIM(AC409)&lt;&gt;"",TRIM(AE409)&lt;&gt;"",TRIM(T409)&lt;&gt;"",TRIM(AE409)&lt;&gt;TRIM(T409)),"N/A – JUSTIFIED","INVALID – N/A needs justification, PIC and a different verifier")),IF(OR(TRIM(U409)="Pass",TRIM(U409)="Pass after CA"),IF(NOT(ISNUMBER(AD409)),"INVALID – completion time missing",IF(TRIM(T409)="","INVALID – PIC missing",IF(TRIM(V409)="","INVALID – result / assessment missing",IF(TRIM(Z409)="","INVALID – evidence missing",IF(TRIM(AE409)="","INVALID – verifier missing",IF(TRIM(AE409)=TRIM(T409),"INVALID – verifier must be someone other than the PIC",IF(AND(AQ409=1,TRIM(W409)=""),"INVALID – batch ID missing",IF(AND(AR409=1,OR(NOT(ISNUMBER(X409)),NOT(ISNUMBER(Y409)))),"INVALID – expected/actual qty missing",IF(IF(AND(TRIM(U409)="Pass",ISNUMBER(AF409)),IF(AF409&lt;&gt;0,"INVALID – qty variance: use Fail or Pass after CA",""),"")&amp;IF(AND(TRIM(U409)="Pass",TRIM(AB409)&lt;&gt;"",TRIM(AB409)&lt;&gt;"Closed"),"INVALID – corrective action not closed: use Fail, then Pass after CA","")&amp;IF(AND(TRIM(AA409)&lt;&gt;"",TRIM(AB409)=""),"INVALID – CA status missing for the recorded corrective action","")&amp;IF(AND(TRIM(U409)="Pass after CA",OR(TRIM(AA409)="",TRIM(AB409)&lt;&gt;"Closed")),"INVALID – corrective action not recorded/closed","")&lt;&gt;"",IF(AND(TRIM(U409)="Pass",ISNUMBER(AF409)),IF(AF409&lt;&gt;0,"INVALID – qty variance: use Fail or Pass after CA",""),"")&amp;IF(AND(TRIM(U409)="Pass",TRIM(AB409)&lt;&gt;"",TRIM(AB409)&lt;&gt;"Closed"),"INVALID – corrective action not closed: use Fail, then Pass after CA","")&amp;IF(AND(TRIM(AA409)&lt;&gt;"",TRIM(AB409)=""),"INVALID – CA status missing for the recorded corrective action","")&amp;IF(AND(TRIM(U409)="Pass after CA",OR(TRIM(AA409)="",TRIM(AB409)&lt;&gt;"Closed")),"INVALID – corrective action not recorded/closed",""),IF(AND(AS409=1,Documents!$J$16&lt;&gt;"ON FILE"),"INVALID – GLD not on file (Documents sheet)",IF(AND(AS409=2,Documents!$O$16&lt;&gt;"ON FILE"),"INVALID – menu checklist not on file (Documents sheet)",IF(AND(AS409=3,NOT(ISNUMBER(Flights!$AX$16))),"INVALID – enter carrying flight KUL departure (Flights AX)",IF(AND(AS409=3,OR(Flights!$AX$16&gt;=Flights!$AA$16,Flights!$AX$16&lt;Flights!$AA$16-3)),"INVALID – Flights AX must be before this leg's STD (within 3 days)",IF(AG409&gt;AsOfUTC,"INVALID – completion time is in the future",IF(AND(ISNUMBER(S409),AG409&lt;S409),IF(H409="Physical uplift","INVALID – before uplift window (cannot confirm loading)","INVALID – before valid window"),IF(AG409&gt;Flights!$AA$16,"INVALID – completed after departure (cannot establish readiness)",IF(AND(H409="Physical uplift",AG409&gt;Q409),"INVALID – recorded after the loading flight departed",IF(AG409&gt;Q409,"COMPLETE – LATE","COMPLETE")))))))))))))))))),IF(TRIM(U409)="Fail","FAIL – DISCREPANCY",IF(AND(TRIM(U409)&lt;&gt;"",TRIM(U409)&lt;&gt;"Not started",TRIM(U409)&lt;&gt;"In progress"),"INVALID – unrecognised status (use the list)",IF(AsOfUTC&gt;Q409,"OVERDUE",IF(N409="Clarification required","OPEN – CLARIFICATION","OPEN")))))))</f>
        <v>OPEN</v>
      </c>
      <c r="AI409" s="61" t="n">
        <f aca="false">IF(OR(AH409="N/A – RULE",AH409="N/A – JUSTIFIED"),0,1)</f>
        <v>1</v>
      </c>
      <c r="AJ409" s="61" t="n">
        <f aca="false">IF(LEFT(AH409,8)="COMPLETE",1,0)</f>
        <v>0</v>
      </c>
      <c r="AK409" s="61" t="n">
        <f aca="false">IF(AND(AI409=1,AJ409=0,AsOfUTC&gt;Q409),1,0)</f>
        <v>0</v>
      </c>
      <c r="AL409" s="61" t="n">
        <f aca="false">IF(AND(AI409=1,OR(TRIM(U409)="Fail",AND(TRIM(AB409)&lt;&gt;"",TRIM(AB409)&lt;&gt;"Closed"),AND(ISNUMBER(AF409),AF409&lt;&gt;0,TRIM(U409)&lt;&gt;"Pass after CA"))),1,0)</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8" t="b">
        <f aca="false">TRUE()</f>
        <v>1</v>
      </c>
    </row>
    <row r="410" customFormat="false" ht="41.25" hidden="false" customHeight="true" outlineLevel="0" collapsed="false">
      <c r="A410" s="57" t="s">
        <v>1004</v>
      </c>
      <c r="B410" s="57" t="s">
        <v>253</v>
      </c>
      <c r="C410" s="57" t="str">
        <f aca="false">Flights!$F$16</f>
        <v>MH0139</v>
      </c>
      <c r="D410" s="58" t="n">
        <f aca="false">Flights!$D$16</f>
        <v>46307</v>
      </c>
      <c r="E410" s="57" t="str">
        <f aca="false">Flights!$G$16&amp;"-"&amp;Flights!$H$16</f>
        <v>KUL-ADL</v>
      </c>
      <c r="F410" s="57" t="str">
        <f aca="false">Flights!$K$16</f>
        <v>BC</v>
      </c>
      <c r="G410" s="57" t="s">
        <v>385</v>
      </c>
      <c r="H410" s="57" t="s">
        <v>343</v>
      </c>
      <c r="I410" s="57" t="s">
        <v>599</v>
      </c>
      <c r="J410" s="57" t="s">
        <v>600</v>
      </c>
      <c r="K410" s="67" t="s">
        <v>1005</v>
      </c>
      <c r="L410" s="67" t="s">
        <v>1006</v>
      </c>
      <c r="M410" s="67" t="s">
        <v>416</v>
      </c>
      <c r="N410" s="67" t="s">
        <v>348</v>
      </c>
      <c r="O410" s="67" t="s">
        <v>1007</v>
      </c>
      <c r="P410" s="57" t="s">
        <v>179</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59" t="n">
        <f aca="false">Q410-T12EarlyH/24</f>
        <v>46306.6006944444</v>
      </c>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IF(N410="N/A – rule","N/A – RULE",IF(TRIM(U410)="N/A",IF(AT410=0,"INVALID – N/A not permitted for this mandatory check",IF(AND(TRIM(AC410)&lt;&gt;"",TRIM(AE410)&lt;&gt;"",TRIM(T410)&lt;&gt;"",TRIM(AE410)&lt;&gt;TRIM(T410)),"N/A – JUSTIFIED","INVALID – N/A needs justification, PIC and a different verifier")),IF(OR(TRIM(U410)="Pass",TRIM(U410)="Pass after CA"),IF(NOT(ISNUMBER(AD410)),"INVALID – completion time missing",IF(TRIM(T410)="","INVALID – PIC missing",IF(TRIM(V410)="","INVALID – result / assessment missing",IF(TRIM(Z410)="","INVALID – evidence missing",IF(TRIM(AE410)="","INVALID – verifier missing",IF(TRIM(AE410)=TRIM(T410),"INVALID – verifier must be someone other than the PIC",IF(AND(AQ410=1,TRIM(W410)=""),"INVALID – batch ID missing",IF(AND(AR410=1,OR(NOT(ISNUMBER(X410)),NOT(ISNUMBER(Y410)))),"INVALID – expected/actual qty missing",IF(IF(AND(TRIM(U410)="Pass",ISNUMBER(AF410)),IF(AF410&lt;&gt;0,"INVALID – qty variance: use Fail or Pass after CA",""),"")&amp;IF(AND(TRIM(U410)="Pass",TRIM(AB410)&lt;&gt;"",TRIM(AB410)&lt;&gt;"Closed"),"INVALID – corrective action not closed: use Fail, then Pass after CA","")&amp;IF(AND(TRIM(AA410)&lt;&gt;"",TRIM(AB410)=""),"INVALID – CA status missing for the recorded corrective action","")&amp;IF(AND(TRIM(U410)="Pass after CA",OR(TRIM(AA410)="",TRIM(AB410)&lt;&gt;"Closed")),"INVALID – corrective action not recorded/closed","")&lt;&gt;"",IF(AND(TRIM(U410)="Pass",ISNUMBER(AF410)),IF(AF410&lt;&gt;0,"INVALID – qty variance: use Fail or Pass after CA",""),"")&amp;IF(AND(TRIM(U410)="Pass",TRIM(AB410)&lt;&gt;"",TRIM(AB410)&lt;&gt;"Closed"),"INVALID – corrective action not closed: use Fail, then Pass after CA","")&amp;IF(AND(TRIM(AA410)&lt;&gt;"",TRIM(AB410)=""),"INVALID – CA status missing for the recorded corrective action","")&amp;IF(AND(TRIM(U410)="Pass after CA",OR(TRIM(AA410)="",TRIM(AB410)&lt;&gt;"Closed")),"INVALID – corrective action not recorded/closed",""),IF(AND(AS410=1,Documents!$J$16&lt;&gt;"ON FILE"),"INVALID – GLD not on file (Documents sheet)",IF(AND(AS410=2,Documents!$O$16&lt;&gt;"ON FILE"),"INVALID – menu checklist not on file (Documents sheet)",IF(AND(AS410=3,NOT(ISNUMBER(Flights!$AX$16))),"INVALID – enter carrying flight KUL departure (Flights AX)",IF(AND(AS410=3,OR(Flights!$AX$16&gt;=Flights!$AA$16,Flights!$AX$16&lt;Flights!$AA$16-3)),"INVALID – Flights AX must be before this leg's STD (within 3 days)",IF(AG410&gt;AsOfUTC,"INVALID – completion time is in the future",IF(AND(ISNUMBER(S410),AG410&lt;S410),IF(H410="Physical uplift","INVALID – before uplift window (cannot confirm loading)","INVALID – before valid window"),IF(AG410&gt;Flights!$AA$16,"INVALID – completed after departure (cannot establish readiness)",IF(AND(H410="Physical uplift",AG410&gt;Q410),"INVALID – recorded after the loading flight departed",IF(AG410&gt;Q410,"COMPLETE – LATE","COMPLETE")))))))))))))))))),IF(TRIM(U410)="Fail","FAIL – DISCREPANCY",IF(AND(TRIM(U410)&lt;&gt;"",TRIM(U410)&lt;&gt;"Not started",TRIM(U410)&lt;&gt;"In progress"),"INVALID – unrecognised status (use the list)",IF(AsOfUTC&gt;Q410,"OVERDUE",IF(N410="Clarification required","OPEN – CLARIFICATION","OPEN")))))))</f>
        <v>OPEN</v>
      </c>
      <c r="AI410" s="61" t="n">
        <f aca="false">IF(OR(AH410="N/A – RULE",AH410="N/A – JUSTIFIED"),0,1)</f>
        <v>1</v>
      </c>
      <c r="AJ410" s="61" t="n">
        <f aca="false">IF(LEFT(AH410,8)="COMPLETE",1,0)</f>
        <v>0</v>
      </c>
      <c r="AK410" s="61" t="n">
        <f aca="false">IF(AND(AI410=1,AJ410=0,AsOfUTC&gt;Q410),1,0)</f>
        <v>0</v>
      </c>
      <c r="AL410" s="61" t="n">
        <f aca="false">IF(AND(AI410=1,OR(TRIM(U410)="Fail",AND(TRIM(AB410)&lt;&gt;"",TRIM(AB410)&lt;&gt;"Closed"),AND(ISNUMBER(AF410),AF410&lt;&gt;0,TRIM(U410)&lt;&gt;"Pass after CA"))),1,0)</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8" t="b">
        <f aca="false">TRUE()</f>
        <v>1</v>
      </c>
    </row>
    <row r="411" customFormat="false" ht="39.75" hidden="false" customHeight="true" outlineLevel="0" collapsed="false">
      <c r="A411" s="57" t="s">
        <v>1008</v>
      </c>
      <c r="B411" s="57" t="s">
        <v>253</v>
      </c>
      <c r="C411" s="57" t="str">
        <f aca="false">Flights!$F$16</f>
        <v>MH0139</v>
      </c>
      <c r="D411" s="58" t="n">
        <f aca="false">Flights!$D$16</f>
        <v>46307</v>
      </c>
      <c r="E411" s="57" t="str">
        <f aca="false">Flights!$G$16&amp;"-"&amp;Flights!$H$16</f>
        <v>KUL-ADL</v>
      </c>
      <c r="F411" s="57" t="str">
        <f aca="false">Flights!$K$16</f>
        <v>BC</v>
      </c>
      <c r="G411" s="57" t="s">
        <v>424</v>
      </c>
      <c r="H411" s="57" t="s">
        <v>425</v>
      </c>
      <c r="I411" s="57" t="s">
        <v>344</v>
      </c>
      <c r="J411" s="57" t="s">
        <v>426</v>
      </c>
      <c r="K411" s="67" t="s">
        <v>391</v>
      </c>
      <c r="L411" s="67" t="s">
        <v>427</v>
      </c>
      <c r="M411" s="67"/>
      <c r="N411" s="67" t="s">
        <v>348</v>
      </c>
      <c r="O411" s="67" t="s">
        <v>428</v>
      </c>
      <c r="P411" s="57" t="s">
        <v>179</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59" t="n">
        <f aca="false">IF(ISNUMBER(Flights!$AY$16),MAX(Q411-UpliftWindowH/24,Flights!$AY$16+UpliftWindowH/24),Q411-UpliftWindowH/24)</f>
        <v>46307.3506944444</v>
      </c>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IF(N411="N/A – rule","N/A – RULE",IF(TRIM(U411)="N/A",IF(AT411=0,"INVALID – N/A not permitted for this mandatory check",IF(AND(TRIM(AC411)&lt;&gt;"",TRIM(AE411)&lt;&gt;"",TRIM(T411)&lt;&gt;"",TRIM(AE411)&lt;&gt;TRIM(T411)),"N/A – JUSTIFIED","INVALID – N/A needs justification, PIC and a different verifier")),IF(OR(TRIM(U411)="Pass",TRIM(U411)="Pass after CA"),IF(NOT(ISNUMBER(AD411)),"INVALID – completion time missing",IF(TRIM(T411)="","INVALID – PIC missing",IF(TRIM(V411)="","INVALID – result / assessment missing",IF(TRIM(Z411)="","INVALID – evidence missing",IF(TRIM(AE411)="","INVALID – verifier missing",IF(TRIM(AE411)=TRIM(T411),"INVALID – verifier must be someone other than the PIC",IF(AND(AQ411=1,TRIM(W411)=""),"INVALID – batch ID missing",IF(AND(AR411=1,OR(NOT(ISNUMBER(X411)),NOT(ISNUMBER(Y411)))),"INVALID – expected/actual qty missing",IF(IF(AND(TRIM(U411)="Pass",ISNUMBER(AF411)),IF(AF411&lt;&gt;0,"INVALID – qty variance: use Fail or Pass after CA",""),"")&amp;IF(AND(TRIM(U411)="Pass",TRIM(AB411)&lt;&gt;"",TRIM(AB411)&lt;&gt;"Closed"),"INVALID – corrective action not closed: use Fail, then Pass after CA","")&amp;IF(AND(TRIM(AA411)&lt;&gt;"",TRIM(AB411)=""),"INVALID – CA status missing for the recorded corrective action","")&amp;IF(AND(TRIM(U411)="Pass after CA",OR(TRIM(AA411)="",TRIM(AB411)&lt;&gt;"Closed")),"INVALID – corrective action not recorded/closed","")&lt;&gt;"",IF(AND(TRIM(U411)="Pass",ISNUMBER(AF411)),IF(AF411&lt;&gt;0,"INVALID – qty variance: use Fail or Pass after CA",""),"")&amp;IF(AND(TRIM(U411)="Pass",TRIM(AB411)&lt;&gt;"",TRIM(AB411)&lt;&gt;"Closed"),"INVALID – corrective action not closed: use Fail, then Pass after CA","")&amp;IF(AND(TRIM(AA411)&lt;&gt;"",TRIM(AB411)=""),"INVALID – CA status missing for the recorded corrective action","")&amp;IF(AND(TRIM(U411)="Pass after CA",OR(TRIM(AA411)="",TRIM(AB411)&lt;&gt;"Closed")),"INVALID – corrective action not recorded/closed",""),IF(AND(AS411=1,Documents!$J$16&lt;&gt;"ON FILE"),"INVALID – GLD not on file (Documents sheet)",IF(AND(AS411=2,Documents!$O$16&lt;&gt;"ON FILE"),"INVALID – menu checklist not on file (Documents sheet)",IF(AND(AS411=3,NOT(ISNUMBER(Flights!$AX$16))),"INVALID – enter carrying flight KUL departure (Flights AX)",IF(AND(AS411=3,OR(Flights!$AX$16&gt;=Flights!$AA$16,Flights!$AX$16&lt;Flights!$AA$16-3)),"INVALID – Flights AX must be before this leg's STD (within 3 days)",IF(AG411&gt;AsOfUTC,"INVALID – completion time is in the future",IF(AND(ISNUMBER(S411),AG411&lt;S411),IF(H411="Physical uplift","INVALID – before uplift window (cannot confirm loading)","INVALID – before valid window"),IF(AG411&gt;Flights!$AA$16,"INVALID – completed after departure (cannot establish readiness)",IF(AND(H411="Physical uplift",AG411&gt;Q411),"INVALID – recorded after the loading flight departed",IF(AG411&gt;Q411,"COMPLETE – LATE","COMPLETE")))))))))))))))))),IF(TRIM(U411)="Fail","FAIL – DISCREPANCY",IF(AND(TRIM(U411)&lt;&gt;"",TRIM(U411)&lt;&gt;"Not started",TRIM(U411)&lt;&gt;"In progress"),"INVALID – unrecognised status (use the list)",IF(AsOfUTC&gt;Q411,"OVERDUE",IF(N411="Clarification required","OPEN – CLARIFICATION","OPEN")))))))</f>
        <v>OPEN</v>
      </c>
      <c r="AI411" s="61" t="n">
        <f aca="false">IF(OR(AH411="N/A – RULE",AH411="N/A – JUSTIFIED"),0,1)</f>
        <v>1</v>
      </c>
      <c r="AJ411" s="61" t="n">
        <f aca="false">IF(LEFT(AH411,8)="COMPLETE",1,0)</f>
        <v>0</v>
      </c>
      <c r="AK411" s="61" t="n">
        <f aca="false">IF(AND(AI411=1,AJ411=0,AsOfUTC&gt;Q411),1,0)</f>
        <v>0</v>
      </c>
      <c r="AL411" s="61" t="n">
        <f aca="false">IF(AND(AI411=1,OR(TRIM(U411)="Fail",AND(TRIM(AB411)&lt;&gt;"",TRIM(AB411)&lt;&gt;"Closed"),AND(ISNUMBER(AF411),AF411&lt;&gt;0,TRIM(U411)&lt;&gt;"Pass after CA"))),1,0)</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row>
    <row r="412" customFormat="false" ht="39.75" hidden="false" customHeight="true" outlineLevel="0" collapsed="false">
      <c r="A412" s="57" t="s">
        <v>1009</v>
      </c>
      <c r="B412" s="57" t="s">
        <v>253</v>
      </c>
      <c r="C412" s="57" t="str">
        <f aca="false">Flights!$F$16</f>
        <v>MH0139</v>
      </c>
      <c r="D412" s="58" t="n">
        <f aca="false">Flights!$D$16</f>
        <v>46307</v>
      </c>
      <c r="E412" s="57" t="str">
        <f aca="false">Flights!$G$16&amp;"-"&amp;Flights!$H$16</f>
        <v>KUL-ADL</v>
      </c>
      <c r="F412" s="57" t="str">
        <f aca="false">Flights!$K$16</f>
        <v>BC</v>
      </c>
      <c r="G412" s="57" t="s">
        <v>424</v>
      </c>
      <c r="H412" s="57" t="s">
        <v>425</v>
      </c>
      <c r="I412" s="57" t="s">
        <v>393</v>
      </c>
      <c r="J412" s="57" t="s">
        <v>430</v>
      </c>
      <c r="K412" s="67" t="s">
        <v>391</v>
      </c>
      <c r="L412" s="67" t="s">
        <v>427</v>
      </c>
      <c r="M412" s="67"/>
      <c r="N412" s="67" t="s">
        <v>348</v>
      </c>
      <c r="O412" s="67" t="s">
        <v>428</v>
      </c>
      <c r="P412" s="57" t="s">
        <v>179</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59" t="n">
        <f aca="false">IF(ISNUMBER(Flights!$AY$16),MAX(Q412-UpliftWindowH/24,Flights!$AY$16+UpliftWindowH/24),Q412-UpliftWindowH/24)</f>
        <v>46307.3506944444</v>
      </c>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IF(N412="N/A – rule","N/A – RULE",IF(TRIM(U412)="N/A",IF(AT412=0,"INVALID – N/A not permitted for this mandatory check",IF(AND(TRIM(AC412)&lt;&gt;"",TRIM(AE412)&lt;&gt;"",TRIM(T412)&lt;&gt;"",TRIM(AE412)&lt;&gt;TRIM(T412)),"N/A – JUSTIFIED","INVALID – N/A needs justification, PIC and a different verifier")),IF(OR(TRIM(U412)="Pass",TRIM(U412)="Pass after CA"),IF(NOT(ISNUMBER(AD412)),"INVALID – completion time missing",IF(TRIM(T412)="","INVALID – PIC missing",IF(TRIM(V412)="","INVALID – result / assessment missing",IF(TRIM(Z412)="","INVALID – evidence missing",IF(TRIM(AE412)="","INVALID – verifier missing",IF(TRIM(AE412)=TRIM(T412),"INVALID – verifier must be someone other than the PIC",IF(AND(AQ412=1,TRIM(W412)=""),"INVALID – batch ID missing",IF(AND(AR412=1,OR(NOT(ISNUMBER(X412)),NOT(ISNUMBER(Y412)))),"INVALID – expected/actual qty missing",IF(IF(AND(TRIM(U412)="Pass",ISNUMBER(AF412)),IF(AF412&lt;&gt;0,"INVALID – qty variance: use Fail or Pass after CA",""),"")&amp;IF(AND(TRIM(U412)="Pass",TRIM(AB412)&lt;&gt;"",TRIM(AB412)&lt;&gt;"Closed"),"INVALID – corrective action not closed: use Fail, then Pass after CA","")&amp;IF(AND(TRIM(AA412)&lt;&gt;"",TRIM(AB412)=""),"INVALID – CA status missing for the recorded corrective action","")&amp;IF(AND(TRIM(U412)="Pass after CA",OR(TRIM(AA412)="",TRIM(AB412)&lt;&gt;"Closed")),"INVALID – corrective action not recorded/closed","")&lt;&gt;"",IF(AND(TRIM(U412)="Pass",ISNUMBER(AF412)),IF(AF412&lt;&gt;0,"INVALID – qty variance: use Fail or Pass after CA",""),"")&amp;IF(AND(TRIM(U412)="Pass",TRIM(AB412)&lt;&gt;"",TRIM(AB412)&lt;&gt;"Closed"),"INVALID – corrective action not closed: use Fail, then Pass after CA","")&amp;IF(AND(TRIM(AA412)&lt;&gt;"",TRIM(AB412)=""),"INVALID – CA status missing for the recorded corrective action","")&amp;IF(AND(TRIM(U412)="Pass after CA",OR(TRIM(AA412)="",TRIM(AB412)&lt;&gt;"Closed")),"INVALID – corrective action not recorded/closed",""),IF(AND(AS412=1,Documents!$J$16&lt;&gt;"ON FILE"),"INVALID – GLD not on file (Documents sheet)",IF(AND(AS412=2,Documents!$O$16&lt;&gt;"ON FILE"),"INVALID – menu checklist not on file (Documents sheet)",IF(AND(AS412=3,NOT(ISNUMBER(Flights!$AX$16))),"INVALID – enter carrying flight KUL departure (Flights AX)",IF(AND(AS412=3,OR(Flights!$AX$16&gt;=Flights!$AA$16,Flights!$AX$16&lt;Flights!$AA$16-3)),"INVALID – Flights AX must be before this leg's STD (within 3 days)",IF(AG412&gt;AsOfUTC,"INVALID – completion time is in the future",IF(AND(ISNUMBER(S412),AG412&lt;S412),IF(H412="Physical uplift","INVALID – before uplift window (cannot confirm loading)","INVALID – before valid window"),IF(AG412&gt;Flights!$AA$16,"INVALID – completed after departure (cannot establish readiness)",IF(AND(H412="Physical uplift",AG412&gt;Q412),"INVALID – recorded after the loading flight departed",IF(AG412&gt;Q412,"COMPLETE – LATE","COMPLETE")))))))))))))))))),IF(TRIM(U412)="Fail","FAIL – DISCREPANCY",IF(AND(TRIM(U412)&lt;&gt;"",TRIM(U412)&lt;&gt;"Not started",TRIM(U412)&lt;&gt;"In progress"),"INVALID – unrecognised status (use the list)",IF(AsOfUTC&gt;Q412,"OVERDUE",IF(N412="Clarification required","OPEN – CLARIFICATION","OPEN")))))))</f>
        <v>OPEN</v>
      </c>
      <c r="AI412" s="61" t="n">
        <f aca="false">IF(OR(AH412="N/A – RULE",AH412="N/A – JUSTIFIED"),0,1)</f>
        <v>1</v>
      </c>
      <c r="AJ412" s="61" t="n">
        <f aca="false">IF(LEFT(AH412,8)="COMPLETE",1,0)</f>
        <v>0</v>
      </c>
      <c r="AK412" s="61" t="n">
        <f aca="false">IF(AND(AI412=1,AJ412=0,AsOfUTC&gt;Q412),1,0)</f>
        <v>0</v>
      </c>
      <c r="AL412" s="61" t="n">
        <f aca="false">IF(AND(AI412=1,OR(TRIM(U412)="Fail",AND(TRIM(AB412)&lt;&gt;"",TRIM(AB412)&lt;&gt;"Closed"),AND(ISNUMBER(AF412),AF412&lt;&gt;0,TRIM(U412)&lt;&gt;"Pass after CA"))),1,0)</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row>
    <row r="413" customFormat="false" ht="39.75" hidden="false" customHeight="true" outlineLevel="0" collapsed="false">
      <c r="A413" s="57" t="s">
        <v>1010</v>
      </c>
      <c r="B413" s="57" t="s">
        <v>253</v>
      </c>
      <c r="C413" s="57" t="str">
        <f aca="false">Flights!$F$16</f>
        <v>MH0139</v>
      </c>
      <c r="D413" s="58" t="n">
        <f aca="false">Flights!$D$16</f>
        <v>46307</v>
      </c>
      <c r="E413" s="57" t="str">
        <f aca="false">Flights!$G$16&amp;"-"&amp;Flights!$H$16</f>
        <v>KUL-ADL</v>
      </c>
      <c r="F413" s="57" t="str">
        <f aca="false">Flights!$K$16</f>
        <v>BC</v>
      </c>
      <c r="G413" s="57" t="s">
        <v>424</v>
      </c>
      <c r="H413" s="57" t="s">
        <v>425</v>
      </c>
      <c r="I413" s="57" t="s">
        <v>405</v>
      </c>
      <c r="J413" s="57" t="s">
        <v>432</v>
      </c>
      <c r="K413" s="67" t="s">
        <v>466</v>
      </c>
      <c r="L413" s="67" t="s">
        <v>979</v>
      </c>
      <c r="M413" s="67" t="s">
        <v>179</v>
      </c>
      <c r="N413" s="67" t="s">
        <v>348</v>
      </c>
      <c r="O413" s="67"/>
      <c r="P413" s="57" t="s">
        <v>179</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59" t="n">
        <f aca="false">IF(ISNUMBER(Flights!$AY$16),MAX(Q413-UpliftWindowH/24,Flights!$AY$16+UpliftWindowH/24),Q413-UpliftWindowH/24)</f>
        <v>46307.3506944444</v>
      </c>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IF(N413="N/A – rule","N/A – RULE",IF(TRIM(U413)="N/A",IF(AT413=0,"INVALID – N/A not permitted for this mandatory check",IF(AND(TRIM(AC413)&lt;&gt;"",TRIM(AE413)&lt;&gt;"",TRIM(T413)&lt;&gt;"",TRIM(AE413)&lt;&gt;TRIM(T413)),"N/A – JUSTIFIED","INVALID – N/A needs justification, PIC and a different verifier")),IF(OR(TRIM(U413)="Pass",TRIM(U413)="Pass after CA"),IF(NOT(ISNUMBER(AD413)),"INVALID – completion time missing",IF(TRIM(T413)="","INVALID – PIC missing",IF(TRIM(V413)="","INVALID – result / assessment missing",IF(TRIM(Z413)="","INVALID – evidence missing",IF(TRIM(AE413)="","INVALID – verifier missing",IF(TRIM(AE413)=TRIM(T413),"INVALID – verifier must be someone other than the PIC",IF(AND(AQ413=1,TRIM(W413)=""),"INVALID – batch ID missing",IF(AND(AR413=1,OR(NOT(ISNUMBER(X413)),NOT(ISNUMBER(Y413)))),"INVALID – expected/actual qty missing",IF(IF(AND(TRIM(U413)="Pass",ISNUMBER(AF413)),IF(AF413&lt;&gt;0,"INVALID – qty variance: use Fail or Pass after CA",""),"")&amp;IF(AND(TRIM(U413)="Pass",TRIM(AB413)&lt;&gt;"",TRIM(AB413)&lt;&gt;"Closed"),"INVALID – corrective action not closed: use Fail, then Pass after CA","")&amp;IF(AND(TRIM(AA413)&lt;&gt;"",TRIM(AB413)=""),"INVALID – CA status missing for the recorded corrective action","")&amp;IF(AND(TRIM(U413)="Pass after CA",OR(TRIM(AA413)="",TRIM(AB413)&lt;&gt;"Closed")),"INVALID – corrective action not recorded/closed","")&lt;&gt;"",IF(AND(TRIM(U413)="Pass",ISNUMBER(AF413)),IF(AF413&lt;&gt;0,"INVALID – qty variance: use Fail or Pass after CA",""),"")&amp;IF(AND(TRIM(U413)="Pass",TRIM(AB413)&lt;&gt;"",TRIM(AB413)&lt;&gt;"Closed"),"INVALID – corrective action not closed: use Fail, then Pass after CA","")&amp;IF(AND(TRIM(AA413)&lt;&gt;"",TRIM(AB413)=""),"INVALID – CA status missing for the recorded corrective action","")&amp;IF(AND(TRIM(U413)="Pass after CA",OR(TRIM(AA413)="",TRIM(AB413)&lt;&gt;"Closed")),"INVALID – corrective action not recorded/closed",""),IF(AND(AS413=1,Documents!$J$16&lt;&gt;"ON FILE"),"INVALID – GLD not on file (Documents sheet)",IF(AND(AS413=2,Documents!$O$16&lt;&gt;"ON FILE"),"INVALID – menu checklist not on file (Documents sheet)",IF(AND(AS413=3,NOT(ISNUMBER(Flights!$AX$16))),"INVALID – enter carrying flight KUL departure (Flights AX)",IF(AND(AS413=3,OR(Flights!$AX$16&gt;=Flights!$AA$16,Flights!$AX$16&lt;Flights!$AA$16-3)),"INVALID – Flights AX must be before this leg's STD (within 3 days)",IF(AG413&gt;AsOfUTC,"INVALID – completion time is in the future",IF(AND(ISNUMBER(S413),AG413&lt;S413),IF(H413="Physical uplift","INVALID – before uplift window (cannot confirm loading)","INVALID – before valid window"),IF(AG413&gt;Flights!$AA$16,"INVALID – completed after departure (cannot establish readiness)",IF(AND(H413="Physical uplift",AG413&gt;Q413),"INVALID – recorded after the loading flight departed",IF(AG413&gt;Q413,"COMPLETE – LATE","COMPLETE")))))))))))))))))),IF(TRIM(U413)="Fail","FAIL – DISCREPANCY",IF(AND(TRIM(U413)&lt;&gt;"",TRIM(U413)&lt;&gt;"Not started",TRIM(U413)&lt;&gt;"In progress"),"INVALID – unrecognised status (use the list)",IF(AsOfUTC&gt;Q413,"OVERDUE",IF(N413="Clarification required","OPEN – CLARIFICATION","OPEN")))))))</f>
        <v>OPEN</v>
      </c>
      <c r="AI413" s="61" t="n">
        <f aca="false">IF(OR(AH413="N/A – RULE",AH413="N/A – JUSTIFIED"),0,1)</f>
        <v>1</v>
      </c>
      <c r="AJ413" s="61" t="n">
        <f aca="false">IF(LEFT(AH413,8)="COMPLETE",1,0)</f>
        <v>0</v>
      </c>
      <c r="AK413" s="61" t="n">
        <f aca="false">IF(AND(AI413=1,AJ413=0,AsOfUTC&gt;Q413),1,0)</f>
        <v>0</v>
      </c>
      <c r="AL413" s="61" t="n">
        <f aca="false">IF(AND(AI413=1,OR(TRIM(U413)="Fail",AND(TRIM(AB413)&lt;&gt;"",TRIM(AB413)&lt;&gt;"Closed"),AND(ISNUMBER(AF413),AF413&lt;&gt;0,TRIM(U413)&lt;&gt;"Pass after CA"))),1,0)</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8" t="b">
        <f aca="false">TRUE()</f>
        <v>1</v>
      </c>
    </row>
    <row r="414" customFormat="false" ht="39.75" hidden="false" customHeight="true" outlineLevel="0" collapsed="false">
      <c r="A414" s="57" t="s">
        <v>1011</v>
      </c>
      <c r="B414" s="57" t="s">
        <v>253</v>
      </c>
      <c r="C414" s="57" t="str">
        <f aca="false">Flights!$F$16</f>
        <v>MH0139</v>
      </c>
      <c r="D414" s="58" t="n">
        <f aca="false">Flights!$D$16</f>
        <v>46307</v>
      </c>
      <c r="E414" s="57" t="str">
        <f aca="false">Flights!$G$16&amp;"-"&amp;Flights!$H$16</f>
        <v>KUL-ADL</v>
      </c>
      <c r="F414" s="57" t="str">
        <f aca="false">Flights!$K$16</f>
        <v>BC</v>
      </c>
      <c r="G414" s="57" t="s">
        <v>424</v>
      </c>
      <c r="H414" s="57" t="s">
        <v>425</v>
      </c>
      <c r="I414" s="57" t="s">
        <v>405</v>
      </c>
      <c r="J414" s="57" t="s">
        <v>608</v>
      </c>
      <c r="K414" s="67" t="s">
        <v>466</v>
      </c>
      <c r="L414" s="67" t="s">
        <v>981</v>
      </c>
      <c r="M414" s="67" t="s">
        <v>179</v>
      </c>
      <c r="N414" s="67" t="s">
        <v>348</v>
      </c>
      <c r="O414" s="67"/>
      <c r="P414" s="57" t="s">
        <v>179</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59" t="n">
        <f aca="false">IF(ISNUMBER(Flights!$AY$16),MAX(Q414-UpliftWindowH/24,Flights!$AY$16+UpliftWindowH/24),Q414-UpliftWindowH/24)</f>
        <v>46307.3506944444</v>
      </c>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IF(N414="N/A – rule","N/A – RULE",IF(TRIM(U414)="N/A",IF(AT414=0,"INVALID – N/A not permitted for this mandatory check",IF(AND(TRIM(AC414)&lt;&gt;"",TRIM(AE414)&lt;&gt;"",TRIM(T414)&lt;&gt;"",TRIM(AE414)&lt;&gt;TRIM(T414)),"N/A – JUSTIFIED","INVALID – N/A needs justification, PIC and a different verifier")),IF(OR(TRIM(U414)="Pass",TRIM(U414)="Pass after CA"),IF(NOT(ISNUMBER(AD414)),"INVALID – completion time missing",IF(TRIM(T414)="","INVALID – PIC missing",IF(TRIM(V414)="","INVALID – result / assessment missing",IF(TRIM(Z414)="","INVALID – evidence missing",IF(TRIM(AE414)="","INVALID – verifier missing",IF(TRIM(AE414)=TRIM(T414),"INVALID – verifier must be someone other than the PIC",IF(AND(AQ414=1,TRIM(W414)=""),"INVALID – batch ID missing",IF(AND(AR414=1,OR(NOT(ISNUMBER(X414)),NOT(ISNUMBER(Y414)))),"INVALID – expected/actual qty missing",IF(IF(AND(TRIM(U414)="Pass",ISNUMBER(AF414)),IF(AF414&lt;&gt;0,"INVALID – qty variance: use Fail or Pass after CA",""),"")&amp;IF(AND(TRIM(U414)="Pass",TRIM(AB414)&lt;&gt;"",TRIM(AB414)&lt;&gt;"Closed"),"INVALID – corrective action not closed: use Fail, then Pass after CA","")&amp;IF(AND(TRIM(AA414)&lt;&gt;"",TRIM(AB414)=""),"INVALID – CA status missing for the recorded corrective action","")&amp;IF(AND(TRIM(U414)="Pass after CA",OR(TRIM(AA414)="",TRIM(AB414)&lt;&gt;"Closed")),"INVALID – corrective action not recorded/closed","")&lt;&gt;"",IF(AND(TRIM(U414)="Pass",ISNUMBER(AF414)),IF(AF414&lt;&gt;0,"INVALID – qty variance: use Fail or Pass after CA",""),"")&amp;IF(AND(TRIM(U414)="Pass",TRIM(AB414)&lt;&gt;"",TRIM(AB414)&lt;&gt;"Closed"),"INVALID – corrective action not closed: use Fail, then Pass after CA","")&amp;IF(AND(TRIM(AA414)&lt;&gt;"",TRIM(AB414)=""),"INVALID – CA status missing for the recorded corrective action","")&amp;IF(AND(TRIM(U414)="Pass after CA",OR(TRIM(AA414)="",TRIM(AB414)&lt;&gt;"Closed")),"INVALID – corrective action not recorded/closed",""),IF(AND(AS414=1,Documents!$J$16&lt;&gt;"ON FILE"),"INVALID – GLD not on file (Documents sheet)",IF(AND(AS414=2,Documents!$O$16&lt;&gt;"ON FILE"),"INVALID – menu checklist not on file (Documents sheet)",IF(AND(AS414=3,NOT(ISNUMBER(Flights!$AX$16))),"INVALID – enter carrying flight KUL departure (Flights AX)",IF(AND(AS414=3,OR(Flights!$AX$16&gt;=Flights!$AA$16,Flights!$AX$16&lt;Flights!$AA$16-3)),"INVALID – Flights AX must be before this leg's STD (within 3 days)",IF(AG414&gt;AsOfUTC,"INVALID – completion time is in the future",IF(AND(ISNUMBER(S414),AG414&lt;S414),IF(H414="Physical uplift","INVALID – before uplift window (cannot confirm loading)","INVALID – before valid window"),IF(AG414&gt;Flights!$AA$16,"INVALID – completed after departure (cannot establish readiness)",IF(AND(H414="Physical uplift",AG414&gt;Q414),"INVALID – recorded after the loading flight departed",IF(AG414&gt;Q414,"COMPLETE – LATE","COMPLETE")))))))))))))))))),IF(TRIM(U414)="Fail","FAIL – DISCREPANCY",IF(AND(TRIM(U414)&lt;&gt;"",TRIM(U414)&lt;&gt;"Not started",TRIM(U414)&lt;&gt;"In progress"),"INVALID – unrecognised status (use the list)",IF(AsOfUTC&gt;Q414,"OVERDUE",IF(N414="Clarification required","OPEN – CLARIFICATION","OPEN")))))))</f>
        <v>OPEN</v>
      </c>
      <c r="AI414" s="61" t="n">
        <f aca="false">IF(OR(AH414="N/A – RULE",AH414="N/A – JUSTIFIED"),0,1)</f>
        <v>1</v>
      </c>
      <c r="AJ414" s="61" t="n">
        <f aca="false">IF(LEFT(AH414,8)="COMPLETE",1,0)</f>
        <v>0</v>
      </c>
      <c r="AK414" s="61" t="n">
        <f aca="false">IF(AND(AI414=1,AJ414=0,AsOfUTC&gt;Q414),1,0)</f>
        <v>0</v>
      </c>
      <c r="AL414" s="61" t="n">
        <f aca="false">IF(AND(AI414=1,OR(TRIM(U414)="Fail",AND(TRIM(AB414)&lt;&gt;"",TRIM(AB414)&lt;&gt;"Closed"),AND(ISNUMBER(AF414),AF414&lt;&gt;0,TRIM(U414)&lt;&gt;"Pass after CA"))),1,0)</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8" t="b">
        <f aca="false">TRUE()</f>
        <v>1</v>
      </c>
    </row>
    <row r="415" customFormat="false" ht="39.75" hidden="false" customHeight="true" outlineLevel="0" collapsed="false">
      <c r="A415" s="57" t="s">
        <v>1012</v>
      </c>
      <c r="B415" s="57" t="s">
        <v>253</v>
      </c>
      <c r="C415" s="57" t="str">
        <f aca="false">Flights!$F$16</f>
        <v>MH0139</v>
      </c>
      <c r="D415" s="58" t="n">
        <f aca="false">Flights!$D$16</f>
        <v>46307</v>
      </c>
      <c r="E415" s="57" t="str">
        <f aca="false">Flights!$G$16&amp;"-"&amp;Flights!$H$16</f>
        <v>KUL-ADL</v>
      </c>
      <c r="F415" s="57" t="str">
        <f aca="false">Flights!$K$16</f>
        <v>BC</v>
      </c>
      <c r="G415" s="57" t="s">
        <v>424</v>
      </c>
      <c r="H415" s="57" t="s">
        <v>425</v>
      </c>
      <c r="I415" s="57" t="s">
        <v>464</v>
      </c>
      <c r="J415" s="57" t="s">
        <v>502</v>
      </c>
      <c r="K415" s="67" t="s">
        <v>466</v>
      </c>
      <c r="L415" s="67" t="s">
        <v>983</v>
      </c>
      <c r="M415" s="67" t="s">
        <v>416</v>
      </c>
      <c r="N415" s="67" t="s">
        <v>348</v>
      </c>
      <c r="O415" s="67"/>
      <c r="P415" s="57" t="s">
        <v>179</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59" t="n">
        <f aca="false">IF(ISNUMBER(Flights!$AY$16),MAX(Q415-UpliftWindowH/24,Flights!$AY$16+UpliftWindowH/24),Q415-UpliftWindowH/24)</f>
        <v>46307.3506944444</v>
      </c>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IF(N415="N/A – rule","N/A – RULE",IF(TRIM(U415)="N/A",IF(AT415=0,"INVALID – N/A not permitted for this mandatory check",IF(AND(TRIM(AC415)&lt;&gt;"",TRIM(AE415)&lt;&gt;"",TRIM(T415)&lt;&gt;"",TRIM(AE415)&lt;&gt;TRIM(T415)),"N/A – JUSTIFIED","INVALID – N/A needs justification, PIC and a different verifier")),IF(OR(TRIM(U415)="Pass",TRIM(U415)="Pass after CA"),IF(NOT(ISNUMBER(AD415)),"INVALID – completion time missing",IF(TRIM(T415)="","INVALID – PIC missing",IF(TRIM(V415)="","INVALID – result / assessment missing",IF(TRIM(Z415)="","INVALID – evidence missing",IF(TRIM(AE415)="","INVALID – verifier missing",IF(TRIM(AE415)=TRIM(T415),"INVALID – verifier must be someone other than the PIC",IF(AND(AQ415=1,TRIM(W415)=""),"INVALID – batch ID missing",IF(AND(AR415=1,OR(NOT(ISNUMBER(X415)),NOT(ISNUMBER(Y415)))),"INVALID – expected/actual qty missing",IF(IF(AND(TRIM(U415)="Pass",ISNUMBER(AF415)),IF(AF415&lt;&gt;0,"INVALID – qty variance: use Fail or Pass after CA",""),"")&amp;IF(AND(TRIM(U415)="Pass",TRIM(AB415)&lt;&gt;"",TRIM(AB415)&lt;&gt;"Closed"),"INVALID – corrective action not closed: use Fail, then Pass after CA","")&amp;IF(AND(TRIM(AA415)&lt;&gt;"",TRIM(AB415)=""),"INVALID – CA status missing for the recorded corrective action","")&amp;IF(AND(TRIM(U415)="Pass after CA",OR(TRIM(AA415)="",TRIM(AB415)&lt;&gt;"Closed")),"INVALID – corrective action not recorded/closed","")&lt;&gt;"",IF(AND(TRIM(U415)="Pass",ISNUMBER(AF415)),IF(AF415&lt;&gt;0,"INVALID – qty variance: use Fail or Pass after CA",""),"")&amp;IF(AND(TRIM(U415)="Pass",TRIM(AB415)&lt;&gt;"",TRIM(AB415)&lt;&gt;"Closed"),"INVALID – corrective action not closed: use Fail, then Pass after CA","")&amp;IF(AND(TRIM(AA415)&lt;&gt;"",TRIM(AB415)=""),"INVALID – CA status missing for the recorded corrective action","")&amp;IF(AND(TRIM(U415)="Pass after CA",OR(TRIM(AA415)="",TRIM(AB415)&lt;&gt;"Closed")),"INVALID – corrective action not recorded/closed",""),IF(AND(AS415=1,Documents!$J$16&lt;&gt;"ON FILE"),"INVALID – GLD not on file (Documents sheet)",IF(AND(AS415=2,Documents!$O$16&lt;&gt;"ON FILE"),"INVALID – menu checklist not on file (Documents sheet)",IF(AND(AS415=3,NOT(ISNUMBER(Flights!$AX$16))),"INVALID – enter carrying flight KUL departure (Flights AX)",IF(AND(AS415=3,OR(Flights!$AX$16&gt;=Flights!$AA$16,Flights!$AX$16&lt;Flights!$AA$16-3)),"INVALID – Flights AX must be before this leg's STD (within 3 days)",IF(AG415&gt;AsOfUTC,"INVALID – completion time is in the future",IF(AND(ISNUMBER(S415),AG415&lt;S415),IF(H415="Physical uplift","INVALID – before uplift window (cannot confirm loading)","INVALID – before valid window"),IF(AG415&gt;Flights!$AA$16,"INVALID – completed after departure (cannot establish readiness)",IF(AND(H415="Physical uplift",AG415&gt;Q415),"INVALID – recorded after the loading flight departed",IF(AG415&gt;Q415,"COMPLETE – LATE","COMPLETE")))))))))))))))))),IF(TRIM(U415)="Fail","FAIL – DISCREPANCY",IF(AND(TRIM(U415)&lt;&gt;"",TRIM(U415)&lt;&gt;"Not started",TRIM(U415)&lt;&gt;"In progress"),"INVALID – unrecognised status (use the list)",IF(AsOfUTC&gt;Q415,"OVERDUE",IF(N415="Clarification required","OPEN – CLARIFICATION","OPEN")))))))</f>
        <v>OPEN</v>
      </c>
      <c r="AI415" s="61" t="n">
        <f aca="false">IF(OR(AH415="N/A – RULE",AH415="N/A – JUSTIFIED"),0,1)</f>
        <v>1</v>
      </c>
      <c r="AJ415" s="61" t="n">
        <f aca="false">IF(LEFT(AH415,8)="COMPLETE",1,0)</f>
        <v>0</v>
      </c>
      <c r="AK415" s="61" t="n">
        <f aca="false">IF(AND(AI415=1,AJ415=0,AsOfUTC&gt;Q415),1,0)</f>
        <v>0</v>
      </c>
      <c r="AL415" s="61" t="n">
        <f aca="false">IF(AND(AI415=1,OR(TRIM(U415)="Fail",AND(TRIM(AB415)&lt;&gt;"",TRIM(AB415)&lt;&gt;"Closed"),AND(ISNUMBER(AF415),AF415&lt;&gt;0,TRIM(U415)&lt;&gt;"Pass after CA"))),1,0)</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8" t="b">
        <f aca="false">TRUE()</f>
        <v>1</v>
      </c>
    </row>
    <row r="416" customFormat="false" ht="39.75" hidden="false" customHeight="true" outlineLevel="0" collapsed="false">
      <c r="A416" s="57" t="s">
        <v>1013</v>
      </c>
      <c r="B416" s="57" t="s">
        <v>253</v>
      </c>
      <c r="C416" s="57" t="str">
        <f aca="false">Flights!$F$16</f>
        <v>MH0139</v>
      </c>
      <c r="D416" s="58" t="n">
        <f aca="false">Flights!$D$16</f>
        <v>46307</v>
      </c>
      <c r="E416" s="57" t="str">
        <f aca="false">Flights!$G$16&amp;"-"&amp;Flights!$H$16</f>
        <v>KUL-ADL</v>
      </c>
      <c r="F416" s="57" t="str">
        <f aca="false">Flights!$K$16</f>
        <v>BC</v>
      </c>
      <c r="G416" s="57" t="s">
        <v>424</v>
      </c>
      <c r="H416" s="57" t="s">
        <v>425</v>
      </c>
      <c r="I416" s="57" t="s">
        <v>464</v>
      </c>
      <c r="J416" s="57" t="s">
        <v>504</v>
      </c>
      <c r="K416" s="67" t="s">
        <v>466</v>
      </c>
      <c r="L416" s="67" t="s">
        <v>985</v>
      </c>
      <c r="M416" s="67" t="s">
        <v>416</v>
      </c>
      <c r="N416" s="67" t="s">
        <v>348</v>
      </c>
      <c r="O416" s="67"/>
      <c r="P416" s="57" t="s">
        <v>179</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59" t="n">
        <f aca="false">IF(ISNUMBER(Flights!$AY$16),MAX(Q416-UpliftWindowH/24,Flights!$AY$16+UpliftWindowH/24),Q416-UpliftWindowH/24)</f>
        <v>46307.3506944444</v>
      </c>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IF(N416="N/A – rule","N/A – RULE",IF(TRIM(U416)="N/A",IF(AT416=0,"INVALID – N/A not permitted for this mandatory check",IF(AND(TRIM(AC416)&lt;&gt;"",TRIM(AE416)&lt;&gt;"",TRIM(T416)&lt;&gt;"",TRIM(AE416)&lt;&gt;TRIM(T416)),"N/A – JUSTIFIED","INVALID – N/A needs justification, PIC and a different verifier")),IF(OR(TRIM(U416)="Pass",TRIM(U416)="Pass after CA"),IF(NOT(ISNUMBER(AD416)),"INVALID – completion time missing",IF(TRIM(T416)="","INVALID – PIC missing",IF(TRIM(V416)="","INVALID – result / assessment missing",IF(TRIM(Z416)="","INVALID – evidence missing",IF(TRIM(AE416)="","INVALID – verifier missing",IF(TRIM(AE416)=TRIM(T416),"INVALID – verifier must be someone other than the PIC",IF(AND(AQ416=1,TRIM(W416)=""),"INVALID – batch ID missing",IF(AND(AR416=1,OR(NOT(ISNUMBER(X416)),NOT(ISNUMBER(Y416)))),"INVALID – expected/actual qty missing",IF(IF(AND(TRIM(U416)="Pass",ISNUMBER(AF416)),IF(AF416&lt;&gt;0,"INVALID – qty variance: use Fail or Pass after CA",""),"")&amp;IF(AND(TRIM(U416)="Pass",TRIM(AB416)&lt;&gt;"",TRIM(AB416)&lt;&gt;"Closed"),"INVALID – corrective action not closed: use Fail, then Pass after CA","")&amp;IF(AND(TRIM(AA416)&lt;&gt;"",TRIM(AB416)=""),"INVALID – CA status missing for the recorded corrective action","")&amp;IF(AND(TRIM(U416)="Pass after CA",OR(TRIM(AA416)="",TRIM(AB416)&lt;&gt;"Closed")),"INVALID – corrective action not recorded/closed","")&lt;&gt;"",IF(AND(TRIM(U416)="Pass",ISNUMBER(AF416)),IF(AF416&lt;&gt;0,"INVALID – qty variance: use Fail or Pass after CA",""),"")&amp;IF(AND(TRIM(U416)="Pass",TRIM(AB416)&lt;&gt;"",TRIM(AB416)&lt;&gt;"Closed"),"INVALID – corrective action not closed: use Fail, then Pass after CA","")&amp;IF(AND(TRIM(AA416)&lt;&gt;"",TRIM(AB416)=""),"INVALID – CA status missing for the recorded corrective action","")&amp;IF(AND(TRIM(U416)="Pass after CA",OR(TRIM(AA416)="",TRIM(AB416)&lt;&gt;"Closed")),"INVALID – corrective action not recorded/closed",""),IF(AND(AS416=1,Documents!$J$16&lt;&gt;"ON FILE"),"INVALID – GLD not on file (Documents sheet)",IF(AND(AS416=2,Documents!$O$16&lt;&gt;"ON FILE"),"INVALID – menu checklist not on file (Documents sheet)",IF(AND(AS416=3,NOT(ISNUMBER(Flights!$AX$16))),"INVALID – enter carrying flight KUL departure (Flights AX)",IF(AND(AS416=3,OR(Flights!$AX$16&gt;=Flights!$AA$16,Flights!$AX$16&lt;Flights!$AA$16-3)),"INVALID – Flights AX must be before this leg's STD (within 3 days)",IF(AG416&gt;AsOfUTC,"INVALID – completion time is in the future",IF(AND(ISNUMBER(S416),AG416&lt;S416),IF(H416="Physical uplift","INVALID – before uplift window (cannot confirm loading)","INVALID – before valid window"),IF(AG416&gt;Flights!$AA$16,"INVALID – completed after departure (cannot establish readiness)",IF(AND(H416="Physical uplift",AG416&gt;Q416),"INVALID – recorded after the loading flight departed",IF(AG416&gt;Q416,"COMPLETE – LATE","COMPLETE")))))))))))))))))),IF(TRIM(U416)="Fail","FAIL – DISCREPANCY",IF(AND(TRIM(U416)&lt;&gt;"",TRIM(U416)&lt;&gt;"Not started",TRIM(U416)&lt;&gt;"In progress"),"INVALID – unrecognised status (use the list)",IF(AsOfUTC&gt;Q416,"OVERDUE",IF(N416="Clarification required","OPEN – CLARIFICATION","OPEN")))))))</f>
        <v>OPEN</v>
      </c>
      <c r="AI416" s="61" t="n">
        <f aca="false">IF(OR(AH416="N/A – RULE",AH416="N/A – JUSTIFIED"),0,1)</f>
        <v>1</v>
      </c>
      <c r="AJ416" s="61" t="n">
        <f aca="false">IF(LEFT(AH416,8)="COMPLETE",1,0)</f>
        <v>0</v>
      </c>
      <c r="AK416" s="61" t="n">
        <f aca="false">IF(AND(AI416=1,AJ416=0,AsOfUTC&gt;Q416),1,0)</f>
        <v>0</v>
      </c>
      <c r="AL416" s="61" t="n">
        <f aca="false">IF(AND(AI416=1,OR(TRIM(U416)="Fail",AND(TRIM(AB416)&lt;&gt;"",TRIM(AB416)&lt;&gt;"Closed"),AND(ISNUMBER(AF416),AF416&lt;&gt;0,TRIM(U416)&lt;&gt;"Pass after CA"))),1,0)</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8" t="b">
        <f aca="false">TRUE()</f>
        <v>1</v>
      </c>
    </row>
    <row r="417" customFormat="false" ht="39.75" hidden="false" customHeight="true" outlineLevel="0" collapsed="false">
      <c r="A417" s="57" t="s">
        <v>1014</v>
      </c>
      <c r="B417" s="57" t="s">
        <v>253</v>
      </c>
      <c r="C417" s="57" t="str">
        <f aca="false">Flights!$F$16</f>
        <v>MH0139</v>
      </c>
      <c r="D417" s="58" t="n">
        <f aca="false">Flights!$D$16</f>
        <v>46307</v>
      </c>
      <c r="E417" s="57" t="str">
        <f aca="false">Flights!$G$16&amp;"-"&amp;Flights!$H$16</f>
        <v>KUL-ADL</v>
      </c>
      <c r="F417" s="57" t="str">
        <f aca="false">Flights!$K$16</f>
        <v>BC</v>
      </c>
      <c r="G417" s="57" t="s">
        <v>424</v>
      </c>
      <c r="H417" s="57" t="s">
        <v>425</v>
      </c>
      <c r="I417" s="57" t="s">
        <v>464</v>
      </c>
      <c r="J417" s="57" t="s">
        <v>506</v>
      </c>
      <c r="K417" s="67" t="s">
        <v>466</v>
      </c>
      <c r="L417" s="67" t="s">
        <v>987</v>
      </c>
      <c r="M417" s="67" t="s">
        <v>416</v>
      </c>
      <c r="N417" s="67" t="s">
        <v>348</v>
      </c>
      <c r="O417" s="67"/>
      <c r="P417" s="57" t="s">
        <v>179</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59" t="n">
        <f aca="false">IF(ISNUMBER(Flights!$AY$16),MAX(Q417-UpliftWindowH/24,Flights!$AY$16+UpliftWindowH/24),Q417-UpliftWindowH/24)</f>
        <v>46307.3506944444</v>
      </c>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IF(N417="N/A – rule","N/A – RULE",IF(TRIM(U417)="N/A",IF(AT417=0,"INVALID – N/A not permitted for this mandatory check",IF(AND(TRIM(AC417)&lt;&gt;"",TRIM(AE417)&lt;&gt;"",TRIM(T417)&lt;&gt;"",TRIM(AE417)&lt;&gt;TRIM(T417)),"N/A – JUSTIFIED","INVALID – N/A needs justification, PIC and a different verifier")),IF(OR(TRIM(U417)="Pass",TRIM(U417)="Pass after CA"),IF(NOT(ISNUMBER(AD417)),"INVALID – completion time missing",IF(TRIM(T417)="","INVALID – PIC missing",IF(TRIM(V417)="","INVALID – result / assessment missing",IF(TRIM(Z417)="","INVALID – evidence missing",IF(TRIM(AE417)="","INVALID – verifier missing",IF(TRIM(AE417)=TRIM(T417),"INVALID – verifier must be someone other than the PIC",IF(AND(AQ417=1,TRIM(W417)=""),"INVALID – batch ID missing",IF(AND(AR417=1,OR(NOT(ISNUMBER(X417)),NOT(ISNUMBER(Y417)))),"INVALID – expected/actual qty missing",IF(IF(AND(TRIM(U417)="Pass",ISNUMBER(AF417)),IF(AF417&lt;&gt;0,"INVALID – qty variance: use Fail or Pass after CA",""),"")&amp;IF(AND(TRIM(U417)="Pass",TRIM(AB417)&lt;&gt;"",TRIM(AB417)&lt;&gt;"Closed"),"INVALID – corrective action not closed: use Fail, then Pass after CA","")&amp;IF(AND(TRIM(AA417)&lt;&gt;"",TRIM(AB417)=""),"INVALID – CA status missing for the recorded corrective action","")&amp;IF(AND(TRIM(U417)="Pass after CA",OR(TRIM(AA417)="",TRIM(AB417)&lt;&gt;"Closed")),"INVALID – corrective action not recorded/closed","")&lt;&gt;"",IF(AND(TRIM(U417)="Pass",ISNUMBER(AF417)),IF(AF417&lt;&gt;0,"INVALID – qty variance: use Fail or Pass after CA",""),"")&amp;IF(AND(TRIM(U417)="Pass",TRIM(AB417)&lt;&gt;"",TRIM(AB417)&lt;&gt;"Closed"),"INVALID – corrective action not closed: use Fail, then Pass after CA","")&amp;IF(AND(TRIM(AA417)&lt;&gt;"",TRIM(AB417)=""),"INVALID – CA status missing for the recorded corrective action","")&amp;IF(AND(TRIM(U417)="Pass after CA",OR(TRIM(AA417)="",TRIM(AB417)&lt;&gt;"Closed")),"INVALID – corrective action not recorded/closed",""),IF(AND(AS417=1,Documents!$J$16&lt;&gt;"ON FILE"),"INVALID – GLD not on file (Documents sheet)",IF(AND(AS417=2,Documents!$O$16&lt;&gt;"ON FILE"),"INVALID – menu checklist not on file (Documents sheet)",IF(AND(AS417=3,NOT(ISNUMBER(Flights!$AX$16))),"INVALID – enter carrying flight KUL departure (Flights AX)",IF(AND(AS417=3,OR(Flights!$AX$16&gt;=Flights!$AA$16,Flights!$AX$16&lt;Flights!$AA$16-3)),"INVALID – Flights AX must be before this leg's STD (within 3 days)",IF(AG417&gt;AsOfUTC,"INVALID – completion time is in the future",IF(AND(ISNUMBER(S417),AG417&lt;S417),IF(H417="Physical uplift","INVALID – before uplift window (cannot confirm loading)","INVALID – before valid window"),IF(AG417&gt;Flights!$AA$16,"INVALID – completed after departure (cannot establish readiness)",IF(AND(H417="Physical uplift",AG417&gt;Q417),"INVALID – recorded after the loading flight departed",IF(AG417&gt;Q417,"COMPLETE – LATE","COMPLETE")))))))))))))))))),IF(TRIM(U417)="Fail","FAIL – DISCREPANCY",IF(AND(TRIM(U417)&lt;&gt;"",TRIM(U417)&lt;&gt;"Not started",TRIM(U417)&lt;&gt;"In progress"),"INVALID – unrecognised status (use the list)",IF(AsOfUTC&gt;Q417,"OVERDUE",IF(N417="Clarification required","OPEN – CLARIFICATION","OPEN")))))))</f>
        <v>OPEN</v>
      </c>
      <c r="AI417" s="61" t="n">
        <f aca="false">IF(OR(AH417="N/A – RULE",AH417="N/A – JUSTIFIED"),0,1)</f>
        <v>1</v>
      </c>
      <c r="AJ417" s="61" t="n">
        <f aca="false">IF(LEFT(AH417,8)="COMPLETE",1,0)</f>
        <v>0</v>
      </c>
      <c r="AK417" s="61" t="n">
        <f aca="false">IF(AND(AI417=1,AJ417=0,AsOfUTC&gt;Q417),1,0)</f>
        <v>0</v>
      </c>
      <c r="AL417" s="61" t="n">
        <f aca="false">IF(AND(AI417=1,OR(TRIM(U417)="Fail",AND(TRIM(AB417)&lt;&gt;"",TRIM(AB417)&lt;&gt;"Closed"),AND(ISNUMBER(AF417),AF417&lt;&gt;0,TRIM(U417)&lt;&gt;"Pass after CA"))),1,0)</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8" t="b">
        <f aca="false">TRUE()</f>
        <v>1</v>
      </c>
    </row>
    <row r="418" customFormat="false" ht="39.75" hidden="false" customHeight="true" outlineLevel="0" collapsed="false">
      <c r="A418" s="57" t="s">
        <v>1015</v>
      </c>
      <c r="B418" s="57" t="s">
        <v>253</v>
      </c>
      <c r="C418" s="57" t="str">
        <f aca="false">Flights!$F$16</f>
        <v>MH0139</v>
      </c>
      <c r="D418" s="58" t="n">
        <f aca="false">Flights!$D$16</f>
        <v>46307</v>
      </c>
      <c r="E418" s="57" t="str">
        <f aca="false">Flights!$G$16&amp;"-"&amp;Flights!$H$16</f>
        <v>KUL-ADL</v>
      </c>
      <c r="F418" s="57" t="str">
        <f aca="false">Flights!$K$16</f>
        <v>BC</v>
      </c>
      <c r="G418" s="57" t="s">
        <v>424</v>
      </c>
      <c r="H418" s="57" t="s">
        <v>425</v>
      </c>
      <c r="I418" s="57" t="s">
        <v>464</v>
      </c>
      <c r="J418" s="57" t="s">
        <v>508</v>
      </c>
      <c r="K418" s="67" t="s">
        <v>466</v>
      </c>
      <c r="L418" s="67" t="s">
        <v>989</v>
      </c>
      <c r="M418" s="67" t="s">
        <v>416</v>
      </c>
      <c r="N418" s="67" t="s">
        <v>348</v>
      </c>
      <c r="O418" s="67"/>
      <c r="P418" s="57" t="s">
        <v>179</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59" t="n">
        <f aca="false">IF(ISNUMBER(Flights!$AY$16),MAX(Q418-UpliftWindowH/24,Flights!$AY$16+UpliftWindowH/24),Q418-UpliftWindowH/24)</f>
        <v>46307.3506944444</v>
      </c>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IF(N418="N/A – rule","N/A – RULE",IF(TRIM(U418)="N/A",IF(AT418=0,"INVALID – N/A not permitted for this mandatory check",IF(AND(TRIM(AC418)&lt;&gt;"",TRIM(AE418)&lt;&gt;"",TRIM(T418)&lt;&gt;"",TRIM(AE418)&lt;&gt;TRIM(T418)),"N/A – JUSTIFIED","INVALID – N/A needs justification, PIC and a different verifier")),IF(OR(TRIM(U418)="Pass",TRIM(U418)="Pass after CA"),IF(NOT(ISNUMBER(AD418)),"INVALID – completion time missing",IF(TRIM(T418)="","INVALID – PIC missing",IF(TRIM(V418)="","INVALID – result / assessment missing",IF(TRIM(Z418)="","INVALID – evidence missing",IF(TRIM(AE418)="","INVALID – verifier missing",IF(TRIM(AE418)=TRIM(T418),"INVALID – verifier must be someone other than the PIC",IF(AND(AQ418=1,TRIM(W418)=""),"INVALID – batch ID missing",IF(AND(AR418=1,OR(NOT(ISNUMBER(X418)),NOT(ISNUMBER(Y418)))),"INVALID – expected/actual qty missing",IF(IF(AND(TRIM(U418)="Pass",ISNUMBER(AF418)),IF(AF418&lt;&gt;0,"INVALID – qty variance: use Fail or Pass after CA",""),"")&amp;IF(AND(TRIM(U418)="Pass",TRIM(AB418)&lt;&gt;"",TRIM(AB418)&lt;&gt;"Closed"),"INVALID – corrective action not closed: use Fail, then Pass after CA","")&amp;IF(AND(TRIM(AA418)&lt;&gt;"",TRIM(AB418)=""),"INVALID – CA status missing for the recorded corrective action","")&amp;IF(AND(TRIM(U418)="Pass after CA",OR(TRIM(AA418)="",TRIM(AB418)&lt;&gt;"Closed")),"INVALID – corrective action not recorded/closed","")&lt;&gt;"",IF(AND(TRIM(U418)="Pass",ISNUMBER(AF418)),IF(AF418&lt;&gt;0,"INVALID – qty variance: use Fail or Pass after CA",""),"")&amp;IF(AND(TRIM(U418)="Pass",TRIM(AB418)&lt;&gt;"",TRIM(AB418)&lt;&gt;"Closed"),"INVALID – corrective action not closed: use Fail, then Pass after CA","")&amp;IF(AND(TRIM(AA418)&lt;&gt;"",TRIM(AB418)=""),"INVALID – CA status missing for the recorded corrective action","")&amp;IF(AND(TRIM(U418)="Pass after CA",OR(TRIM(AA418)="",TRIM(AB418)&lt;&gt;"Closed")),"INVALID – corrective action not recorded/closed",""),IF(AND(AS418=1,Documents!$J$16&lt;&gt;"ON FILE"),"INVALID – GLD not on file (Documents sheet)",IF(AND(AS418=2,Documents!$O$16&lt;&gt;"ON FILE"),"INVALID – menu checklist not on file (Documents sheet)",IF(AND(AS418=3,NOT(ISNUMBER(Flights!$AX$16))),"INVALID – enter carrying flight KUL departure (Flights AX)",IF(AND(AS418=3,OR(Flights!$AX$16&gt;=Flights!$AA$16,Flights!$AX$16&lt;Flights!$AA$16-3)),"INVALID – Flights AX must be before this leg's STD (within 3 days)",IF(AG418&gt;AsOfUTC,"INVALID – completion time is in the future",IF(AND(ISNUMBER(S418),AG418&lt;S418),IF(H418="Physical uplift","INVALID – before uplift window (cannot confirm loading)","INVALID – before valid window"),IF(AG418&gt;Flights!$AA$16,"INVALID – completed after departure (cannot establish readiness)",IF(AND(H418="Physical uplift",AG418&gt;Q418),"INVALID – recorded after the loading flight departed",IF(AG418&gt;Q418,"COMPLETE – LATE","COMPLETE")))))))))))))))))),IF(TRIM(U418)="Fail","FAIL – DISCREPANCY",IF(AND(TRIM(U418)&lt;&gt;"",TRIM(U418)&lt;&gt;"Not started",TRIM(U418)&lt;&gt;"In progress"),"INVALID – unrecognised status (use the list)",IF(AsOfUTC&gt;Q418,"OVERDUE",IF(N418="Clarification required","OPEN – CLARIFICATION","OPEN")))))))</f>
        <v>OPEN</v>
      </c>
      <c r="AI418" s="61" t="n">
        <f aca="false">IF(OR(AH418="N/A – RULE",AH418="N/A – JUSTIFIED"),0,1)</f>
        <v>1</v>
      </c>
      <c r="AJ418" s="61" t="n">
        <f aca="false">IF(LEFT(AH418,8)="COMPLETE",1,0)</f>
        <v>0</v>
      </c>
      <c r="AK418" s="61" t="n">
        <f aca="false">IF(AND(AI418=1,AJ418=0,AsOfUTC&gt;Q418),1,0)</f>
        <v>0</v>
      </c>
      <c r="AL418" s="61" t="n">
        <f aca="false">IF(AND(AI418=1,OR(TRIM(U418)="Fail",AND(TRIM(AB418)&lt;&gt;"",TRIM(AB418)&lt;&gt;"Closed"),AND(ISNUMBER(AF418),AF418&lt;&gt;0,TRIM(U418)&lt;&gt;"Pass after CA"))),1,0)</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8" t="b">
        <f aca="false">TRUE()</f>
        <v>1</v>
      </c>
    </row>
    <row r="419" customFormat="false" ht="39.75" hidden="false" customHeight="true" outlineLevel="0" collapsed="false">
      <c r="A419" s="57" t="s">
        <v>1016</v>
      </c>
      <c r="B419" s="57" t="s">
        <v>253</v>
      </c>
      <c r="C419" s="57" t="str">
        <f aca="false">Flights!$F$16</f>
        <v>MH0139</v>
      </c>
      <c r="D419" s="58" t="n">
        <f aca="false">Flights!$D$16</f>
        <v>46307</v>
      </c>
      <c r="E419" s="57" t="str">
        <f aca="false">Flights!$G$16&amp;"-"&amp;Flights!$H$16</f>
        <v>KUL-ADL</v>
      </c>
      <c r="F419" s="57" t="str">
        <f aca="false">Flights!$K$16</f>
        <v>BC</v>
      </c>
      <c r="G419" s="57" t="s">
        <v>424</v>
      </c>
      <c r="H419" s="57" t="s">
        <v>425</v>
      </c>
      <c r="I419" s="57" t="s">
        <v>464</v>
      </c>
      <c r="J419" s="57" t="s">
        <v>511</v>
      </c>
      <c r="K419" s="67" t="s">
        <v>466</v>
      </c>
      <c r="L419" s="67" t="s">
        <v>991</v>
      </c>
      <c r="M419" s="67" t="s">
        <v>416</v>
      </c>
      <c r="N419" s="67" t="s">
        <v>348</v>
      </c>
      <c r="O419" s="67"/>
      <c r="P419" s="57" t="s">
        <v>179</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59" t="n">
        <f aca="false">IF(ISNUMBER(Flights!$AY$16),MAX(Q419-UpliftWindowH/24,Flights!$AY$16+UpliftWindowH/24),Q419-UpliftWindowH/24)</f>
        <v>46307.3506944444</v>
      </c>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IF(N419="N/A – rule","N/A – RULE",IF(TRIM(U419)="N/A",IF(AT419=0,"INVALID – N/A not permitted for this mandatory check",IF(AND(TRIM(AC419)&lt;&gt;"",TRIM(AE419)&lt;&gt;"",TRIM(T419)&lt;&gt;"",TRIM(AE419)&lt;&gt;TRIM(T419)),"N/A – JUSTIFIED","INVALID – N/A needs justification, PIC and a different verifier")),IF(OR(TRIM(U419)="Pass",TRIM(U419)="Pass after CA"),IF(NOT(ISNUMBER(AD419)),"INVALID – completion time missing",IF(TRIM(T419)="","INVALID – PIC missing",IF(TRIM(V419)="","INVALID – result / assessment missing",IF(TRIM(Z419)="","INVALID – evidence missing",IF(TRIM(AE419)="","INVALID – verifier missing",IF(TRIM(AE419)=TRIM(T419),"INVALID – verifier must be someone other than the PIC",IF(AND(AQ419=1,TRIM(W419)=""),"INVALID – batch ID missing",IF(AND(AR419=1,OR(NOT(ISNUMBER(X419)),NOT(ISNUMBER(Y419)))),"INVALID – expected/actual qty missing",IF(IF(AND(TRIM(U419)="Pass",ISNUMBER(AF419)),IF(AF419&lt;&gt;0,"INVALID – qty variance: use Fail or Pass after CA",""),"")&amp;IF(AND(TRIM(U419)="Pass",TRIM(AB419)&lt;&gt;"",TRIM(AB419)&lt;&gt;"Closed"),"INVALID – corrective action not closed: use Fail, then Pass after CA","")&amp;IF(AND(TRIM(AA419)&lt;&gt;"",TRIM(AB419)=""),"INVALID – CA status missing for the recorded corrective action","")&amp;IF(AND(TRIM(U419)="Pass after CA",OR(TRIM(AA419)="",TRIM(AB419)&lt;&gt;"Closed")),"INVALID – corrective action not recorded/closed","")&lt;&gt;"",IF(AND(TRIM(U419)="Pass",ISNUMBER(AF419)),IF(AF419&lt;&gt;0,"INVALID – qty variance: use Fail or Pass after CA",""),"")&amp;IF(AND(TRIM(U419)="Pass",TRIM(AB419)&lt;&gt;"",TRIM(AB419)&lt;&gt;"Closed"),"INVALID – corrective action not closed: use Fail, then Pass after CA","")&amp;IF(AND(TRIM(AA419)&lt;&gt;"",TRIM(AB419)=""),"INVALID – CA status missing for the recorded corrective action","")&amp;IF(AND(TRIM(U419)="Pass after CA",OR(TRIM(AA419)="",TRIM(AB419)&lt;&gt;"Closed")),"INVALID – corrective action not recorded/closed",""),IF(AND(AS419=1,Documents!$J$16&lt;&gt;"ON FILE"),"INVALID – GLD not on file (Documents sheet)",IF(AND(AS419=2,Documents!$O$16&lt;&gt;"ON FILE"),"INVALID – menu checklist not on file (Documents sheet)",IF(AND(AS419=3,NOT(ISNUMBER(Flights!$AX$16))),"INVALID – enter carrying flight KUL departure (Flights AX)",IF(AND(AS419=3,OR(Flights!$AX$16&gt;=Flights!$AA$16,Flights!$AX$16&lt;Flights!$AA$16-3)),"INVALID – Flights AX must be before this leg's STD (within 3 days)",IF(AG419&gt;AsOfUTC,"INVALID – completion time is in the future",IF(AND(ISNUMBER(S419),AG419&lt;S419),IF(H419="Physical uplift","INVALID – before uplift window (cannot confirm loading)","INVALID – before valid window"),IF(AG419&gt;Flights!$AA$16,"INVALID – completed after departure (cannot establish readiness)",IF(AND(H419="Physical uplift",AG419&gt;Q419),"INVALID – recorded after the loading flight departed",IF(AG419&gt;Q419,"COMPLETE – LATE","COMPLETE")))))))))))))))))),IF(TRIM(U419)="Fail","FAIL – DISCREPANCY",IF(AND(TRIM(U419)&lt;&gt;"",TRIM(U419)&lt;&gt;"Not started",TRIM(U419)&lt;&gt;"In progress"),"INVALID – unrecognised status (use the list)",IF(AsOfUTC&gt;Q419,"OVERDUE",IF(N419="Clarification required","OPEN – CLARIFICATION","OPEN")))))))</f>
        <v>OPEN</v>
      </c>
      <c r="AI419" s="61" t="n">
        <f aca="false">IF(OR(AH419="N/A – RULE",AH419="N/A – JUSTIFIED"),0,1)</f>
        <v>1</v>
      </c>
      <c r="AJ419" s="61" t="n">
        <f aca="false">IF(LEFT(AH419,8)="COMPLETE",1,0)</f>
        <v>0</v>
      </c>
      <c r="AK419" s="61" t="n">
        <f aca="false">IF(AND(AI419=1,AJ419=0,AsOfUTC&gt;Q419),1,0)</f>
        <v>0</v>
      </c>
      <c r="AL419" s="61" t="n">
        <f aca="false">IF(AND(AI419=1,OR(TRIM(U419)="Fail",AND(TRIM(AB419)&lt;&gt;"",TRIM(AB419)&lt;&gt;"Closed"),AND(ISNUMBER(AF419),AF419&lt;&gt;0,TRIM(U419)&lt;&gt;"Pass after CA"))),1,0)</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8" t="b">
        <f aca="false">TRUE()</f>
        <v>1</v>
      </c>
    </row>
    <row r="420" customFormat="false" ht="39.75" hidden="false" customHeight="true" outlineLevel="0" collapsed="false">
      <c r="A420" s="57" t="s">
        <v>1017</v>
      </c>
      <c r="B420" s="57" t="s">
        <v>253</v>
      </c>
      <c r="C420" s="57" t="str">
        <f aca="false">Flights!$F$16</f>
        <v>MH0139</v>
      </c>
      <c r="D420" s="58" t="n">
        <f aca="false">Flights!$D$16</f>
        <v>46307</v>
      </c>
      <c r="E420" s="57" t="str">
        <f aca="false">Flights!$G$16&amp;"-"&amp;Flights!$H$16</f>
        <v>KUL-ADL</v>
      </c>
      <c r="F420" s="57" t="str">
        <f aca="false">Flights!$K$16</f>
        <v>BC</v>
      </c>
      <c r="G420" s="57" t="s">
        <v>424</v>
      </c>
      <c r="H420" s="57" t="s">
        <v>425</v>
      </c>
      <c r="I420" s="57" t="s">
        <v>464</v>
      </c>
      <c r="J420" s="57" t="s">
        <v>513</v>
      </c>
      <c r="K420" s="67" t="s">
        <v>581</v>
      </c>
      <c r="L420" s="67" t="s">
        <v>993</v>
      </c>
      <c r="M420" s="67" t="s">
        <v>416</v>
      </c>
      <c r="N420" s="67" t="s">
        <v>348</v>
      </c>
      <c r="O420" s="67" t="s">
        <v>514</v>
      </c>
      <c r="P420" s="57" t="s">
        <v>179</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59" t="n">
        <f aca="false">IF(ISNUMBER(Flights!$AY$16),MAX(Q420-UpliftWindowH/24,Flights!$AY$16+UpliftWindowH/24),Q420-UpliftWindowH/24)</f>
        <v>46307.3506944444</v>
      </c>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IF(N420="N/A – rule","N/A – RULE",IF(TRIM(U420)="N/A",IF(AT420=0,"INVALID – N/A not permitted for this mandatory check",IF(AND(TRIM(AC420)&lt;&gt;"",TRIM(AE420)&lt;&gt;"",TRIM(T420)&lt;&gt;"",TRIM(AE420)&lt;&gt;TRIM(T420)),"N/A – JUSTIFIED","INVALID – N/A needs justification, PIC and a different verifier")),IF(OR(TRIM(U420)="Pass",TRIM(U420)="Pass after CA"),IF(NOT(ISNUMBER(AD420)),"INVALID – completion time missing",IF(TRIM(T420)="","INVALID – PIC missing",IF(TRIM(V420)="","INVALID – result / assessment missing",IF(TRIM(Z420)="","INVALID – evidence missing",IF(TRIM(AE420)="","INVALID – verifier missing",IF(TRIM(AE420)=TRIM(T420),"INVALID – verifier must be someone other than the PIC",IF(AND(AQ420=1,TRIM(W420)=""),"INVALID – batch ID missing",IF(AND(AR420=1,OR(NOT(ISNUMBER(X420)),NOT(ISNUMBER(Y420)))),"INVALID – expected/actual qty missing",IF(IF(AND(TRIM(U420)="Pass",ISNUMBER(AF420)),IF(AF420&lt;&gt;0,"INVALID – qty variance: use Fail or Pass after CA",""),"")&amp;IF(AND(TRIM(U420)="Pass",TRIM(AB420)&lt;&gt;"",TRIM(AB420)&lt;&gt;"Closed"),"INVALID – corrective action not closed: use Fail, then Pass after CA","")&amp;IF(AND(TRIM(AA420)&lt;&gt;"",TRIM(AB420)=""),"INVALID – CA status missing for the recorded corrective action","")&amp;IF(AND(TRIM(U420)="Pass after CA",OR(TRIM(AA420)="",TRIM(AB420)&lt;&gt;"Closed")),"INVALID – corrective action not recorded/closed","")&lt;&gt;"",IF(AND(TRIM(U420)="Pass",ISNUMBER(AF420)),IF(AF420&lt;&gt;0,"INVALID – qty variance: use Fail or Pass after CA",""),"")&amp;IF(AND(TRIM(U420)="Pass",TRIM(AB420)&lt;&gt;"",TRIM(AB420)&lt;&gt;"Closed"),"INVALID – corrective action not closed: use Fail, then Pass after CA","")&amp;IF(AND(TRIM(AA420)&lt;&gt;"",TRIM(AB420)=""),"INVALID – CA status missing for the recorded corrective action","")&amp;IF(AND(TRIM(U420)="Pass after CA",OR(TRIM(AA420)="",TRIM(AB420)&lt;&gt;"Closed")),"INVALID – corrective action not recorded/closed",""),IF(AND(AS420=1,Documents!$J$16&lt;&gt;"ON FILE"),"INVALID – GLD not on file (Documents sheet)",IF(AND(AS420=2,Documents!$O$16&lt;&gt;"ON FILE"),"INVALID – menu checklist not on file (Documents sheet)",IF(AND(AS420=3,NOT(ISNUMBER(Flights!$AX$16))),"INVALID – enter carrying flight KUL departure (Flights AX)",IF(AND(AS420=3,OR(Flights!$AX$16&gt;=Flights!$AA$16,Flights!$AX$16&lt;Flights!$AA$16-3)),"INVALID – Flights AX must be before this leg's STD (within 3 days)",IF(AG420&gt;AsOfUTC,"INVALID – completion time is in the future",IF(AND(ISNUMBER(S420),AG420&lt;S420),IF(H420="Physical uplift","INVALID – before uplift window (cannot confirm loading)","INVALID – before valid window"),IF(AG420&gt;Flights!$AA$16,"INVALID – completed after departure (cannot establish readiness)",IF(AND(H420="Physical uplift",AG420&gt;Q420),"INVALID – recorded after the loading flight departed",IF(AG420&gt;Q420,"COMPLETE – LATE","COMPLETE")))))))))))))))))),IF(TRIM(U420)="Fail","FAIL – DISCREPANCY",IF(AND(TRIM(U420)&lt;&gt;"",TRIM(U420)&lt;&gt;"Not started",TRIM(U420)&lt;&gt;"In progress"),"INVALID – unrecognised status (use the list)",IF(AsOfUTC&gt;Q420,"OVERDUE",IF(N420="Clarification required","OPEN – CLARIFICATION","OPEN")))))))</f>
        <v>OPEN</v>
      </c>
      <c r="AI420" s="61" t="n">
        <f aca="false">IF(OR(AH420="N/A – RULE",AH420="N/A – JUSTIFIED"),0,1)</f>
        <v>1</v>
      </c>
      <c r="AJ420" s="61" t="n">
        <f aca="false">IF(LEFT(AH420,8)="COMPLETE",1,0)</f>
        <v>0</v>
      </c>
      <c r="AK420" s="61" t="n">
        <f aca="false">IF(AND(AI420=1,AJ420=0,AsOfUTC&gt;Q420),1,0)</f>
        <v>0</v>
      </c>
      <c r="AL420" s="61" t="n">
        <f aca="false">IF(AND(AI420=1,OR(TRIM(U420)="Fail",AND(TRIM(AB420)&lt;&gt;"",TRIM(AB420)&lt;&gt;"Closed"),AND(ISNUMBER(AF420),AF420&lt;&gt;0,TRIM(U420)&lt;&gt;"Pass after CA"))),1,0)</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8" t="b">
        <f aca="false">TRUE()</f>
        <v>1</v>
      </c>
    </row>
    <row r="421" customFormat="false" ht="39.75" hidden="false" customHeight="true" outlineLevel="0" collapsed="false">
      <c r="A421" s="57" t="s">
        <v>1018</v>
      </c>
      <c r="B421" s="57" t="s">
        <v>253</v>
      </c>
      <c r="C421" s="57" t="str">
        <f aca="false">Flights!$F$16</f>
        <v>MH0139</v>
      </c>
      <c r="D421" s="58" t="n">
        <f aca="false">Flights!$D$16</f>
        <v>46307</v>
      </c>
      <c r="E421" s="57" t="str">
        <f aca="false">Flights!$G$16&amp;"-"&amp;Flights!$H$16</f>
        <v>KUL-ADL</v>
      </c>
      <c r="F421" s="57" t="str">
        <f aca="false">Flights!$K$16</f>
        <v>BC</v>
      </c>
      <c r="G421" s="57" t="s">
        <v>424</v>
      </c>
      <c r="H421" s="57" t="s">
        <v>425</v>
      </c>
      <c r="I421" s="57" t="s">
        <v>464</v>
      </c>
      <c r="J421" s="57" t="s">
        <v>516</v>
      </c>
      <c r="K421" s="67" t="s">
        <v>466</v>
      </c>
      <c r="L421" s="67" t="s">
        <v>995</v>
      </c>
      <c r="M421" s="67" t="s">
        <v>416</v>
      </c>
      <c r="N421" s="67" t="s">
        <v>348</v>
      </c>
      <c r="O421" s="67"/>
      <c r="P421" s="57" t="s">
        <v>179</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59" t="n">
        <f aca="false">IF(ISNUMBER(Flights!$AY$16),MAX(Q421-UpliftWindowH/24,Flights!$AY$16+UpliftWindowH/24),Q421-UpliftWindowH/24)</f>
        <v>46307.3506944444</v>
      </c>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IF(N421="N/A – rule","N/A – RULE",IF(TRIM(U421)="N/A",IF(AT421=0,"INVALID – N/A not permitted for this mandatory check",IF(AND(TRIM(AC421)&lt;&gt;"",TRIM(AE421)&lt;&gt;"",TRIM(T421)&lt;&gt;"",TRIM(AE421)&lt;&gt;TRIM(T421)),"N/A – JUSTIFIED","INVALID – N/A needs justification, PIC and a different verifier")),IF(OR(TRIM(U421)="Pass",TRIM(U421)="Pass after CA"),IF(NOT(ISNUMBER(AD421)),"INVALID – completion time missing",IF(TRIM(T421)="","INVALID – PIC missing",IF(TRIM(V421)="","INVALID – result / assessment missing",IF(TRIM(Z421)="","INVALID – evidence missing",IF(TRIM(AE421)="","INVALID – verifier missing",IF(TRIM(AE421)=TRIM(T421),"INVALID – verifier must be someone other than the PIC",IF(AND(AQ421=1,TRIM(W421)=""),"INVALID – batch ID missing",IF(AND(AR421=1,OR(NOT(ISNUMBER(X421)),NOT(ISNUMBER(Y421)))),"INVALID – expected/actual qty missing",IF(IF(AND(TRIM(U421)="Pass",ISNUMBER(AF421)),IF(AF421&lt;&gt;0,"INVALID – qty variance: use Fail or Pass after CA",""),"")&amp;IF(AND(TRIM(U421)="Pass",TRIM(AB421)&lt;&gt;"",TRIM(AB421)&lt;&gt;"Closed"),"INVALID – corrective action not closed: use Fail, then Pass after CA","")&amp;IF(AND(TRIM(AA421)&lt;&gt;"",TRIM(AB421)=""),"INVALID – CA status missing for the recorded corrective action","")&amp;IF(AND(TRIM(U421)="Pass after CA",OR(TRIM(AA421)="",TRIM(AB421)&lt;&gt;"Closed")),"INVALID – corrective action not recorded/closed","")&lt;&gt;"",IF(AND(TRIM(U421)="Pass",ISNUMBER(AF421)),IF(AF421&lt;&gt;0,"INVALID – qty variance: use Fail or Pass after CA",""),"")&amp;IF(AND(TRIM(U421)="Pass",TRIM(AB421)&lt;&gt;"",TRIM(AB421)&lt;&gt;"Closed"),"INVALID – corrective action not closed: use Fail, then Pass after CA","")&amp;IF(AND(TRIM(AA421)&lt;&gt;"",TRIM(AB421)=""),"INVALID – CA status missing for the recorded corrective action","")&amp;IF(AND(TRIM(U421)="Pass after CA",OR(TRIM(AA421)="",TRIM(AB421)&lt;&gt;"Closed")),"INVALID – corrective action not recorded/closed",""),IF(AND(AS421=1,Documents!$J$16&lt;&gt;"ON FILE"),"INVALID – GLD not on file (Documents sheet)",IF(AND(AS421=2,Documents!$O$16&lt;&gt;"ON FILE"),"INVALID – menu checklist not on file (Documents sheet)",IF(AND(AS421=3,NOT(ISNUMBER(Flights!$AX$16))),"INVALID – enter carrying flight KUL departure (Flights AX)",IF(AND(AS421=3,OR(Flights!$AX$16&gt;=Flights!$AA$16,Flights!$AX$16&lt;Flights!$AA$16-3)),"INVALID – Flights AX must be before this leg's STD (within 3 days)",IF(AG421&gt;AsOfUTC,"INVALID – completion time is in the future",IF(AND(ISNUMBER(S421),AG421&lt;S421),IF(H421="Physical uplift","INVALID – before uplift window (cannot confirm loading)","INVALID – before valid window"),IF(AG421&gt;Flights!$AA$16,"INVALID – completed after departure (cannot establish readiness)",IF(AND(H421="Physical uplift",AG421&gt;Q421),"INVALID – recorded after the loading flight departed",IF(AG421&gt;Q421,"COMPLETE – LATE","COMPLETE")))))))))))))))))),IF(TRIM(U421)="Fail","FAIL – DISCREPANCY",IF(AND(TRIM(U421)&lt;&gt;"",TRIM(U421)&lt;&gt;"Not started",TRIM(U421)&lt;&gt;"In progress"),"INVALID – unrecognised status (use the list)",IF(AsOfUTC&gt;Q421,"OVERDUE",IF(N421="Clarification required","OPEN – CLARIFICATION","OPEN")))))))</f>
        <v>OPEN</v>
      </c>
      <c r="AI421" s="61" t="n">
        <f aca="false">IF(OR(AH421="N/A – RULE",AH421="N/A – JUSTIFIED"),0,1)</f>
        <v>1</v>
      </c>
      <c r="AJ421" s="61" t="n">
        <f aca="false">IF(LEFT(AH421,8)="COMPLETE",1,0)</f>
        <v>0</v>
      </c>
      <c r="AK421" s="61" t="n">
        <f aca="false">IF(AND(AI421=1,AJ421=0,AsOfUTC&gt;Q421),1,0)</f>
        <v>0</v>
      </c>
      <c r="AL421" s="61" t="n">
        <f aca="false">IF(AND(AI421=1,OR(TRIM(U421)="Fail",AND(TRIM(AB421)&lt;&gt;"",TRIM(AB421)&lt;&gt;"Closed"),AND(ISNUMBER(AF421),AF421&lt;&gt;0,TRIM(U421)&lt;&gt;"Pass after CA"))),1,0)</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8" t="b">
        <f aca="false">TRUE()</f>
        <v>1</v>
      </c>
    </row>
    <row r="422" customFormat="false" ht="39.75" hidden="false" customHeight="true" outlineLevel="0" collapsed="false">
      <c r="A422" s="57" t="s">
        <v>1019</v>
      </c>
      <c r="B422" s="57" t="s">
        <v>253</v>
      </c>
      <c r="C422" s="57" t="str">
        <f aca="false">Flights!$F$16</f>
        <v>MH0139</v>
      </c>
      <c r="D422" s="58" t="n">
        <f aca="false">Flights!$D$16</f>
        <v>46307</v>
      </c>
      <c r="E422" s="57" t="str">
        <f aca="false">Flights!$G$16&amp;"-"&amp;Flights!$H$16</f>
        <v>KUL-ADL</v>
      </c>
      <c r="F422" s="57" t="str">
        <f aca="false">Flights!$K$16</f>
        <v>BC</v>
      </c>
      <c r="G422" s="57" t="s">
        <v>424</v>
      </c>
      <c r="H422" s="57" t="s">
        <v>425</v>
      </c>
      <c r="I422" s="57" t="s">
        <v>412</v>
      </c>
      <c r="J422" s="57" t="s">
        <v>518</v>
      </c>
      <c r="K422" s="67" t="s">
        <v>414</v>
      </c>
      <c r="L422" s="67" t="s">
        <v>997</v>
      </c>
      <c r="M422" s="67" t="s">
        <v>416</v>
      </c>
      <c r="N422" s="67" t="s">
        <v>348</v>
      </c>
      <c r="O422" s="67"/>
      <c r="P422" s="57" t="s">
        <v>179</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59" t="n">
        <f aca="false">IF(ISNUMBER(Flights!$AY$16),MAX(Q422-UpliftWindowH/24,Flights!$AY$16+UpliftWindowH/24),Q422-UpliftWindowH/24)</f>
        <v>46307.3506944444</v>
      </c>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IF(N422="N/A – rule","N/A – RULE",IF(TRIM(U422)="N/A",IF(AT422=0,"INVALID – N/A not permitted for this mandatory check",IF(AND(TRIM(AC422)&lt;&gt;"",TRIM(AE422)&lt;&gt;"",TRIM(T422)&lt;&gt;"",TRIM(AE422)&lt;&gt;TRIM(T422)),"N/A – JUSTIFIED","INVALID – N/A needs justification, PIC and a different verifier")),IF(OR(TRIM(U422)="Pass",TRIM(U422)="Pass after CA"),IF(NOT(ISNUMBER(AD422)),"INVALID – completion time missing",IF(TRIM(T422)="","INVALID – PIC missing",IF(TRIM(V422)="","INVALID – result / assessment missing",IF(TRIM(Z422)="","INVALID – evidence missing",IF(TRIM(AE422)="","INVALID – verifier missing",IF(TRIM(AE422)=TRIM(T422),"INVALID – verifier must be someone other than the PIC",IF(AND(AQ422=1,TRIM(W422)=""),"INVALID – batch ID missing",IF(AND(AR422=1,OR(NOT(ISNUMBER(X422)),NOT(ISNUMBER(Y422)))),"INVALID – expected/actual qty missing",IF(IF(AND(TRIM(U422)="Pass",ISNUMBER(AF422)),IF(AF422&lt;&gt;0,"INVALID – qty variance: use Fail or Pass after CA",""),"")&amp;IF(AND(TRIM(U422)="Pass",TRIM(AB422)&lt;&gt;"",TRIM(AB422)&lt;&gt;"Closed"),"INVALID – corrective action not closed: use Fail, then Pass after CA","")&amp;IF(AND(TRIM(AA422)&lt;&gt;"",TRIM(AB422)=""),"INVALID – CA status missing for the recorded corrective action","")&amp;IF(AND(TRIM(U422)="Pass after CA",OR(TRIM(AA422)="",TRIM(AB422)&lt;&gt;"Closed")),"INVALID – corrective action not recorded/closed","")&lt;&gt;"",IF(AND(TRIM(U422)="Pass",ISNUMBER(AF422)),IF(AF422&lt;&gt;0,"INVALID – qty variance: use Fail or Pass after CA",""),"")&amp;IF(AND(TRIM(U422)="Pass",TRIM(AB422)&lt;&gt;"",TRIM(AB422)&lt;&gt;"Closed"),"INVALID – corrective action not closed: use Fail, then Pass after CA","")&amp;IF(AND(TRIM(AA422)&lt;&gt;"",TRIM(AB422)=""),"INVALID – CA status missing for the recorded corrective action","")&amp;IF(AND(TRIM(U422)="Pass after CA",OR(TRIM(AA422)="",TRIM(AB422)&lt;&gt;"Closed")),"INVALID – corrective action not recorded/closed",""),IF(AND(AS422=1,Documents!$J$16&lt;&gt;"ON FILE"),"INVALID – GLD not on file (Documents sheet)",IF(AND(AS422=2,Documents!$O$16&lt;&gt;"ON FILE"),"INVALID – menu checklist not on file (Documents sheet)",IF(AND(AS422=3,NOT(ISNUMBER(Flights!$AX$16))),"INVALID – enter carrying flight KUL departure (Flights AX)",IF(AND(AS422=3,OR(Flights!$AX$16&gt;=Flights!$AA$16,Flights!$AX$16&lt;Flights!$AA$16-3)),"INVALID – Flights AX must be before this leg's STD (within 3 days)",IF(AG422&gt;AsOfUTC,"INVALID – completion time is in the future",IF(AND(ISNUMBER(S422),AG422&lt;S422),IF(H422="Physical uplift","INVALID – before uplift window (cannot confirm loading)","INVALID – before valid window"),IF(AG422&gt;Flights!$AA$16,"INVALID – completed after departure (cannot establish readiness)",IF(AND(H422="Physical uplift",AG422&gt;Q422),"INVALID – recorded after the loading flight departed",IF(AG422&gt;Q422,"COMPLETE – LATE","COMPLETE")))))))))))))))))),IF(TRIM(U422)="Fail","FAIL – DISCREPANCY",IF(AND(TRIM(U422)&lt;&gt;"",TRIM(U422)&lt;&gt;"Not started",TRIM(U422)&lt;&gt;"In progress"),"INVALID – unrecognised status (use the list)",IF(AsOfUTC&gt;Q422,"OVERDUE",IF(N422="Clarification required","OPEN – CLARIFICATION","OPEN")))))))</f>
        <v>OPEN</v>
      </c>
      <c r="AI422" s="61" t="n">
        <f aca="false">IF(OR(AH422="N/A – RULE",AH422="N/A – JUSTIFIED"),0,1)</f>
        <v>1</v>
      </c>
      <c r="AJ422" s="61" t="n">
        <f aca="false">IF(LEFT(AH422,8)="COMPLETE",1,0)</f>
        <v>0</v>
      </c>
      <c r="AK422" s="61" t="n">
        <f aca="false">IF(AND(AI422=1,AJ422=0,AsOfUTC&gt;Q422),1,0)</f>
        <v>0</v>
      </c>
      <c r="AL422" s="61" t="n">
        <f aca="false">IF(AND(AI422=1,OR(TRIM(U422)="Fail",AND(TRIM(AB422)&lt;&gt;"",TRIM(AB422)&lt;&gt;"Closed"),AND(ISNUMBER(AF422),AF422&lt;&gt;0,TRIM(U422)&lt;&gt;"Pass after CA"))),1,0)</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8" t="b">
        <f aca="false">TRUE()</f>
        <v>1</v>
      </c>
    </row>
    <row r="423" customFormat="false" ht="39.75" hidden="false" customHeight="true" outlineLevel="0" collapsed="false">
      <c r="A423" s="57" t="s">
        <v>1020</v>
      </c>
      <c r="B423" s="57" t="s">
        <v>253</v>
      </c>
      <c r="C423" s="57" t="str">
        <f aca="false">Flights!$F$16</f>
        <v>MH0139</v>
      </c>
      <c r="D423" s="58" t="n">
        <f aca="false">Flights!$D$16</f>
        <v>46307</v>
      </c>
      <c r="E423" s="57" t="str">
        <f aca="false">Flights!$G$16&amp;"-"&amp;Flights!$H$16</f>
        <v>KUL-ADL</v>
      </c>
      <c r="F423" s="57" t="str">
        <f aca="false">Flights!$K$16</f>
        <v>BC</v>
      </c>
      <c r="G423" s="57" t="s">
        <v>424</v>
      </c>
      <c r="H423" s="57" t="s">
        <v>425</v>
      </c>
      <c r="I423" s="57" t="s">
        <v>412</v>
      </c>
      <c r="J423" s="57" t="s">
        <v>618</v>
      </c>
      <c r="K423" s="67" t="s">
        <v>414</v>
      </c>
      <c r="L423" s="67" t="s">
        <v>999</v>
      </c>
      <c r="M423" s="67" t="s">
        <v>416</v>
      </c>
      <c r="N423" s="67" t="s">
        <v>348</v>
      </c>
      <c r="O423" s="67"/>
      <c r="P423" s="57" t="s">
        <v>179</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59" t="n">
        <f aca="false">IF(ISNUMBER(Flights!$AY$16),MAX(Q423-UpliftWindowH/24,Flights!$AY$16+UpliftWindowH/24),Q423-UpliftWindowH/24)</f>
        <v>46307.3506944444</v>
      </c>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IF(N423="N/A – rule","N/A – RULE",IF(TRIM(U423)="N/A",IF(AT423=0,"INVALID – N/A not permitted for this mandatory check",IF(AND(TRIM(AC423)&lt;&gt;"",TRIM(AE423)&lt;&gt;"",TRIM(T423)&lt;&gt;"",TRIM(AE423)&lt;&gt;TRIM(T423)),"N/A – JUSTIFIED","INVALID – N/A needs justification, PIC and a different verifier")),IF(OR(TRIM(U423)="Pass",TRIM(U423)="Pass after CA"),IF(NOT(ISNUMBER(AD423)),"INVALID – completion time missing",IF(TRIM(T423)="","INVALID – PIC missing",IF(TRIM(V423)="","INVALID – result / assessment missing",IF(TRIM(Z423)="","INVALID – evidence missing",IF(TRIM(AE423)="","INVALID – verifier missing",IF(TRIM(AE423)=TRIM(T423),"INVALID – verifier must be someone other than the PIC",IF(AND(AQ423=1,TRIM(W423)=""),"INVALID – batch ID missing",IF(AND(AR423=1,OR(NOT(ISNUMBER(X423)),NOT(ISNUMBER(Y423)))),"INVALID – expected/actual qty missing",IF(IF(AND(TRIM(U423)="Pass",ISNUMBER(AF423)),IF(AF423&lt;&gt;0,"INVALID – qty variance: use Fail or Pass after CA",""),"")&amp;IF(AND(TRIM(U423)="Pass",TRIM(AB423)&lt;&gt;"",TRIM(AB423)&lt;&gt;"Closed"),"INVALID – corrective action not closed: use Fail, then Pass after CA","")&amp;IF(AND(TRIM(AA423)&lt;&gt;"",TRIM(AB423)=""),"INVALID – CA status missing for the recorded corrective action","")&amp;IF(AND(TRIM(U423)="Pass after CA",OR(TRIM(AA423)="",TRIM(AB423)&lt;&gt;"Closed")),"INVALID – corrective action not recorded/closed","")&lt;&gt;"",IF(AND(TRIM(U423)="Pass",ISNUMBER(AF423)),IF(AF423&lt;&gt;0,"INVALID – qty variance: use Fail or Pass after CA",""),"")&amp;IF(AND(TRIM(U423)="Pass",TRIM(AB423)&lt;&gt;"",TRIM(AB423)&lt;&gt;"Closed"),"INVALID – corrective action not closed: use Fail, then Pass after CA","")&amp;IF(AND(TRIM(AA423)&lt;&gt;"",TRIM(AB423)=""),"INVALID – CA status missing for the recorded corrective action","")&amp;IF(AND(TRIM(U423)="Pass after CA",OR(TRIM(AA423)="",TRIM(AB423)&lt;&gt;"Closed")),"INVALID – corrective action not recorded/closed",""),IF(AND(AS423=1,Documents!$J$16&lt;&gt;"ON FILE"),"INVALID – GLD not on file (Documents sheet)",IF(AND(AS423=2,Documents!$O$16&lt;&gt;"ON FILE"),"INVALID – menu checklist not on file (Documents sheet)",IF(AND(AS423=3,NOT(ISNUMBER(Flights!$AX$16))),"INVALID – enter carrying flight KUL departure (Flights AX)",IF(AND(AS423=3,OR(Flights!$AX$16&gt;=Flights!$AA$16,Flights!$AX$16&lt;Flights!$AA$16-3)),"INVALID – Flights AX must be before this leg's STD (within 3 days)",IF(AG423&gt;AsOfUTC,"INVALID – completion time is in the future",IF(AND(ISNUMBER(S423),AG423&lt;S423),IF(H423="Physical uplift","INVALID – before uplift window (cannot confirm loading)","INVALID – before valid window"),IF(AG423&gt;Flights!$AA$16,"INVALID – completed after departure (cannot establish readiness)",IF(AND(H423="Physical uplift",AG423&gt;Q423),"INVALID – recorded after the loading flight departed",IF(AG423&gt;Q423,"COMPLETE – LATE","COMPLETE")))))))))))))))))),IF(TRIM(U423)="Fail","FAIL – DISCREPANCY",IF(AND(TRIM(U423)&lt;&gt;"",TRIM(U423)&lt;&gt;"Not started",TRIM(U423)&lt;&gt;"In progress"),"INVALID – unrecognised status (use the list)",IF(AsOfUTC&gt;Q423,"OVERDUE",IF(N423="Clarification required","OPEN – CLARIFICATION","OPEN")))))))</f>
        <v>OPEN</v>
      </c>
      <c r="AI423" s="61" t="n">
        <f aca="false">IF(OR(AH423="N/A – RULE",AH423="N/A – JUSTIFIED"),0,1)</f>
        <v>1</v>
      </c>
      <c r="AJ423" s="61" t="n">
        <f aca="false">IF(LEFT(AH423,8)="COMPLETE",1,0)</f>
        <v>0</v>
      </c>
      <c r="AK423" s="61" t="n">
        <f aca="false">IF(AND(AI423=1,AJ423=0,AsOfUTC&gt;Q423),1,0)</f>
        <v>0</v>
      </c>
      <c r="AL423" s="61" t="n">
        <f aca="false">IF(AND(AI423=1,OR(TRIM(U423)="Fail",AND(TRIM(AB423)&lt;&gt;"",TRIM(AB423)&lt;&gt;"Closed"),AND(ISNUMBER(AF423),AF423&lt;&gt;0,TRIM(U423)&lt;&gt;"Pass after CA"))),1,0)</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8" t="b">
        <f aca="false">TRUE()</f>
        <v>1</v>
      </c>
    </row>
    <row r="424" customFormat="false" ht="39.75" hidden="false" customHeight="true" outlineLevel="0" collapsed="false">
      <c r="A424" s="57" t="s">
        <v>1021</v>
      </c>
      <c r="B424" s="57" t="s">
        <v>253</v>
      </c>
      <c r="C424" s="57" t="str">
        <f aca="false">Flights!$F$16</f>
        <v>MH0139</v>
      </c>
      <c r="D424" s="58" t="n">
        <f aca="false">Flights!$D$16</f>
        <v>46307</v>
      </c>
      <c r="E424" s="57" t="str">
        <f aca="false">Flights!$G$16&amp;"-"&amp;Flights!$H$16</f>
        <v>KUL-ADL</v>
      </c>
      <c r="F424" s="57" t="str">
        <f aca="false">Flights!$K$16</f>
        <v>BC</v>
      </c>
      <c r="G424" s="57" t="s">
        <v>424</v>
      </c>
      <c r="H424" s="57" t="s">
        <v>425</v>
      </c>
      <c r="I424" s="57" t="s">
        <v>412</v>
      </c>
      <c r="J424" s="57" t="s">
        <v>620</v>
      </c>
      <c r="K424" s="67" t="s">
        <v>414</v>
      </c>
      <c r="L424" s="67" t="s">
        <v>1001</v>
      </c>
      <c r="M424" s="67" t="s">
        <v>416</v>
      </c>
      <c r="N424" s="67" t="s">
        <v>348</v>
      </c>
      <c r="O424" s="67"/>
      <c r="P424" s="57" t="s">
        <v>179</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59" t="n">
        <f aca="false">IF(ISNUMBER(Flights!$AY$16),MAX(Q424-UpliftWindowH/24,Flights!$AY$16+UpliftWindowH/24),Q424-UpliftWindowH/24)</f>
        <v>46307.3506944444</v>
      </c>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IF(N424="N/A – rule","N/A – RULE",IF(TRIM(U424)="N/A",IF(AT424=0,"INVALID – N/A not permitted for this mandatory check",IF(AND(TRIM(AC424)&lt;&gt;"",TRIM(AE424)&lt;&gt;"",TRIM(T424)&lt;&gt;"",TRIM(AE424)&lt;&gt;TRIM(T424)),"N/A – JUSTIFIED","INVALID – N/A needs justification, PIC and a different verifier")),IF(OR(TRIM(U424)="Pass",TRIM(U424)="Pass after CA"),IF(NOT(ISNUMBER(AD424)),"INVALID – completion time missing",IF(TRIM(T424)="","INVALID – PIC missing",IF(TRIM(V424)="","INVALID – result / assessment missing",IF(TRIM(Z424)="","INVALID – evidence missing",IF(TRIM(AE424)="","INVALID – verifier missing",IF(TRIM(AE424)=TRIM(T424),"INVALID – verifier must be someone other than the PIC",IF(AND(AQ424=1,TRIM(W424)=""),"INVALID – batch ID missing",IF(AND(AR424=1,OR(NOT(ISNUMBER(X424)),NOT(ISNUMBER(Y424)))),"INVALID – expected/actual qty missing",IF(IF(AND(TRIM(U424)="Pass",ISNUMBER(AF424)),IF(AF424&lt;&gt;0,"INVALID – qty variance: use Fail or Pass after CA",""),"")&amp;IF(AND(TRIM(U424)="Pass",TRIM(AB424)&lt;&gt;"",TRIM(AB424)&lt;&gt;"Closed"),"INVALID – corrective action not closed: use Fail, then Pass after CA","")&amp;IF(AND(TRIM(AA424)&lt;&gt;"",TRIM(AB424)=""),"INVALID – CA status missing for the recorded corrective action","")&amp;IF(AND(TRIM(U424)="Pass after CA",OR(TRIM(AA424)="",TRIM(AB424)&lt;&gt;"Closed")),"INVALID – corrective action not recorded/closed","")&lt;&gt;"",IF(AND(TRIM(U424)="Pass",ISNUMBER(AF424)),IF(AF424&lt;&gt;0,"INVALID – qty variance: use Fail or Pass after CA",""),"")&amp;IF(AND(TRIM(U424)="Pass",TRIM(AB424)&lt;&gt;"",TRIM(AB424)&lt;&gt;"Closed"),"INVALID – corrective action not closed: use Fail, then Pass after CA","")&amp;IF(AND(TRIM(AA424)&lt;&gt;"",TRIM(AB424)=""),"INVALID – CA status missing for the recorded corrective action","")&amp;IF(AND(TRIM(U424)="Pass after CA",OR(TRIM(AA424)="",TRIM(AB424)&lt;&gt;"Closed")),"INVALID – corrective action not recorded/closed",""),IF(AND(AS424=1,Documents!$J$16&lt;&gt;"ON FILE"),"INVALID – GLD not on file (Documents sheet)",IF(AND(AS424=2,Documents!$O$16&lt;&gt;"ON FILE"),"INVALID – menu checklist not on file (Documents sheet)",IF(AND(AS424=3,NOT(ISNUMBER(Flights!$AX$16))),"INVALID – enter carrying flight KUL departure (Flights AX)",IF(AND(AS424=3,OR(Flights!$AX$16&gt;=Flights!$AA$16,Flights!$AX$16&lt;Flights!$AA$16-3)),"INVALID – Flights AX must be before this leg's STD (within 3 days)",IF(AG424&gt;AsOfUTC,"INVALID – completion time is in the future",IF(AND(ISNUMBER(S424),AG424&lt;S424),IF(H424="Physical uplift","INVALID – before uplift window (cannot confirm loading)","INVALID – before valid window"),IF(AG424&gt;Flights!$AA$16,"INVALID – completed after departure (cannot establish readiness)",IF(AND(H424="Physical uplift",AG424&gt;Q424),"INVALID – recorded after the loading flight departed",IF(AG424&gt;Q424,"COMPLETE – LATE","COMPLETE")))))))))))))))))),IF(TRIM(U424)="Fail","FAIL – DISCREPANCY",IF(AND(TRIM(U424)&lt;&gt;"",TRIM(U424)&lt;&gt;"Not started",TRIM(U424)&lt;&gt;"In progress"),"INVALID – unrecognised status (use the list)",IF(AsOfUTC&gt;Q424,"OVERDUE",IF(N424="Clarification required","OPEN – CLARIFICATION","OPEN")))))))</f>
        <v>OPEN</v>
      </c>
      <c r="AI424" s="61" t="n">
        <f aca="false">IF(OR(AH424="N/A – RULE",AH424="N/A – JUSTIFIED"),0,1)</f>
        <v>1</v>
      </c>
      <c r="AJ424" s="61" t="n">
        <f aca="false">IF(LEFT(AH424,8)="COMPLETE",1,0)</f>
        <v>0</v>
      </c>
      <c r="AK424" s="61" t="n">
        <f aca="false">IF(AND(AI424=1,AJ424=0,AsOfUTC&gt;Q424),1,0)</f>
        <v>0</v>
      </c>
      <c r="AL424" s="61" t="n">
        <f aca="false">IF(AND(AI424=1,OR(TRIM(U424)="Fail",AND(TRIM(AB424)&lt;&gt;"",TRIM(AB424)&lt;&gt;"Closed"),AND(ISNUMBER(AF424),AF424&lt;&gt;0,TRIM(U424)&lt;&gt;"Pass after CA"))),1,0)</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8" t="b">
        <f aca="false">TRUE()</f>
        <v>1</v>
      </c>
    </row>
    <row r="425" customFormat="false" ht="39.75" hidden="false" customHeight="true" outlineLevel="0" collapsed="false">
      <c r="A425" s="57" t="s">
        <v>1022</v>
      </c>
      <c r="B425" s="57" t="s">
        <v>253</v>
      </c>
      <c r="C425" s="57" t="str">
        <f aca="false">Flights!$F$16</f>
        <v>MH0139</v>
      </c>
      <c r="D425" s="58" t="n">
        <f aca="false">Flights!$D$16</f>
        <v>46307</v>
      </c>
      <c r="E425" s="57" t="str">
        <f aca="false">Flights!$G$16&amp;"-"&amp;Flights!$H$16</f>
        <v>KUL-ADL</v>
      </c>
      <c r="F425" s="57" t="str">
        <f aca="false">Flights!$K$16</f>
        <v>BC</v>
      </c>
      <c r="G425" s="57" t="s">
        <v>424</v>
      </c>
      <c r="H425" s="57" t="s">
        <v>425</v>
      </c>
      <c r="I425" s="57" t="s">
        <v>594</v>
      </c>
      <c r="J425" s="57" t="s">
        <v>622</v>
      </c>
      <c r="K425" s="67" t="s">
        <v>466</v>
      </c>
      <c r="L425" s="67" t="s">
        <v>1003</v>
      </c>
      <c r="M425" s="67" t="s">
        <v>179</v>
      </c>
      <c r="N425" s="67" t="s">
        <v>348</v>
      </c>
      <c r="O425" s="67" t="s">
        <v>597</v>
      </c>
      <c r="P425" s="57" t="s">
        <v>179</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59" t="n">
        <f aca="false">IF(ISNUMBER(Flights!$AY$16),MAX(Q425-UpliftWindowH/24,Flights!$AY$16+UpliftWindowH/24),Q425-UpliftWindowH/24)</f>
        <v>46307.3506944444</v>
      </c>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IF(N425="N/A – rule","N/A – RULE",IF(TRIM(U425)="N/A",IF(AT425=0,"INVALID – N/A not permitted for this mandatory check",IF(AND(TRIM(AC425)&lt;&gt;"",TRIM(AE425)&lt;&gt;"",TRIM(T425)&lt;&gt;"",TRIM(AE425)&lt;&gt;TRIM(T425)),"N/A – JUSTIFIED","INVALID – N/A needs justification, PIC and a different verifier")),IF(OR(TRIM(U425)="Pass",TRIM(U425)="Pass after CA"),IF(NOT(ISNUMBER(AD425)),"INVALID – completion time missing",IF(TRIM(T425)="","INVALID – PIC missing",IF(TRIM(V425)="","INVALID – result / assessment missing",IF(TRIM(Z425)="","INVALID – evidence missing",IF(TRIM(AE425)="","INVALID – verifier missing",IF(TRIM(AE425)=TRIM(T425),"INVALID – verifier must be someone other than the PIC",IF(AND(AQ425=1,TRIM(W425)=""),"INVALID – batch ID missing",IF(AND(AR425=1,OR(NOT(ISNUMBER(X425)),NOT(ISNUMBER(Y425)))),"INVALID – expected/actual qty missing",IF(IF(AND(TRIM(U425)="Pass",ISNUMBER(AF425)),IF(AF425&lt;&gt;0,"INVALID – qty variance: use Fail or Pass after CA",""),"")&amp;IF(AND(TRIM(U425)="Pass",TRIM(AB425)&lt;&gt;"",TRIM(AB425)&lt;&gt;"Closed"),"INVALID – corrective action not closed: use Fail, then Pass after CA","")&amp;IF(AND(TRIM(AA425)&lt;&gt;"",TRIM(AB425)=""),"INVALID – CA status missing for the recorded corrective action","")&amp;IF(AND(TRIM(U425)="Pass after CA",OR(TRIM(AA425)="",TRIM(AB425)&lt;&gt;"Closed")),"INVALID – corrective action not recorded/closed","")&lt;&gt;"",IF(AND(TRIM(U425)="Pass",ISNUMBER(AF425)),IF(AF425&lt;&gt;0,"INVALID – qty variance: use Fail or Pass after CA",""),"")&amp;IF(AND(TRIM(U425)="Pass",TRIM(AB425)&lt;&gt;"",TRIM(AB425)&lt;&gt;"Closed"),"INVALID – corrective action not closed: use Fail, then Pass after CA","")&amp;IF(AND(TRIM(AA425)&lt;&gt;"",TRIM(AB425)=""),"INVALID – CA status missing for the recorded corrective action","")&amp;IF(AND(TRIM(U425)="Pass after CA",OR(TRIM(AA425)="",TRIM(AB425)&lt;&gt;"Closed")),"INVALID – corrective action not recorded/closed",""),IF(AND(AS425=1,Documents!$J$16&lt;&gt;"ON FILE"),"INVALID – GLD not on file (Documents sheet)",IF(AND(AS425=2,Documents!$O$16&lt;&gt;"ON FILE"),"INVALID – menu checklist not on file (Documents sheet)",IF(AND(AS425=3,NOT(ISNUMBER(Flights!$AX$16))),"INVALID – enter carrying flight KUL departure (Flights AX)",IF(AND(AS425=3,OR(Flights!$AX$16&gt;=Flights!$AA$16,Flights!$AX$16&lt;Flights!$AA$16-3)),"INVALID – Flights AX must be before this leg's STD (within 3 days)",IF(AG425&gt;AsOfUTC,"INVALID – completion time is in the future",IF(AND(ISNUMBER(S425),AG425&lt;S425),IF(H425="Physical uplift","INVALID – before uplift window (cannot confirm loading)","INVALID – before valid window"),IF(AG425&gt;Flights!$AA$16,"INVALID – completed after departure (cannot establish readiness)",IF(AND(H425="Physical uplift",AG425&gt;Q425),"INVALID – recorded after the loading flight departed",IF(AG425&gt;Q425,"COMPLETE – LATE","COMPLETE")))))))))))))))))),IF(TRIM(U425)="Fail","FAIL – DISCREPANCY",IF(AND(TRIM(U425)&lt;&gt;"",TRIM(U425)&lt;&gt;"Not started",TRIM(U425)&lt;&gt;"In progress"),"INVALID – unrecognised status (use the list)",IF(AsOfUTC&gt;Q425,"OVERDUE",IF(N425="Clarification required","OPEN – CLARIFICATION","OPEN")))))))</f>
        <v>OPEN</v>
      </c>
      <c r="AI425" s="61" t="n">
        <f aca="false">IF(OR(AH425="N/A – RULE",AH425="N/A – JUSTIFIED"),0,1)</f>
        <v>1</v>
      </c>
      <c r="AJ425" s="61" t="n">
        <f aca="false">IF(LEFT(AH425,8)="COMPLETE",1,0)</f>
        <v>0</v>
      </c>
      <c r="AK425" s="61" t="n">
        <f aca="false">IF(AND(AI425=1,AJ425=0,AsOfUTC&gt;Q425),1,0)</f>
        <v>0</v>
      </c>
      <c r="AL425" s="61" t="n">
        <f aca="false">IF(AND(AI425=1,OR(TRIM(U425)="Fail",AND(TRIM(AB425)&lt;&gt;"",TRIM(AB425)&lt;&gt;"Closed"),AND(ISNUMBER(AF425),AF425&lt;&gt;0,TRIM(U425)&lt;&gt;"Pass after CA"))),1,0)</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8" t="b">
        <f aca="false">TRUE()</f>
        <v>1</v>
      </c>
    </row>
    <row r="426" customFormat="false" ht="39.75" hidden="false" customHeight="true" outlineLevel="0" collapsed="false">
      <c r="A426" s="57" t="s">
        <v>1023</v>
      </c>
      <c r="B426" s="57" t="s">
        <v>253</v>
      </c>
      <c r="C426" s="57" t="str">
        <f aca="false">Flights!$F$16</f>
        <v>MH0139</v>
      </c>
      <c r="D426" s="58" t="n">
        <f aca="false">Flights!$D$16</f>
        <v>46307</v>
      </c>
      <c r="E426" s="57" t="str">
        <f aca="false">Flights!$G$16&amp;"-"&amp;Flights!$H$16</f>
        <v>KUL-ADL</v>
      </c>
      <c r="F426" s="57" t="str">
        <f aca="false">Flights!$K$16</f>
        <v>BC</v>
      </c>
      <c r="G426" s="57" t="s">
        <v>424</v>
      </c>
      <c r="H426" s="57" t="s">
        <v>425</v>
      </c>
      <c r="I426" s="57" t="s">
        <v>599</v>
      </c>
      <c r="J426" s="57" t="s">
        <v>624</v>
      </c>
      <c r="K426" s="67" t="s">
        <v>1005</v>
      </c>
      <c r="L426" s="67" t="s">
        <v>1006</v>
      </c>
      <c r="M426" s="67" t="s">
        <v>416</v>
      </c>
      <c r="N426" s="67" t="s">
        <v>348</v>
      </c>
      <c r="O426" s="67" t="s">
        <v>1024</v>
      </c>
      <c r="P426" s="57" t="s">
        <v>179</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59" t="n">
        <f aca="false">IF(ISNUMBER(Flights!$AY$16),MAX(Q426-UpliftWindowH/24,Flights!$AY$16+UpliftWindowH/24),Q426-UpliftWindowH/24)</f>
        <v>46307.3506944444</v>
      </c>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IF(N426="N/A – rule","N/A – RULE",IF(TRIM(U426)="N/A",IF(AT426=0,"INVALID – N/A not permitted for this mandatory check",IF(AND(TRIM(AC426)&lt;&gt;"",TRIM(AE426)&lt;&gt;"",TRIM(T426)&lt;&gt;"",TRIM(AE426)&lt;&gt;TRIM(T426)),"N/A – JUSTIFIED","INVALID – N/A needs justification, PIC and a different verifier")),IF(OR(TRIM(U426)="Pass",TRIM(U426)="Pass after CA"),IF(NOT(ISNUMBER(AD426)),"INVALID – completion time missing",IF(TRIM(T426)="","INVALID – PIC missing",IF(TRIM(V426)="","INVALID – result / assessment missing",IF(TRIM(Z426)="","INVALID – evidence missing",IF(TRIM(AE426)="","INVALID – verifier missing",IF(TRIM(AE426)=TRIM(T426),"INVALID – verifier must be someone other than the PIC",IF(AND(AQ426=1,TRIM(W426)=""),"INVALID – batch ID missing",IF(AND(AR426=1,OR(NOT(ISNUMBER(X426)),NOT(ISNUMBER(Y426)))),"INVALID – expected/actual qty missing",IF(IF(AND(TRIM(U426)="Pass",ISNUMBER(AF426)),IF(AF426&lt;&gt;0,"INVALID – qty variance: use Fail or Pass after CA",""),"")&amp;IF(AND(TRIM(U426)="Pass",TRIM(AB426)&lt;&gt;"",TRIM(AB426)&lt;&gt;"Closed"),"INVALID – corrective action not closed: use Fail, then Pass after CA","")&amp;IF(AND(TRIM(AA426)&lt;&gt;"",TRIM(AB426)=""),"INVALID – CA status missing for the recorded corrective action","")&amp;IF(AND(TRIM(U426)="Pass after CA",OR(TRIM(AA426)="",TRIM(AB426)&lt;&gt;"Closed")),"INVALID – corrective action not recorded/closed","")&lt;&gt;"",IF(AND(TRIM(U426)="Pass",ISNUMBER(AF426)),IF(AF426&lt;&gt;0,"INVALID – qty variance: use Fail or Pass after CA",""),"")&amp;IF(AND(TRIM(U426)="Pass",TRIM(AB426)&lt;&gt;"",TRIM(AB426)&lt;&gt;"Closed"),"INVALID – corrective action not closed: use Fail, then Pass after CA","")&amp;IF(AND(TRIM(AA426)&lt;&gt;"",TRIM(AB426)=""),"INVALID – CA status missing for the recorded corrective action","")&amp;IF(AND(TRIM(U426)="Pass after CA",OR(TRIM(AA426)="",TRIM(AB426)&lt;&gt;"Closed")),"INVALID – corrective action not recorded/closed",""),IF(AND(AS426=1,Documents!$J$16&lt;&gt;"ON FILE"),"INVALID – GLD not on file (Documents sheet)",IF(AND(AS426=2,Documents!$O$16&lt;&gt;"ON FILE"),"INVALID – menu checklist not on file (Documents sheet)",IF(AND(AS426=3,NOT(ISNUMBER(Flights!$AX$16))),"INVALID – enter carrying flight KUL departure (Flights AX)",IF(AND(AS426=3,OR(Flights!$AX$16&gt;=Flights!$AA$16,Flights!$AX$16&lt;Flights!$AA$16-3)),"INVALID – Flights AX must be before this leg's STD (within 3 days)",IF(AG426&gt;AsOfUTC,"INVALID – completion time is in the future",IF(AND(ISNUMBER(S426),AG426&lt;S426),IF(H426="Physical uplift","INVALID – before uplift window (cannot confirm loading)","INVALID – before valid window"),IF(AG426&gt;Flights!$AA$16,"INVALID – completed after departure (cannot establish readiness)",IF(AND(H426="Physical uplift",AG426&gt;Q426),"INVALID – recorded after the loading flight departed",IF(AG426&gt;Q426,"COMPLETE – LATE","COMPLETE")))))))))))))))))),IF(TRIM(U426)="Fail","FAIL – DISCREPANCY",IF(AND(TRIM(U426)&lt;&gt;"",TRIM(U426)&lt;&gt;"Not started",TRIM(U426)&lt;&gt;"In progress"),"INVALID – unrecognised status (use the list)",IF(AsOfUTC&gt;Q426,"OVERDUE",IF(N426="Clarification required","OPEN – CLARIFICATION","OPEN")))))))</f>
        <v>OPEN</v>
      </c>
      <c r="AI426" s="61" t="n">
        <f aca="false">IF(OR(AH426="N/A – RULE",AH426="N/A – JUSTIFIED"),0,1)</f>
        <v>1</v>
      </c>
      <c r="AJ426" s="61" t="n">
        <f aca="false">IF(LEFT(AH426,8)="COMPLETE",1,0)</f>
        <v>0</v>
      </c>
      <c r="AK426" s="61" t="n">
        <f aca="false">IF(AND(AI426=1,AJ426=0,AsOfUTC&gt;Q426),1,0)</f>
        <v>0</v>
      </c>
      <c r="AL426" s="61" t="n">
        <f aca="false">IF(AND(AI426=1,OR(TRIM(U426)="Fail",AND(TRIM(AB426)&lt;&gt;"",TRIM(AB426)&lt;&gt;"Closed"),AND(ISNUMBER(AF426),AF426&lt;&gt;0,TRIM(U426)&lt;&gt;"Pass after CA"))),1,0)</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8" t="b">
        <f aca="false">TRUE()</f>
        <v>1</v>
      </c>
    </row>
    <row r="427" customFormat="false" ht="39.75" hidden="false" customHeight="true" outlineLevel="0" collapsed="false">
      <c r="A427" s="57" t="s">
        <v>1025</v>
      </c>
      <c r="B427" s="57" t="s">
        <v>264</v>
      </c>
      <c r="C427" s="57" t="str">
        <f aca="false">Flights!$F$17</f>
        <v>MH0138</v>
      </c>
      <c r="D427" s="58" t="n">
        <f aca="false">Flights!$D$17</f>
        <v>46309</v>
      </c>
      <c r="E427" s="57" t="str">
        <f aca="false">Flights!$G$17&amp;"-"&amp;Flights!$H$17</f>
        <v>ADL-KUL</v>
      </c>
      <c r="F427" s="57" t="str">
        <f aca="false">Flights!$K$17</f>
        <v>EY</v>
      </c>
      <c r="G427" s="57" t="s">
        <v>76</v>
      </c>
      <c r="H427" s="57" t="s">
        <v>343</v>
      </c>
      <c r="I427" s="57" t="s">
        <v>344</v>
      </c>
      <c r="J427" s="57" t="s">
        <v>345</v>
      </c>
      <c r="K427" s="67" t="s">
        <v>346</v>
      </c>
      <c r="L427" s="67" t="s">
        <v>347</v>
      </c>
      <c r="M427" s="67"/>
      <c r="N427" s="67" t="s">
        <v>348</v>
      </c>
      <c r="O427" s="67"/>
      <c r="P427" s="57" t="s">
        <v>255</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59" t="n">
        <f aca="false">Q427-T7EarlyD*24/24</f>
        <v>46288.0104166667</v>
      </c>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IF(N427="N/A – rule","N/A – RULE",IF(TRIM(U427)="N/A",IF(AT427=0,"INVALID – N/A not permitted for this mandatory check",IF(AND(TRIM(AC427)&lt;&gt;"",TRIM(AE427)&lt;&gt;"",TRIM(T427)&lt;&gt;"",TRIM(AE427)&lt;&gt;TRIM(T427)),"N/A – JUSTIFIED","INVALID – N/A needs justification, PIC and a different verifier")),IF(OR(TRIM(U427)="Pass",TRIM(U427)="Pass after CA"),IF(NOT(ISNUMBER(AD427)),"INVALID – completion time missing",IF(TRIM(T427)="","INVALID – PIC missing",IF(TRIM(V427)="","INVALID – result / assessment missing",IF(TRIM(Z427)="","INVALID – evidence missing",IF(TRIM(AE427)="","INVALID – verifier missing",IF(TRIM(AE427)=TRIM(T427),"INVALID – verifier must be someone other than the PIC",IF(AND(AQ427=1,TRIM(W427)=""),"INVALID – batch ID missing",IF(AND(AR427=1,OR(NOT(ISNUMBER(X427)),NOT(ISNUMBER(Y427)))),"INVALID – expected/actual qty missing",IF(IF(AND(TRIM(U427)="Pass",ISNUMBER(AF427)),IF(AF427&lt;&gt;0,"INVALID – qty variance: use Fail or Pass after CA",""),"")&amp;IF(AND(TRIM(U427)="Pass",TRIM(AB427)&lt;&gt;"",TRIM(AB427)&lt;&gt;"Closed"),"INVALID – corrective action not closed: use Fail, then Pass after CA","")&amp;IF(AND(TRIM(AA427)&lt;&gt;"",TRIM(AB427)=""),"INVALID – CA status missing for the recorded corrective action","")&amp;IF(AND(TRIM(U427)="Pass after CA",OR(TRIM(AA427)="",TRIM(AB427)&lt;&gt;"Closed")),"INVALID – corrective action not recorded/closed","")&lt;&gt;"",IF(AND(TRIM(U427)="Pass",ISNUMBER(AF427)),IF(AF427&lt;&gt;0,"INVALID – qty variance: use Fail or Pass after CA",""),"")&amp;IF(AND(TRIM(U427)="Pass",TRIM(AB427)&lt;&gt;"",TRIM(AB427)&lt;&gt;"Closed"),"INVALID – corrective action not closed: use Fail, then Pass after CA","")&amp;IF(AND(TRIM(AA427)&lt;&gt;"",TRIM(AB427)=""),"INVALID – CA status missing for the recorded corrective action","")&amp;IF(AND(TRIM(U427)="Pass after CA",OR(TRIM(AA427)="",TRIM(AB427)&lt;&gt;"Closed")),"INVALID – corrective action not recorded/closed",""),IF(AND(AS427=1,Documents!$J$17&lt;&gt;"ON FILE"),"INVALID – GLD not on file (Documents sheet)",IF(AND(AS427=2,Documents!$O$17&lt;&gt;"ON FILE"),"INVALID – menu checklist not on file (Documents sheet)",IF(AND(AS427=3,NOT(ISNUMBER(Flights!$AX$17))),"INVALID – enter carrying flight KUL departure (Flights AX)",IF(AND(AS427=3,OR(Flights!$AX$17&gt;=Flights!$AA$17,Flights!$AX$17&lt;Flights!$AA$17-3)),"INVALID – Flights AX must be before this leg's STD (within 3 days)",IF(AG427&gt;AsOfUTC,"INVALID – completion time is in the future",IF(AND(ISNUMBER(S427),AG427&lt;S427),IF(H427="Physical uplift","INVALID – before uplift window (cannot confirm loading)","INVALID – before valid window"),IF(AG427&gt;Flights!$AA$17,"INVALID – completed after departure (cannot establish readiness)",IF(AND(H427="Physical uplift",AG427&gt;Q427),"INVALID – recorded after the loading flight departed",IF(AG427&gt;Q427,"COMPLETE – LATE","COMPLETE")))))))))))))))))),IF(TRIM(U427)="Fail","FAIL – DISCREPANCY",IF(AND(TRIM(U427)&lt;&gt;"",TRIM(U427)&lt;&gt;"Not started",TRIM(U427)&lt;&gt;"In progress"),"INVALID – unrecognised status (use the list)",IF(AsOfUTC&gt;Q427,"OVERDUE",IF(N427="Clarification required","OPEN – CLARIFICATION","OPEN")))))))</f>
        <v>OPEN</v>
      </c>
      <c r="AI427" s="61" t="n">
        <f aca="false">IF(OR(AH427="N/A – RULE",AH427="N/A – JUSTIFIED"),0,1)</f>
        <v>1</v>
      </c>
      <c r="AJ427" s="61" t="n">
        <f aca="false">IF(LEFT(AH427,8)="COMPLETE",1,0)</f>
        <v>0</v>
      </c>
      <c r="AK427" s="61" t="n">
        <f aca="false">IF(AND(AI427=1,AJ427=0,AsOfUTC&gt;Q427),1,0)</f>
        <v>0</v>
      </c>
      <c r="AL427" s="61" t="n">
        <f aca="false">IF(AND(AI427=1,OR(TRIM(U427)="Fail",AND(TRIM(AB427)&lt;&gt;"",TRIM(AB427)&lt;&gt;"Closed"),AND(ISNUMBER(AF427),AF427&lt;&gt;0,TRIM(U427)&lt;&gt;"Pass after CA"))),1,0)</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row>
    <row r="428" customFormat="false" ht="39.75" hidden="false" customHeight="true" outlineLevel="0" collapsed="false">
      <c r="A428" s="57" t="s">
        <v>1026</v>
      </c>
      <c r="B428" s="57" t="s">
        <v>264</v>
      </c>
      <c r="C428" s="57" t="str">
        <f aca="false">Flights!$F$17</f>
        <v>MH0138</v>
      </c>
      <c r="D428" s="58" t="n">
        <f aca="false">Flights!$D$17</f>
        <v>46309</v>
      </c>
      <c r="E428" s="57" t="str">
        <f aca="false">Flights!$G$17&amp;"-"&amp;Flights!$H$17</f>
        <v>ADL-KUL</v>
      </c>
      <c r="F428" s="57" t="str">
        <f aca="false">Flights!$K$17</f>
        <v>EY</v>
      </c>
      <c r="G428" s="57" t="s">
        <v>76</v>
      </c>
      <c r="H428" s="57" t="s">
        <v>343</v>
      </c>
      <c r="I428" s="57" t="s">
        <v>350</v>
      </c>
      <c r="J428" s="57" t="s">
        <v>351</v>
      </c>
      <c r="K428" s="67" t="s">
        <v>352</v>
      </c>
      <c r="L428" s="67" t="s">
        <v>347</v>
      </c>
      <c r="M428" s="67"/>
      <c r="N428" s="67" t="s">
        <v>348</v>
      </c>
      <c r="O428" s="67"/>
      <c r="P428" s="57" t="s">
        <v>255</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59" t="n">
        <f aca="false">Q428-T7EarlyD*24/24</f>
        <v>46288.0104166667</v>
      </c>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IF(N428="N/A – rule","N/A – RULE",IF(TRIM(U428)="N/A",IF(AT428=0,"INVALID – N/A not permitted for this mandatory check",IF(AND(TRIM(AC428)&lt;&gt;"",TRIM(AE428)&lt;&gt;"",TRIM(T428)&lt;&gt;"",TRIM(AE428)&lt;&gt;TRIM(T428)),"N/A – JUSTIFIED","INVALID – N/A needs justification, PIC and a different verifier")),IF(OR(TRIM(U428)="Pass",TRIM(U428)="Pass after CA"),IF(NOT(ISNUMBER(AD428)),"INVALID – completion time missing",IF(TRIM(T428)="","INVALID – PIC missing",IF(TRIM(V428)="","INVALID – result / assessment missing",IF(TRIM(Z428)="","INVALID – evidence missing",IF(TRIM(AE428)="","INVALID – verifier missing",IF(TRIM(AE428)=TRIM(T428),"INVALID – verifier must be someone other than the PIC",IF(AND(AQ428=1,TRIM(W428)=""),"INVALID – batch ID missing",IF(AND(AR428=1,OR(NOT(ISNUMBER(X428)),NOT(ISNUMBER(Y428)))),"INVALID – expected/actual qty missing",IF(IF(AND(TRIM(U428)="Pass",ISNUMBER(AF428)),IF(AF428&lt;&gt;0,"INVALID – qty variance: use Fail or Pass after CA",""),"")&amp;IF(AND(TRIM(U428)="Pass",TRIM(AB428)&lt;&gt;"",TRIM(AB428)&lt;&gt;"Closed"),"INVALID – corrective action not closed: use Fail, then Pass after CA","")&amp;IF(AND(TRIM(AA428)&lt;&gt;"",TRIM(AB428)=""),"INVALID – CA status missing for the recorded corrective action","")&amp;IF(AND(TRIM(U428)="Pass after CA",OR(TRIM(AA428)="",TRIM(AB428)&lt;&gt;"Closed")),"INVALID – corrective action not recorded/closed","")&lt;&gt;"",IF(AND(TRIM(U428)="Pass",ISNUMBER(AF428)),IF(AF428&lt;&gt;0,"INVALID – qty variance: use Fail or Pass after CA",""),"")&amp;IF(AND(TRIM(U428)="Pass",TRIM(AB428)&lt;&gt;"",TRIM(AB428)&lt;&gt;"Closed"),"INVALID – corrective action not closed: use Fail, then Pass after CA","")&amp;IF(AND(TRIM(AA428)&lt;&gt;"",TRIM(AB428)=""),"INVALID – CA status missing for the recorded corrective action","")&amp;IF(AND(TRIM(U428)="Pass after CA",OR(TRIM(AA428)="",TRIM(AB428)&lt;&gt;"Closed")),"INVALID – corrective action not recorded/closed",""),IF(AND(AS428=1,Documents!$J$17&lt;&gt;"ON FILE"),"INVALID – GLD not on file (Documents sheet)",IF(AND(AS428=2,Documents!$O$17&lt;&gt;"ON FILE"),"INVALID – menu checklist not on file (Documents sheet)",IF(AND(AS428=3,NOT(ISNUMBER(Flights!$AX$17))),"INVALID – enter carrying flight KUL departure (Flights AX)",IF(AND(AS428=3,OR(Flights!$AX$17&gt;=Flights!$AA$17,Flights!$AX$17&lt;Flights!$AA$17-3)),"INVALID – Flights AX must be before this leg's STD (within 3 days)",IF(AG428&gt;AsOfUTC,"INVALID – completion time is in the future",IF(AND(ISNUMBER(S428),AG428&lt;S428),IF(H428="Physical uplift","INVALID – before uplift window (cannot confirm loading)","INVALID – before valid window"),IF(AG428&gt;Flights!$AA$17,"INVALID – completed after departure (cannot establish readiness)",IF(AND(H428="Physical uplift",AG428&gt;Q428),"INVALID – recorded after the loading flight departed",IF(AG428&gt;Q428,"COMPLETE – LATE","COMPLETE")))))))))))))))))),IF(TRIM(U428)="Fail","FAIL – DISCREPANCY",IF(AND(TRIM(U428)&lt;&gt;"",TRIM(U428)&lt;&gt;"Not started",TRIM(U428)&lt;&gt;"In progress"),"INVALID – unrecognised status (use the list)",IF(AsOfUTC&gt;Q428,"OVERDUE",IF(N428="Clarification required","OPEN – CLARIFICATION","OPEN")))))))</f>
        <v>OPEN</v>
      </c>
      <c r="AI428" s="61" t="n">
        <f aca="false">IF(OR(AH428="N/A – RULE",AH428="N/A – JUSTIFIED"),0,1)</f>
        <v>1</v>
      </c>
      <c r="AJ428" s="61" t="n">
        <f aca="false">IF(LEFT(AH428,8)="COMPLETE",1,0)</f>
        <v>0</v>
      </c>
      <c r="AK428" s="61" t="n">
        <f aca="false">IF(AND(AI428=1,AJ428=0,AsOfUTC&gt;Q428),1,0)</f>
        <v>0</v>
      </c>
      <c r="AL428" s="61" t="n">
        <f aca="false">IF(AND(AI428=1,OR(TRIM(U428)="Fail",AND(TRIM(AB428)&lt;&gt;"",TRIM(AB428)&lt;&gt;"Closed"),AND(ISNUMBER(AF428),AF428&lt;&gt;0,TRIM(U428)&lt;&gt;"Pass after CA"))),1,0)</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8" t="b">
        <f aca="false">TRUE()</f>
        <v>1</v>
      </c>
    </row>
    <row r="429" customFormat="false" ht="41.25" hidden="false" customHeight="true" outlineLevel="0" collapsed="false">
      <c r="A429" s="57" t="s">
        <v>1027</v>
      </c>
      <c r="B429" s="57" t="s">
        <v>264</v>
      </c>
      <c r="C429" s="57" t="str">
        <f aca="false">Flights!$F$17</f>
        <v>MH0138</v>
      </c>
      <c r="D429" s="58" t="n">
        <f aca="false">Flights!$D$17</f>
        <v>46309</v>
      </c>
      <c r="E429" s="57" t="str">
        <f aca="false">Flights!$G$17&amp;"-"&amp;Flights!$H$17</f>
        <v>ADL-KUL</v>
      </c>
      <c r="F429" s="57" t="str">
        <f aca="false">Flights!$K$17</f>
        <v>EY</v>
      </c>
      <c r="G429" s="57" t="s">
        <v>76</v>
      </c>
      <c r="H429" s="57" t="s">
        <v>343</v>
      </c>
      <c r="I429" s="57" t="s">
        <v>354</v>
      </c>
      <c r="J429" s="57" t="s">
        <v>355</v>
      </c>
      <c r="K429" s="67" t="s">
        <v>356</v>
      </c>
      <c r="L429" s="67" t="s">
        <v>347</v>
      </c>
      <c r="M429" s="67"/>
      <c r="N429" s="67" t="str">
        <f aca="false">IF(TRIM(Flights!$L$17)="A339","Required","N/A – rule")</f>
        <v>Required</v>
      </c>
      <c r="O429" s="67" t="s">
        <v>357</v>
      </c>
      <c r="P429" s="57" t="s">
        <v>255</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59" t="n">
        <f aca="false">Q429-T7EarlyD*24/24</f>
        <v>46288.0104166667</v>
      </c>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IF(N429="N/A – rule","N/A – RULE",IF(TRIM(U429)="N/A",IF(AT429=0,"INVALID – N/A not permitted for this mandatory check",IF(AND(TRIM(AC429)&lt;&gt;"",TRIM(AE429)&lt;&gt;"",TRIM(T429)&lt;&gt;"",TRIM(AE429)&lt;&gt;TRIM(T429)),"N/A – JUSTIFIED","INVALID – N/A needs justification, PIC and a different verifier")),IF(OR(TRIM(U429)="Pass",TRIM(U429)="Pass after CA"),IF(NOT(ISNUMBER(AD429)),"INVALID – completion time missing",IF(TRIM(T429)="","INVALID – PIC missing",IF(TRIM(V429)="","INVALID – result / assessment missing",IF(TRIM(Z429)="","INVALID – evidence missing",IF(TRIM(AE429)="","INVALID – verifier missing",IF(TRIM(AE429)=TRIM(T429),"INVALID – verifier must be someone other than the PIC",IF(AND(AQ429=1,TRIM(W429)=""),"INVALID – batch ID missing",IF(AND(AR429=1,OR(NOT(ISNUMBER(X429)),NOT(ISNUMBER(Y429)))),"INVALID – expected/actual qty missing",IF(IF(AND(TRIM(U429)="Pass",ISNUMBER(AF429)),IF(AF429&lt;&gt;0,"INVALID – qty variance: use Fail or Pass after CA",""),"")&amp;IF(AND(TRIM(U429)="Pass",TRIM(AB429)&lt;&gt;"",TRIM(AB429)&lt;&gt;"Closed"),"INVALID – corrective action not closed: use Fail, then Pass after CA","")&amp;IF(AND(TRIM(AA429)&lt;&gt;"",TRIM(AB429)=""),"INVALID – CA status missing for the recorded corrective action","")&amp;IF(AND(TRIM(U429)="Pass after CA",OR(TRIM(AA429)="",TRIM(AB429)&lt;&gt;"Closed")),"INVALID – corrective action not recorded/closed","")&lt;&gt;"",IF(AND(TRIM(U429)="Pass",ISNUMBER(AF429)),IF(AF429&lt;&gt;0,"INVALID – qty variance: use Fail or Pass after CA",""),"")&amp;IF(AND(TRIM(U429)="Pass",TRIM(AB429)&lt;&gt;"",TRIM(AB429)&lt;&gt;"Closed"),"INVALID – corrective action not closed: use Fail, then Pass after CA","")&amp;IF(AND(TRIM(AA429)&lt;&gt;"",TRIM(AB429)=""),"INVALID – CA status missing for the recorded corrective action","")&amp;IF(AND(TRIM(U429)="Pass after CA",OR(TRIM(AA429)="",TRIM(AB429)&lt;&gt;"Closed")),"INVALID – corrective action not recorded/closed",""),IF(AND(AS429=1,Documents!$J$17&lt;&gt;"ON FILE"),"INVALID – GLD not on file (Documents sheet)",IF(AND(AS429=2,Documents!$O$17&lt;&gt;"ON FILE"),"INVALID – menu checklist not on file (Documents sheet)",IF(AND(AS429=3,NOT(ISNUMBER(Flights!$AX$17))),"INVALID – enter carrying flight KUL departure (Flights AX)",IF(AND(AS429=3,OR(Flights!$AX$17&gt;=Flights!$AA$17,Flights!$AX$17&lt;Flights!$AA$17-3)),"INVALID – Flights AX must be before this leg's STD (within 3 days)",IF(AG429&gt;AsOfUTC,"INVALID – completion time is in the future",IF(AND(ISNUMBER(S429),AG429&lt;S429),IF(H429="Physical uplift","INVALID – before uplift window (cannot confirm loading)","INVALID – before valid window"),IF(AG429&gt;Flights!$AA$17,"INVALID – completed after departure (cannot establish readiness)",IF(AND(H429="Physical uplift",AG429&gt;Q429),"INVALID – recorded after the loading flight departed",IF(AG429&gt;Q429,"COMPLETE – LATE","COMPLETE")))))))))))))))))),IF(TRIM(U429)="Fail","FAIL – DISCREPANCY",IF(AND(TRIM(U429)&lt;&gt;"",TRIM(U429)&lt;&gt;"Not started",TRIM(U429)&lt;&gt;"In progress"),"INVALID – unrecognised status (use the list)",IF(AsOfUTC&gt;Q429,"OVERDUE",IF(N429="Clarification required","OPEN – CLARIFICATION","OPEN")))))))</f>
        <v>OPEN</v>
      </c>
      <c r="AI429" s="61" t="n">
        <f aca="false">IF(OR(AH429="N/A – RULE",AH429="N/A – JUSTIFIED"),0,1)</f>
        <v>1</v>
      </c>
      <c r="AJ429" s="61" t="n">
        <f aca="false">IF(LEFT(AH429,8)="COMPLETE",1,0)</f>
        <v>0</v>
      </c>
      <c r="AK429" s="61" t="n">
        <f aca="false">IF(AND(AI429=1,AJ429=0,AsOfUTC&gt;Q429),1,0)</f>
        <v>0</v>
      </c>
      <c r="AL429" s="61" t="n">
        <f aca="false">IF(AND(AI429=1,OR(TRIM(U429)="Fail",AND(TRIM(AB429)&lt;&gt;"",TRIM(AB429)&lt;&gt;"Closed"),AND(ISNUMBER(AF429),AF429&lt;&gt;0,TRIM(U429)&lt;&gt;"Pass after CA"))),1,0)</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row>
    <row r="430" customFormat="false" ht="39.75" hidden="false" customHeight="true" outlineLevel="0" collapsed="false">
      <c r="A430" s="57" t="s">
        <v>1028</v>
      </c>
      <c r="B430" s="57" t="s">
        <v>264</v>
      </c>
      <c r="C430" s="57" t="str">
        <f aca="false">Flights!$F$17</f>
        <v>MH0138</v>
      </c>
      <c r="D430" s="58" t="n">
        <f aca="false">Flights!$D$17</f>
        <v>46309</v>
      </c>
      <c r="E430" s="57" t="str">
        <f aca="false">Flights!$G$17&amp;"-"&amp;Flights!$H$17</f>
        <v>ADL-KUL</v>
      </c>
      <c r="F430" s="57" t="str">
        <f aca="false">Flights!$K$17</f>
        <v>EY</v>
      </c>
      <c r="G430" s="57" t="s">
        <v>76</v>
      </c>
      <c r="H430" s="57" t="s">
        <v>343</v>
      </c>
      <c r="I430" s="57" t="s">
        <v>359</v>
      </c>
      <c r="J430" s="57" t="s">
        <v>360</v>
      </c>
      <c r="K430" s="67" t="s">
        <v>361</v>
      </c>
      <c r="L430" s="67" t="s">
        <v>347</v>
      </c>
      <c r="M430" s="67"/>
      <c r="N430" s="67" t="s">
        <v>348</v>
      </c>
      <c r="O430" s="67"/>
      <c r="P430" s="57" t="s">
        <v>255</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59" t="n">
        <f aca="false">Q430-T7EarlyD*24/24</f>
        <v>46288.0104166667</v>
      </c>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IF(N430="N/A – rule","N/A – RULE",IF(TRIM(U430)="N/A",IF(AT430=0,"INVALID – N/A not permitted for this mandatory check",IF(AND(TRIM(AC430)&lt;&gt;"",TRIM(AE430)&lt;&gt;"",TRIM(T430)&lt;&gt;"",TRIM(AE430)&lt;&gt;TRIM(T430)),"N/A – JUSTIFIED","INVALID – N/A needs justification, PIC and a different verifier")),IF(OR(TRIM(U430)="Pass",TRIM(U430)="Pass after CA"),IF(NOT(ISNUMBER(AD430)),"INVALID – completion time missing",IF(TRIM(T430)="","INVALID – PIC missing",IF(TRIM(V430)="","INVALID – result / assessment missing",IF(TRIM(Z430)="","INVALID – evidence missing",IF(TRIM(AE430)="","INVALID – verifier missing",IF(TRIM(AE430)=TRIM(T430),"INVALID – verifier must be someone other than the PIC",IF(AND(AQ430=1,TRIM(W430)=""),"INVALID – batch ID missing",IF(AND(AR430=1,OR(NOT(ISNUMBER(X430)),NOT(ISNUMBER(Y430)))),"INVALID – expected/actual qty missing",IF(IF(AND(TRIM(U430)="Pass",ISNUMBER(AF430)),IF(AF430&lt;&gt;0,"INVALID – qty variance: use Fail or Pass after CA",""),"")&amp;IF(AND(TRIM(U430)="Pass",TRIM(AB430)&lt;&gt;"",TRIM(AB430)&lt;&gt;"Closed"),"INVALID – corrective action not closed: use Fail, then Pass after CA","")&amp;IF(AND(TRIM(AA430)&lt;&gt;"",TRIM(AB430)=""),"INVALID – CA status missing for the recorded corrective action","")&amp;IF(AND(TRIM(U430)="Pass after CA",OR(TRIM(AA430)="",TRIM(AB430)&lt;&gt;"Closed")),"INVALID – corrective action not recorded/closed","")&lt;&gt;"",IF(AND(TRIM(U430)="Pass",ISNUMBER(AF430)),IF(AF430&lt;&gt;0,"INVALID – qty variance: use Fail or Pass after CA",""),"")&amp;IF(AND(TRIM(U430)="Pass",TRIM(AB430)&lt;&gt;"",TRIM(AB430)&lt;&gt;"Closed"),"INVALID – corrective action not closed: use Fail, then Pass after CA","")&amp;IF(AND(TRIM(AA430)&lt;&gt;"",TRIM(AB430)=""),"INVALID – CA status missing for the recorded corrective action","")&amp;IF(AND(TRIM(U430)="Pass after CA",OR(TRIM(AA430)="",TRIM(AB430)&lt;&gt;"Closed")),"INVALID – corrective action not recorded/closed",""),IF(AND(AS430=1,Documents!$J$17&lt;&gt;"ON FILE"),"INVALID – GLD not on file (Documents sheet)",IF(AND(AS430=2,Documents!$O$17&lt;&gt;"ON FILE"),"INVALID – menu checklist not on file (Documents sheet)",IF(AND(AS430=3,NOT(ISNUMBER(Flights!$AX$17))),"INVALID – enter carrying flight KUL departure (Flights AX)",IF(AND(AS430=3,OR(Flights!$AX$17&gt;=Flights!$AA$17,Flights!$AX$17&lt;Flights!$AA$17-3)),"INVALID – Flights AX must be before this leg's STD (within 3 days)",IF(AG430&gt;AsOfUTC,"INVALID – completion time is in the future",IF(AND(ISNUMBER(S430),AG430&lt;S430),IF(H430="Physical uplift","INVALID – before uplift window (cannot confirm loading)","INVALID – before valid window"),IF(AG430&gt;Flights!$AA$17,"INVALID – completed after departure (cannot establish readiness)",IF(AND(H430="Physical uplift",AG430&gt;Q430),"INVALID – recorded after the loading flight departed",IF(AG430&gt;Q430,"COMPLETE – LATE","COMPLETE")))))))))))))))))),IF(TRIM(U430)="Fail","FAIL – DISCREPANCY",IF(AND(TRIM(U430)&lt;&gt;"",TRIM(U430)&lt;&gt;"Not started",TRIM(U430)&lt;&gt;"In progress"),"INVALID – unrecognised status (use the list)",IF(AsOfUTC&gt;Q430,"OVERDUE",IF(N430="Clarification required","OPEN – CLARIFICATION","OPEN")))))))</f>
        <v>OPEN</v>
      </c>
      <c r="AI430" s="61" t="n">
        <f aca="false">IF(OR(AH430="N/A – RULE",AH430="N/A – JUSTIFIED"),0,1)</f>
        <v>1</v>
      </c>
      <c r="AJ430" s="61" t="n">
        <f aca="false">IF(LEFT(AH430,8)="COMPLETE",1,0)</f>
        <v>0</v>
      </c>
      <c r="AK430" s="61" t="n">
        <f aca="false">IF(AND(AI430=1,AJ430=0,AsOfUTC&gt;Q430),1,0)</f>
        <v>0</v>
      </c>
      <c r="AL430" s="61" t="n">
        <f aca="false">IF(AND(AI430=1,OR(TRIM(U430)="Fail",AND(TRIM(AB430)&lt;&gt;"",TRIM(AB430)&lt;&gt;"Closed"),AND(ISNUMBER(AF430),AF430&lt;&gt;0,TRIM(U430)&lt;&gt;"Pass after CA"))),1,0)</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row>
    <row r="431" customFormat="false" ht="39.75" hidden="false" customHeight="true" outlineLevel="0" collapsed="false">
      <c r="A431" s="57" t="s">
        <v>1029</v>
      </c>
      <c r="B431" s="57" t="s">
        <v>264</v>
      </c>
      <c r="C431" s="57" t="str">
        <f aca="false">Flights!$F$17</f>
        <v>MH0138</v>
      </c>
      <c r="D431" s="58" t="n">
        <f aca="false">Flights!$D$17</f>
        <v>46309</v>
      </c>
      <c r="E431" s="57" t="str">
        <f aca="false">Flights!$G$17&amp;"-"&amp;Flights!$H$17</f>
        <v>ADL-KUL</v>
      </c>
      <c r="F431" s="57" t="str">
        <f aca="false">Flights!$K$17</f>
        <v>EY</v>
      </c>
      <c r="G431" s="57" t="s">
        <v>76</v>
      </c>
      <c r="H431" s="57" t="s">
        <v>343</v>
      </c>
      <c r="I431" s="57" t="s">
        <v>363</v>
      </c>
      <c r="J431" s="57" t="s">
        <v>364</v>
      </c>
      <c r="K431" s="67" t="s">
        <v>365</v>
      </c>
      <c r="L431" s="67" t="s">
        <v>347</v>
      </c>
      <c r="M431" s="67"/>
      <c r="N431" s="67" t="s">
        <v>348</v>
      </c>
      <c r="O431" s="67"/>
      <c r="P431" s="57" t="s">
        <v>255</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59" t="n">
        <f aca="false">Q431-T7EarlyD*24/24</f>
        <v>46288.0104166667</v>
      </c>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IF(N431="N/A – rule","N/A – RULE",IF(TRIM(U431)="N/A",IF(AT431=0,"INVALID – N/A not permitted for this mandatory check",IF(AND(TRIM(AC431)&lt;&gt;"",TRIM(AE431)&lt;&gt;"",TRIM(T431)&lt;&gt;"",TRIM(AE431)&lt;&gt;TRIM(T431)),"N/A – JUSTIFIED","INVALID – N/A needs justification, PIC and a different verifier")),IF(OR(TRIM(U431)="Pass",TRIM(U431)="Pass after CA"),IF(NOT(ISNUMBER(AD431)),"INVALID – completion time missing",IF(TRIM(T431)="","INVALID – PIC missing",IF(TRIM(V431)="","INVALID – result / assessment missing",IF(TRIM(Z431)="","INVALID – evidence missing",IF(TRIM(AE431)="","INVALID – verifier missing",IF(TRIM(AE431)=TRIM(T431),"INVALID – verifier must be someone other than the PIC",IF(AND(AQ431=1,TRIM(W431)=""),"INVALID – batch ID missing",IF(AND(AR431=1,OR(NOT(ISNUMBER(X431)),NOT(ISNUMBER(Y431)))),"INVALID – expected/actual qty missing",IF(IF(AND(TRIM(U431)="Pass",ISNUMBER(AF431)),IF(AF431&lt;&gt;0,"INVALID – qty variance: use Fail or Pass after CA",""),"")&amp;IF(AND(TRIM(U431)="Pass",TRIM(AB431)&lt;&gt;"",TRIM(AB431)&lt;&gt;"Closed"),"INVALID – corrective action not closed: use Fail, then Pass after CA","")&amp;IF(AND(TRIM(AA431)&lt;&gt;"",TRIM(AB431)=""),"INVALID – CA status missing for the recorded corrective action","")&amp;IF(AND(TRIM(U431)="Pass after CA",OR(TRIM(AA431)="",TRIM(AB431)&lt;&gt;"Closed")),"INVALID – corrective action not recorded/closed","")&lt;&gt;"",IF(AND(TRIM(U431)="Pass",ISNUMBER(AF431)),IF(AF431&lt;&gt;0,"INVALID – qty variance: use Fail or Pass after CA",""),"")&amp;IF(AND(TRIM(U431)="Pass",TRIM(AB431)&lt;&gt;"",TRIM(AB431)&lt;&gt;"Closed"),"INVALID – corrective action not closed: use Fail, then Pass after CA","")&amp;IF(AND(TRIM(AA431)&lt;&gt;"",TRIM(AB431)=""),"INVALID – CA status missing for the recorded corrective action","")&amp;IF(AND(TRIM(U431)="Pass after CA",OR(TRIM(AA431)="",TRIM(AB431)&lt;&gt;"Closed")),"INVALID – corrective action not recorded/closed",""),IF(AND(AS431=1,Documents!$J$17&lt;&gt;"ON FILE"),"INVALID – GLD not on file (Documents sheet)",IF(AND(AS431=2,Documents!$O$17&lt;&gt;"ON FILE"),"INVALID – menu checklist not on file (Documents sheet)",IF(AND(AS431=3,NOT(ISNUMBER(Flights!$AX$17))),"INVALID – enter carrying flight KUL departure (Flights AX)",IF(AND(AS431=3,OR(Flights!$AX$17&gt;=Flights!$AA$17,Flights!$AX$17&lt;Flights!$AA$17-3)),"INVALID – Flights AX must be before this leg's STD (within 3 days)",IF(AG431&gt;AsOfUTC,"INVALID – completion time is in the future",IF(AND(ISNUMBER(S431),AG431&lt;S431),IF(H431="Physical uplift","INVALID – before uplift window (cannot confirm loading)","INVALID – before valid window"),IF(AG431&gt;Flights!$AA$17,"INVALID – completed after departure (cannot establish readiness)",IF(AND(H431="Physical uplift",AG431&gt;Q431),"INVALID – recorded after the loading flight departed",IF(AG431&gt;Q431,"COMPLETE – LATE","COMPLETE")))))))))))))))))),IF(TRIM(U431)="Fail","FAIL – DISCREPANCY",IF(AND(TRIM(U431)&lt;&gt;"",TRIM(U431)&lt;&gt;"Not started",TRIM(U431)&lt;&gt;"In progress"),"INVALID – unrecognised status (use the list)",IF(AsOfUTC&gt;Q431,"OVERDUE",IF(N431="Clarification required","OPEN – CLARIFICATION","OPEN")))))))</f>
        <v>OPEN</v>
      </c>
      <c r="AI431" s="61" t="n">
        <f aca="false">IF(OR(AH431="N/A – RULE",AH431="N/A – JUSTIFIED"),0,1)</f>
        <v>1</v>
      </c>
      <c r="AJ431" s="61" t="n">
        <f aca="false">IF(LEFT(AH431,8)="COMPLETE",1,0)</f>
        <v>0</v>
      </c>
      <c r="AK431" s="61" t="n">
        <f aca="false">IF(AND(AI431=1,AJ431=0,AsOfUTC&gt;Q431),1,0)</f>
        <v>0</v>
      </c>
      <c r="AL431" s="61" t="n">
        <f aca="false">IF(AND(AI431=1,OR(TRIM(U431)="Fail",AND(TRIM(AB431)&lt;&gt;"",TRIM(AB431)&lt;&gt;"Closed"),AND(ISNUMBER(AF431),AF431&lt;&gt;0,TRIM(U431)&lt;&gt;"Pass after CA"))),1,0)</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row>
    <row r="432" customFormat="false" ht="39.75" hidden="false" customHeight="true" outlineLevel="0" collapsed="false">
      <c r="A432" s="57" t="s">
        <v>1030</v>
      </c>
      <c r="B432" s="57" t="s">
        <v>264</v>
      </c>
      <c r="C432" s="57" t="str">
        <f aca="false">Flights!$F$17</f>
        <v>MH0138</v>
      </c>
      <c r="D432" s="58" t="n">
        <f aca="false">Flights!$D$17</f>
        <v>46309</v>
      </c>
      <c r="E432" s="57" t="str">
        <f aca="false">Flights!$G$17&amp;"-"&amp;Flights!$H$17</f>
        <v>ADL-KUL</v>
      </c>
      <c r="F432" s="57" t="str">
        <f aca="false">Flights!$K$17</f>
        <v>EY</v>
      </c>
      <c r="G432" s="57" t="s">
        <v>76</v>
      </c>
      <c r="H432" s="57" t="s">
        <v>343</v>
      </c>
      <c r="I432" s="57" t="s">
        <v>363</v>
      </c>
      <c r="J432" s="57" t="s">
        <v>367</v>
      </c>
      <c r="K432" s="67" t="s">
        <v>368</v>
      </c>
      <c r="L432" s="67" t="s">
        <v>347</v>
      </c>
      <c r="M432" s="67"/>
      <c r="N432" s="67" t="s">
        <v>348</v>
      </c>
      <c r="O432" s="67"/>
      <c r="P432" s="57" t="s">
        <v>255</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59" t="n">
        <f aca="false">Q432-T7EarlyD*24/24</f>
        <v>46288.0104166667</v>
      </c>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IF(N432="N/A – rule","N/A – RULE",IF(TRIM(U432)="N/A",IF(AT432=0,"INVALID – N/A not permitted for this mandatory check",IF(AND(TRIM(AC432)&lt;&gt;"",TRIM(AE432)&lt;&gt;"",TRIM(T432)&lt;&gt;"",TRIM(AE432)&lt;&gt;TRIM(T432)),"N/A – JUSTIFIED","INVALID – N/A needs justification, PIC and a different verifier")),IF(OR(TRIM(U432)="Pass",TRIM(U432)="Pass after CA"),IF(NOT(ISNUMBER(AD432)),"INVALID – completion time missing",IF(TRIM(T432)="","INVALID – PIC missing",IF(TRIM(V432)="","INVALID – result / assessment missing",IF(TRIM(Z432)="","INVALID – evidence missing",IF(TRIM(AE432)="","INVALID – verifier missing",IF(TRIM(AE432)=TRIM(T432),"INVALID – verifier must be someone other than the PIC",IF(AND(AQ432=1,TRIM(W432)=""),"INVALID – batch ID missing",IF(AND(AR432=1,OR(NOT(ISNUMBER(X432)),NOT(ISNUMBER(Y432)))),"INVALID – expected/actual qty missing",IF(IF(AND(TRIM(U432)="Pass",ISNUMBER(AF432)),IF(AF432&lt;&gt;0,"INVALID – qty variance: use Fail or Pass after CA",""),"")&amp;IF(AND(TRIM(U432)="Pass",TRIM(AB432)&lt;&gt;"",TRIM(AB432)&lt;&gt;"Closed"),"INVALID – corrective action not closed: use Fail, then Pass after CA","")&amp;IF(AND(TRIM(AA432)&lt;&gt;"",TRIM(AB432)=""),"INVALID – CA status missing for the recorded corrective action","")&amp;IF(AND(TRIM(U432)="Pass after CA",OR(TRIM(AA432)="",TRIM(AB432)&lt;&gt;"Closed")),"INVALID – corrective action not recorded/closed","")&lt;&gt;"",IF(AND(TRIM(U432)="Pass",ISNUMBER(AF432)),IF(AF432&lt;&gt;0,"INVALID – qty variance: use Fail or Pass after CA",""),"")&amp;IF(AND(TRIM(U432)="Pass",TRIM(AB432)&lt;&gt;"",TRIM(AB432)&lt;&gt;"Closed"),"INVALID – corrective action not closed: use Fail, then Pass after CA","")&amp;IF(AND(TRIM(AA432)&lt;&gt;"",TRIM(AB432)=""),"INVALID – CA status missing for the recorded corrective action","")&amp;IF(AND(TRIM(U432)="Pass after CA",OR(TRIM(AA432)="",TRIM(AB432)&lt;&gt;"Closed")),"INVALID – corrective action not recorded/closed",""),IF(AND(AS432=1,Documents!$J$17&lt;&gt;"ON FILE"),"INVALID – GLD not on file (Documents sheet)",IF(AND(AS432=2,Documents!$O$17&lt;&gt;"ON FILE"),"INVALID – menu checklist not on file (Documents sheet)",IF(AND(AS432=3,NOT(ISNUMBER(Flights!$AX$17))),"INVALID – enter carrying flight KUL departure (Flights AX)",IF(AND(AS432=3,OR(Flights!$AX$17&gt;=Flights!$AA$17,Flights!$AX$17&lt;Flights!$AA$17-3)),"INVALID – Flights AX must be before this leg's STD (within 3 days)",IF(AG432&gt;AsOfUTC,"INVALID – completion time is in the future",IF(AND(ISNUMBER(S432),AG432&lt;S432),IF(H432="Physical uplift","INVALID – before uplift window (cannot confirm loading)","INVALID – before valid window"),IF(AG432&gt;Flights!$AA$17,"INVALID – completed after departure (cannot establish readiness)",IF(AND(H432="Physical uplift",AG432&gt;Q432),"INVALID – recorded after the loading flight departed",IF(AG432&gt;Q432,"COMPLETE – LATE","COMPLETE")))))))))))))))))),IF(TRIM(U432)="Fail","FAIL – DISCREPANCY",IF(AND(TRIM(U432)&lt;&gt;"",TRIM(U432)&lt;&gt;"Not started",TRIM(U432)&lt;&gt;"In progress"),"INVALID – unrecognised status (use the list)",IF(AsOfUTC&gt;Q432,"OVERDUE",IF(N432="Clarification required","OPEN – CLARIFICATION","OPEN")))))))</f>
        <v>OPEN</v>
      </c>
      <c r="AI432" s="61" t="n">
        <f aca="false">IF(OR(AH432="N/A – RULE",AH432="N/A – JUSTIFIED"),0,1)</f>
        <v>1</v>
      </c>
      <c r="AJ432" s="61" t="n">
        <f aca="false">IF(LEFT(AH432,8)="COMPLETE",1,0)</f>
        <v>0</v>
      </c>
      <c r="AK432" s="61" t="n">
        <f aca="false">IF(AND(AI432=1,AJ432=0,AsOfUTC&gt;Q432),1,0)</f>
        <v>0</v>
      </c>
      <c r="AL432" s="61" t="n">
        <f aca="false">IF(AND(AI432=1,OR(TRIM(U432)="Fail",AND(TRIM(AB432)&lt;&gt;"",TRIM(AB432)&lt;&gt;"Closed"),AND(ISNUMBER(AF432),AF432&lt;&gt;0,TRIM(U432)&lt;&gt;"Pass after CA"))),1,0)</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row>
    <row r="433" customFormat="false" ht="39.75" hidden="false" customHeight="true" outlineLevel="0" collapsed="false">
      <c r="A433" s="57" t="s">
        <v>1031</v>
      </c>
      <c r="B433" s="57" t="s">
        <v>264</v>
      </c>
      <c r="C433" s="57" t="str">
        <f aca="false">Flights!$F$17</f>
        <v>MH0138</v>
      </c>
      <c r="D433" s="58" t="n">
        <f aca="false">Flights!$D$17</f>
        <v>46309</v>
      </c>
      <c r="E433" s="57" t="str">
        <f aca="false">Flights!$G$17&amp;"-"&amp;Flights!$H$17</f>
        <v>ADL-KUL</v>
      </c>
      <c r="F433" s="57" t="str">
        <f aca="false">Flights!$K$17</f>
        <v>EY</v>
      </c>
      <c r="G433" s="57" t="s">
        <v>76</v>
      </c>
      <c r="H433" s="57" t="s">
        <v>343</v>
      </c>
      <c r="I433" s="57" t="s">
        <v>370</v>
      </c>
      <c r="J433" s="57" t="s">
        <v>371</v>
      </c>
      <c r="K433" s="67" t="s">
        <v>372</v>
      </c>
      <c r="L433" s="67" t="s">
        <v>347</v>
      </c>
      <c r="M433" s="67"/>
      <c r="N433" s="67" t="s">
        <v>348</v>
      </c>
      <c r="O433" s="67"/>
      <c r="P433" s="57" t="s">
        <v>255</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59" t="n">
        <f aca="false">Q433-T7EarlyD*24/24</f>
        <v>46288.0104166667</v>
      </c>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IF(N433="N/A – rule","N/A – RULE",IF(TRIM(U433)="N/A",IF(AT433=0,"INVALID – N/A not permitted for this mandatory check",IF(AND(TRIM(AC433)&lt;&gt;"",TRIM(AE433)&lt;&gt;"",TRIM(T433)&lt;&gt;"",TRIM(AE433)&lt;&gt;TRIM(T433)),"N/A – JUSTIFIED","INVALID – N/A needs justification, PIC and a different verifier")),IF(OR(TRIM(U433)="Pass",TRIM(U433)="Pass after CA"),IF(NOT(ISNUMBER(AD433)),"INVALID – completion time missing",IF(TRIM(T433)="","INVALID – PIC missing",IF(TRIM(V433)="","INVALID – result / assessment missing",IF(TRIM(Z433)="","INVALID – evidence missing",IF(TRIM(AE433)="","INVALID – verifier missing",IF(TRIM(AE433)=TRIM(T433),"INVALID – verifier must be someone other than the PIC",IF(AND(AQ433=1,TRIM(W433)=""),"INVALID – batch ID missing",IF(AND(AR433=1,OR(NOT(ISNUMBER(X433)),NOT(ISNUMBER(Y433)))),"INVALID – expected/actual qty missing",IF(IF(AND(TRIM(U433)="Pass",ISNUMBER(AF433)),IF(AF433&lt;&gt;0,"INVALID – qty variance: use Fail or Pass after CA",""),"")&amp;IF(AND(TRIM(U433)="Pass",TRIM(AB433)&lt;&gt;"",TRIM(AB433)&lt;&gt;"Closed"),"INVALID – corrective action not closed: use Fail, then Pass after CA","")&amp;IF(AND(TRIM(AA433)&lt;&gt;"",TRIM(AB433)=""),"INVALID – CA status missing for the recorded corrective action","")&amp;IF(AND(TRIM(U433)="Pass after CA",OR(TRIM(AA433)="",TRIM(AB433)&lt;&gt;"Closed")),"INVALID – corrective action not recorded/closed","")&lt;&gt;"",IF(AND(TRIM(U433)="Pass",ISNUMBER(AF433)),IF(AF433&lt;&gt;0,"INVALID – qty variance: use Fail or Pass after CA",""),"")&amp;IF(AND(TRIM(U433)="Pass",TRIM(AB433)&lt;&gt;"",TRIM(AB433)&lt;&gt;"Closed"),"INVALID – corrective action not closed: use Fail, then Pass after CA","")&amp;IF(AND(TRIM(AA433)&lt;&gt;"",TRIM(AB433)=""),"INVALID – CA status missing for the recorded corrective action","")&amp;IF(AND(TRIM(U433)="Pass after CA",OR(TRIM(AA433)="",TRIM(AB433)&lt;&gt;"Closed")),"INVALID – corrective action not recorded/closed",""),IF(AND(AS433=1,Documents!$J$17&lt;&gt;"ON FILE"),"INVALID – GLD not on file (Documents sheet)",IF(AND(AS433=2,Documents!$O$17&lt;&gt;"ON FILE"),"INVALID – menu checklist not on file (Documents sheet)",IF(AND(AS433=3,NOT(ISNUMBER(Flights!$AX$17))),"INVALID – enter carrying flight KUL departure (Flights AX)",IF(AND(AS433=3,OR(Flights!$AX$17&gt;=Flights!$AA$17,Flights!$AX$17&lt;Flights!$AA$17-3)),"INVALID – Flights AX must be before this leg's STD (within 3 days)",IF(AG433&gt;AsOfUTC,"INVALID – completion time is in the future",IF(AND(ISNUMBER(S433),AG433&lt;S433),IF(H433="Physical uplift","INVALID – before uplift window (cannot confirm loading)","INVALID – before valid window"),IF(AG433&gt;Flights!$AA$17,"INVALID – completed after departure (cannot establish readiness)",IF(AND(H433="Physical uplift",AG433&gt;Q433),"INVALID – recorded after the loading flight departed",IF(AG433&gt;Q433,"COMPLETE – LATE","COMPLETE")))))))))))))))))),IF(TRIM(U433)="Fail","FAIL – DISCREPANCY",IF(AND(TRIM(U433)&lt;&gt;"",TRIM(U433)&lt;&gt;"Not started",TRIM(U433)&lt;&gt;"In progress"),"INVALID – unrecognised status (use the list)",IF(AsOfUTC&gt;Q433,"OVERDUE",IF(N433="Clarification required","OPEN – CLARIFICATION","OPEN")))))))</f>
        <v>OPEN</v>
      </c>
      <c r="AI433" s="61" t="n">
        <f aca="false">IF(OR(AH433="N/A – RULE",AH433="N/A – JUSTIFIED"),0,1)</f>
        <v>1</v>
      </c>
      <c r="AJ433" s="61" t="n">
        <f aca="false">IF(LEFT(AH433,8)="COMPLETE",1,0)</f>
        <v>0</v>
      </c>
      <c r="AK433" s="61" t="n">
        <f aca="false">IF(AND(AI433=1,AJ433=0,AsOfUTC&gt;Q433),1,0)</f>
        <v>0</v>
      </c>
      <c r="AL433" s="61" t="n">
        <f aca="false">IF(AND(AI433=1,OR(TRIM(U433)="Fail",AND(TRIM(AB433)&lt;&gt;"",TRIM(AB433)&lt;&gt;"Closed"),AND(ISNUMBER(AF433),AF433&lt;&gt;0,TRIM(U433)&lt;&gt;"Pass after CA"))),1,0)</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row>
    <row r="434" customFormat="false" ht="39.75" hidden="false" customHeight="true" outlineLevel="0" collapsed="false">
      <c r="A434" s="57" t="s">
        <v>1032</v>
      </c>
      <c r="B434" s="57" t="s">
        <v>264</v>
      </c>
      <c r="C434" s="57" t="str">
        <f aca="false">Flights!$F$17</f>
        <v>MH0138</v>
      </c>
      <c r="D434" s="58" t="n">
        <f aca="false">Flights!$D$17</f>
        <v>46309</v>
      </c>
      <c r="E434" s="57" t="str">
        <f aca="false">Flights!$G$17&amp;"-"&amp;Flights!$H$17</f>
        <v>ADL-KUL</v>
      </c>
      <c r="F434" s="57" t="str">
        <f aca="false">Flights!$K$17</f>
        <v>EY</v>
      </c>
      <c r="G434" s="57" t="s">
        <v>76</v>
      </c>
      <c r="H434" s="57" t="s">
        <v>343</v>
      </c>
      <c r="I434" s="57" t="s">
        <v>370</v>
      </c>
      <c r="J434" s="57" t="s">
        <v>374</v>
      </c>
      <c r="K434" s="67" t="s">
        <v>372</v>
      </c>
      <c r="L434" s="67" t="s">
        <v>347</v>
      </c>
      <c r="M434" s="67"/>
      <c r="N434" s="67" t="s">
        <v>348</v>
      </c>
      <c r="O434" s="67"/>
      <c r="P434" s="57" t="s">
        <v>255</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59" t="n">
        <f aca="false">Q434-T7EarlyD*24/24</f>
        <v>46288.0104166667</v>
      </c>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IF(N434="N/A – rule","N/A – RULE",IF(TRIM(U434)="N/A",IF(AT434=0,"INVALID – N/A not permitted for this mandatory check",IF(AND(TRIM(AC434)&lt;&gt;"",TRIM(AE434)&lt;&gt;"",TRIM(T434)&lt;&gt;"",TRIM(AE434)&lt;&gt;TRIM(T434)),"N/A – JUSTIFIED","INVALID – N/A needs justification, PIC and a different verifier")),IF(OR(TRIM(U434)="Pass",TRIM(U434)="Pass after CA"),IF(NOT(ISNUMBER(AD434)),"INVALID – completion time missing",IF(TRIM(T434)="","INVALID – PIC missing",IF(TRIM(V434)="","INVALID – result / assessment missing",IF(TRIM(Z434)="","INVALID – evidence missing",IF(TRIM(AE434)="","INVALID – verifier missing",IF(TRIM(AE434)=TRIM(T434),"INVALID – verifier must be someone other than the PIC",IF(AND(AQ434=1,TRIM(W434)=""),"INVALID – batch ID missing",IF(AND(AR434=1,OR(NOT(ISNUMBER(X434)),NOT(ISNUMBER(Y434)))),"INVALID – expected/actual qty missing",IF(IF(AND(TRIM(U434)="Pass",ISNUMBER(AF434)),IF(AF434&lt;&gt;0,"INVALID – qty variance: use Fail or Pass after CA",""),"")&amp;IF(AND(TRIM(U434)="Pass",TRIM(AB434)&lt;&gt;"",TRIM(AB434)&lt;&gt;"Closed"),"INVALID – corrective action not closed: use Fail, then Pass after CA","")&amp;IF(AND(TRIM(AA434)&lt;&gt;"",TRIM(AB434)=""),"INVALID – CA status missing for the recorded corrective action","")&amp;IF(AND(TRIM(U434)="Pass after CA",OR(TRIM(AA434)="",TRIM(AB434)&lt;&gt;"Closed")),"INVALID – corrective action not recorded/closed","")&lt;&gt;"",IF(AND(TRIM(U434)="Pass",ISNUMBER(AF434)),IF(AF434&lt;&gt;0,"INVALID – qty variance: use Fail or Pass after CA",""),"")&amp;IF(AND(TRIM(U434)="Pass",TRIM(AB434)&lt;&gt;"",TRIM(AB434)&lt;&gt;"Closed"),"INVALID – corrective action not closed: use Fail, then Pass after CA","")&amp;IF(AND(TRIM(AA434)&lt;&gt;"",TRIM(AB434)=""),"INVALID – CA status missing for the recorded corrective action","")&amp;IF(AND(TRIM(U434)="Pass after CA",OR(TRIM(AA434)="",TRIM(AB434)&lt;&gt;"Closed")),"INVALID – corrective action not recorded/closed",""),IF(AND(AS434=1,Documents!$J$17&lt;&gt;"ON FILE"),"INVALID – GLD not on file (Documents sheet)",IF(AND(AS434=2,Documents!$O$17&lt;&gt;"ON FILE"),"INVALID – menu checklist not on file (Documents sheet)",IF(AND(AS434=3,NOT(ISNUMBER(Flights!$AX$17))),"INVALID – enter carrying flight KUL departure (Flights AX)",IF(AND(AS434=3,OR(Flights!$AX$17&gt;=Flights!$AA$17,Flights!$AX$17&lt;Flights!$AA$17-3)),"INVALID – Flights AX must be before this leg's STD (within 3 days)",IF(AG434&gt;AsOfUTC,"INVALID – completion time is in the future",IF(AND(ISNUMBER(S434),AG434&lt;S434),IF(H434="Physical uplift","INVALID – before uplift window (cannot confirm loading)","INVALID – before valid window"),IF(AG434&gt;Flights!$AA$17,"INVALID – completed after departure (cannot establish readiness)",IF(AND(H434="Physical uplift",AG434&gt;Q434),"INVALID – recorded after the loading flight departed",IF(AG434&gt;Q434,"COMPLETE – LATE","COMPLETE")))))))))))))))))),IF(TRIM(U434)="Fail","FAIL – DISCREPANCY",IF(AND(TRIM(U434)&lt;&gt;"",TRIM(U434)&lt;&gt;"Not started",TRIM(U434)&lt;&gt;"In progress"),"INVALID – unrecognised status (use the list)",IF(AsOfUTC&gt;Q434,"OVERDUE",IF(N434="Clarification required","OPEN – CLARIFICATION","OPEN")))))))</f>
        <v>OPEN</v>
      </c>
      <c r="AI434" s="61" t="n">
        <f aca="false">IF(OR(AH434="N/A – RULE",AH434="N/A – JUSTIFIED"),0,1)</f>
        <v>1</v>
      </c>
      <c r="AJ434" s="61" t="n">
        <f aca="false">IF(LEFT(AH434,8)="COMPLETE",1,0)</f>
        <v>0</v>
      </c>
      <c r="AK434" s="61" t="n">
        <f aca="false">IF(AND(AI434=1,AJ434=0,AsOfUTC&gt;Q434),1,0)</f>
        <v>0</v>
      </c>
      <c r="AL434" s="61" t="n">
        <f aca="false">IF(AND(AI434=1,OR(TRIM(U434)="Fail",AND(TRIM(AB434)&lt;&gt;"",TRIM(AB434)&lt;&gt;"Closed"),AND(ISNUMBER(AF434),AF434&lt;&gt;0,TRIM(U434)&lt;&gt;"Pass after CA"))),1,0)</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row>
    <row r="435" customFormat="false" ht="39.75" hidden="false" customHeight="true" outlineLevel="0" collapsed="false">
      <c r="A435" s="57" t="s">
        <v>1033</v>
      </c>
      <c r="B435" s="57" t="s">
        <v>264</v>
      </c>
      <c r="C435" s="57" t="str">
        <f aca="false">Flights!$F$17</f>
        <v>MH0138</v>
      </c>
      <c r="D435" s="58" t="n">
        <f aca="false">Flights!$D$17</f>
        <v>46309</v>
      </c>
      <c r="E435" s="57" t="str">
        <f aca="false">Flights!$G$17&amp;"-"&amp;Flights!$H$17</f>
        <v>ADL-KUL</v>
      </c>
      <c r="F435" s="57" t="str">
        <f aca="false">Flights!$K$17</f>
        <v>EY</v>
      </c>
      <c r="G435" s="57" t="s">
        <v>76</v>
      </c>
      <c r="H435" s="57" t="s">
        <v>343</v>
      </c>
      <c r="I435" s="57" t="s">
        <v>376</v>
      </c>
      <c r="J435" s="57" t="s">
        <v>377</v>
      </c>
      <c r="K435" s="67" t="s">
        <v>1034</v>
      </c>
      <c r="L435" s="67" t="s">
        <v>968</v>
      </c>
      <c r="M435" s="67"/>
      <c r="N435" s="67" t="s">
        <v>348</v>
      </c>
      <c r="O435" s="67"/>
      <c r="P435" s="57" t="s">
        <v>255</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59" t="n">
        <f aca="false">Q435-T7EarlyD*24/24</f>
        <v>46288.0104166667</v>
      </c>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IF(N435="N/A – rule","N/A – RULE",IF(TRIM(U435)="N/A",IF(AT435=0,"INVALID – N/A not permitted for this mandatory check",IF(AND(TRIM(AC435)&lt;&gt;"",TRIM(AE435)&lt;&gt;"",TRIM(T435)&lt;&gt;"",TRIM(AE435)&lt;&gt;TRIM(T435)),"N/A – JUSTIFIED","INVALID – N/A needs justification, PIC and a different verifier")),IF(OR(TRIM(U435)="Pass",TRIM(U435)="Pass after CA"),IF(NOT(ISNUMBER(AD435)),"INVALID – completion time missing",IF(TRIM(T435)="","INVALID – PIC missing",IF(TRIM(V435)="","INVALID – result / assessment missing",IF(TRIM(Z435)="","INVALID – evidence missing",IF(TRIM(AE435)="","INVALID – verifier missing",IF(TRIM(AE435)=TRIM(T435),"INVALID – verifier must be someone other than the PIC",IF(AND(AQ435=1,TRIM(W435)=""),"INVALID – batch ID missing",IF(AND(AR435=1,OR(NOT(ISNUMBER(X435)),NOT(ISNUMBER(Y435)))),"INVALID – expected/actual qty missing",IF(IF(AND(TRIM(U435)="Pass",ISNUMBER(AF435)),IF(AF435&lt;&gt;0,"INVALID – qty variance: use Fail or Pass after CA",""),"")&amp;IF(AND(TRIM(U435)="Pass",TRIM(AB435)&lt;&gt;"",TRIM(AB435)&lt;&gt;"Closed"),"INVALID – corrective action not closed: use Fail, then Pass after CA","")&amp;IF(AND(TRIM(AA435)&lt;&gt;"",TRIM(AB435)=""),"INVALID – CA status missing for the recorded corrective action","")&amp;IF(AND(TRIM(U435)="Pass after CA",OR(TRIM(AA435)="",TRIM(AB435)&lt;&gt;"Closed")),"INVALID – corrective action not recorded/closed","")&lt;&gt;"",IF(AND(TRIM(U435)="Pass",ISNUMBER(AF435)),IF(AF435&lt;&gt;0,"INVALID – qty variance: use Fail or Pass after CA",""),"")&amp;IF(AND(TRIM(U435)="Pass",TRIM(AB435)&lt;&gt;"",TRIM(AB435)&lt;&gt;"Closed"),"INVALID – corrective action not closed: use Fail, then Pass after CA","")&amp;IF(AND(TRIM(AA435)&lt;&gt;"",TRIM(AB435)=""),"INVALID – CA status missing for the recorded corrective action","")&amp;IF(AND(TRIM(U435)="Pass after CA",OR(TRIM(AA435)="",TRIM(AB435)&lt;&gt;"Closed")),"INVALID – corrective action not recorded/closed",""),IF(AND(AS435=1,Documents!$J$17&lt;&gt;"ON FILE"),"INVALID – GLD not on file (Documents sheet)",IF(AND(AS435=2,Documents!$O$17&lt;&gt;"ON FILE"),"INVALID – menu checklist not on file (Documents sheet)",IF(AND(AS435=3,NOT(ISNUMBER(Flights!$AX$17))),"INVALID – enter carrying flight KUL departure (Flights AX)",IF(AND(AS435=3,OR(Flights!$AX$17&gt;=Flights!$AA$17,Flights!$AX$17&lt;Flights!$AA$17-3)),"INVALID – Flights AX must be before this leg's STD (within 3 days)",IF(AG435&gt;AsOfUTC,"INVALID – completion time is in the future",IF(AND(ISNUMBER(S435),AG435&lt;S435),IF(H435="Physical uplift","INVALID – before uplift window (cannot confirm loading)","INVALID – before valid window"),IF(AG435&gt;Flights!$AA$17,"INVALID – completed after departure (cannot establish readiness)",IF(AND(H435="Physical uplift",AG435&gt;Q435),"INVALID – recorded after the loading flight departed",IF(AG435&gt;Q435,"COMPLETE – LATE","COMPLETE")))))))))))))))))),IF(TRIM(U435)="Fail","FAIL – DISCREPANCY",IF(AND(TRIM(U435)&lt;&gt;"",TRIM(U435)&lt;&gt;"Not started",TRIM(U435)&lt;&gt;"In progress"),"INVALID – unrecognised status (use the list)",IF(AsOfUTC&gt;Q435,"OVERDUE",IF(N435="Clarification required","OPEN – CLARIFICATION","OPEN")))))))</f>
        <v>OPEN</v>
      </c>
      <c r="AI435" s="61" t="n">
        <f aca="false">IF(OR(AH435="N/A – RULE",AH435="N/A – JUSTIFIED"),0,1)</f>
        <v>1</v>
      </c>
      <c r="AJ435" s="61" t="n">
        <f aca="false">IF(LEFT(AH435,8)="COMPLETE",1,0)</f>
        <v>0</v>
      </c>
      <c r="AK435" s="61" t="n">
        <f aca="false">IF(AND(AI435=1,AJ435=0,AsOfUTC&gt;Q435),1,0)</f>
        <v>0</v>
      </c>
      <c r="AL435" s="61" t="n">
        <f aca="false">IF(AND(AI435=1,OR(TRIM(U435)="Fail",AND(TRIM(AB435)&lt;&gt;"",TRIM(AB435)&lt;&gt;"Closed"),AND(ISNUMBER(AF435),AF435&lt;&gt;0,TRIM(U435)&lt;&gt;"Pass after CA"))),1,0)</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row>
    <row r="436" customFormat="false" ht="91.5" hidden="false" customHeight="true" outlineLevel="0" collapsed="false">
      <c r="A436" s="57" t="s">
        <v>1035</v>
      </c>
      <c r="B436" s="57" t="s">
        <v>264</v>
      </c>
      <c r="C436" s="57" t="str">
        <f aca="false">Flights!$F$17</f>
        <v>MH0138</v>
      </c>
      <c r="D436" s="58" t="n">
        <f aca="false">Flights!$D$17</f>
        <v>46309</v>
      </c>
      <c r="E436" s="57" t="str">
        <f aca="false">Flights!$G$17&amp;"-"&amp;Flights!$H$17</f>
        <v>ADL-KUL</v>
      </c>
      <c r="F436" s="57" t="str">
        <f aca="false">Flights!$K$17</f>
        <v>EY</v>
      </c>
      <c r="G436" s="57" t="s">
        <v>76</v>
      </c>
      <c r="H436" s="57" t="s">
        <v>343</v>
      </c>
      <c r="I436" s="57" t="s">
        <v>376</v>
      </c>
      <c r="J436" s="57" t="s">
        <v>1036</v>
      </c>
      <c r="K436" s="67" t="s">
        <v>1037</v>
      </c>
      <c r="L436" s="67" t="s">
        <v>639</v>
      </c>
      <c r="M436" s="67"/>
      <c r="N436" s="67" t="s">
        <v>409</v>
      </c>
      <c r="O436" s="67" t="s">
        <v>1038</v>
      </c>
      <c r="P436" s="57" t="s">
        <v>179</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59" t="n">
        <f aca="false">Q436-T7EarlyD*24/24</f>
        <v>46288.0104166667</v>
      </c>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IF(N436="N/A – rule","N/A – RULE",IF(TRIM(U436)="N/A",IF(AT436=0,"INVALID – N/A not permitted for this mandatory check",IF(AND(TRIM(AC436)&lt;&gt;"",TRIM(AE436)&lt;&gt;"",TRIM(T436)&lt;&gt;"",TRIM(AE436)&lt;&gt;TRIM(T436)),"N/A – JUSTIFIED","INVALID – N/A needs justification, PIC and a different verifier")),IF(OR(TRIM(U436)="Pass",TRIM(U436)="Pass after CA"),IF(NOT(ISNUMBER(AD436)),"INVALID – completion time missing",IF(TRIM(T436)="","INVALID – PIC missing",IF(TRIM(V436)="","INVALID – result / assessment missing",IF(TRIM(Z436)="","INVALID – evidence missing",IF(TRIM(AE436)="","INVALID – verifier missing",IF(TRIM(AE436)=TRIM(T436),"INVALID – verifier must be someone other than the PIC",IF(AND(AQ436=1,TRIM(W436)=""),"INVALID – batch ID missing",IF(AND(AR436=1,OR(NOT(ISNUMBER(X436)),NOT(ISNUMBER(Y436)))),"INVALID – expected/actual qty missing",IF(IF(AND(TRIM(U436)="Pass",ISNUMBER(AF436)),IF(AF436&lt;&gt;0,"INVALID – qty variance: use Fail or Pass after CA",""),"")&amp;IF(AND(TRIM(U436)="Pass",TRIM(AB436)&lt;&gt;"",TRIM(AB436)&lt;&gt;"Closed"),"INVALID – corrective action not closed: use Fail, then Pass after CA","")&amp;IF(AND(TRIM(AA436)&lt;&gt;"",TRIM(AB436)=""),"INVALID – CA status missing for the recorded corrective action","")&amp;IF(AND(TRIM(U436)="Pass after CA",OR(TRIM(AA436)="",TRIM(AB436)&lt;&gt;"Closed")),"INVALID – corrective action not recorded/closed","")&lt;&gt;"",IF(AND(TRIM(U436)="Pass",ISNUMBER(AF436)),IF(AF436&lt;&gt;0,"INVALID – qty variance: use Fail or Pass after CA",""),"")&amp;IF(AND(TRIM(U436)="Pass",TRIM(AB436)&lt;&gt;"",TRIM(AB436)&lt;&gt;"Closed"),"INVALID – corrective action not closed: use Fail, then Pass after CA","")&amp;IF(AND(TRIM(AA436)&lt;&gt;"",TRIM(AB436)=""),"INVALID – CA status missing for the recorded corrective action","")&amp;IF(AND(TRIM(U436)="Pass after CA",OR(TRIM(AA436)="",TRIM(AB436)&lt;&gt;"Closed")),"INVALID – corrective action not recorded/closed",""),IF(AND(AS436=1,Documents!$J$17&lt;&gt;"ON FILE"),"INVALID – GLD not on file (Documents sheet)",IF(AND(AS436=2,Documents!$O$17&lt;&gt;"ON FILE"),"INVALID – menu checklist not on file (Documents sheet)",IF(AND(AS436=3,NOT(ISNUMBER(Flights!$AX$17))),"INVALID – enter carrying flight KUL departure (Flights AX)",IF(AND(AS436=3,OR(Flights!$AX$17&gt;=Flights!$AA$17,Flights!$AX$17&lt;Flights!$AA$17-3)),"INVALID – Flights AX must be before this leg's STD (within 3 days)",IF(AG436&gt;AsOfUTC,"INVALID – completion time is in the future",IF(AND(ISNUMBER(S436),AG436&lt;S436),IF(H436="Physical uplift","INVALID – before uplift window (cannot confirm loading)","INVALID – before valid window"),IF(AG436&gt;Flights!$AA$17,"INVALID – completed after departure (cannot establish readiness)",IF(AND(H436="Physical uplift",AG436&gt;Q436),"INVALID – recorded after the loading flight departed",IF(AG436&gt;Q436,"COMPLETE – LATE","COMPLETE")))))))))))))))))),IF(TRIM(U436)="Fail","FAIL – DISCREPANCY",IF(AND(TRIM(U436)&lt;&gt;"",TRIM(U436)&lt;&gt;"Not started",TRIM(U436)&lt;&gt;"In progress"),"INVALID – unrecognised status (use the list)",IF(AsOfUTC&gt;Q436,"OVERDUE",IF(N436="Clarification required","OPEN – CLARIFICATION","OPEN")))))))</f>
        <v>OPEN – CLARIFICATION</v>
      </c>
      <c r="AI436" s="61" t="n">
        <f aca="false">IF(OR(AH436="N/A – RULE",AH436="N/A – JUSTIFIED"),0,1)</f>
        <v>1</v>
      </c>
      <c r="AJ436" s="61" t="n">
        <f aca="false">IF(LEFT(AH436,8)="COMPLETE",1,0)</f>
        <v>0</v>
      </c>
      <c r="AK436" s="61" t="n">
        <f aca="false">IF(AND(AI436=1,AJ436=0,AsOfUTC&gt;Q436),1,0)</f>
        <v>0</v>
      </c>
      <c r="AL436" s="61" t="n">
        <f aca="false">IF(AND(AI436=1,OR(TRIM(U436)="Fail",AND(TRIM(AB436)&lt;&gt;"",TRIM(AB436)&lt;&gt;"Closed"),AND(ISNUMBER(AF436),AF436&lt;&gt;0,TRIM(U436)&lt;&gt;"Pass after CA"))),1,0)</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8" t="b">
        <f aca="false">FALSE()</f>
        <v>0</v>
      </c>
    </row>
    <row r="437" customFormat="false" ht="39.75" hidden="false" customHeight="true" outlineLevel="0" collapsed="false">
      <c r="A437" s="57" t="s">
        <v>1039</v>
      </c>
      <c r="B437" s="57" t="s">
        <v>264</v>
      </c>
      <c r="C437" s="57" t="str">
        <f aca="false">Flights!$F$17</f>
        <v>MH0138</v>
      </c>
      <c r="D437" s="58" t="n">
        <f aca="false">Flights!$D$17</f>
        <v>46309</v>
      </c>
      <c r="E437" s="57" t="str">
        <f aca="false">Flights!$G$17&amp;"-"&amp;Flights!$H$17</f>
        <v>ADL-KUL</v>
      </c>
      <c r="F437" s="57" t="str">
        <f aca="false">Flights!$K$17</f>
        <v>EY</v>
      </c>
      <c r="G437" s="57" t="s">
        <v>78</v>
      </c>
      <c r="H437" s="57" t="s">
        <v>343</v>
      </c>
      <c r="I437" s="57" t="s">
        <v>344</v>
      </c>
      <c r="J437" s="57" t="s">
        <v>381</v>
      </c>
      <c r="K437" s="67" t="s">
        <v>382</v>
      </c>
      <c r="L437" s="67" t="s">
        <v>383</v>
      </c>
      <c r="M437" s="67"/>
      <c r="N437" s="67" t="s">
        <v>348</v>
      </c>
      <c r="O437" s="67"/>
      <c r="P437" s="57" t="s">
        <v>255</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59" t="n">
        <f aca="false">Q437-T24EarlyH/24</f>
        <v>46307.0104166667</v>
      </c>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IF(N437="N/A – rule","N/A – RULE",IF(TRIM(U437)="N/A",IF(AT437=0,"INVALID – N/A not permitted for this mandatory check",IF(AND(TRIM(AC437)&lt;&gt;"",TRIM(AE437)&lt;&gt;"",TRIM(T437)&lt;&gt;"",TRIM(AE437)&lt;&gt;TRIM(T437)),"N/A – JUSTIFIED","INVALID – N/A needs justification, PIC and a different verifier")),IF(OR(TRIM(U437)="Pass",TRIM(U437)="Pass after CA"),IF(NOT(ISNUMBER(AD437)),"INVALID – completion time missing",IF(TRIM(T437)="","INVALID – PIC missing",IF(TRIM(V437)="","INVALID – result / assessment missing",IF(TRIM(Z437)="","INVALID – evidence missing",IF(TRIM(AE437)="","INVALID – verifier missing",IF(TRIM(AE437)=TRIM(T437),"INVALID – verifier must be someone other than the PIC",IF(AND(AQ437=1,TRIM(W437)=""),"INVALID – batch ID missing",IF(AND(AR437=1,OR(NOT(ISNUMBER(X437)),NOT(ISNUMBER(Y437)))),"INVALID – expected/actual qty missing",IF(IF(AND(TRIM(U437)="Pass",ISNUMBER(AF437)),IF(AF437&lt;&gt;0,"INVALID – qty variance: use Fail or Pass after CA",""),"")&amp;IF(AND(TRIM(U437)="Pass",TRIM(AB437)&lt;&gt;"",TRIM(AB437)&lt;&gt;"Closed"),"INVALID – corrective action not closed: use Fail, then Pass after CA","")&amp;IF(AND(TRIM(AA437)&lt;&gt;"",TRIM(AB437)=""),"INVALID – CA status missing for the recorded corrective action","")&amp;IF(AND(TRIM(U437)="Pass after CA",OR(TRIM(AA437)="",TRIM(AB437)&lt;&gt;"Closed")),"INVALID – corrective action not recorded/closed","")&lt;&gt;"",IF(AND(TRIM(U437)="Pass",ISNUMBER(AF437)),IF(AF437&lt;&gt;0,"INVALID – qty variance: use Fail or Pass after CA",""),"")&amp;IF(AND(TRIM(U437)="Pass",TRIM(AB437)&lt;&gt;"",TRIM(AB437)&lt;&gt;"Closed"),"INVALID – corrective action not closed: use Fail, then Pass after CA","")&amp;IF(AND(TRIM(AA437)&lt;&gt;"",TRIM(AB437)=""),"INVALID – CA status missing for the recorded corrective action","")&amp;IF(AND(TRIM(U437)="Pass after CA",OR(TRIM(AA437)="",TRIM(AB437)&lt;&gt;"Closed")),"INVALID – corrective action not recorded/closed",""),IF(AND(AS437=1,Documents!$J$17&lt;&gt;"ON FILE"),"INVALID – GLD not on file (Documents sheet)",IF(AND(AS437=2,Documents!$O$17&lt;&gt;"ON FILE"),"INVALID – menu checklist not on file (Documents sheet)",IF(AND(AS437=3,NOT(ISNUMBER(Flights!$AX$17))),"INVALID – enter carrying flight KUL departure (Flights AX)",IF(AND(AS437=3,OR(Flights!$AX$17&gt;=Flights!$AA$17,Flights!$AX$17&lt;Flights!$AA$17-3)),"INVALID – Flights AX must be before this leg's STD (within 3 days)",IF(AG437&gt;AsOfUTC,"INVALID – completion time is in the future",IF(AND(ISNUMBER(S437),AG437&lt;S437),IF(H437="Physical uplift","INVALID – before uplift window (cannot confirm loading)","INVALID – before valid window"),IF(AG437&gt;Flights!$AA$17,"INVALID – completed after departure (cannot establish readiness)",IF(AND(H437="Physical uplift",AG437&gt;Q437),"INVALID – recorded after the loading flight departed",IF(AG437&gt;Q437,"COMPLETE – LATE","COMPLETE")))))))))))))))))),IF(TRIM(U437)="Fail","FAIL – DISCREPANCY",IF(AND(TRIM(U437)&lt;&gt;"",TRIM(U437)&lt;&gt;"Not started",TRIM(U437)&lt;&gt;"In progress"),"INVALID – unrecognised status (use the list)",IF(AsOfUTC&gt;Q437,"OVERDUE",IF(N437="Clarification required","OPEN – CLARIFICATION","OPEN")))))))</f>
        <v>OPEN</v>
      </c>
      <c r="AI437" s="61" t="n">
        <f aca="false">IF(OR(AH437="N/A – RULE",AH437="N/A – JUSTIFIED"),0,1)</f>
        <v>1</v>
      </c>
      <c r="AJ437" s="61" t="n">
        <f aca="false">IF(LEFT(AH437,8)="COMPLETE",1,0)</f>
        <v>0</v>
      </c>
      <c r="AK437" s="61" t="n">
        <f aca="false">IF(AND(AI437=1,AJ437=0,AsOfUTC&gt;Q437),1,0)</f>
        <v>0</v>
      </c>
      <c r="AL437" s="61" t="n">
        <f aca="false">IF(AND(AI437=1,OR(TRIM(U437)="Fail",AND(TRIM(AB437)&lt;&gt;"",TRIM(AB437)&lt;&gt;"Closed"),AND(ISNUMBER(AF437),AF437&lt;&gt;0,TRIM(U437)&lt;&gt;"Pass after CA"))),1,0)</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row>
    <row r="438" customFormat="false" ht="39.75" hidden="false" customHeight="true" outlineLevel="0" collapsed="false">
      <c r="A438" s="57" t="s">
        <v>1040</v>
      </c>
      <c r="B438" s="57" t="s">
        <v>264</v>
      </c>
      <c r="C438" s="57" t="str">
        <f aca="false">Flights!$F$17</f>
        <v>MH0138</v>
      </c>
      <c r="D438" s="58" t="n">
        <f aca="false">Flights!$D$17</f>
        <v>46309</v>
      </c>
      <c r="E438" s="57" t="str">
        <f aca="false">Flights!$G$17&amp;"-"&amp;Flights!$H$17</f>
        <v>ADL-KUL</v>
      </c>
      <c r="F438" s="57" t="str">
        <f aca="false">Flights!$K$17</f>
        <v>EY</v>
      </c>
      <c r="G438" s="57" t="s">
        <v>385</v>
      </c>
      <c r="H438" s="57" t="s">
        <v>343</v>
      </c>
      <c r="I438" s="57" t="s">
        <v>344</v>
      </c>
      <c r="J438" s="57" t="s">
        <v>386</v>
      </c>
      <c r="K438" s="67"/>
      <c r="L438" s="67" t="s">
        <v>387</v>
      </c>
      <c r="M438" s="67"/>
      <c r="N438" s="67" t="s">
        <v>348</v>
      </c>
      <c r="O438" s="67" t="s">
        <v>388</v>
      </c>
      <c r="P438" s="57" t="s">
        <v>255</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59" t="n">
        <f aca="false">Q438-T12EarlyH/24</f>
        <v>46308.0104166667</v>
      </c>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IF(N438="N/A – rule","N/A – RULE",IF(TRIM(U438)="N/A",IF(AT438=0,"INVALID – N/A not permitted for this mandatory check",IF(AND(TRIM(AC438)&lt;&gt;"",TRIM(AE438)&lt;&gt;"",TRIM(T438)&lt;&gt;"",TRIM(AE438)&lt;&gt;TRIM(T438)),"N/A – JUSTIFIED","INVALID – N/A needs justification, PIC and a different verifier")),IF(OR(TRIM(U438)="Pass",TRIM(U438)="Pass after CA"),IF(NOT(ISNUMBER(AD438)),"INVALID – completion time missing",IF(TRIM(T438)="","INVALID – PIC missing",IF(TRIM(V438)="","INVALID – result / assessment missing",IF(TRIM(Z438)="","INVALID – evidence missing",IF(TRIM(AE438)="","INVALID – verifier missing",IF(TRIM(AE438)=TRIM(T438),"INVALID – verifier must be someone other than the PIC",IF(AND(AQ438=1,TRIM(W438)=""),"INVALID – batch ID missing",IF(AND(AR438=1,OR(NOT(ISNUMBER(X438)),NOT(ISNUMBER(Y438)))),"INVALID – expected/actual qty missing",IF(IF(AND(TRIM(U438)="Pass",ISNUMBER(AF438)),IF(AF438&lt;&gt;0,"INVALID – qty variance: use Fail or Pass after CA",""),"")&amp;IF(AND(TRIM(U438)="Pass",TRIM(AB438)&lt;&gt;"",TRIM(AB438)&lt;&gt;"Closed"),"INVALID – corrective action not closed: use Fail, then Pass after CA","")&amp;IF(AND(TRIM(AA438)&lt;&gt;"",TRIM(AB438)=""),"INVALID – CA status missing for the recorded corrective action","")&amp;IF(AND(TRIM(U438)="Pass after CA",OR(TRIM(AA438)="",TRIM(AB438)&lt;&gt;"Closed")),"INVALID – corrective action not recorded/closed","")&lt;&gt;"",IF(AND(TRIM(U438)="Pass",ISNUMBER(AF438)),IF(AF438&lt;&gt;0,"INVALID – qty variance: use Fail or Pass after CA",""),"")&amp;IF(AND(TRIM(U438)="Pass",TRIM(AB438)&lt;&gt;"",TRIM(AB438)&lt;&gt;"Closed"),"INVALID – corrective action not closed: use Fail, then Pass after CA","")&amp;IF(AND(TRIM(AA438)&lt;&gt;"",TRIM(AB438)=""),"INVALID – CA status missing for the recorded corrective action","")&amp;IF(AND(TRIM(U438)="Pass after CA",OR(TRIM(AA438)="",TRIM(AB438)&lt;&gt;"Closed")),"INVALID – corrective action not recorded/closed",""),IF(AND(AS438=1,Documents!$J$17&lt;&gt;"ON FILE"),"INVALID – GLD not on file (Documents sheet)",IF(AND(AS438=2,Documents!$O$17&lt;&gt;"ON FILE"),"INVALID – menu checklist not on file (Documents sheet)",IF(AND(AS438=3,NOT(ISNUMBER(Flights!$AX$17))),"INVALID – enter carrying flight KUL departure (Flights AX)",IF(AND(AS438=3,OR(Flights!$AX$17&gt;=Flights!$AA$17,Flights!$AX$17&lt;Flights!$AA$17-3)),"INVALID – Flights AX must be before this leg's STD (within 3 days)",IF(AG438&gt;AsOfUTC,"INVALID – completion time is in the future",IF(AND(ISNUMBER(S438),AG438&lt;S438),IF(H438="Physical uplift","INVALID – before uplift window (cannot confirm loading)","INVALID – before valid window"),IF(AG438&gt;Flights!$AA$17,"INVALID – completed after departure (cannot establish readiness)",IF(AND(H438="Physical uplift",AG438&gt;Q438),"INVALID – recorded after the loading flight departed",IF(AG438&gt;Q438,"COMPLETE – LATE","COMPLETE")))))))))))))))))),IF(TRIM(U438)="Fail","FAIL – DISCREPANCY",IF(AND(TRIM(U438)&lt;&gt;"",TRIM(U438)&lt;&gt;"Not started",TRIM(U438)&lt;&gt;"In progress"),"INVALID – unrecognised status (use the list)",IF(AsOfUTC&gt;Q438,"OVERDUE",IF(N438="Clarification required","OPEN – CLARIFICATION","OPEN")))))))</f>
        <v>OPEN</v>
      </c>
      <c r="AI438" s="61" t="n">
        <f aca="false">IF(OR(AH438="N/A – RULE",AH438="N/A – JUSTIFIED"),0,1)</f>
        <v>1</v>
      </c>
      <c r="AJ438" s="61" t="n">
        <f aca="false">IF(LEFT(AH438,8)="COMPLETE",1,0)</f>
        <v>0</v>
      </c>
      <c r="AK438" s="61" t="n">
        <f aca="false">IF(AND(AI438=1,AJ438=0,AsOfUTC&gt;Q438),1,0)</f>
        <v>0</v>
      </c>
      <c r="AL438" s="61" t="n">
        <f aca="false">IF(AND(AI438=1,OR(TRIM(U438)="Fail",AND(TRIM(AB438)&lt;&gt;"",TRIM(AB438)&lt;&gt;"Closed"),AND(ISNUMBER(AF438),AF438&lt;&gt;0,TRIM(U438)&lt;&gt;"Pass after CA"))),1,0)</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row>
    <row r="439" customFormat="false" ht="39.75" hidden="false" customHeight="true" outlineLevel="0" collapsed="false">
      <c r="A439" s="57" t="s">
        <v>1041</v>
      </c>
      <c r="B439" s="57" t="s">
        <v>264</v>
      </c>
      <c r="C439" s="57" t="str">
        <f aca="false">Flights!$F$17</f>
        <v>MH0138</v>
      </c>
      <c r="D439" s="58" t="n">
        <f aca="false">Flights!$D$17</f>
        <v>46309</v>
      </c>
      <c r="E439" s="57" t="str">
        <f aca="false">Flights!$G$17&amp;"-"&amp;Flights!$H$17</f>
        <v>ADL-KUL</v>
      </c>
      <c r="F439" s="57" t="str">
        <f aca="false">Flights!$K$17</f>
        <v>EY</v>
      </c>
      <c r="G439" s="57" t="s">
        <v>385</v>
      </c>
      <c r="H439" s="57" t="s">
        <v>343</v>
      </c>
      <c r="I439" s="57" t="s">
        <v>344</v>
      </c>
      <c r="J439" s="57" t="s">
        <v>390</v>
      </c>
      <c r="K439" s="67" t="s">
        <v>391</v>
      </c>
      <c r="L439" s="67" t="s">
        <v>387</v>
      </c>
      <c r="M439" s="67"/>
      <c r="N439" s="67" t="s">
        <v>348</v>
      </c>
      <c r="O439" s="67" t="s">
        <v>388</v>
      </c>
      <c r="P439" s="57" t="s">
        <v>255</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59" t="n">
        <f aca="false">Q439-T12EarlyH/24</f>
        <v>46308.0104166667</v>
      </c>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IF(N439="N/A – rule","N/A – RULE",IF(TRIM(U439)="N/A",IF(AT439=0,"INVALID – N/A not permitted for this mandatory check",IF(AND(TRIM(AC439)&lt;&gt;"",TRIM(AE439)&lt;&gt;"",TRIM(T439)&lt;&gt;"",TRIM(AE439)&lt;&gt;TRIM(T439)),"N/A – JUSTIFIED","INVALID – N/A needs justification, PIC and a different verifier")),IF(OR(TRIM(U439)="Pass",TRIM(U439)="Pass after CA"),IF(NOT(ISNUMBER(AD439)),"INVALID – completion time missing",IF(TRIM(T439)="","INVALID – PIC missing",IF(TRIM(V439)="","INVALID – result / assessment missing",IF(TRIM(Z439)="","INVALID – evidence missing",IF(TRIM(AE439)="","INVALID – verifier missing",IF(TRIM(AE439)=TRIM(T439),"INVALID – verifier must be someone other than the PIC",IF(AND(AQ439=1,TRIM(W439)=""),"INVALID – batch ID missing",IF(AND(AR439=1,OR(NOT(ISNUMBER(X439)),NOT(ISNUMBER(Y439)))),"INVALID – expected/actual qty missing",IF(IF(AND(TRIM(U439)="Pass",ISNUMBER(AF439)),IF(AF439&lt;&gt;0,"INVALID – qty variance: use Fail or Pass after CA",""),"")&amp;IF(AND(TRIM(U439)="Pass",TRIM(AB439)&lt;&gt;"",TRIM(AB439)&lt;&gt;"Closed"),"INVALID – corrective action not closed: use Fail, then Pass after CA","")&amp;IF(AND(TRIM(AA439)&lt;&gt;"",TRIM(AB439)=""),"INVALID – CA status missing for the recorded corrective action","")&amp;IF(AND(TRIM(U439)="Pass after CA",OR(TRIM(AA439)="",TRIM(AB439)&lt;&gt;"Closed")),"INVALID – corrective action not recorded/closed","")&lt;&gt;"",IF(AND(TRIM(U439)="Pass",ISNUMBER(AF439)),IF(AF439&lt;&gt;0,"INVALID – qty variance: use Fail or Pass after CA",""),"")&amp;IF(AND(TRIM(U439)="Pass",TRIM(AB439)&lt;&gt;"",TRIM(AB439)&lt;&gt;"Closed"),"INVALID – corrective action not closed: use Fail, then Pass after CA","")&amp;IF(AND(TRIM(AA439)&lt;&gt;"",TRIM(AB439)=""),"INVALID – CA status missing for the recorded corrective action","")&amp;IF(AND(TRIM(U439)="Pass after CA",OR(TRIM(AA439)="",TRIM(AB439)&lt;&gt;"Closed")),"INVALID – corrective action not recorded/closed",""),IF(AND(AS439=1,Documents!$J$17&lt;&gt;"ON FILE"),"INVALID – GLD not on file (Documents sheet)",IF(AND(AS439=2,Documents!$O$17&lt;&gt;"ON FILE"),"INVALID – menu checklist not on file (Documents sheet)",IF(AND(AS439=3,NOT(ISNUMBER(Flights!$AX$17))),"INVALID – enter carrying flight KUL departure (Flights AX)",IF(AND(AS439=3,OR(Flights!$AX$17&gt;=Flights!$AA$17,Flights!$AX$17&lt;Flights!$AA$17-3)),"INVALID – Flights AX must be before this leg's STD (within 3 days)",IF(AG439&gt;AsOfUTC,"INVALID – completion time is in the future",IF(AND(ISNUMBER(S439),AG439&lt;S439),IF(H439="Physical uplift","INVALID – before uplift window (cannot confirm loading)","INVALID – before valid window"),IF(AG439&gt;Flights!$AA$17,"INVALID – completed after departure (cannot establish readiness)",IF(AND(H439="Physical uplift",AG439&gt;Q439),"INVALID – recorded after the loading flight departed",IF(AG439&gt;Q439,"COMPLETE – LATE","COMPLETE")))))))))))))))))),IF(TRIM(U439)="Fail","FAIL – DISCREPANCY",IF(AND(TRIM(U439)&lt;&gt;"",TRIM(U439)&lt;&gt;"Not started",TRIM(U439)&lt;&gt;"In progress"),"INVALID – unrecognised status (use the list)",IF(AsOfUTC&gt;Q439,"OVERDUE",IF(N439="Clarification required","OPEN – CLARIFICATION","OPEN")))))))</f>
        <v>OPEN</v>
      </c>
      <c r="AI439" s="61" t="n">
        <f aca="false">IF(OR(AH439="N/A – RULE",AH439="N/A – JUSTIFIED"),0,1)</f>
        <v>1</v>
      </c>
      <c r="AJ439" s="61" t="n">
        <f aca="false">IF(LEFT(AH439,8)="COMPLETE",1,0)</f>
        <v>0</v>
      </c>
      <c r="AK439" s="61" t="n">
        <f aca="false">IF(AND(AI439=1,AJ439=0,AsOfUTC&gt;Q439),1,0)</f>
        <v>0</v>
      </c>
      <c r="AL439" s="61" t="n">
        <f aca="false">IF(AND(AI439=1,OR(TRIM(U439)="Fail",AND(TRIM(AB439)&lt;&gt;"",TRIM(AB439)&lt;&gt;"Closed"),AND(ISNUMBER(AF439),AF439&lt;&gt;0,TRIM(U439)&lt;&gt;"Pass after CA"))),1,0)</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row>
    <row r="440" customFormat="false" ht="39.75" hidden="false" customHeight="true" outlineLevel="0" collapsed="false">
      <c r="A440" s="57" t="s">
        <v>1042</v>
      </c>
      <c r="B440" s="57" t="s">
        <v>264</v>
      </c>
      <c r="C440" s="57" t="str">
        <f aca="false">Flights!$F$17</f>
        <v>MH0138</v>
      </c>
      <c r="D440" s="58" t="n">
        <f aca="false">Flights!$D$17</f>
        <v>46309</v>
      </c>
      <c r="E440" s="57" t="str">
        <f aca="false">Flights!$G$17&amp;"-"&amp;Flights!$H$17</f>
        <v>ADL-KUL</v>
      </c>
      <c r="F440" s="57" t="str">
        <f aca="false">Flights!$K$17</f>
        <v>EY</v>
      </c>
      <c r="G440" s="57" t="s">
        <v>385</v>
      </c>
      <c r="H440" s="57" t="s">
        <v>343</v>
      </c>
      <c r="I440" s="57" t="s">
        <v>393</v>
      </c>
      <c r="J440" s="57" t="s">
        <v>394</v>
      </c>
      <c r="K440" s="67"/>
      <c r="L440" s="67" t="s">
        <v>387</v>
      </c>
      <c r="M440" s="67"/>
      <c r="N440" s="67" t="s">
        <v>348</v>
      </c>
      <c r="O440" s="67" t="s">
        <v>388</v>
      </c>
      <c r="P440" s="57" t="s">
        <v>255</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59" t="n">
        <f aca="false">Q440-T12EarlyH/24</f>
        <v>46308.0104166667</v>
      </c>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IF(N440="N/A – rule","N/A – RULE",IF(TRIM(U440)="N/A",IF(AT440=0,"INVALID – N/A not permitted for this mandatory check",IF(AND(TRIM(AC440)&lt;&gt;"",TRIM(AE440)&lt;&gt;"",TRIM(T440)&lt;&gt;"",TRIM(AE440)&lt;&gt;TRIM(T440)),"N/A – JUSTIFIED","INVALID – N/A needs justification, PIC and a different verifier")),IF(OR(TRIM(U440)="Pass",TRIM(U440)="Pass after CA"),IF(NOT(ISNUMBER(AD440)),"INVALID – completion time missing",IF(TRIM(T440)="","INVALID – PIC missing",IF(TRIM(V440)="","INVALID – result / assessment missing",IF(TRIM(Z440)="","INVALID – evidence missing",IF(TRIM(AE440)="","INVALID – verifier missing",IF(TRIM(AE440)=TRIM(T440),"INVALID – verifier must be someone other than the PIC",IF(AND(AQ440=1,TRIM(W440)=""),"INVALID – batch ID missing",IF(AND(AR440=1,OR(NOT(ISNUMBER(X440)),NOT(ISNUMBER(Y440)))),"INVALID – expected/actual qty missing",IF(IF(AND(TRIM(U440)="Pass",ISNUMBER(AF440)),IF(AF440&lt;&gt;0,"INVALID – qty variance: use Fail or Pass after CA",""),"")&amp;IF(AND(TRIM(U440)="Pass",TRIM(AB440)&lt;&gt;"",TRIM(AB440)&lt;&gt;"Closed"),"INVALID – corrective action not closed: use Fail, then Pass after CA","")&amp;IF(AND(TRIM(AA440)&lt;&gt;"",TRIM(AB440)=""),"INVALID – CA status missing for the recorded corrective action","")&amp;IF(AND(TRIM(U440)="Pass after CA",OR(TRIM(AA440)="",TRIM(AB440)&lt;&gt;"Closed")),"INVALID – corrective action not recorded/closed","")&lt;&gt;"",IF(AND(TRIM(U440)="Pass",ISNUMBER(AF440)),IF(AF440&lt;&gt;0,"INVALID – qty variance: use Fail or Pass after CA",""),"")&amp;IF(AND(TRIM(U440)="Pass",TRIM(AB440)&lt;&gt;"",TRIM(AB440)&lt;&gt;"Closed"),"INVALID – corrective action not closed: use Fail, then Pass after CA","")&amp;IF(AND(TRIM(AA440)&lt;&gt;"",TRIM(AB440)=""),"INVALID – CA status missing for the recorded corrective action","")&amp;IF(AND(TRIM(U440)="Pass after CA",OR(TRIM(AA440)="",TRIM(AB440)&lt;&gt;"Closed")),"INVALID – corrective action not recorded/closed",""),IF(AND(AS440=1,Documents!$J$17&lt;&gt;"ON FILE"),"INVALID – GLD not on file (Documents sheet)",IF(AND(AS440=2,Documents!$O$17&lt;&gt;"ON FILE"),"INVALID – menu checklist not on file (Documents sheet)",IF(AND(AS440=3,NOT(ISNUMBER(Flights!$AX$17))),"INVALID – enter carrying flight KUL departure (Flights AX)",IF(AND(AS440=3,OR(Flights!$AX$17&gt;=Flights!$AA$17,Flights!$AX$17&lt;Flights!$AA$17-3)),"INVALID – Flights AX must be before this leg's STD (within 3 days)",IF(AG440&gt;AsOfUTC,"INVALID – completion time is in the future",IF(AND(ISNUMBER(S440),AG440&lt;S440),IF(H440="Physical uplift","INVALID – before uplift window (cannot confirm loading)","INVALID – before valid window"),IF(AG440&gt;Flights!$AA$17,"INVALID – completed after departure (cannot establish readiness)",IF(AND(H440="Physical uplift",AG440&gt;Q440),"INVALID – recorded after the loading flight departed",IF(AG440&gt;Q440,"COMPLETE – LATE","COMPLETE")))))))))))))))))),IF(TRIM(U440)="Fail","FAIL – DISCREPANCY",IF(AND(TRIM(U440)&lt;&gt;"",TRIM(U440)&lt;&gt;"Not started",TRIM(U440)&lt;&gt;"In progress"),"INVALID – unrecognised status (use the list)",IF(AsOfUTC&gt;Q440,"OVERDUE",IF(N440="Clarification required","OPEN – CLARIFICATION","OPEN")))))))</f>
        <v>OPEN</v>
      </c>
      <c r="AI440" s="61" t="n">
        <f aca="false">IF(OR(AH440="N/A – RULE",AH440="N/A – JUSTIFIED"),0,1)</f>
        <v>1</v>
      </c>
      <c r="AJ440" s="61" t="n">
        <f aca="false">IF(LEFT(AH440,8)="COMPLETE",1,0)</f>
        <v>0</v>
      </c>
      <c r="AK440" s="61" t="n">
        <f aca="false">IF(AND(AI440=1,AJ440=0,AsOfUTC&gt;Q440),1,0)</f>
        <v>0</v>
      </c>
      <c r="AL440" s="61" t="n">
        <f aca="false">IF(AND(AI440=1,OR(TRIM(U440)="Fail",AND(TRIM(AB440)&lt;&gt;"",TRIM(AB440)&lt;&gt;"Closed"),AND(ISNUMBER(AF440),AF440&lt;&gt;0,TRIM(U440)&lt;&gt;"Pass after CA"))),1,0)</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row>
    <row r="441" customFormat="false" ht="39.75" hidden="false" customHeight="true" outlineLevel="0" collapsed="false">
      <c r="A441" s="57" t="s">
        <v>1043</v>
      </c>
      <c r="B441" s="57" t="s">
        <v>264</v>
      </c>
      <c r="C441" s="57" t="str">
        <f aca="false">Flights!$F$17</f>
        <v>MH0138</v>
      </c>
      <c r="D441" s="58" t="n">
        <f aca="false">Flights!$D$17</f>
        <v>46309</v>
      </c>
      <c r="E441" s="57" t="str">
        <f aca="false">Flights!$G$17&amp;"-"&amp;Flights!$H$17</f>
        <v>ADL-KUL</v>
      </c>
      <c r="F441" s="57" t="str">
        <f aca="false">Flights!$K$17</f>
        <v>EY</v>
      </c>
      <c r="G441" s="57" t="s">
        <v>385</v>
      </c>
      <c r="H441" s="57" t="s">
        <v>343</v>
      </c>
      <c r="I441" s="57" t="s">
        <v>393</v>
      </c>
      <c r="J441" s="57" t="s">
        <v>396</v>
      </c>
      <c r="K441" s="67"/>
      <c r="L441" s="67" t="s">
        <v>387</v>
      </c>
      <c r="M441" s="67"/>
      <c r="N441" s="67" t="s">
        <v>348</v>
      </c>
      <c r="O441" s="67" t="s">
        <v>388</v>
      </c>
      <c r="P441" s="57" t="s">
        <v>255</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59" t="n">
        <f aca="false">Q441-T12EarlyH/24</f>
        <v>46308.0104166667</v>
      </c>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IF(N441="N/A – rule","N/A – RULE",IF(TRIM(U441)="N/A",IF(AT441=0,"INVALID – N/A not permitted for this mandatory check",IF(AND(TRIM(AC441)&lt;&gt;"",TRIM(AE441)&lt;&gt;"",TRIM(T441)&lt;&gt;"",TRIM(AE441)&lt;&gt;TRIM(T441)),"N/A – JUSTIFIED","INVALID – N/A needs justification, PIC and a different verifier")),IF(OR(TRIM(U441)="Pass",TRIM(U441)="Pass after CA"),IF(NOT(ISNUMBER(AD441)),"INVALID – completion time missing",IF(TRIM(T441)="","INVALID – PIC missing",IF(TRIM(V441)="","INVALID – result / assessment missing",IF(TRIM(Z441)="","INVALID – evidence missing",IF(TRIM(AE441)="","INVALID – verifier missing",IF(TRIM(AE441)=TRIM(T441),"INVALID – verifier must be someone other than the PIC",IF(AND(AQ441=1,TRIM(W441)=""),"INVALID – batch ID missing",IF(AND(AR441=1,OR(NOT(ISNUMBER(X441)),NOT(ISNUMBER(Y441)))),"INVALID – expected/actual qty missing",IF(IF(AND(TRIM(U441)="Pass",ISNUMBER(AF441)),IF(AF441&lt;&gt;0,"INVALID – qty variance: use Fail or Pass after CA",""),"")&amp;IF(AND(TRIM(U441)="Pass",TRIM(AB441)&lt;&gt;"",TRIM(AB441)&lt;&gt;"Closed"),"INVALID – corrective action not closed: use Fail, then Pass after CA","")&amp;IF(AND(TRIM(AA441)&lt;&gt;"",TRIM(AB441)=""),"INVALID – CA status missing for the recorded corrective action","")&amp;IF(AND(TRIM(U441)="Pass after CA",OR(TRIM(AA441)="",TRIM(AB441)&lt;&gt;"Closed")),"INVALID – corrective action not recorded/closed","")&lt;&gt;"",IF(AND(TRIM(U441)="Pass",ISNUMBER(AF441)),IF(AF441&lt;&gt;0,"INVALID – qty variance: use Fail or Pass after CA",""),"")&amp;IF(AND(TRIM(U441)="Pass",TRIM(AB441)&lt;&gt;"",TRIM(AB441)&lt;&gt;"Closed"),"INVALID – corrective action not closed: use Fail, then Pass after CA","")&amp;IF(AND(TRIM(AA441)&lt;&gt;"",TRIM(AB441)=""),"INVALID – CA status missing for the recorded corrective action","")&amp;IF(AND(TRIM(U441)="Pass after CA",OR(TRIM(AA441)="",TRIM(AB441)&lt;&gt;"Closed")),"INVALID – corrective action not recorded/closed",""),IF(AND(AS441=1,Documents!$J$17&lt;&gt;"ON FILE"),"INVALID – GLD not on file (Documents sheet)",IF(AND(AS441=2,Documents!$O$17&lt;&gt;"ON FILE"),"INVALID – menu checklist not on file (Documents sheet)",IF(AND(AS441=3,NOT(ISNUMBER(Flights!$AX$17))),"INVALID – enter carrying flight KUL departure (Flights AX)",IF(AND(AS441=3,OR(Flights!$AX$17&gt;=Flights!$AA$17,Flights!$AX$17&lt;Flights!$AA$17-3)),"INVALID – Flights AX must be before this leg's STD (within 3 days)",IF(AG441&gt;AsOfUTC,"INVALID – completion time is in the future",IF(AND(ISNUMBER(S441),AG441&lt;S441),IF(H441="Physical uplift","INVALID – before uplift window (cannot confirm loading)","INVALID – before valid window"),IF(AG441&gt;Flights!$AA$17,"INVALID – completed after departure (cannot establish readiness)",IF(AND(H441="Physical uplift",AG441&gt;Q441),"INVALID – recorded after the loading flight departed",IF(AG441&gt;Q441,"COMPLETE – LATE","COMPLETE")))))))))))))))))),IF(TRIM(U441)="Fail","FAIL – DISCREPANCY",IF(AND(TRIM(U441)&lt;&gt;"",TRIM(U441)&lt;&gt;"Not started",TRIM(U441)&lt;&gt;"In progress"),"INVALID – unrecognised status (use the list)",IF(AsOfUTC&gt;Q441,"OVERDUE",IF(N441="Clarification required","OPEN – CLARIFICATION","OPEN")))))))</f>
        <v>OPEN</v>
      </c>
      <c r="AI441" s="61" t="n">
        <f aca="false">IF(OR(AH441="N/A – RULE",AH441="N/A – JUSTIFIED"),0,1)</f>
        <v>1</v>
      </c>
      <c r="AJ441" s="61" t="n">
        <f aca="false">IF(LEFT(AH441,8)="COMPLETE",1,0)</f>
        <v>0</v>
      </c>
      <c r="AK441" s="61" t="n">
        <f aca="false">IF(AND(AI441=1,AJ441=0,AsOfUTC&gt;Q441),1,0)</f>
        <v>0</v>
      </c>
      <c r="AL441" s="61" t="n">
        <f aca="false">IF(AND(AI441=1,OR(TRIM(U441)="Fail",AND(TRIM(AB441)&lt;&gt;"",TRIM(AB441)&lt;&gt;"Closed"),AND(ISNUMBER(AF441),AF441&lt;&gt;0,TRIM(U441)&lt;&gt;"Pass after CA"))),1,0)</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row>
    <row r="442" customFormat="false" ht="39.75" hidden="false" customHeight="true" outlineLevel="0" collapsed="false">
      <c r="A442" s="57" t="s">
        <v>1044</v>
      </c>
      <c r="B442" s="57" t="s">
        <v>264</v>
      </c>
      <c r="C442" s="57" t="str">
        <f aca="false">Flights!$F$17</f>
        <v>MH0138</v>
      </c>
      <c r="D442" s="58" t="n">
        <f aca="false">Flights!$D$17</f>
        <v>46309</v>
      </c>
      <c r="E442" s="57" t="str">
        <f aca="false">Flights!$G$17&amp;"-"&amp;Flights!$H$17</f>
        <v>ADL-KUL</v>
      </c>
      <c r="F442" s="57" t="str">
        <f aca="false">Flights!$K$17</f>
        <v>EY</v>
      </c>
      <c r="G442" s="57" t="s">
        <v>385</v>
      </c>
      <c r="H442" s="57" t="s">
        <v>343</v>
      </c>
      <c r="I442" s="57" t="s">
        <v>393</v>
      </c>
      <c r="J442" s="57" t="s">
        <v>398</v>
      </c>
      <c r="K442" s="67"/>
      <c r="L442" s="67" t="s">
        <v>387</v>
      </c>
      <c r="M442" s="67"/>
      <c r="N442" s="67" t="s">
        <v>348</v>
      </c>
      <c r="O442" s="67" t="s">
        <v>388</v>
      </c>
      <c r="P442" s="57" t="s">
        <v>255</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59" t="n">
        <f aca="false">Q442-T12EarlyH/24</f>
        <v>46308.0104166667</v>
      </c>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IF(N442="N/A – rule","N/A – RULE",IF(TRIM(U442)="N/A",IF(AT442=0,"INVALID – N/A not permitted for this mandatory check",IF(AND(TRIM(AC442)&lt;&gt;"",TRIM(AE442)&lt;&gt;"",TRIM(T442)&lt;&gt;"",TRIM(AE442)&lt;&gt;TRIM(T442)),"N/A – JUSTIFIED","INVALID – N/A needs justification, PIC and a different verifier")),IF(OR(TRIM(U442)="Pass",TRIM(U442)="Pass after CA"),IF(NOT(ISNUMBER(AD442)),"INVALID – completion time missing",IF(TRIM(T442)="","INVALID – PIC missing",IF(TRIM(V442)="","INVALID – result / assessment missing",IF(TRIM(Z442)="","INVALID – evidence missing",IF(TRIM(AE442)="","INVALID – verifier missing",IF(TRIM(AE442)=TRIM(T442),"INVALID – verifier must be someone other than the PIC",IF(AND(AQ442=1,TRIM(W442)=""),"INVALID – batch ID missing",IF(AND(AR442=1,OR(NOT(ISNUMBER(X442)),NOT(ISNUMBER(Y442)))),"INVALID – expected/actual qty missing",IF(IF(AND(TRIM(U442)="Pass",ISNUMBER(AF442)),IF(AF442&lt;&gt;0,"INVALID – qty variance: use Fail or Pass after CA",""),"")&amp;IF(AND(TRIM(U442)="Pass",TRIM(AB442)&lt;&gt;"",TRIM(AB442)&lt;&gt;"Closed"),"INVALID – corrective action not closed: use Fail, then Pass after CA","")&amp;IF(AND(TRIM(AA442)&lt;&gt;"",TRIM(AB442)=""),"INVALID – CA status missing for the recorded corrective action","")&amp;IF(AND(TRIM(U442)="Pass after CA",OR(TRIM(AA442)="",TRIM(AB442)&lt;&gt;"Closed")),"INVALID – corrective action not recorded/closed","")&lt;&gt;"",IF(AND(TRIM(U442)="Pass",ISNUMBER(AF442)),IF(AF442&lt;&gt;0,"INVALID – qty variance: use Fail or Pass after CA",""),"")&amp;IF(AND(TRIM(U442)="Pass",TRIM(AB442)&lt;&gt;"",TRIM(AB442)&lt;&gt;"Closed"),"INVALID – corrective action not closed: use Fail, then Pass after CA","")&amp;IF(AND(TRIM(AA442)&lt;&gt;"",TRIM(AB442)=""),"INVALID – CA status missing for the recorded corrective action","")&amp;IF(AND(TRIM(U442)="Pass after CA",OR(TRIM(AA442)="",TRIM(AB442)&lt;&gt;"Closed")),"INVALID – corrective action not recorded/closed",""),IF(AND(AS442=1,Documents!$J$17&lt;&gt;"ON FILE"),"INVALID – GLD not on file (Documents sheet)",IF(AND(AS442=2,Documents!$O$17&lt;&gt;"ON FILE"),"INVALID – menu checklist not on file (Documents sheet)",IF(AND(AS442=3,NOT(ISNUMBER(Flights!$AX$17))),"INVALID – enter carrying flight KUL departure (Flights AX)",IF(AND(AS442=3,OR(Flights!$AX$17&gt;=Flights!$AA$17,Flights!$AX$17&lt;Flights!$AA$17-3)),"INVALID – Flights AX must be before this leg's STD (within 3 days)",IF(AG442&gt;AsOfUTC,"INVALID – completion time is in the future",IF(AND(ISNUMBER(S442),AG442&lt;S442),IF(H442="Physical uplift","INVALID – before uplift window (cannot confirm loading)","INVALID – before valid window"),IF(AG442&gt;Flights!$AA$17,"INVALID – completed after departure (cannot establish readiness)",IF(AND(H442="Physical uplift",AG442&gt;Q442),"INVALID – recorded after the loading flight departed",IF(AG442&gt;Q442,"COMPLETE – LATE","COMPLETE")))))))))))))))))),IF(TRIM(U442)="Fail","FAIL – DISCREPANCY",IF(AND(TRIM(U442)&lt;&gt;"",TRIM(U442)&lt;&gt;"Not started",TRIM(U442)&lt;&gt;"In progress"),"INVALID – unrecognised status (use the list)",IF(AsOfUTC&gt;Q442,"OVERDUE",IF(N442="Clarification required","OPEN – CLARIFICATION","OPEN")))))))</f>
        <v>OPEN</v>
      </c>
      <c r="AI442" s="61" t="n">
        <f aca="false">IF(OR(AH442="N/A – RULE",AH442="N/A – JUSTIFIED"),0,1)</f>
        <v>1</v>
      </c>
      <c r="AJ442" s="61" t="n">
        <f aca="false">IF(LEFT(AH442,8)="COMPLETE",1,0)</f>
        <v>0</v>
      </c>
      <c r="AK442" s="61" t="n">
        <f aca="false">IF(AND(AI442=1,AJ442=0,AsOfUTC&gt;Q442),1,0)</f>
        <v>0</v>
      </c>
      <c r="AL442" s="61" t="n">
        <f aca="false">IF(AND(AI442=1,OR(TRIM(U442)="Fail",AND(TRIM(AB442)&lt;&gt;"",TRIM(AB442)&lt;&gt;"Closed"),AND(ISNUMBER(AF442),AF442&lt;&gt;0,TRIM(U442)&lt;&gt;"Pass after CA"))),1,0)</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row>
    <row r="443" customFormat="false" ht="78.75" hidden="false" customHeight="true" outlineLevel="0" collapsed="false">
      <c r="A443" s="57" t="s">
        <v>1045</v>
      </c>
      <c r="B443" s="57" t="s">
        <v>264</v>
      </c>
      <c r="C443" s="57" t="str">
        <f aca="false">Flights!$F$17</f>
        <v>MH0138</v>
      </c>
      <c r="D443" s="58" t="n">
        <f aca="false">Flights!$D$17</f>
        <v>46309</v>
      </c>
      <c r="E443" s="57" t="str">
        <f aca="false">Flights!$G$17&amp;"-"&amp;Flights!$H$17</f>
        <v>ADL-KUL</v>
      </c>
      <c r="F443" s="57" t="str">
        <f aca="false">Flights!$K$17</f>
        <v>EY</v>
      </c>
      <c r="G443" s="57" t="s">
        <v>385</v>
      </c>
      <c r="H443" s="57" t="s">
        <v>343</v>
      </c>
      <c r="I443" s="57" t="s">
        <v>393</v>
      </c>
      <c r="J443" s="57" t="s">
        <v>400</v>
      </c>
      <c r="K443" s="67" t="s">
        <v>976</v>
      </c>
      <c r="L443" s="67" t="s">
        <v>387</v>
      </c>
      <c r="M443" s="67"/>
      <c r="N443" s="67" t="s">
        <v>348</v>
      </c>
      <c r="O443" s="67" t="s">
        <v>388</v>
      </c>
      <c r="P443" s="57" t="s">
        <v>255</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59" t="n">
        <f aca="false">Q443-T12EarlyH/24</f>
        <v>46308.0104166667</v>
      </c>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IF(N443="N/A – rule","N/A – RULE",IF(TRIM(U443)="N/A",IF(AT443=0,"INVALID – N/A not permitted for this mandatory check",IF(AND(TRIM(AC443)&lt;&gt;"",TRIM(AE443)&lt;&gt;"",TRIM(T443)&lt;&gt;"",TRIM(AE443)&lt;&gt;TRIM(T443)),"N/A – JUSTIFIED","INVALID – N/A needs justification, PIC and a different verifier")),IF(OR(TRIM(U443)="Pass",TRIM(U443)="Pass after CA"),IF(NOT(ISNUMBER(AD443)),"INVALID – completion time missing",IF(TRIM(T443)="","INVALID – PIC missing",IF(TRIM(V443)="","INVALID – result / assessment missing",IF(TRIM(Z443)="","INVALID – evidence missing",IF(TRIM(AE443)="","INVALID – verifier missing",IF(TRIM(AE443)=TRIM(T443),"INVALID – verifier must be someone other than the PIC",IF(AND(AQ443=1,TRIM(W443)=""),"INVALID – batch ID missing",IF(AND(AR443=1,OR(NOT(ISNUMBER(X443)),NOT(ISNUMBER(Y443)))),"INVALID – expected/actual qty missing",IF(IF(AND(TRIM(U443)="Pass",ISNUMBER(AF443)),IF(AF443&lt;&gt;0,"INVALID – qty variance: use Fail or Pass after CA",""),"")&amp;IF(AND(TRIM(U443)="Pass",TRIM(AB443)&lt;&gt;"",TRIM(AB443)&lt;&gt;"Closed"),"INVALID – corrective action not closed: use Fail, then Pass after CA","")&amp;IF(AND(TRIM(AA443)&lt;&gt;"",TRIM(AB443)=""),"INVALID – CA status missing for the recorded corrective action","")&amp;IF(AND(TRIM(U443)="Pass after CA",OR(TRIM(AA443)="",TRIM(AB443)&lt;&gt;"Closed")),"INVALID – corrective action not recorded/closed","")&lt;&gt;"",IF(AND(TRIM(U443)="Pass",ISNUMBER(AF443)),IF(AF443&lt;&gt;0,"INVALID – qty variance: use Fail or Pass after CA",""),"")&amp;IF(AND(TRIM(U443)="Pass",TRIM(AB443)&lt;&gt;"",TRIM(AB443)&lt;&gt;"Closed"),"INVALID – corrective action not closed: use Fail, then Pass after CA","")&amp;IF(AND(TRIM(AA443)&lt;&gt;"",TRIM(AB443)=""),"INVALID – CA status missing for the recorded corrective action","")&amp;IF(AND(TRIM(U443)="Pass after CA",OR(TRIM(AA443)="",TRIM(AB443)&lt;&gt;"Closed")),"INVALID – corrective action not recorded/closed",""),IF(AND(AS443=1,Documents!$J$17&lt;&gt;"ON FILE"),"INVALID – GLD not on file (Documents sheet)",IF(AND(AS443=2,Documents!$O$17&lt;&gt;"ON FILE"),"INVALID – menu checklist not on file (Documents sheet)",IF(AND(AS443=3,NOT(ISNUMBER(Flights!$AX$17))),"INVALID – enter carrying flight KUL departure (Flights AX)",IF(AND(AS443=3,OR(Flights!$AX$17&gt;=Flights!$AA$17,Flights!$AX$17&lt;Flights!$AA$17-3)),"INVALID – Flights AX must be before this leg's STD (within 3 days)",IF(AG443&gt;AsOfUTC,"INVALID – completion time is in the future",IF(AND(ISNUMBER(S443),AG443&lt;S443),IF(H443="Physical uplift","INVALID – before uplift window (cannot confirm loading)","INVALID – before valid window"),IF(AG443&gt;Flights!$AA$17,"INVALID – completed after departure (cannot establish readiness)",IF(AND(H443="Physical uplift",AG443&gt;Q443),"INVALID – recorded after the loading flight departed",IF(AG443&gt;Q443,"COMPLETE – LATE","COMPLETE")))))))))))))))))),IF(TRIM(U443)="Fail","FAIL – DISCREPANCY",IF(AND(TRIM(U443)&lt;&gt;"",TRIM(U443)&lt;&gt;"Not started",TRIM(U443)&lt;&gt;"In progress"),"INVALID – unrecognised status (use the list)",IF(AsOfUTC&gt;Q443,"OVERDUE",IF(N443="Clarification required","OPEN – CLARIFICATION","OPEN")))))))</f>
        <v>OPEN</v>
      </c>
      <c r="AI443" s="61" t="n">
        <f aca="false">IF(OR(AH443="N/A – RULE",AH443="N/A – JUSTIFIED"),0,1)</f>
        <v>1</v>
      </c>
      <c r="AJ443" s="61" t="n">
        <f aca="false">IF(LEFT(AH443,8)="COMPLETE",1,0)</f>
        <v>0</v>
      </c>
      <c r="AK443" s="61" t="n">
        <f aca="false">IF(AND(AI443=1,AJ443=0,AsOfUTC&gt;Q443),1,0)</f>
        <v>0</v>
      </c>
      <c r="AL443" s="61" t="n">
        <f aca="false">IF(AND(AI443=1,OR(TRIM(U443)="Fail",AND(TRIM(AB443)&lt;&gt;"",TRIM(AB443)&lt;&gt;"Closed"),AND(ISNUMBER(AF443),AF443&lt;&gt;0,TRIM(U443)&lt;&gt;"Pass after CA"))),1,0)</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row>
    <row r="444" customFormat="false" ht="39.75" hidden="false" customHeight="true" outlineLevel="0" collapsed="false">
      <c r="A444" s="57" t="s">
        <v>1046</v>
      </c>
      <c r="B444" s="57" t="s">
        <v>264</v>
      </c>
      <c r="C444" s="57" t="str">
        <f aca="false">Flights!$F$17</f>
        <v>MH0138</v>
      </c>
      <c r="D444" s="58" t="n">
        <f aca="false">Flights!$D$17</f>
        <v>46309</v>
      </c>
      <c r="E444" s="57" t="str">
        <f aca="false">Flights!$G$17&amp;"-"&amp;Flights!$H$17</f>
        <v>ADL-KUL</v>
      </c>
      <c r="F444" s="57" t="str">
        <f aca="false">Flights!$K$17</f>
        <v>EY</v>
      </c>
      <c r="G444" s="57" t="s">
        <v>385</v>
      </c>
      <c r="H444" s="57" t="s">
        <v>343</v>
      </c>
      <c r="I444" s="57" t="s">
        <v>393</v>
      </c>
      <c r="J444" s="57" t="s">
        <v>403</v>
      </c>
      <c r="K444" s="67"/>
      <c r="L444" s="67" t="s">
        <v>387</v>
      </c>
      <c r="M444" s="67"/>
      <c r="N444" s="67" t="s">
        <v>348</v>
      </c>
      <c r="O444" s="67" t="s">
        <v>388</v>
      </c>
      <c r="P444" s="57" t="s">
        <v>255</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59" t="n">
        <f aca="false">Q444-T12EarlyH/24</f>
        <v>46308.0104166667</v>
      </c>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IF(N444="N/A – rule","N/A – RULE",IF(TRIM(U444)="N/A",IF(AT444=0,"INVALID – N/A not permitted for this mandatory check",IF(AND(TRIM(AC444)&lt;&gt;"",TRIM(AE444)&lt;&gt;"",TRIM(T444)&lt;&gt;"",TRIM(AE444)&lt;&gt;TRIM(T444)),"N/A – JUSTIFIED","INVALID – N/A needs justification, PIC and a different verifier")),IF(OR(TRIM(U444)="Pass",TRIM(U444)="Pass after CA"),IF(NOT(ISNUMBER(AD444)),"INVALID – completion time missing",IF(TRIM(T444)="","INVALID – PIC missing",IF(TRIM(V444)="","INVALID – result / assessment missing",IF(TRIM(Z444)="","INVALID – evidence missing",IF(TRIM(AE444)="","INVALID – verifier missing",IF(TRIM(AE444)=TRIM(T444),"INVALID – verifier must be someone other than the PIC",IF(AND(AQ444=1,TRIM(W444)=""),"INVALID – batch ID missing",IF(AND(AR444=1,OR(NOT(ISNUMBER(X444)),NOT(ISNUMBER(Y444)))),"INVALID – expected/actual qty missing",IF(IF(AND(TRIM(U444)="Pass",ISNUMBER(AF444)),IF(AF444&lt;&gt;0,"INVALID – qty variance: use Fail or Pass after CA",""),"")&amp;IF(AND(TRIM(U444)="Pass",TRIM(AB444)&lt;&gt;"",TRIM(AB444)&lt;&gt;"Closed"),"INVALID – corrective action not closed: use Fail, then Pass after CA","")&amp;IF(AND(TRIM(AA444)&lt;&gt;"",TRIM(AB444)=""),"INVALID – CA status missing for the recorded corrective action","")&amp;IF(AND(TRIM(U444)="Pass after CA",OR(TRIM(AA444)="",TRIM(AB444)&lt;&gt;"Closed")),"INVALID – corrective action not recorded/closed","")&lt;&gt;"",IF(AND(TRIM(U444)="Pass",ISNUMBER(AF444)),IF(AF444&lt;&gt;0,"INVALID – qty variance: use Fail or Pass after CA",""),"")&amp;IF(AND(TRIM(U444)="Pass",TRIM(AB444)&lt;&gt;"",TRIM(AB444)&lt;&gt;"Closed"),"INVALID – corrective action not closed: use Fail, then Pass after CA","")&amp;IF(AND(TRIM(AA444)&lt;&gt;"",TRIM(AB444)=""),"INVALID – CA status missing for the recorded corrective action","")&amp;IF(AND(TRIM(U444)="Pass after CA",OR(TRIM(AA444)="",TRIM(AB444)&lt;&gt;"Closed")),"INVALID – corrective action not recorded/closed",""),IF(AND(AS444=1,Documents!$J$17&lt;&gt;"ON FILE"),"INVALID – GLD not on file (Documents sheet)",IF(AND(AS444=2,Documents!$O$17&lt;&gt;"ON FILE"),"INVALID – menu checklist not on file (Documents sheet)",IF(AND(AS444=3,NOT(ISNUMBER(Flights!$AX$17))),"INVALID – enter carrying flight KUL departure (Flights AX)",IF(AND(AS444=3,OR(Flights!$AX$17&gt;=Flights!$AA$17,Flights!$AX$17&lt;Flights!$AA$17-3)),"INVALID – Flights AX must be before this leg's STD (within 3 days)",IF(AG444&gt;AsOfUTC,"INVALID – completion time is in the future",IF(AND(ISNUMBER(S444),AG444&lt;S444),IF(H444="Physical uplift","INVALID – before uplift window (cannot confirm loading)","INVALID – before valid window"),IF(AG444&gt;Flights!$AA$17,"INVALID – completed after departure (cannot establish readiness)",IF(AND(H444="Physical uplift",AG444&gt;Q444),"INVALID – recorded after the loading flight departed",IF(AG444&gt;Q444,"COMPLETE – LATE","COMPLETE")))))))))))))))))),IF(TRIM(U444)="Fail","FAIL – DISCREPANCY",IF(AND(TRIM(U444)&lt;&gt;"",TRIM(U444)&lt;&gt;"Not started",TRIM(U444)&lt;&gt;"In progress"),"INVALID – unrecognised status (use the list)",IF(AsOfUTC&gt;Q444,"OVERDUE",IF(N444="Clarification required","OPEN – CLARIFICATION","OPEN")))))))</f>
        <v>OPEN</v>
      </c>
      <c r="AI444" s="61" t="n">
        <f aca="false">IF(OR(AH444="N/A – RULE",AH444="N/A – JUSTIFIED"),0,1)</f>
        <v>1</v>
      </c>
      <c r="AJ444" s="61" t="n">
        <f aca="false">IF(LEFT(AH444,8)="COMPLETE",1,0)</f>
        <v>0</v>
      </c>
      <c r="AK444" s="61" t="n">
        <f aca="false">IF(AND(AI444=1,AJ444=0,AsOfUTC&gt;Q444),1,0)</f>
        <v>0</v>
      </c>
      <c r="AL444" s="61" t="n">
        <f aca="false">IF(AND(AI444=1,OR(TRIM(U444)="Fail",AND(TRIM(AB444)&lt;&gt;"",TRIM(AB444)&lt;&gt;"Closed"),AND(ISNUMBER(AF444),AF444&lt;&gt;0,TRIM(U444)&lt;&gt;"Pass after CA"))),1,0)</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row>
    <row r="445" customFormat="false" ht="78.75" hidden="false" customHeight="true" outlineLevel="0" collapsed="false">
      <c r="A445" s="57" t="s">
        <v>1047</v>
      </c>
      <c r="B445" s="57" t="s">
        <v>264</v>
      </c>
      <c r="C445" s="57" t="str">
        <f aca="false">Flights!$F$17</f>
        <v>MH0138</v>
      </c>
      <c r="D445" s="58" t="n">
        <f aca="false">Flights!$D$17</f>
        <v>46309</v>
      </c>
      <c r="E445" s="57" t="str">
        <f aca="false">Flights!$G$17&amp;"-"&amp;Flights!$H$17</f>
        <v>ADL-KUL</v>
      </c>
      <c r="F445" s="57" t="str">
        <f aca="false">Flights!$K$17</f>
        <v>EY</v>
      </c>
      <c r="G445" s="57" t="s">
        <v>385</v>
      </c>
      <c r="H445" s="57" t="s">
        <v>343</v>
      </c>
      <c r="I445" s="57" t="s">
        <v>405</v>
      </c>
      <c r="J445" s="57" t="s">
        <v>406</v>
      </c>
      <c r="K445" s="67" t="s">
        <v>407</v>
      </c>
      <c r="L445" s="67" t="s">
        <v>979</v>
      </c>
      <c r="M445" s="67" t="s">
        <v>179</v>
      </c>
      <c r="N445" s="67" t="s">
        <v>409</v>
      </c>
      <c r="O445" s="67" t="s">
        <v>1048</v>
      </c>
      <c r="P445" s="57" t="s">
        <v>179</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59" t="n">
        <f aca="false">Q445-T12EarlyH/24</f>
        <v>46306.8506944444</v>
      </c>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IF(N445="N/A – rule","N/A – RULE",IF(TRIM(U445)="N/A",IF(AT445=0,"INVALID – N/A not permitted for this mandatory check",IF(AND(TRIM(AC445)&lt;&gt;"",TRIM(AE445)&lt;&gt;"",TRIM(T445)&lt;&gt;"",TRIM(AE445)&lt;&gt;TRIM(T445)),"N/A – JUSTIFIED","INVALID – N/A needs justification, PIC and a different verifier")),IF(OR(TRIM(U445)="Pass",TRIM(U445)="Pass after CA"),IF(NOT(ISNUMBER(AD445)),"INVALID – completion time missing",IF(TRIM(T445)="","INVALID – PIC missing",IF(TRIM(V445)="","INVALID – result / assessment missing",IF(TRIM(Z445)="","INVALID – evidence missing",IF(TRIM(AE445)="","INVALID – verifier missing",IF(TRIM(AE445)=TRIM(T445),"INVALID – verifier must be someone other than the PIC",IF(AND(AQ445=1,TRIM(W445)=""),"INVALID – batch ID missing",IF(AND(AR445=1,OR(NOT(ISNUMBER(X445)),NOT(ISNUMBER(Y445)))),"INVALID – expected/actual qty missing",IF(IF(AND(TRIM(U445)="Pass",ISNUMBER(AF445)),IF(AF445&lt;&gt;0,"INVALID – qty variance: use Fail or Pass after CA",""),"")&amp;IF(AND(TRIM(U445)="Pass",TRIM(AB445)&lt;&gt;"",TRIM(AB445)&lt;&gt;"Closed"),"INVALID – corrective action not closed: use Fail, then Pass after CA","")&amp;IF(AND(TRIM(AA445)&lt;&gt;"",TRIM(AB445)=""),"INVALID – CA status missing for the recorded corrective action","")&amp;IF(AND(TRIM(U445)="Pass after CA",OR(TRIM(AA445)="",TRIM(AB445)&lt;&gt;"Closed")),"INVALID – corrective action not recorded/closed","")&lt;&gt;"",IF(AND(TRIM(U445)="Pass",ISNUMBER(AF445)),IF(AF445&lt;&gt;0,"INVALID – qty variance: use Fail or Pass after CA",""),"")&amp;IF(AND(TRIM(U445)="Pass",TRIM(AB445)&lt;&gt;"",TRIM(AB445)&lt;&gt;"Closed"),"INVALID – corrective action not closed: use Fail, then Pass after CA","")&amp;IF(AND(TRIM(AA445)&lt;&gt;"",TRIM(AB445)=""),"INVALID – CA status missing for the recorded corrective action","")&amp;IF(AND(TRIM(U445)="Pass after CA",OR(TRIM(AA445)="",TRIM(AB445)&lt;&gt;"Closed")),"INVALID – corrective action not recorded/closed",""),IF(AND(AS445=1,Documents!$J$17&lt;&gt;"ON FILE"),"INVALID – GLD not on file (Documents sheet)",IF(AND(AS445=2,Documents!$O$17&lt;&gt;"ON FILE"),"INVALID – menu checklist not on file (Documents sheet)",IF(AND(AS445=3,NOT(ISNUMBER(Flights!$AX$17))),"INVALID – enter carrying flight KUL departure (Flights AX)",IF(AND(AS445=3,OR(Flights!$AX$17&gt;=Flights!$AA$17,Flights!$AX$17&lt;Flights!$AA$17-3)),"INVALID – Flights AX must be before this leg's STD (within 3 days)",IF(AG445&gt;AsOfUTC,"INVALID – completion time is in the future",IF(AND(ISNUMBER(S445),AG445&lt;S445),IF(H445="Physical uplift","INVALID – before uplift window (cannot confirm loading)","INVALID – before valid window"),IF(AG445&gt;Flights!$AA$17,"INVALID – completed after departure (cannot establish readiness)",IF(AND(H445="Physical uplift",AG445&gt;Q445),"INVALID – recorded after the loading flight departed",IF(AG445&gt;Q445,"COMPLETE – LATE","COMPLETE")))))))))))))))))),IF(TRIM(U445)="Fail","FAIL – DISCREPANCY",IF(AND(TRIM(U445)&lt;&gt;"",TRIM(U445)&lt;&gt;"Not started",TRIM(U445)&lt;&gt;"In progress"),"INVALID – unrecognised status (use the list)",IF(AsOfUTC&gt;Q445,"OVERDUE",IF(N445="Clarification required","OPEN – CLARIFICATION","OPEN")))))))</f>
        <v>OPEN – CLARIFICATION</v>
      </c>
      <c r="AI445" s="61" t="n">
        <f aca="false">IF(OR(AH445="N/A – RULE",AH445="N/A – JUSTIFIED"),0,1)</f>
        <v>1</v>
      </c>
      <c r="AJ445" s="61" t="n">
        <f aca="false">IF(LEFT(AH445,8)="COMPLETE",1,0)</f>
        <v>0</v>
      </c>
      <c r="AK445" s="61" t="n">
        <f aca="false">IF(AND(AI445=1,AJ445=0,AsOfUTC&gt;Q445),1,0)</f>
        <v>0</v>
      </c>
      <c r="AL445" s="61" t="n">
        <f aca="false">IF(AND(AI445=1,OR(TRIM(U445)="Fail",AND(TRIM(AB445)&lt;&gt;"",TRIM(AB445)&lt;&gt;"Closed"),AND(ISNUMBER(AF445),AF445&lt;&gt;0,TRIM(U445)&lt;&gt;"Pass after CA"))),1,0)</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8" t="b">
        <f aca="false">TRUE()</f>
        <v>1</v>
      </c>
    </row>
    <row r="446" customFormat="false" ht="41.25" hidden="false" customHeight="true" outlineLevel="0" collapsed="false">
      <c r="A446" s="57" t="s">
        <v>1049</v>
      </c>
      <c r="B446" s="57" t="s">
        <v>264</v>
      </c>
      <c r="C446" s="57" t="str">
        <f aca="false">Flights!$F$17</f>
        <v>MH0138</v>
      </c>
      <c r="D446" s="58" t="n">
        <f aca="false">Flights!$D$17</f>
        <v>46309</v>
      </c>
      <c r="E446" s="57" t="str">
        <f aca="false">Flights!$G$17&amp;"-"&amp;Flights!$H$17</f>
        <v>ADL-KUL</v>
      </c>
      <c r="F446" s="57" t="str">
        <f aca="false">Flights!$K$17</f>
        <v>EY</v>
      </c>
      <c r="G446" s="57" t="s">
        <v>385</v>
      </c>
      <c r="H446" s="57" t="s">
        <v>343</v>
      </c>
      <c r="I446" s="57" t="s">
        <v>412</v>
      </c>
      <c r="J446" s="57" t="s">
        <v>413</v>
      </c>
      <c r="K446" s="67" t="s">
        <v>414</v>
      </c>
      <c r="L446" s="67" t="s">
        <v>1050</v>
      </c>
      <c r="M446" s="67" t="s">
        <v>416</v>
      </c>
      <c r="N446" s="67" t="s">
        <v>348</v>
      </c>
      <c r="O446" s="67" t="s">
        <v>1051</v>
      </c>
      <c r="P446" s="57" t="s">
        <v>255</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59" t="n">
        <f aca="false">Q446-T12EarlyH/24</f>
        <v>46308.0104166667</v>
      </c>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IF(N446="N/A – rule","N/A – RULE",IF(TRIM(U446)="N/A",IF(AT446=0,"INVALID – N/A not permitted for this mandatory check",IF(AND(TRIM(AC446)&lt;&gt;"",TRIM(AE446)&lt;&gt;"",TRIM(T446)&lt;&gt;"",TRIM(AE446)&lt;&gt;TRIM(T446)),"N/A – JUSTIFIED","INVALID – N/A needs justification, PIC and a different verifier")),IF(OR(TRIM(U446)="Pass",TRIM(U446)="Pass after CA"),IF(NOT(ISNUMBER(AD446)),"INVALID – completion time missing",IF(TRIM(T446)="","INVALID – PIC missing",IF(TRIM(V446)="","INVALID – result / assessment missing",IF(TRIM(Z446)="","INVALID – evidence missing",IF(TRIM(AE446)="","INVALID – verifier missing",IF(TRIM(AE446)=TRIM(T446),"INVALID – verifier must be someone other than the PIC",IF(AND(AQ446=1,TRIM(W446)=""),"INVALID – batch ID missing",IF(AND(AR446=1,OR(NOT(ISNUMBER(X446)),NOT(ISNUMBER(Y446)))),"INVALID – expected/actual qty missing",IF(IF(AND(TRIM(U446)="Pass",ISNUMBER(AF446)),IF(AF446&lt;&gt;0,"INVALID – qty variance: use Fail or Pass after CA",""),"")&amp;IF(AND(TRIM(U446)="Pass",TRIM(AB446)&lt;&gt;"",TRIM(AB446)&lt;&gt;"Closed"),"INVALID – corrective action not closed: use Fail, then Pass after CA","")&amp;IF(AND(TRIM(AA446)&lt;&gt;"",TRIM(AB446)=""),"INVALID – CA status missing for the recorded corrective action","")&amp;IF(AND(TRIM(U446)="Pass after CA",OR(TRIM(AA446)="",TRIM(AB446)&lt;&gt;"Closed")),"INVALID – corrective action not recorded/closed","")&lt;&gt;"",IF(AND(TRIM(U446)="Pass",ISNUMBER(AF446)),IF(AF446&lt;&gt;0,"INVALID – qty variance: use Fail or Pass after CA",""),"")&amp;IF(AND(TRIM(U446)="Pass",TRIM(AB446)&lt;&gt;"",TRIM(AB446)&lt;&gt;"Closed"),"INVALID – corrective action not closed: use Fail, then Pass after CA","")&amp;IF(AND(TRIM(AA446)&lt;&gt;"",TRIM(AB446)=""),"INVALID – CA status missing for the recorded corrective action","")&amp;IF(AND(TRIM(U446)="Pass after CA",OR(TRIM(AA446)="",TRIM(AB446)&lt;&gt;"Closed")),"INVALID – corrective action not recorded/closed",""),IF(AND(AS446=1,Documents!$J$17&lt;&gt;"ON FILE"),"INVALID – GLD not on file (Documents sheet)",IF(AND(AS446=2,Documents!$O$17&lt;&gt;"ON FILE"),"INVALID – menu checklist not on file (Documents sheet)",IF(AND(AS446=3,NOT(ISNUMBER(Flights!$AX$17))),"INVALID – enter carrying flight KUL departure (Flights AX)",IF(AND(AS446=3,OR(Flights!$AX$17&gt;=Flights!$AA$17,Flights!$AX$17&lt;Flights!$AA$17-3)),"INVALID – Flights AX must be before this leg's STD (within 3 days)",IF(AG446&gt;AsOfUTC,"INVALID – completion time is in the future",IF(AND(ISNUMBER(S446),AG446&lt;S446),IF(H446="Physical uplift","INVALID – before uplift window (cannot confirm loading)","INVALID – before valid window"),IF(AG446&gt;Flights!$AA$17,"INVALID – completed after departure (cannot establish readiness)",IF(AND(H446="Physical uplift",AG446&gt;Q446),"INVALID – recorded after the loading flight departed",IF(AG446&gt;Q446,"COMPLETE – LATE","COMPLETE")))))))))))))))))),IF(TRIM(U446)="Fail","FAIL – DISCREPANCY",IF(AND(TRIM(U446)&lt;&gt;"",TRIM(U446)&lt;&gt;"Not started",TRIM(U446)&lt;&gt;"In progress"),"INVALID – unrecognised status (use the list)",IF(AsOfUTC&gt;Q446,"OVERDUE",IF(N446="Clarification required","OPEN – CLARIFICATION","OPEN")))))))</f>
        <v>OPEN</v>
      </c>
      <c r="AI446" s="61" t="n">
        <f aca="false">IF(OR(AH446="N/A – RULE",AH446="N/A – JUSTIFIED"),0,1)</f>
        <v>1</v>
      </c>
      <c r="AJ446" s="61" t="n">
        <f aca="false">IF(LEFT(AH446,8)="COMPLETE",1,0)</f>
        <v>0</v>
      </c>
      <c r="AK446" s="61" t="n">
        <f aca="false">IF(AND(AI446=1,AJ446=0,AsOfUTC&gt;Q446),1,0)</f>
        <v>0</v>
      </c>
      <c r="AL446" s="61" t="n">
        <f aca="false">IF(AND(AI446=1,OR(TRIM(U446)="Fail",AND(TRIM(AB446)&lt;&gt;"",TRIM(AB446)&lt;&gt;"Closed"),AND(ISNUMBER(AF446),AF446&lt;&gt;0,TRIM(U446)&lt;&gt;"Pass after CA"))),1,0)</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8" t="b">
        <f aca="false">TRUE()</f>
        <v>1</v>
      </c>
    </row>
    <row r="447" customFormat="false" ht="78.75" hidden="false" customHeight="true" outlineLevel="0" collapsed="false">
      <c r="A447" s="57" t="s">
        <v>1052</v>
      </c>
      <c r="B447" s="57" t="s">
        <v>264</v>
      </c>
      <c r="C447" s="57" t="str">
        <f aca="false">Flights!$F$17</f>
        <v>MH0138</v>
      </c>
      <c r="D447" s="58" t="n">
        <f aca="false">Flights!$D$17</f>
        <v>46309</v>
      </c>
      <c r="E447" s="57" t="str">
        <f aca="false">Flights!$G$17&amp;"-"&amp;Flights!$H$17</f>
        <v>ADL-KUL</v>
      </c>
      <c r="F447" s="57" t="str">
        <f aca="false">Flights!$K$17</f>
        <v>EY</v>
      </c>
      <c r="G447" s="57" t="s">
        <v>385</v>
      </c>
      <c r="H447" s="57" t="s">
        <v>343</v>
      </c>
      <c r="I447" s="57" t="s">
        <v>412</v>
      </c>
      <c r="J447" s="57" t="s">
        <v>419</v>
      </c>
      <c r="K447" s="67" t="s">
        <v>1053</v>
      </c>
      <c r="L447" s="67" t="s">
        <v>1054</v>
      </c>
      <c r="M447" s="67" t="s">
        <v>416</v>
      </c>
      <c r="N447" s="67" t="s">
        <v>348</v>
      </c>
      <c r="O447" s="67" t="s">
        <v>1055</v>
      </c>
      <c r="P447" s="57" t="s">
        <v>255</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59" t="n">
        <f aca="false">Q447-T12EarlyH/24</f>
        <v>46308.0104166667</v>
      </c>
      <c r="T447" s="60"/>
      <c r="U447" s="60"/>
      <c r="V447" s="60"/>
      <c r="W447" s="61"/>
      <c r="X447" s="69"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IF(N447="N/A – rule","N/A – RULE",IF(TRIM(U447)="N/A",IF(AT447=0,"INVALID – N/A not permitted for this mandatory check",IF(AND(TRIM(AC447)&lt;&gt;"",TRIM(AE447)&lt;&gt;"",TRIM(T447)&lt;&gt;"",TRIM(AE447)&lt;&gt;TRIM(T447)),"N/A – JUSTIFIED","INVALID – N/A needs justification, PIC and a different verifier")),IF(OR(TRIM(U447)="Pass",TRIM(U447)="Pass after CA"),IF(NOT(ISNUMBER(AD447)),"INVALID – completion time missing",IF(TRIM(T447)="","INVALID – PIC missing",IF(TRIM(V447)="","INVALID – result / assessment missing",IF(TRIM(Z447)="","INVALID – evidence missing",IF(TRIM(AE447)="","INVALID – verifier missing",IF(TRIM(AE447)=TRIM(T447),"INVALID – verifier must be someone other than the PIC",IF(AND(AQ447=1,TRIM(W447)=""),"INVALID – batch ID missing",IF(AND(AR447=1,OR(NOT(ISNUMBER(X447)),NOT(ISNUMBER(Y447)))),"INVALID – expected/actual qty missing",IF(IF(AND(TRIM(U447)="Pass",ISNUMBER(AF447)),IF(AF447&lt;&gt;0,"INVALID – qty variance: use Fail or Pass after CA",""),"")&amp;IF(AND(TRIM(U447)="Pass",TRIM(AB447)&lt;&gt;"",TRIM(AB447)&lt;&gt;"Closed"),"INVALID – corrective action not closed: use Fail, then Pass after CA","")&amp;IF(AND(TRIM(AA447)&lt;&gt;"",TRIM(AB447)=""),"INVALID – CA status missing for the recorded corrective action","")&amp;IF(AND(TRIM(U447)="Pass after CA",OR(TRIM(AA447)="",TRIM(AB447)&lt;&gt;"Closed")),"INVALID – corrective action not recorded/closed","")&lt;&gt;"",IF(AND(TRIM(U447)="Pass",ISNUMBER(AF447)),IF(AF447&lt;&gt;0,"INVALID – qty variance: use Fail or Pass after CA",""),"")&amp;IF(AND(TRIM(U447)="Pass",TRIM(AB447)&lt;&gt;"",TRIM(AB447)&lt;&gt;"Closed"),"INVALID – corrective action not closed: use Fail, then Pass after CA","")&amp;IF(AND(TRIM(AA447)&lt;&gt;"",TRIM(AB447)=""),"INVALID – CA status missing for the recorded corrective action","")&amp;IF(AND(TRIM(U447)="Pass after CA",OR(TRIM(AA447)="",TRIM(AB447)&lt;&gt;"Closed")),"INVALID – corrective action not recorded/closed",""),IF(AND(AS447=1,Documents!$J$17&lt;&gt;"ON FILE"),"INVALID – GLD not on file (Documents sheet)",IF(AND(AS447=2,Documents!$O$17&lt;&gt;"ON FILE"),"INVALID – menu checklist not on file (Documents sheet)",IF(AND(AS447=3,NOT(ISNUMBER(Flights!$AX$17))),"INVALID – enter carrying flight KUL departure (Flights AX)",IF(AND(AS447=3,OR(Flights!$AX$17&gt;=Flights!$AA$17,Flights!$AX$17&lt;Flights!$AA$17-3)),"INVALID – Flights AX must be before this leg's STD (within 3 days)",IF(AG447&gt;AsOfUTC,"INVALID – completion time is in the future",IF(AND(ISNUMBER(S447),AG447&lt;S447),IF(H447="Physical uplift","INVALID – before uplift window (cannot confirm loading)","INVALID – before valid window"),IF(AG447&gt;Flights!$AA$17,"INVALID – completed after departure (cannot establish readiness)",IF(AND(H447="Physical uplift",AG447&gt;Q447),"INVALID – recorded after the loading flight departed",IF(AG447&gt;Q447,"COMPLETE – LATE","COMPLETE")))))))))))))))))),IF(TRIM(U447)="Fail","FAIL – DISCREPANCY",IF(AND(TRIM(U447)&lt;&gt;"",TRIM(U447)&lt;&gt;"Not started",TRIM(U447)&lt;&gt;"In progress"),"INVALID – unrecognised status (use the list)",IF(AsOfUTC&gt;Q447,"OVERDUE",IF(N447="Clarification required","OPEN – CLARIFICATION","OPEN")))))))</f>
        <v>OPEN</v>
      </c>
      <c r="AI447" s="61" t="n">
        <f aca="false">IF(OR(AH447="N/A – RULE",AH447="N/A – JUSTIFIED"),0,1)</f>
        <v>1</v>
      </c>
      <c r="AJ447" s="61" t="n">
        <f aca="false">IF(LEFT(AH447,8)="COMPLETE",1,0)</f>
        <v>0</v>
      </c>
      <c r="AK447" s="61" t="n">
        <f aca="false">IF(AND(AI447=1,AJ447=0,AsOfUTC&gt;Q447),1,0)</f>
        <v>0</v>
      </c>
      <c r="AL447" s="61" t="n">
        <f aca="false">IF(AND(AI447=1,OR(TRIM(U447)="Fail",AND(TRIM(AB447)&lt;&gt;"",TRIM(AB447)&lt;&gt;"Closed"),AND(ISNUMBER(AF447),AF447&lt;&gt;0,TRIM(U447)&lt;&gt;"Pass after CA"))),1,0)</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8" t="b">
        <f aca="false">TRUE()</f>
        <v>1</v>
      </c>
    </row>
    <row r="448" customFormat="false" ht="91.5" hidden="false" customHeight="true" outlineLevel="0" collapsed="false">
      <c r="A448" s="57" t="s">
        <v>1056</v>
      </c>
      <c r="B448" s="57" t="s">
        <v>264</v>
      </c>
      <c r="C448" s="57" t="str">
        <f aca="false">Flights!$F$17</f>
        <v>MH0138</v>
      </c>
      <c r="D448" s="58" t="n">
        <f aca="false">Flights!$D$17</f>
        <v>46309</v>
      </c>
      <c r="E448" s="57" t="str">
        <f aca="false">Flights!$G$17&amp;"-"&amp;Flights!$H$17</f>
        <v>ADL-KUL</v>
      </c>
      <c r="F448" s="57" t="str">
        <f aca="false">Flights!$K$17</f>
        <v>EY</v>
      </c>
      <c r="G448" s="57" t="s">
        <v>385</v>
      </c>
      <c r="H448" s="57" t="s">
        <v>343</v>
      </c>
      <c r="I448" s="57" t="s">
        <v>599</v>
      </c>
      <c r="J448" s="57" t="s">
        <v>600</v>
      </c>
      <c r="K448" s="67" t="s">
        <v>1005</v>
      </c>
      <c r="L448" s="67" t="s">
        <v>1006</v>
      </c>
      <c r="M448" s="67" t="s">
        <v>416</v>
      </c>
      <c r="N448" s="67" t="s">
        <v>409</v>
      </c>
      <c r="O448" s="67" t="s">
        <v>1057</v>
      </c>
      <c r="P448" s="57" t="s">
        <v>255</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59" t="n">
        <f aca="false">Q448-T12EarlyH/24</f>
        <v>46308.0104166667</v>
      </c>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IF(N448="N/A – rule","N/A – RULE",IF(TRIM(U448)="N/A",IF(AT448=0,"INVALID – N/A not permitted for this mandatory check",IF(AND(TRIM(AC448)&lt;&gt;"",TRIM(AE448)&lt;&gt;"",TRIM(T448)&lt;&gt;"",TRIM(AE448)&lt;&gt;TRIM(T448)),"N/A – JUSTIFIED","INVALID – N/A needs justification, PIC and a different verifier")),IF(OR(TRIM(U448)="Pass",TRIM(U448)="Pass after CA"),IF(NOT(ISNUMBER(AD448)),"INVALID – completion time missing",IF(TRIM(T448)="","INVALID – PIC missing",IF(TRIM(V448)="","INVALID – result / assessment missing",IF(TRIM(Z448)="","INVALID – evidence missing",IF(TRIM(AE448)="","INVALID – verifier missing",IF(TRIM(AE448)=TRIM(T448),"INVALID – verifier must be someone other than the PIC",IF(AND(AQ448=1,TRIM(W448)=""),"INVALID – batch ID missing",IF(AND(AR448=1,OR(NOT(ISNUMBER(X448)),NOT(ISNUMBER(Y448)))),"INVALID – expected/actual qty missing",IF(IF(AND(TRIM(U448)="Pass",ISNUMBER(AF448)),IF(AF448&lt;&gt;0,"INVALID – qty variance: use Fail or Pass after CA",""),"")&amp;IF(AND(TRIM(U448)="Pass",TRIM(AB448)&lt;&gt;"",TRIM(AB448)&lt;&gt;"Closed"),"INVALID – corrective action not closed: use Fail, then Pass after CA","")&amp;IF(AND(TRIM(AA448)&lt;&gt;"",TRIM(AB448)=""),"INVALID – CA status missing for the recorded corrective action","")&amp;IF(AND(TRIM(U448)="Pass after CA",OR(TRIM(AA448)="",TRIM(AB448)&lt;&gt;"Closed")),"INVALID – corrective action not recorded/closed","")&lt;&gt;"",IF(AND(TRIM(U448)="Pass",ISNUMBER(AF448)),IF(AF448&lt;&gt;0,"INVALID – qty variance: use Fail or Pass after CA",""),"")&amp;IF(AND(TRIM(U448)="Pass",TRIM(AB448)&lt;&gt;"",TRIM(AB448)&lt;&gt;"Closed"),"INVALID – corrective action not closed: use Fail, then Pass after CA","")&amp;IF(AND(TRIM(AA448)&lt;&gt;"",TRIM(AB448)=""),"INVALID – CA status missing for the recorded corrective action","")&amp;IF(AND(TRIM(U448)="Pass after CA",OR(TRIM(AA448)="",TRIM(AB448)&lt;&gt;"Closed")),"INVALID – corrective action not recorded/closed",""),IF(AND(AS448=1,Documents!$J$17&lt;&gt;"ON FILE"),"INVALID – GLD not on file (Documents sheet)",IF(AND(AS448=2,Documents!$O$17&lt;&gt;"ON FILE"),"INVALID – menu checklist not on file (Documents sheet)",IF(AND(AS448=3,NOT(ISNUMBER(Flights!$AX$17))),"INVALID – enter carrying flight KUL departure (Flights AX)",IF(AND(AS448=3,OR(Flights!$AX$17&gt;=Flights!$AA$17,Flights!$AX$17&lt;Flights!$AA$17-3)),"INVALID – Flights AX must be before this leg's STD (within 3 days)",IF(AG448&gt;AsOfUTC,"INVALID – completion time is in the future",IF(AND(ISNUMBER(S448),AG448&lt;S448),IF(H448="Physical uplift","INVALID – before uplift window (cannot confirm loading)","INVALID – before valid window"),IF(AG448&gt;Flights!$AA$17,"INVALID – completed after departure (cannot establish readiness)",IF(AND(H448="Physical uplift",AG448&gt;Q448),"INVALID – recorded after the loading flight departed",IF(AG448&gt;Q448,"COMPLETE – LATE","COMPLETE")))))))))))))))))),IF(TRIM(U448)="Fail","FAIL – DISCREPANCY",IF(AND(TRIM(U448)&lt;&gt;"",TRIM(U448)&lt;&gt;"Not started",TRIM(U448)&lt;&gt;"In progress"),"INVALID – unrecognised status (use the list)",IF(AsOfUTC&gt;Q448,"OVERDUE",IF(N448="Clarification required","OPEN – CLARIFICATION","OPEN")))))))</f>
        <v>OPEN – CLARIFICATION</v>
      </c>
      <c r="AI448" s="61" t="n">
        <f aca="false">IF(OR(AH448="N/A – RULE",AH448="N/A – JUSTIFIED"),0,1)</f>
        <v>1</v>
      </c>
      <c r="AJ448" s="61" t="n">
        <f aca="false">IF(LEFT(AH448,8)="COMPLETE",1,0)</f>
        <v>0</v>
      </c>
      <c r="AK448" s="61" t="n">
        <f aca="false">IF(AND(AI448=1,AJ448=0,AsOfUTC&gt;Q448),1,0)</f>
        <v>0</v>
      </c>
      <c r="AL448" s="61" t="n">
        <f aca="false">IF(AND(AI448=1,OR(TRIM(U448)="Fail",AND(TRIM(AB448)&lt;&gt;"",TRIM(AB448)&lt;&gt;"Closed"),AND(ISNUMBER(AF448),AF448&lt;&gt;0,TRIM(U448)&lt;&gt;"Pass after CA"))),1,0)</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8" t="b">
        <f aca="false">TRUE()</f>
        <v>1</v>
      </c>
    </row>
    <row r="449" customFormat="false" ht="39.75" hidden="false" customHeight="true" outlineLevel="0" collapsed="false">
      <c r="A449" s="57" t="s">
        <v>1058</v>
      </c>
      <c r="B449" s="57" t="s">
        <v>264</v>
      </c>
      <c r="C449" s="57" t="str">
        <f aca="false">Flights!$F$17</f>
        <v>MH0138</v>
      </c>
      <c r="D449" s="58" t="n">
        <f aca="false">Flights!$D$17</f>
        <v>46309</v>
      </c>
      <c r="E449" s="57" t="str">
        <f aca="false">Flights!$G$17&amp;"-"&amp;Flights!$H$17</f>
        <v>ADL-KUL</v>
      </c>
      <c r="F449" s="57" t="str">
        <f aca="false">Flights!$K$17</f>
        <v>EY</v>
      </c>
      <c r="G449" s="57" t="s">
        <v>424</v>
      </c>
      <c r="H449" s="57" t="s">
        <v>425</v>
      </c>
      <c r="I449" s="57" t="s">
        <v>344</v>
      </c>
      <c r="J449" s="57" t="s">
        <v>426</v>
      </c>
      <c r="K449" s="67" t="s">
        <v>391</v>
      </c>
      <c r="L449" s="67" t="s">
        <v>427</v>
      </c>
      <c r="M449" s="67"/>
      <c r="N449" s="67" t="s">
        <v>348</v>
      </c>
      <c r="O449" s="67" t="s">
        <v>428</v>
      </c>
      <c r="P449" s="57" t="s">
        <v>255</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59" t="n">
        <f aca="false">IF(ISNUMBER(Flights!$AY$17),MAX(Q449-UpliftWindowH/24,Flights!$AY$17+UpliftWindowH/24),Q449-UpliftWindowH/24)</f>
        <v>46308.7604166667</v>
      </c>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IF(N449="N/A – rule","N/A – RULE",IF(TRIM(U449)="N/A",IF(AT449=0,"INVALID – N/A not permitted for this mandatory check",IF(AND(TRIM(AC449)&lt;&gt;"",TRIM(AE449)&lt;&gt;"",TRIM(T449)&lt;&gt;"",TRIM(AE449)&lt;&gt;TRIM(T449)),"N/A – JUSTIFIED","INVALID – N/A needs justification, PIC and a different verifier")),IF(OR(TRIM(U449)="Pass",TRIM(U449)="Pass after CA"),IF(NOT(ISNUMBER(AD449)),"INVALID – completion time missing",IF(TRIM(T449)="","INVALID – PIC missing",IF(TRIM(V449)="","INVALID – result / assessment missing",IF(TRIM(Z449)="","INVALID – evidence missing",IF(TRIM(AE449)="","INVALID – verifier missing",IF(TRIM(AE449)=TRIM(T449),"INVALID – verifier must be someone other than the PIC",IF(AND(AQ449=1,TRIM(W449)=""),"INVALID – batch ID missing",IF(AND(AR449=1,OR(NOT(ISNUMBER(X449)),NOT(ISNUMBER(Y449)))),"INVALID – expected/actual qty missing",IF(IF(AND(TRIM(U449)="Pass",ISNUMBER(AF449)),IF(AF449&lt;&gt;0,"INVALID – qty variance: use Fail or Pass after CA",""),"")&amp;IF(AND(TRIM(U449)="Pass",TRIM(AB449)&lt;&gt;"",TRIM(AB449)&lt;&gt;"Closed"),"INVALID – corrective action not closed: use Fail, then Pass after CA","")&amp;IF(AND(TRIM(AA449)&lt;&gt;"",TRIM(AB449)=""),"INVALID – CA status missing for the recorded corrective action","")&amp;IF(AND(TRIM(U449)="Pass after CA",OR(TRIM(AA449)="",TRIM(AB449)&lt;&gt;"Closed")),"INVALID – corrective action not recorded/closed","")&lt;&gt;"",IF(AND(TRIM(U449)="Pass",ISNUMBER(AF449)),IF(AF449&lt;&gt;0,"INVALID – qty variance: use Fail or Pass after CA",""),"")&amp;IF(AND(TRIM(U449)="Pass",TRIM(AB449)&lt;&gt;"",TRIM(AB449)&lt;&gt;"Closed"),"INVALID – corrective action not closed: use Fail, then Pass after CA","")&amp;IF(AND(TRIM(AA449)&lt;&gt;"",TRIM(AB449)=""),"INVALID – CA status missing for the recorded corrective action","")&amp;IF(AND(TRIM(U449)="Pass after CA",OR(TRIM(AA449)="",TRIM(AB449)&lt;&gt;"Closed")),"INVALID – corrective action not recorded/closed",""),IF(AND(AS449=1,Documents!$J$17&lt;&gt;"ON FILE"),"INVALID – GLD not on file (Documents sheet)",IF(AND(AS449=2,Documents!$O$17&lt;&gt;"ON FILE"),"INVALID – menu checklist not on file (Documents sheet)",IF(AND(AS449=3,NOT(ISNUMBER(Flights!$AX$17))),"INVALID – enter carrying flight KUL departure (Flights AX)",IF(AND(AS449=3,OR(Flights!$AX$17&gt;=Flights!$AA$17,Flights!$AX$17&lt;Flights!$AA$17-3)),"INVALID – Flights AX must be before this leg's STD (within 3 days)",IF(AG449&gt;AsOfUTC,"INVALID – completion time is in the future",IF(AND(ISNUMBER(S449),AG449&lt;S449),IF(H449="Physical uplift","INVALID – before uplift window (cannot confirm loading)","INVALID – before valid window"),IF(AG449&gt;Flights!$AA$17,"INVALID – completed after departure (cannot establish readiness)",IF(AND(H449="Physical uplift",AG449&gt;Q449),"INVALID – recorded after the loading flight departed",IF(AG449&gt;Q449,"COMPLETE – LATE","COMPLETE")))))))))))))))))),IF(TRIM(U449)="Fail","FAIL – DISCREPANCY",IF(AND(TRIM(U449)&lt;&gt;"",TRIM(U449)&lt;&gt;"Not started",TRIM(U449)&lt;&gt;"In progress"),"INVALID – unrecognised status (use the list)",IF(AsOfUTC&gt;Q449,"OVERDUE",IF(N449="Clarification required","OPEN – CLARIFICATION","OPEN")))))))</f>
        <v>OPEN</v>
      </c>
      <c r="AI449" s="61" t="n">
        <f aca="false">IF(OR(AH449="N/A – RULE",AH449="N/A – JUSTIFIED"),0,1)</f>
        <v>1</v>
      </c>
      <c r="AJ449" s="61" t="n">
        <f aca="false">IF(LEFT(AH449,8)="COMPLETE",1,0)</f>
        <v>0</v>
      </c>
      <c r="AK449" s="61" t="n">
        <f aca="false">IF(AND(AI449=1,AJ449=0,AsOfUTC&gt;Q449),1,0)</f>
        <v>0</v>
      </c>
      <c r="AL449" s="61" t="n">
        <f aca="false">IF(AND(AI449=1,OR(TRIM(U449)="Fail",AND(TRIM(AB449)&lt;&gt;"",TRIM(AB449)&lt;&gt;"Closed"),AND(ISNUMBER(AF449),AF449&lt;&gt;0,TRIM(U449)&lt;&gt;"Pass after CA"))),1,0)</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row>
    <row r="450" customFormat="false" ht="39.75" hidden="false" customHeight="true" outlineLevel="0" collapsed="false">
      <c r="A450" s="57" t="s">
        <v>1059</v>
      </c>
      <c r="B450" s="57" t="s">
        <v>264</v>
      </c>
      <c r="C450" s="57" t="str">
        <f aca="false">Flights!$F$17</f>
        <v>MH0138</v>
      </c>
      <c r="D450" s="58" t="n">
        <f aca="false">Flights!$D$17</f>
        <v>46309</v>
      </c>
      <c r="E450" s="57" t="str">
        <f aca="false">Flights!$G$17&amp;"-"&amp;Flights!$H$17</f>
        <v>ADL-KUL</v>
      </c>
      <c r="F450" s="57" t="str">
        <f aca="false">Flights!$K$17</f>
        <v>EY</v>
      </c>
      <c r="G450" s="57" t="s">
        <v>424</v>
      </c>
      <c r="H450" s="57" t="s">
        <v>425</v>
      </c>
      <c r="I450" s="57" t="s">
        <v>393</v>
      </c>
      <c r="J450" s="57" t="s">
        <v>430</v>
      </c>
      <c r="K450" s="67" t="s">
        <v>391</v>
      </c>
      <c r="L450" s="67" t="s">
        <v>427</v>
      </c>
      <c r="M450" s="67"/>
      <c r="N450" s="67" t="s">
        <v>348</v>
      </c>
      <c r="O450" s="67" t="s">
        <v>428</v>
      </c>
      <c r="P450" s="57" t="s">
        <v>255</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59" t="n">
        <f aca="false">IF(ISNUMBER(Flights!$AY$17),MAX(Q450-UpliftWindowH/24,Flights!$AY$17+UpliftWindowH/24),Q450-UpliftWindowH/24)</f>
        <v>46308.7604166667</v>
      </c>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IF(N450="N/A – rule","N/A – RULE",IF(TRIM(U450)="N/A",IF(AT450=0,"INVALID – N/A not permitted for this mandatory check",IF(AND(TRIM(AC450)&lt;&gt;"",TRIM(AE450)&lt;&gt;"",TRIM(T450)&lt;&gt;"",TRIM(AE450)&lt;&gt;TRIM(T450)),"N/A – JUSTIFIED","INVALID – N/A needs justification, PIC and a different verifier")),IF(OR(TRIM(U450)="Pass",TRIM(U450)="Pass after CA"),IF(NOT(ISNUMBER(AD450)),"INVALID – completion time missing",IF(TRIM(T450)="","INVALID – PIC missing",IF(TRIM(V450)="","INVALID – result / assessment missing",IF(TRIM(Z450)="","INVALID – evidence missing",IF(TRIM(AE450)="","INVALID – verifier missing",IF(TRIM(AE450)=TRIM(T450),"INVALID – verifier must be someone other than the PIC",IF(AND(AQ450=1,TRIM(W450)=""),"INVALID – batch ID missing",IF(AND(AR450=1,OR(NOT(ISNUMBER(X450)),NOT(ISNUMBER(Y450)))),"INVALID – expected/actual qty missing",IF(IF(AND(TRIM(U450)="Pass",ISNUMBER(AF450)),IF(AF450&lt;&gt;0,"INVALID – qty variance: use Fail or Pass after CA",""),"")&amp;IF(AND(TRIM(U450)="Pass",TRIM(AB450)&lt;&gt;"",TRIM(AB450)&lt;&gt;"Closed"),"INVALID – corrective action not closed: use Fail, then Pass after CA","")&amp;IF(AND(TRIM(AA450)&lt;&gt;"",TRIM(AB450)=""),"INVALID – CA status missing for the recorded corrective action","")&amp;IF(AND(TRIM(U450)="Pass after CA",OR(TRIM(AA450)="",TRIM(AB450)&lt;&gt;"Closed")),"INVALID – corrective action not recorded/closed","")&lt;&gt;"",IF(AND(TRIM(U450)="Pass",ISNUMBER(AF450)),IF(AF450&lt;&gt;0,"INVALID – qty variance: use Fail or Pass after CA",""),"")&amp;IF(AND(TRIM(U450)="Pass",TRIM(AB450)&lt;&gt;"",TRIM(AB450)&lt;&gt;"Closed"),"INVALID – corrective action not closed: use Fail, then Pass after CA","")&amp;IF(AND(TRIM(AA450)&lt;&gt;"",TRIM(AB450)=""),"INVALID – CA status missing for the recorded corrective action","")&amp;IF(AND(TRIM(U450)="Pass after CA",OR(TRIM(AA450)="",TRIM(AB450)&lt;&gt;"Closed")),"INVALID – corrective action not recorded/closed",""),IF(AND(AS450=1,Documents!$J$17&lt;&gt;"ON FILE"),"INVALID – GLD not on file (Documents sheet)",IF(AND(AS450=2,Documents!$O$17&lt;&gt;"ON FILE"),"INVALID – menu checklist not on file (Documents sheet)",IF(AND(AS450=3,NOT(ISNUMBER(Flights!$AX$17))),"INVALID – enter carrying flight KUL departure (Flights AX)",IF(AND(AS450=3,OR(Flights!$AX$17&gt;=Flights!$AA$17,Flights!$AX$17&lt;Flights!$AA$17-3)),"INVALID – Flights AX must be before this leg's STD (within 3 days)",IF(AG450&gt;AsOfUTC,"INVALID – completion time is in the future",IF(AND(ISNUMBER(S450),AG450&lt;S450),IF(H450="Physical uplift","INVALID – before uplift window (cannot confirm loading)","INVALID – before valid window"),IF(AG450&gt;Flights!$AA$17,"INVALID – completed after departure (cannot establish readiness)",IF(AND(H450="Physical uplift",AG450&gt;Q450),"INVALID – recorded after the loading flight departed",IF(AG450&gt;Q450,"COMPLETE – LATE","COMPLETE")))))))))))))))))),IF(TRIM(U450)="Fail","FAIL – DISCREPANCY",IF(AND(TRIM(U450)&lt;&gt;"",TRIM(U450)&lt;&gt;"Not started",TRIM(U450)&lt;&gt;"In progress"),"INVALID – unrecognised status (use the list)",IF(AsOfUTC&gt;Q450,"OVERDUE",IF(N450="Clarification required","OPEN – CLARIFICATION","OPEN")))))))</f>
        <v>OPEN</v>
      </c>
      <c r="AI450" s="61" t="n">
        <f aca="false">IF(OR(AH450="N/A – RULE",AH450="N/A – JUSTIFIED"),0,1)</f>
        <v>1</v>
      </c>
      <c r="AJ450" s="61" t="n">
        <f aca="false">IF(LEFT(AH450,8)="COMPLETE",1,0)</f>
        <v>0</v>
      </c>
      <c r="AK450" s="61" t="n">
        <f aca="false">IF(AND(AI450=1,AJ450=0,AsOfUTC&gt;Q450),1,0)</f>
        <v>0</v>
      </c>
      <c r="AL450" s="61" t="n">
        <f aca="false">IF(AND(AI450=1,OR(TRIM(U450)="Fail",AND(TRIM(AB450)&lt;&gt;"",TRIM(AB450)&lt;&gt;"Closed"),AND(ISNUMBER(AF450),AF450&lt;&gt;0,TRIM(U450)&lt;&gt;"Pass after CA"))),1,0)</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row>
    <row r="451" customFormat="false" ht="41.25" hidden="false" customHeight="true" outlineLevel="0" collapsed="false">
      <c r="A451" s="57" t="s">
        <v>1060</v>
      </c>
      <c r="B451" s="57" t="s">
        <v>264</v>
      </c>
      <c r="C451" s="57" t="str">
        <f aca="false">Flights!$F$17</f>
        <v>MH0138</v>
      </c>
      <c r="D451" s="58" t="n">
        <f aca="false">Flights!$D$17</f>
        <v>46309</v>
      </c>
      <c r="E451" s="57" t="str">
        <f aca="false">Flights!$G$17&amp;"-"&amp;Flights!$H$17</f>
        <v>ADL-KUL</v>
      </c>
      <c r="F451" s="57" t="str">
        <f aca="false">Flights!$K$17</f>
        <v>EY</v>
      </c>
      <c r="G451" s="57" t="s">
        <v>424</v>
      </c>
      <c r="H451" s="57" t="s">
        <v>425</v>
      </c>
      <c r="I451" s="57" t="s">
        <v>376</v>
      </c>
      <c r="J451" s="57" t="s">
        <v>1061</v>
      </c>
      <c r="K451" s="67" t="s">
        <v>663</v>
      </c>
      <c r="L451" s="67" t="s">
        <v>664</v>
      </c>
      <c r="M451" s="67"/>
      <c r="N451" s="67" t="s">
        <v>348</v>
      </c>
      <c r="O451" s="67" t="s">
        <v>665</v>
      </c>
      <c r="P451" s="57" t="s">
        <v>179</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59" t="n">
        <f aca="false">Q451-UpliftWindowH/24</f>
        <v>46307.3506944444</v>
      </c>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IF(N451="N/A – rule","N/A – RULE",IF(TRIM(U451)="N/A",IF(AT451=0,"INVALID – N/A not permitted for this mandatory check",IF(AND(TRIM(AC451)&lt;&gt;"",TRIM(AE451)&lt;&gt;"",TRIM(T451)&lt;&gt;"",TRIM(AE451)&lt;&gt;TRIM(T451)),"N/A – JUSTIFIED","INVALID – N/A needs justification, PIC and a different verifier")),IF(OR(TRIM(U451)="Pass",TRIM(U451)="Pass after CA"),IF(NOT(ISNUMBER(AD451)),"INVALID – completion time missing",IF(TRIM(T451)="","INVALID – PIC missing",IF(TRIM(V451)="","INVALID – result / assessment missing",IF(TRIM(Z451)="","INVALID – evidence missing",IF(TRIM(AE451)="","INVALID – verifier missing",IF(TRIM(AE451)=TRIM(T451),"INVALID – verifier must be someone other than the PIC",IF(AND(AQ451=1,TRIM(W451)=""),"INVALID – batch ID missing",IF(AND(AR451=1,OR(NOT(ISNUMBER(X451)),NOT(ISNUMBER(Y451)))),"INVALID – expected/actual qty missing",IF(IF(AND(TRIM(U451)="Pass",ISNUMBER(AF451)),IF(AF451&lt;&gt;0,"INVALID – qty variance: use Fail or Pass after CA",""),"")&amp;IF(AND(TRIM(U451)="Pass",TRIM(AB451)&lt;&gt;"",TRIM(AB451)&lt;&gt;"Closed"),"INVALID – corrective action not closed: use Fail, then Pass after CA","")&amp;IF(AND(TRIM(AA451)&lt;&gt;"",TRIM(AB451)=""),"INVALID – CA status missing for the recorded corrective action","")&amp;IF(AND(TRIM(U451)="Pass after CA",OR(TRIM(AA451)="",TRIM(AB451)&lt;&gt;"Closed")),"INVALID – corrective action not recorded/closed","")&lt;&gt;"",IF(AND(TRIM(U451)="Pass",ISNUMBER(AF451)),IF(AF451&lt;&gt;0,"INVALID – qty variance: use Fail or Pass after CA",""),"")&amp;IF(AND(TRIM(U451)="Pass",TRIM(AB451)&lt;&gt;"",TRIM(AB451)&lt;&gt;"Closed"),"INVALID – corrective action not closed: use Fail, then Pass after CA","")&amp;IF(AND(TRIM(AA451)&lt;&gt;"",TRIM(AB451)=""),"INVALID – CA status missing for the recorded corrective action","")&amp;IF(AND(TRIM(U451)="Pass after CA",OR(TRIM(AA451)="",TRIM(AB451)&lt;&gt;"Closed")),"INVALID – corrective action not recorded/closed",""),IF(AND(AS451=1,Documents!$J$17&lt;&gt;"ON FILE"),"INVALID – GLD not on file (Documents sheet)",IF(AND(AS451=2,Documents!$O$17&lt;&gt;"ON FILE"),"INVALID – menu checklist not on file (Documents sheet)",IF(AND(AS451=3,NOT(ISNUMBER(Flights!$AX$17))),"INVALID – enter carrying flight KUL departure (Flights AX)",IF(AND(AS451=3,OR(Flights!$AX$17&gt;=Flights!$AA$17,Flights!$AX$17&lt;Flights!$AA$17-3)),"INVALID – Flights AX must be before this leg's STD (within 3 days)",IF(AG451&gt;AsOfUTC,"INVALID – completion time is in the future",IF(AND(ISNUMBER(S451),AG451&lt;S451),IF(H451="Physical uplift","INVALID – before uplift window (cannot confirm loading)","INVALID – before valid window"),IF(AG451&gt;Flights!$AA$17,"INVALID – completed after departure (cannot establish readiness)",IF(AND(H451="Physical uplift",AG451&gt;Q451),"INVALID – recorded after the loading flight departed",IF(AG451&gt;Q451,"COMPLETE – LATE","COMPLETE")))))))))))))))))),IF(TRIM(U451)="Fail","FAIL – DISCREPANCY",IF(AND(TRIM(U451)&lt;&gt;"",TRIM(U451)&lt;&gt;"Not started",TRIM(U451)&lt;&gt;"In progress"),"INVALID – unrecognised status (use the list)",IF(AsOfUTC&gt;Q451,"OVERDUE",IF(N451="Clarification required","OPEN – CLARIFICATION","OPEN")))))))</f>
        <v>OPEN</v>
      </c>
      <c r="AI451" s="61" t="n">
        <f aca="false">IF(OR(AH451="N/A – RULE",AH451="N/A – JUSTIFIED"),0,1)</f>
        <v>1</v>
      </c>
      <c r="AJ451" s="61" t="n">
        <f aca="false">IF(LEFT(AH451,8)="COMPLETE",1,0)</f>
        <v>0</v>
      </c>
      <c r="AK451" s="61" t="n">
        <f aca="false">IF(AND(AI451=1,AJ451=0,AsOfUTC&gt;Q451),1,0)</f>
        <v>0</v>
      </c>
      <c r="AL451" s="61" t="n">
        <f aca="false">IF(AND(AI451=1,OR(TRIM(U451)="Fail",AND(TRIM(AB451)&lt;&gt;"",TRIM(AB451)&lt;&gt;"Closed"),AND(ISNUMBER(AF451),AF451&lt;&gt;0,TRIM(U451)&lt;&gt;"Pass after CA"))),1,0)</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row>
    <row r="452" customFormat="false" ht="54" hidden="false" customHeight="true" outlineLevel="0" collapsed="false">
      <c r="A452" s="57" t="s">
        <v>1062</v>
      </c>
      <c r="B452" s="57" t="s">
        <v>264</v>
      </c>
      <c r="C452" s="57" t="str">
        <f aca="false">Flights!$F$17</f>
        <v>MH0138</v>
      </c>
      <c r="D452" s="58" t="n">
        <f aca="false">Flights!$D$17</f>
        <v>46309</v>
      </c>
      <c r="E452" s="57" t="str">
        <f aca="false">Flights!$G$17&amp;"-"&amp;Flights!$H$17</f>
        <v>ADL-KUL</v>
      </c>
      <c r="F452" s="57" t="str">
        <f aca="false">Flights!$K$17</f>
        <v>EY</v>
      </c>
      <c r="G452" s="57" t="s">
        <v>424</v>
      </c>
      <c r="H452" s="57" t="s">
        <v>425</v>
      </c>
      <c r="I452" s="57" t="s">
        <v>405</v>
      </c>
      <c r="J452" s="57" t="s">
        <v>432</v>
      </c>
      <c r="K452" s="67" t="s">
        <v>407</v>
      </c>
      <c r="L452" s="67" t="s">
        <v>979</v>
      </c>
      <c r="M452" s="67" t="s">
        <v>179</v>
      </c>
      <c r="N452" s="67" t="s">
        <v>409</v>
      </c>
      <c r="O452" s="67" t="s">
        <v>410</v>
      </c>
      <c r="P452" s="57" t="s">
        <v>255</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59" t="n">
        <f aca="false">IF(ISNUMBER(Flights!$AY$17),MAX(Q452-UpliftWindowH/24,Flights!$AY$17+UpliftWindowH/24),Q452-UpliftWindowH/24)</f>
        <v>46308.7604166667</v>
      </c>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IF(N452="N/A – rule","N/A – RULE",IF(TRIM(U452)="N/A",IF(AT452=0,"INVALID – N/A not permitted for this mandatory check",IF(AND(TRIM(AC452)&lt;&gt;"",TRIM(AE452)&lt;&gt;"",TRIM(T452)&lt;&gt;"",TRIM(AE452)&lt;&gt;TRIM(T452)),"N/A – JUSTIFIED","INVALID – N/A needs justification, PIC and a different verifier")),IF(OR(TRIM(U452)="Pass",TRIM(U452)="Pass after CA"),IF(NOT(ISNUMBER(AD452)),"INVALID – completion time missing",IF(TRIM(T452)="","INVALID – PIC missing",IF(TRIM(V452)="","INVALID – result / assessment missing",IF(TRIM(Z452)="","INVALID – evidence missing",IF(TRIM(AE452)="","INVALID – verifier missing",IF(TRIM(AE452)=TRIM(T452),"INVALID – verifier must be someone other than the PIC",IF(AND(AQ452=1,TRIM(W452)=""),"INVALID – batch ID missing",IF(AND(AR452=1,OR(NOT(ISNUMBER(X452)),NOT(ISNUMBER(Y452)))),"INVALID – expected/actual qty missing",IF(IF(AND(TRIM(U452)="Pass",ISNUMBER(AF452)),IF(AF452&lt;&gt;0,"INVALID – qty variance: use Fail or Pass after CA",""),"")&amp;IF(AND(TRIM(U452)="Pass",TRIM(AB452)&lt;&gt;"",TRIM(AB452)&lt;&gt;"Closed"),"INVALID – corrective action not closed: use Fail, then Pass after CA","")&amp;IF(AND(TRIM(AA452)&lt;&gt;"",TRIM(AB452)=""),"INVALID – CA status missing for the recorded corrective action","")&amp;IF(AND(TRIM(U452)="Pass after CA",OR(TRIM(AA452)="",TRIM(AB452)&lt;&gt;"Closed")),"INVALID – corrective action not recorded/closed","")&lt;&gt;"",IF(AND(TRIM(U452)="Pass",ISNUMBER(AF452)),IF(AF452&lt;&gt;0,"INVALID – qty variance: use Fail or Pass after CA",""),"")&amp;IF(AND(TRIM(U452)="Pass",TRIM(AB452)&lt;&gt;"",TRIM(AB452)&lt;&gt;"Closed"),"INVALID – corrective action not closed: use Fail, then Pass after CA","")&amp;IF(AND(TRIM(AA452)&lt;&gt;"",TRIM(AB452)=""),"INVALID – CA status missing for the recorded corrective action","")&amp;IF(AND(TRIM(U452)="Pass after CA",OR(TRIM(AA452)="",TRIM(AB452)&lt;&gt;"Closed")),"INVALID – corrective action not recorded/closed",""),IF(AND(AS452=1,Documents!$J$17&lt;&gt;"ON FILE"),"INVALID – GLD not on file (Documents sheet)",IF(AND(AS452=2,Documents!$O$17&lt;&gt;"ON FILE"),"INVALID – menu checklist not on file (Documents sheet)",IF(AND(AS452=3,NOT(ISNUMBER(Flights!$AX$17))),"INVALID – enter carrying flight KUL departure (Flights AX)",IF(AND(AS452=3,OR(Flights!$AX$17&gt;=Flights!$AA$17,Flights!$AX$17&lt;Flights!$AA$17-3)),"INVALID – Flights AX must be before this leg's STD (within 3 days)",IF(AG452&gt;AsOfUTC,"INVALID – completion time is in the future",IF(AND(ISNUMBER(S452),AG452&lt;S452),IF(H452="Physical uplift","INVALID – before uplift window (cannot confirm loading)","INVALID – before valid window"),IF(AG452&gt;Flights!$AA$17,"INVALID – completed after departure (cannot establish readiness)",IF(AND(H452="Physical uplift",AG452&gt;Q452),"INVALID – recorded after the loading flight departed",IF(AG452&gt;Q452,"COMPLETE – LATE","COMPLETE")))))))))))))))))),IF(TRIM(U452)="Fail","FAIL – DISCREPANCY",IF(AND(TRIM(U452)&lt;&gt;"",TRIM(U452)&lt;&gt;"Not started",TRIM(U452)&lt;&gt;"In progress"),"INVALID – unrecognised status (use the list)",IF(AsOfUTC&gt;Q452,"OVERDUE",IF(N452="Clarification required","OPEN – CLARIFICATION","OPEN")))))))</f>
        <v>OPEN – CLARIFICATION</v>
      </c>
      <c r="AI452" s="61" t="n">
        <f aca="false">IF(OR(AH452="N/A – RULE",AH452="N/A – JUSTIFIED"),0,1)</f>
        <v>1</v>
      </c>
      <c r="AJ452" s="61" t="n">
        <f aca="false">IF(LEFT(AH452,8)="COMPLETE",1,0)</f>
        <v>0</v>
      </c>
      <c r="AK452" s="61" t="n">
        <f aca="false">IF(AND(AI452=1,AJ452=0,AsOfUTC&gt;Q452),1,0)</f>
        <v>0</v>
      </c>
      <c r="AL452" s="61" t="n">
        <f aca="false">IF(AND(AI452=1,OR(TRIM(U452)="Fail",AND(TRIM(AB452)&lt;&gt;"",TRIM(AB452)&lt;&gt;"Closed"),AND(ISNUMBER(AF452),AF452&lt;&gt;0,TRIM(U452)&lt;&gt;"Pass after CA"))),1,0)</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8" t="b">
        <f aca="false">TRUE()</f>
        <v>1</v>
      </c>
    </row>
    <row r="453" customFormat="false" ht="39.75" hidden="false" customHeight="true" outlineLevel="0" collapsed="false">
      <c r="A453" s="57" t="s">
        <v>1063</v>
      </c>
      <c r="B453" s="57" t="s">
        <v>264</v>
      </c>
      <c r="C453" s="57" t="str">
        <f aca="false">Flights!$F$17</f>
        <v>MH0138</v>
      </c>
      <c r="D453" s="58" t="n">
        <f aca="false">Flights!$D$17</f>
        <v>46309</v>
      </c>
      <c r="E453" s="57" t="str">
        <f aca="false">Flights!$G$17&amp;"-"&amp;Flights!$H$17</f>
        <v>ADL-KUL</v>
      </c>
      <c r="F453" s="57" t="str">
        <f aca="false">Flights!$K$17</f>
        <v>EY</v>
      </c>
      <c r="G453" s="57" t="s">
        <v>424</v>
      </c>
      <c r="H453" s="57" t="s">
        <v>425</v>
      </c>
      <c r="I453" s="57" t="s">
        <v>412</v>
      </c>
      <c r="J453" s="57" t="s">
        <v>434</v>
      </c>
      <c r="K453" s="67" t="s">
        <v>414</v>
      </c>
      <c r="L453" s="67" t="s">
        <v>1050</v>
      </c>
      <c r="M453" s="67" t="s">
        <v>416</v>
      </c>
      <c r="N453" s="67" t="s">
        <v>348</v>
      </c>
      <c r="O453" s="67"/>
      <c r="P453" s="57" t="s">
        <v>255</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59" t="n">
        <f aca="false">IF(ISNUMBER(Flights!$AY$17),MAX(Q453-UpliftWindowH/24,Flights!$AY$17+UpliftWindowH/24),Q453-UpliftWindowH/24)</f>
        <v>46308.7604166667</v>
      </c>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IF(N453="N/A – rule","N/A – RULE",IF(TRIM(U453)="N/A",IF(AT453=0,"INVALID – N/A not permitted for this mandatory check",IF(AND(TRIM(AC453)&lt;&gt;"",TRIM(AE453)&lt;&gt;"",TRIM(T453)&lt;&gt;"",TRIM(AE453)&lt;&gt;TRIM(T453)),"N/A – JUSTIFIED","INVALID – N/A needs justification, PIC and a different verifier")),IF(OR(TRIM(U453)="Pass",TRIM(U453)="Pass after CA"),IF(NOT(ISNUMBER(AD453)),"INVALID – completion time missing",IF(TRIM(T453)="","INVALID – PIC missing",IF(TRIM(V453)="","INVALID – result / assessment missing",IF(TRIM(Z453)="","INVALID – evidence missing",IF(TRIM(AE453)="","INVALID – verifier missing",IF(TRIM(AE453)=TRIM(T453),"INVALID – verifier must be someone other than the PIC",IF(AND(AQ453=1,TRIM(W453)=""),"INVALID – batch ID missing",IF(AND(AR453=1,OR(NOT(ISNUMBER(X453)),NOT(ISNUMBER(Y453)))),"INVALID – expected/actual qty missing",IF(IF(AND(TRIM(U453)="Pass",ISNUMBER(AF453)),IF(AF453&lt;&gt;0,"INVALID – qty variance: use Fail or Pass after CA",""),"")&amp;IF(AND(TRIM(U453)="Pass",TRIM(AB453)&lt;&gt;"",TRIM(AB453)&lt;&gt;"Closed"),"INVALID – corrective action not closed: use Fail, then Pass after CA","")&amp;IF(AND(TRIM(AA453)&lt;&gt;"",TRIM(AB453)=""),"INVALID – CA status missing for the recorded corrective action","")&amp;IF(AND(TRIM(U453)="Pass after CA",OR(TRIM(AA453)="",TRIM(AB453)&lt;&gt;"Closed")),"INVALID – corrective action not recorded/closed","")&lt;&gt;"",IF(AND(TRIM(U453)="Pass",ISNUMBER(AF453)),IF(AF453&lt;&gt;0,"INVALID – qty variance: use Fail or Pass after CA",""),"")&amp;IF(AND(TRIM(U453)="Pass",TRIM(AB453)&lt;&gt;"",TRIM(AB453)&lt;&gt;"Closed"),"INVALID – corrective action not closed: use Fail, then Pass after CA","")&amp;IF(AND(TRIM(AA453)&lt;&gt;"",TRIM(AB453)=""),"INVALID – CA status missing for the recorded corrective action","")&amp;IF(AND(TRIM(U453)="Pass after CA",OR(TRIM(AA453)="",TRIM(AB453)&lt;&gt;"Closed")),"INVALID – corrective action not recorded/closed",""),IF(AND(AS453=1,Documents!$J$17&lt;&gt;"ON FILE"),"INVALID – GLD not on file (Documents sheet)",IF(AND(AS453=2,Documents!$O$17&lt;&gt;"ON FILE"),"INVALID – menu checklist not on file (Documents sheet)",IF(AND(AS453=3,NOT(ISNUMBER(Flights!$AX$17))),"INVALID – enter carrying flight KUL departure (Flights AX)",IF(AND(AS453=3,OR(Flights!$AX$17&gt;=Flights!$AA$17,Flights!$AX$17&lt;Flights!$AA$17-3)),"INVALID – Flights AX must be before this leg's STD (within 3 days)",IF(AG453&gt;AsOfUTC,"INVALID – completion time is in the future",IF(AND(ISNUMBER(S453),AG453&lt;S453),IF(H453="Physical uplift","INVALID – before uplift window (cannot confirm loading)","INVALID – before valid window"),IF(AG453&gt;Flights!$AA$17,"INVALID – completed after departure (cannot establish readiness)",IF(AND(H453="Physical uplift",AG453&gt;Q453),"INVALID – recorded after the loading flight departed",IF(AG453&gt;Q453,"COMPLETE – LATE","COMPLETE")))))))))))))))))),IF(TRIM(U453)="Fail","FAIL – DISCREPANCY",IF(AND(TRIM(U453)&lt;&gt;"",TRIM(U453)&lt;&gt;"Not started",TRIM(U453)&lt;&gt;"In progress"),"INVALID – unrecognised status (use the list)",IF(AsOfUTC&gt;Q453,"OVERDUE",IF(N453="Clarification required","OPEN – CLARIFICATION","OPEN")))))))</f>
        <v>OPEN</v>
      </c>
      <c r="AI453" s="61" t="n">
        <f aca="false">IF(OR(AH453="N/A – RULE",AH453="N/A – JUSTIFIED"),0,1)</f>
        <v>1</v>
      </c>
      <c r="AJ453" s="61" t="n">
        <f aca="false">IF(LEFT(AH453,8)="COMPLETE",1,0)</f>
        <v>0</v>
      </c>
      <c r="AK453" s="61" t="n">
        <f aca="false">IF(AND(AI453=1,AJ453=0,AsOfUTC&gt;Q453),1,0)</f>
        <v>0</v>
      </c>
      <c r="AL453" s="61" t="n">
        <f aca="false">IF(AND(AI453=1,OR(TRIM(U453)="Fail",AND(TRIM(AB453)&lt;&gt;"",TRIM(AB453)&lt;&gt;"Closed"),AND(ISNUMBER(AF453),AF453&lt;&gt;0,TRIM(U453)&lt;&gt;"Pass after CA"))),1,0)</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8" t="b">
        <f aca="false">TRUE()</f>
        <v>1</v>
      </c>
    </row>
    <row r="454" customFormat="false" ht="54" hidden="false" customHeight="true" outlineLevel="0" collapsed="false">
      <c r="A454" s="57" t="s">
        <v>1064</v>
      </c>
      <c r="B454" s="57" t="s">
        <v>264</v>
      </c>
      <c r="C454" s="57" t="str">
        <f aca="false">Flights!$F$17</f>
        <v>MH0138</v>
      </c>
      <c r="D454" s="58" t="n">
        <f aca="false">Flights!$D$17</f>
        <v>46309</v>
      </c>
      <c r="E454" s="57" t="str">
        <f aca="false">Flights!$G$17&amp;"-"&amp;Flights!$H$17</f>
        <v>ADL-KUL</v>
      </c>
      <c r="F454" s="57" t="str">
        <f aca="false">Flights!$K$17</f>
        <v>EY</v>
      </c>
      <c r="G454" s="57" t="s">
        <v>424</v>
      </c>
      <c r="H454" s="57" t="s">
        <v>425</v>
      </c>
      <c r="I454" s="57" t="s">
        <v>412</v>
      </c>
      <c r="J454" s="57" t="s">
        <v>436</v>
      </c>
      <c r="K454" s="67" t="s">
        <v>1053</v>
      </c>
      <c r="L454" s="67" t="s">
        <v>1054</v>
      </c>
      <c r="M454" s="67" t="s">
        <v>416</v>
      </c>
      <c r="N454" s="67" t="s">
        <v>348</v>
      </c>
      <c r="O454" s="67" t="s">
        <v>1065</v>
      </c>
      <c r="P454" s="57" t="s">
        <v>255</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59" t="n">
        <f aca="false">IF(ISNUMBER(Flights!$AY$17),MAX(Q454-UpliftWindowH/24,Flights!$AY$17+UpliftWindowH/24),Q454-UpliftWindowH/24)</f>
        <v>46308.7604166667</v>
      </c>
      <c r="T454" s="60"/>
      <c r="U454" s="60"/>
      <c r="V454" s="60"/>
      <c r="W454" s="61"/>
      <c r="X454" s="69"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IF(N454="N/A – rule","N/A – RULE",IF(TRIM(U454)="N/A",IF(AT454=0,"INVALID – N/A not permitted for this mandatory check",IF(AND(TRIM(AC454)&lt;&gt;"",TRIM(AE454)&lt;&gt;"",TRIM(T454)&lt;&gt;"",TRIM(AE454)&lt;&gt;TRIM(T454)),"N/A – JUSTIFIED","INVALID – N/A needs justification, PIC and a different verifier")),IF(OR(TRIM(U454)="Pass",TRIM(U454)="Pass after CA"),IF(NOT(ISNUMBER(AD454)),"INVALID – completion time missing",IF(TRIM(T454)="","INVALID – PIC missing",IF(TRIM(V454)="","INVALID – result / assessment missing",IF(TRIM(Z454)="","INVALID – evidence missing",IF(TRIM(AE454)="","INVALID – verifier missing",IF(TRIM(AE454)=TRIM(T454),"INVALID – verifier must be someone other than the PIC",IF(AND(AQ454=1,TRIM(W454)=""),"INVALID – batch ID missing",IF(AND(AR454=1,OR(NOT(ISNUMBER(X454)),NOT(ISNUMBER(Y454)))),"INVALID – expected/actual qty missing",IF(IF(AND(TRIM(U454)="Pass",ISNUMBER(AF454)),IF(AF454&lt;&gt;0,"INVALID – qty variance: use Fail or Pass after CA",""),"")&amp;IF(AND(TRIM(U454)="Pass",TRIM(AB454)&lt;&gt;"",TRIM(AB454)&lt;&gt;"Closed"),"INVALID – corrective action not closed: use Fail, then Pass after CA","")&amp;IF(AND(TRIM(AA454)&lt;&gt;"",TRIM(AB454)=""),"INVALID – CA status missing for the recorded corrective action","")&amp;IF(AND(TRIM(U454)="Pass after CA",OR(TRIM(AA454)="",TRIM(AB454)&lt;&gt;"Closed")),"INVALID – corrective action not recorded/closed","")&lt;&gt;"",IF(AND(TRIM(U454)="Pass",ISNUMBER(AF454)),IF(AF454&lt;&gt;0,"INVALID – qty variance: use Fail or Pass after CA",""),"")&amp;IF(AND(TRIM(U454)="Pass",TRIM(AB454)&lt;&gt;"",TRIM(AB454)&lt;&gt;"Closed"),"INVALID – corrective action not closed: use Fail, then Pass after CA","")&amp;IF(AND(TRIM(AA454)&lt;&gt;"",TRIM(AB454)=""),"INVALID – CA status missing for the recorded corrective action","")&amp;IF(AND(TRIM(U454)="Pass after CA",OR(TRIM(AA454)="",TRIM(AB454)&lt;&gt;"Closed")),"INVALID – corrective action not recorded/closed",""),IF(AND(AS454=1,Documents!$J$17&lt;&gt;"ON FILE"),"INVALID – GLD not on file (Documents sheet)",IF(AND(AS454=2,Documents!$O$17&lt;&gt;"ON FILE"),"INVALID – menu checklist not on file (Documents sheet)",IF(AND(AS454=3,NOT(ISNUMBER(Flights!$AX$17))),"INVALID – enter carrying flight KUL departure (Flights AX)",IF(AND(AS454=3,OR(Flights!$AX$17&gt;=Flights!$AA$17,Flights!$AX$17&lt;Flights!$AA$17-3)),"INVALID – Flights AX must be before this leg's STD (within 3 days)",IF(AG454&gt;AsOfUTC,"INVALID – completion time is in the future",IF(AND(ISNUMBER(S454),AG454&lt;S454),IF(H454="Physical uplift","INVALID – before uplift window (cannot confirm loading)","INVALID – before valid window"),IF(AG454&gt;Flights!$AA$17,"INVALID – completed after departure (cannot establish readiness)",IF(AND(H454="Physical uplift",AG454&gt;Q454),"INVALID – recorded after the loading flight departed",IF(AG454&gt;Q454,"COMPLETE – LATE","COMPLETE")))))))))))))))))),IF(TRIM(U454)="Fail","FAIL – DISCREPANCY",IF(AND(TRIM(U454)&lt;&gt;"",TRIM(U454)&lt;&gt;"Not started",TRIM(U454)&lt;&gt;"In progress"),"INVALID – unrecognised status (use the list)",IF(AsOfUTC&gt;Q454,"OVERDUE",IF(N454="Clarification required","OPEN – CLARIFICATION","OPEN")))))))</f>
        <v>OPEN</v>
      </c>
      <c r="AI454" s="61" t="n">
        <f aca="false">IF(OR(AH454="N/A – RULE",AH454="N/A – JUSTIFIED"),0,1)</f>
        <v>1</v>
      </c>
      <c r="AJ454" s="61" t="n">
        <f aca="false">IF(LEFT(AH454,8)="COMPLETE",1,0)</f>
        <v>0</v>
      </c>
      <c r="AK454" s="61" t="n">
        <f aca="false">IF(AND(AI454=1,AJ454=0,AsOfUTC&gt;Q454),1,0)</f>
        <v>0</v>
      </c>
      <c r="AL454" s="61" t="n">
        <f aca="false">IF(AND(AI454=1,OR(TRIM(U454)="Fail",AND(TRIM(AB454)&lt;&gt;"",TRIM(AB454)&lt;&gt;"Closed"),AND(ISNUMBER(AF454),AF454&lt;&gt;0,TRIM(U454)&lt;&gt;"Pass after CA"))),1,0)</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8" t="b">
        <f aca="false">TRUE()</f>
        <v>1</v>
      </c>
    </row>
    <row r="455" customFormat="false" ht="54" hidden="false" customHeight="true" outlineLevel="0" collapsed="false">
      <c r="A455" s="57" t="s">
        <v>1066</v>
      </c>
      <c r="B455" s="57" t="s">
        <v>264</v>
      </c>
      <c r="C455" s="57" t="str">
        <f aca="false">Flights!$F$17</f>
        <v>MH0138</v>
      </c>
      <c r="D455" s="58" t="n">
        <f aca="false">Flights!$D$17</f>
        <v>46309</v>
      </c>
      <c r="E455" s="57" t="str">
        <f aca="false">Flights!$G$17&amp;"-"&amp;Flights!$H$17</f>
        <v>ADL-KUL</v>
      </c>
      <c r="F455" s="57" t="str">
        <f aca="false">Flights!$K$17</f>
        <v>EY</v>
      </c>
      <c r="G455" s="57" t="s">
        <v>424</v>
      </c>
      <c r="H455" s="57" t="s">
        <v>425</v>
      </c>
      <c r="I455" s="57" t="s">
        <v>599</v>
      </c>
      <c r="J455" s="57" t="s">
        <v>624</v>
      </c>
      <c r="K455" s="67" t="s">
        <v>1005</v>
      </c>
      <c r="L455" s="67" t="s">
        <v>1006</v>
      </c>
      <c r="M455" s="67" t="s">
        <v>416</v>
      </c>
      <c r="N455" s="67" t="s">
        <v>409</v>
      </c>
      <c r="O455" s="67" t="s">
        <v>1067</v>
      </c>
      <c r="P455" s="57" t="s">
        <v>255</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59" t="n">
        <f aca="false">IF(ISNUMBER(Flights!$AY$17),MAX(Q455-UpliftWindowH/24,Flights!$AY$17+UpliftWindowH/24),Q455-UpliftWindowH/24)</f>
        <v>46308.7604166667</v>
      </c>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IF(N455="N/A – rule","N/A – RULE",IF(TRIM(U455)="N/A",IF(AT455=0,"INVALID – N/A not permitted for this mandatory check",IF(AND(TRIM(AC455)&lt;&gt;"",TRIM(AE455)&lt;&gt;"",TRIM(T455)&lt;&gt;"",TRIM(AE455)&lt;&gt;TRIM(T455)),"N/A – JUSTIFIED","INVALID – N/A needs justification, PIC and a different verifier")),IF(OR(TRIM(U455)="Pass",TRIM(U455)="Pass after CA"),IF(NOT(ISNUMBER(AD455)),"INVALID – completion time missing",IF(TRIM(T455)="","INVALID – PIC missing",IF(TRIM(V455)="","INVALID – result / assessment missing",IF(TRIM(Z455)="","INVALID – evidence missing",IF(TRIM(AE455)="","INVALID – verifier missing",IF(TRIM(AE455)=TRIM(T455),"INVALID – verifier must be someone other than the PIC",IF(AND(AQ455=1,TRIM(W455)=""),"INVALID – batch ID missing",IF(AND(AR455=1,OR(NOT(ISNUMBER(X455)),NOT(ISNUMBER(Y455)))),"INVALID – expected/actual qty missing",IF(IF(AND(TRIM(U455)="Pass",ISNUMBER(AF455)),IF(AF455&lt;&gt;0,"INVALID – qty variance: use Fail or Pass after CA",""),"")&amp;IF(AND(TRIM(U455)="Pass",TRIM(AB455)&lt;&gt;"",TRIM(AB455)&lt;&gt;"Closed"),"INVALID – corrective action not closed: use Fail, then Pass after CA","")&amp;IF(AND(TRIM(AA455)&lt;&gt;"",TRIM(AB455)=""),"INVALID – CA status missing for the recorded corrective action","")&amp;IF(AND(TRIM(U455)="Pass after CA",OR(TRIM(AA455)="",TRIM(AB455)&lt;&gt;"Closed")),"INVALID – corrective action not recorded/closed","")&lt;&gt;"",IF(AND(TRIM(U455)="Pass",ISNUMBER(AF455)),IF(AF455&lt;&gt;0,"INVALID – qty variance: use Fail or Pass after CA",""),"")&amp;IF(AND(TRIM(U455)="Pass",TRIM(AB455)&lt;&gt;"",TRIM(AB455)&lt;&gt;"Closed"),"INVALID – corrective action not closed: use Fail, then Pass after CA","")&amp;IF(AND(TRIM(AA455)&lt;&gt;"",TRIM(AB455)=""),"INVALID – CA status missing for the recorded corrective action","")&amp;IF(AND(TRIM(U455)="Pass after CA",OR(TRIM(AA455)="",TRIM(AB455)&lt;&gt;"Closed")),"INVALID – corrective action not recorded/closed",""),IF(AND(AS455=1,Documents!$J$17&lt;&gt;"ON FILE"),"INVALID – GLD not on file (Documents sheet)",IF(AND(AS455=2,Documents!$O$17&lt;&gt;"ON FILE"),"INVALID – menu checklist not on file (Documents sheet)",IF(AND(AS455=3,NOT(ISNUMBER(Flights!$AX$17))),"INVALID – enter carrying flight KUL departure (Flights AX)",IF(AND(AS455=3,OR(Flights!$AX$17&gt;=Flights!$AA$17,Flights!$AX$17&lt;Flights!$AA$17-3)),"INVALID – Flights AX must be before this leg's STD (within 3 days)",IF(AG455&gt;AsOfUTC,"INVALID – completion time is in the future",IF(AND(ISNUMBER(S455),AG455&lt;S455),IF(H455="Physical uplift","INVALID – before uplift window (cannot confirm loading)","INVALID – before valid window"),IF(AG455&gt;Flights!$AA$17,"INVALID – completed after departure (cannot establish readiness)",IF(AND(H455="Physical uplift",AG455&gt;Q455),"INVALID – recorded after the loading flight departed",IF(AG455&gt;Q455,"COMPLETE – LATE","COMPLETE")))))))))))))))))),IF(TRIM(U455)="Fail","FAIL – DISCREPANCY",IF(AND(TRIM(U455)&lt;&gt;"",TRIM(U455)&lt;&gt;"Not started",TRIM(U455)&lt;&gt;"In progress"),"INVALID – unrecognised status (use the list)",IF(AsOfUTC&gt;Q455,"OVERDUE",IF(N455="Clarification required","OPEN – CLARIFICATION","OPEN")))))))</f>
        <v>OPEN – CLARIFICATION</v>
      </c>
      <c r="AI455" s="61" t="n">
        <f aca="false">IF(OR(AH455="N/A – RULE",AH455="N/A – JUSTIFIED"),0,1)</f>
        <v>1</v>
      </c>
      <c r="AJ455" s="61" t="n">
        <f aca="false">IF(LEFT(AH455,8)="COMPLETE",1,0)</f>
        <v>0</v>
      </c>
      <c r="AK455" s="61" t="n">
        <f aca="false">IF(AND(AI455=1,AJ455=0,AsOfUTC&gt;Q455),1,0)</f>
        <v>0</v>
      </c>
      <c r="AL455" s="61" t="n">
        <f aca="false">IF(AND(AI455=1,OR(TRIM(U455)="Fail",AND(TRIM(AB455)&lt;&gt;"",TRIM(AB455)&lt;&gt;"Closed"),AND(ISNUMBER(AF455),AF455&lt;&gt;0,TRIM(U455)&lt;&gt;"Pass after CA"))),1,0)</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8" t="b">
        <f aca="false">TRUE()</f>
        <v>1</v>
      </c>
    </row>
    <row r="456" customFormat="false" ht="39.75" hidden="false" customHeight="true" outlineLevel="0" collapsed="false">
      <c r="A456" s="57" t="s">
        <v>1068</v>
      </c>
      <c r="B456" s="57" t="s">
        <v>268</v>
      </c>
      <c r="C456" s="57" t="str">
        <f aca="false">Flights!$F$18</f>
        <v>MH0004</v>
      </c>
      <c r="D456" s="58" t="n">
        <f aca="false">Flights!$D$18</f>
        <v>46310</v>
      </c>
      <c r="E456" s="57" t="str">
        <f aca="false">Flights!$G$18&amp;"-"&amp;Flights!$H$18</f>
        <v>KUL-LHR</v>
      </c>
      <c r="F456" s="57" t="str">
        <f aca="false">Flights!$K$18</f>
        <v>EY</v>
      </c>
      <c r="G456" s="57" t="s">
        <v>76</v>
      </c>
      <c r="H456" s="57" t="s">
        <v>343</v>
      </c>
      <c r="I456" s="57" t="s">
        <v>344</v>
      </c>
      <c r="J456" s="57" t="s">
        <v>345</v>
      </c>
      <c r="K456" s="67" t="s">
        <v>346</v>
      </c>
      <c r="L456" s="67" t="s">
        <v>347</v>
      </c>
      <c r="M456" s="67"/>
      <c r="N456" s="67" t="s">
        <v>348</v>
      </c>
      <c r="O456" s="67"/>
      <c r="P456" s="57" t="s">
        <v>179</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59" t="n">
        <f aca="false">Q456-T7EarlyD*24/24</f>
        <v>46289.0763888889</v>
      </c>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IF(N456="N/A – rule","N/A – RULE",IF(TRIM(U456)="N/A",IF(AT456=0,"INVALID – N/A not permitted for this mandatory check",IF(AND(TRIM(AC456)&lt;&gt;"",TRIM(AE456)&lt;&gt;"",TRIM(T456)&lt;&gt;"",TRIM(AE456)&lt;&gt;TRIM(T456)),"N/A – JUSTIFIED","INVALID – N/A needs justification, PIC and a different verifier")),IF(OR(TRIM(U456)="Pass",TRIM(U456)="Pass after CA"),IF(NOT(ISNUMBER(AD456)),"INVALID – completion time missing",IF(TRIM(T456)="","INVALID – PIC missing",IF(TRIM(V456)="","INVALID – result / assessment missing",IF(TRIM(Z456)="","INVALID – evidence missing",IF(TRIM(AE456)="","INVALID – verifier missing",IF(TRIM(AE456)=TRIM(T456),"INVALID – verifier must be someone other than the PIC",IF(AND(AQ456=1,TRIM(W456)=""),"INVALID – batch ID missing",IF(AND(AR456=1,OR(NOT(ISNUMBER(X456)),NOT(ISNUMBER(Y456)))),"INVALID – expected/actual qty missing",IF(IF(AND(TRIM(U456)="Pass",ISNUMBER(AF456)),IF(AF456&lt;&gt;0,"INVALID – qty variance: use Fail or Pass after CA",""),"")&amp;IF(AND(TRIM(U456)="Pass",TRIM(AB456)&lt;&gt;"",TRIM(AB456)&lt;&gt;"Closed"),"INVALID – corrective action not closed: use Fail, then Pass after CA","")&amp;IF(AND(TRIM(AA456)&lt;&gt;"",TRIM(AB456)=""),"INVALID – CA status missing for the recorded corrective action","")&amp;IF(AND(TRIM(U456)="Pass after CA",OR(TRIM(AA456)="",TRIM(AB456)&lt;&gt;"Closed")),"INVALID – corrective action not recorded/closed","")&lt;&gt;"",IF(AND(TRIM(U456)="Pass",ISNUMBER(AF456)),IF(AF456&lt;&gt;0,"INVALID – qty variance: use Fail or Pass after CA",""),"")&amp;IF(AND(TRIM(U456)="Pass",TRIM(AB456)&lt;&gt;"",TRIM(AB456)&lt;&gt;"Closed"),"INVALID – corrective action not closed: use Fail, then Pass after CA","")&amp;IF(AND(TRIM(AA456)&lt;&gt;"",TRIM(AB456)=""),"INVALID – CA status missing for the recorded corrective action","")&amp;IF(AND(TRIM(U456)="Pass after CA",OR(TRIM(AA456)="",TRIM(AB456)&lt;&gt;"Closed")),"INVALID – corrective action not recorded/closed",""),IF(AND(AS456=1,Documents!$J$18&lt;&gt;"ON FILE"),"INVALID – GLD not on file (Documents sheet)",IF(AND(AS456=2,Documents!$O$18&lt;&gt;"ON FILE"),"INVALID – menu checklist not on file (Documents sheet)",IF(AND(AS456=3,NOT(ISNUMBER(Flights!$AX$18))),"INVALID – enter carrying flight KUL departure (Flights AX)",IF(AND(AS456=3,OR(Flights!$AX$18&gt;=Flights!$AA$18,Flights!$AX$18&lt;Flights!$AA$18-3)),"INVALID – Flights AX must be before this leg's STD (within 3 days)",IF(AG456&gt;AsOfUTC,"INVALID – completion time is in the future",IF(AND(ISNUMBER(S456),AG456&lt;S456),IF(H456="Physical uplift","INVALID – before uplift window (cannot confirm loading)","INVALID – before valid window"),IF(AG456&gt;Flights!$AA$18,"INVALID – completed after departure (cannot establish readiness)",IF(AND(H456="Physical uplift",AG456&gt;Q456),"INVALID – recorded after the loading flight departed",IF(AG456&gt;Q456,"COMPLETE – LATE","COMPLETE")))))))))))))))))),IF(TRIM(U456)="Fail","FAIL – DISCREPANCY",IF(AND(TRIM(U456)&lt;&gt;"",TRIM(U456)&lt;&gt;"Not started",TRIM(U456)&lt;&gt;"In progress"),"INVALID – unrecognised status (use the list)",IF(AsOfUTC&gt;Q456,"OVERDUE",IF(N456="Clarification required","OPEN – CLARIFICATION","OPEN")))))))</f>
        <v>OPEN</v>
      </c>
      <c r="AI456" s="61" t="n">
        <f aca="false">IF(OR(AH456="N/A – RULE",AH456="N/A – JUSTIFIED"),0,1)</f>
        <v>1</v>
      </c>
      <c r="AJ456" s="61" t="n">
        <f aca="false">IF(LEFT(AH456,8)="COMPLETE",1,0)</f>
        <v>0</v>
      </c>
      <c r="AK456" s="61" t="n">
        <f aca="false">IF(AND(AI456=1,AJ456=0,AsOfUTC&gt;Q456),1,0)</f>
        <v>0</v>
      </c>
      <c r="AL456" s="61" t="n">
        <f aca="false">IF(AND(AI456=1,OR(TRIM(U456)="Fail",AND(TRIM(AB456)&lt;&gt;"",TRIM(AB456)&lt;&gt;"Closed"),AND(ISNUMBER(AF456),AF456&lt;&gt;0,TRIM(U456)&lt;&gt;"Pass after CA"))),1,0)</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row>
    <row r="457" customFormat="false" ht="39.75" hidden="false" customHeight="true" outlineLevel="0" collapsed="false">
      <c r="A457" s="57" t="s">
        <v>1069</v>
      </c>
      <c r="B457" s="57" t="s">
        <v>268</v>
      </c>
      <c r="C457" s="57" t="str">
        <f aca="false">Flights!$F$18</f>
        <v>MH0004</v>
      </c>
      <c r="D457" s="58" t="n">
        <f aca="false">Flights!$D$18</f>
        <v>46310</v>
      </c>
      <c r="E457" s="57" t="str">
        <f aca="false">Flights!$G$18&amp;"-"&amp;Flights!$H$18</f>
        <v>KUL-LHR</v>
      </c>
      <c r="F457" s="57" t="str">
        <f aca="false">Flights!$K$18</f>
        <v>EY</v>
      </c>
      <c r="G457" s="57" t="s">
        <v>76</v>
      </c>
      <c r="H457" s="57" t="s">
        <v>343</v>
      </c>
      <c r="I457" s="57" t="s">
        <v>350</v>
      </c>
      <c r="J457" s="57" t="s">
        <v>351</v>
      </c>
      <c r="K457" s="67" t="s">
        <v>352</v>
      </c>
      <c r="L457" s="67" t="s">
        <v>347</v>
      </c>
      <c r="M457" s="67"/>
      <c r="N457" s="67" t="s">
        <v>348</v>
      </c>
      <c r="O457" s="67"/>
      <c r="P457" s="57" t="s">
        <v>179</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59" t="n">
        <f aca="false">Q457-T7EarlyD*24/24</f>
        <v>46289.0763888889</v>
      </c>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IF(N457="N/A – rule","N/A – RULE",IF(TRIM(U457)="N/A",IF(AT457=0,"INVALID – N/A not permitted for this mandatory check",IF(AND(TRIM(AC457)&lt;&gt;"",TRIM(AE457)&lt;&gt;"",TRIM(T457)&lt;&gt;"",TRIM(AE457)&lt;&gt;TRIM(T457)),"N/A – JUSTIFIED","INVALID – N/A needs justification, PIC and a different verifier")),IF(OR(TRIM(U457)="Pass",TRIM(U457)="Pass after CA"),IF(NOT(ISNUMBER(AD457)),"INVALID – completion time missing",IF(TRIM(T457)="","INVALID – PIC missing",IF(TRIM(V457)="","INVALID – result / assessment missing",IF(TRIM(Z457)="","INVALID – evidence missing",IF(TRIM(AE457)="","INVALID – verifier missing",IF(TRIM(AE457)=TRIM(T457),"INVALID – verifier must be someone other than the PIC",IF(AND(AQ457=1,TRIM(W457)=""),"INVALID – batch ID missing",IF(AND(AR457=1,OR(NOT(ISNUMBER(X457)),NOT(ISNUMBER(Y457)))),"INVALID – expected/actual qty missing",IF(IF(AND(TRIM(U457)="Pass",ISNUMBER(AF457)),IF(AF457&lt;&gt;0,"INVALID – qty variance: use Fail or Pass after CA",""),"")&amp;IF(AND(TRIM(U457)="Pass",TRIM(AB457)&lt;&gt;"",TRIM(AB457)&lt;&gt;"Closed"),"INVALID – corrective action not closed: use Fail, then Pass after CA","")&amp;IF(AND(TRIM(AA457)&lt;&gt;"",TRIM(AB457)=""),"INVALID – CA status missing for the recorded corrective action","")&amp;IF(AND(TRIM(U457)="Pass after CA",OR(TRIM(AA457)="",TRIM(AB457)&lt;&gt;"Closed")),"INVALID – corrective action not recorded/closed","")&lt;&gt;"",IF(AND(TRIM(U457)="Pass",ISNUMBER(AF457)),IF(AF457&lt;&gt;0,"INVALID – qty variance: use Fail or Pass after CA",""),"")&amp;IF(AND(TRIM(U457)="Pass",TRIM(AB457)&lt;&gt;"",TRIM(AB457)&lt;&gt;"Closed"),"INVALID – corrective action not closed: use Fail, then Pass after CA","")&amp;IF(AND(TRIM(AA457)&lt;&gt;"",TRIM(AB457)=""),"INVALID – CA status missing for the recorded corrective action","")&amp;IF(AND(TRIM(U457)="Pass after CA",OR(TRIM(AA457)="",TRIM(AB457)&lt;&gt;"Closed")),"INVALID – corrective action not recorded/closed",""),IF(AND(AS457=1,Documents!$J$18&lt;&gt;"ON FILE"),"INVALID – GLD not on file (Documents sheet)",IF(AND(AS457=2,Documents!$O$18&lt;&gt;"ON FILE"),"INVALID – menu checklist not on file (Documents sheet)",IF(AND(AS457=3,NOT(ISNUMBER(Flights!$AX$18))),"INVALID – enter carrying flight KUL departure (Flights AX)",IF(AND(AS457=3,OR(Flights!$AX$18&gt;=Flights!$AA$18,Flights!$AX$18&lt;Flights!$AA$18-3)),"INVALID – Flights AX must be before this leg's STD (within 3 days)",IF(AG457&gt;AsOfUTC,"INVALID – completion time is in the future",IF(AND(ISNUMBER(S457),AG457&lt;S457),IF(H457="Physical uplift","INVALID – before uplift window (cannot confirm loading)","INVALID – before valid window"),IF(AG457&gt;Flights!$AA$18,"INVALID – completed after departure (cannot establish readiness)",IF(AND(H457="Physical uplift",AG457&gt;Q457),"INVALID – recorded after the loading flight departed",IF(AG457&gt;Q457,"COMPLETE – LATE","COMPLETE")))))))))))))))))),IF(TRIM(U457)="Fail","FAIL – DISCREPANCY",IF(AND(TRIM(U457)&lt;&gt;"",TRIM(U457)&lt;&gt;"Not started",TRIM(U457)&lt;&gt;"In progress"),"INVALID – unrecognised status (use the list)",IF(AsOfUTC&gt;Q457,"OVERDUE",IF(N457="Clarification required","OPEN – CLARIFICATION","OPEN")))))))</f>
        <v>OPEN</v>
      </c>
      <c r="AI457" s="61" t="n">
        <f aca="false">IF(OR(AH457="N/A – RULE",AH457="N/A – JUSTIFIED"),0,1)</f>
        <v>1</v>
      </c>
      <c r="AJ457" s="61" t="n">
        <f aca="false">IF(LEFT(AH457,8)="COMPLETE",1,0)</f>
        <v>0</v>
      </c>
      <c r="AK457" s="61" t="n">
        <f aca="false">IF(AND(AI457=1,AJ457=0,AsOfUTC&gt;Q457),1,0)</f>
        <v>0</v>
      </c>
      <c r="AL457" s="61" t="n">
        <f aca="false">IF(AND(AI457=1,OR(TRIM(U457)="Fail",AND(TRIM(AB457)&lt;&gt;"",TRIM(AB457)&lt;&gt;"Closed"),AND(ISNUMBER(AF457),AF457&lt;&gt;0,TRIM(U457)&lt;&gt;"Pass after CA"))),1,0)</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8" t="b">
        <f aca="false">TRUE()</f>
        <v>1</v>
      </c>
    </row>
    <row r="458" customFormat="false" ht="41.25" hidden="false" customHeight="true" outlineLevel="0" collapsed="false">
      <c r="A458" s="57" t="s">
        <v>1070</v>
      </c>
      <c r="B458" s="57" t="s">
        <v>268</v>
      </c>
      <c r="C458" s="57" t="str">
        <f aca="false">Flights!$F$18</f>
        <v>MH0004</v>
      </c>
      <c r="D458" s="58" t="n">
        <f aca="false">Flights!$D$18</f>
        <v>46310</v>
      </c>
      <c r="E458" s="57" t="str">
        <f aca="false">Flights!$G$18&amp;"-"&amp;Flights!$H$18</f>
        <v>KUL-LHR</v>
      </c>
      <c r="F458" s="57" t="str">
        <f aca="false">Flights!$K$18</f>
        <v>EY</v>
      </c>
      <c r="G458" s="57" t="s">
        <v>76</v>
      </c>
      <c r="H458" s="57" t="s">
        <v>343</v>
      </c>
      <c r="I458" s="57" t="s">
        <v>354</v>
      </c>
      <c r="J458" s="57" t="s">
        <v>355</v>
      </c>
      <c r="K458" s="67" t="s">
        <v>356</v>
      </c>
      <c r="L458" s="67" t="s">
        <v>347</v>
      </c>
      <c r="M458" s="67"/>
      <c r="N458" s="67" t="str">
        <f aca="false">IF(TRIM(Flights!$L$18)="A339","Required","N/A – rule")</f>
        <v>N/A – rule</v>
      </c>
      <c r="O458" s="67" t="s">
        <v>357</v>
      </c>
      <c r="P458" s="57" t="s">
        <v>179</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59" t="n">
        <f aca="false">Q458-T7EarlyD*24/24</f>
        <v>46289.0763888889</v>
      </c>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IF(N458="N/A – rule","N/A – RULE",IF(TRIM(U458)="N/A",IF(AT458=0,"INVALID – N/A not permitted for this mandatory check",IF(AND(TRIM(AC458)&lt;&gt;"",TRIM(AE458)&lt;&gt;"",TRIM(T458)&lt;&gt;"",TRIM(AE458)&lt;&gt;TRIM(T458)),"N/A – JUSTIFIED","INVALID – N/A needs justification, PIC and a different verifier")),IF(OR(TRIM(U458)="Pass",TRIM(U458)="Pass after CA"),IF(NOT(ISNUMBER(AD458)),"INVALID – completion time missing",IF(TRIM(T458)="","INVALID – PIC missing",IF(TRIM(V458)="","INVALID – result / assessment missing",IF(TRIM(Z458)="","INVALID – evidence missing",IF(TRIM(AE458)="","INVALID – verifier missing",IF(TRIM(AE458)=TRIM(T458),"INVALID – verifier must be someone other than the PIC",IF(AND(AQ458=1,TRIM(W458)=""),"INVALID – batch ID missing",IF(AND(AR458=1,OR(NOT(ISNUMBER(X458)),NOT(ISNUMBER(Y458)))),"INVALID – expected/actual qty missing",IF(IF(AND(TRIM(U458)="Pass",ISNUMBER(AF458)),IF(AF458&lt;&gt;0,"INVALID – qty variance: use Fail or Pass after CA",""),"")&amp;IF(AND(TRIM(U458)="Pass",TRIM(AB458)&lt;&gt;"",TRIM(AB458)&lt;&gt;"Closed"),"INVALID – corrective action not closed: use Fail, then Pass after CA","")&amp;IF(AND(TRIM(AA458)&lt;&gt;"",TRIM(AB458)=""),"INVALID – CA status missing for the recorded corrective action","")&amp;IF(AND(TRIM(U458)="Pass after CA",OR(TRIM(AA458)="",TRIM(AB458)&lt;&gt;"Closed")),"INVALID – corrective action not recorded/closed","")&lt;&gt;"",IF(AND(TRIM(U458)="Pass",ISNUMBER(AF458)),IF(AF458&lt;&gt;0,"INVALID – qty variance: use Fail or Pass after CA",""),"")&amp;IF(AND(TRIM(U458)="Pass",TRIM(AB458)&lt;&gt;"",TRIM(AB458)&lt;&gt;"Closed"),"INVALID – corrective action not closed: use Fail, then Pass after CA","")&amp;IF(AND(TRIM(AA458)&lt;&gt;"",TRIM(AB458)=""),"INVALID – CA status missing for the recorded corrective action","")&amp;IF(AND(TRIM(U458)="Pass after CA",OR(TRIM(AA458)="",TRIM(AB458)&lt;&gt;"Closed")),"INVALID – corrective action not recorded/closed",""),IF(AND(AS458=1,Documents!$J$18&lt;&gt;"ON FILE"),"INVALID – GLD not on file (Documents sheet)",IF(AND(AS458=2,Documents!$O$18&lt;&gt;"ON FILE"),"INVALID – menu checklist not on file (Documents sheet)",IF(AND(AS458=3,NOT(ISNUMBER(Flights!$AX$18))),"INVALID – enter carrying flight KUL departure (Flights AX)",IF(AND(AS458=3,OR(Flights!$AX$18&gt;=Flights!$AA$18,Flights!$AX$18&lt;Flights!$AA$18-3)),"INVALID – Flights AX must be before this leg's STD (within 3 days)",IF(AG458&gt;AsOfUTC,"INVALID – completion time is in the future",IF(AND(ISNUMBER(S458),AG458&lt;S458),IF(H458="Physical uplift","INVALID – before uplift window (cannot confirm loading)","INVALID – before valid window"),IF(AG458&gt;Flights!$AA$18,"INVALID – completed after departure (cannot establish readiness)",IF(AND(H458="Physical uplift",AG458&gt;Q458),"INVALID – recorded after the loading flight departed",IF(AG458&gt;Q458,"COMPLETE – LATE","COMPLETE")))))))))))))))))),IF(TRIM(U458)="Fail","FAIL – DISCREPANCY",IF(AND(TRIM(U458)&lt;&gt;"",TRIM(U458)&lt;&gt;"Not started",TRIM(U458)&lt;&gt;"In progress"),"INVALID – unrecognised status (use the list)",IF(AsOfUTC&gt;Q458,"OVERDUE",IF(N458="Clarification required","OPEN – CLARIFICATION","OPEN")))))))</f>
        <v>N/A – RULE</v>
      </c>
      <c r="AI458" s="61" t="n">
        <f aca="false">IF(OR(AH458="N/A – RULE",AH458="N/A – JUSTIFIED"),0,1)</f>
        <v>0</v>
      </c>
      <c r="AJ458" s="61" t="n">
        <f aca="false">IF(LEFT(AH458,8)="COMPLETE",1,0)</f>
        <v>0</v>
      </c>
      <c r="AK458" s="61" t="n">
        <f aca="false">IF(AND(AI458=1,AJ458=0,AsOfUTC&gt;Q458),1,0)</f>
        <v>0</v>
      </c>
      <c r="AL458" s="61" t="n">
        <f aca="false">IF(AND(AI458=1,OR(TRIM(U458)="Fail",AND(TRIM(AB458)&lt;&gt;"",TRIM(AB458)&lt;&gt;"Closed"),AND(ISNUMBER(AF458),AF458&lt;&gt;0,TRIM(U458)&lt;&gt;"Pass after CA"))),1,0)</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row>
    <row r="459" customFormat="false" ht="39.75" hidden="false" customHeight="true" outlineLevel="0" collapsed="false">
      <c r="A459" s="57" t="s">
        <v>1071</v>
      </c>
      <c r="B459" s="57" t="s">
        <v>268</v>
      </c>
      <c r="C459" s="57" t="str">
        <f aca="false">Flights!$F$18</f>
        <v>MH0004</v>
      </c>
      <c r="D459" s="58" t="n">
        <f aca="false">Flights!$D$18</f>
        <v>46310</v>
      </c>
      <c r="E459" s="57" t="str">
        <f aca="false">Flights!$G$18&amp;"-"&amp;Flights!$H$18</f>
        <v>KUL-LHR</v>
      </c>
      <c r="F459" s="57" t="str">
        <f aca="false">Flights!$K$18</f>
        <v>EY</v>
      </c>
      <c r="G459" s="57" t="s">
        <v>76</v>
      </c>
      <c r="H459" s="57" t="s">
        <v>343</v>
      </c>
      <c r="I459" s="57" t="s">
        <v>359</v>
      </c>
      <c r="J459" s="57" t="s">
        <v>360</v>
      </c>
      <c r="K459" s="67" t="s">
        <v>361</v>
      </c>
      <c r="L459" s="67" t="s">
        <v>347</v>
      </c>
      <c r="M459" s="67"/>
      <c r="N459" s="67" t="s">
        <v>348</v>
      </c>
      <c r="O459" s="67"/>
      <c r="P459" s="57" t="s">
        <v>179</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59" t="n">
        <f aca="false">Q459-T7EarlyD*24/24</f>
        <v>46289.0763888889</v>
      </c>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IF(N459="N/A – rule","N/A – RULE",IF(TRIM(U459)="N/A",IF(AT459=0,"INVALID – N/A not permitted for this mandatory check",IF(AND(TRIM(AC459)&lt;&gt;"",TRIM(AE459)&lt;&gt;"",TRIM(T459)&lt;&gt;"",TRIM(AE459)&lt;&gt;TRIM(T459)),"N/A – JUSTIFIED","INVALID – N/A needs justification, PIC and a different verifier")),IF(OR(TRIM(U459)="Pass",TRIM(U459)="Pass after CA"),IF(NOT(ISNUMBER(AD459)),"INVALID – completion time missing",IF(TRIM(T459)="","INVALID – PIC missing",IF(TRIM(V459)="","INVALID – result / assessment missing",IF(TRIM(Z459)="","INVALID – evidence missing",IF(TRIM(AE459)="","INVALID – verifier missing",IF(TRIM(AE459)=TRIM(T459),"INVALID – verifier must be someone other than the PIC",IF(AND(AQ459=1,TRIM(W459)=""),"INVALID – batch ID missing",IF(AND(AR459=1,OR(NOT(ISNUMBER(X459)),NOT(ISNUMBER(Y459)))),"INVALID – expected/actual qty missing",IF(IF(AND(TRIM(U459)="Pass",ISNUMBER(AF459)),IF(AF459&lt;&gt;0,"INVALID – qty variance: use Fail or Pass after CA",""),"")&amp;IF(AND(TRIM(U459)="Pass",TRIM(AB459)&lt;&gt;"",TRIM(AB459)&lt;&gt;"Closed"),"INVALID – corrective action not closed: use Fail, then Pass after CA","")&amp;IF(AND(TRIM(AA459)&lt;&gt;"",TRIM(AB459)=""),"INVALID – CA status missing for the recorded corrective action","")&amp;IF(AND(TRIM(U459)="Pass after CA",OR(TRIM(AA459)="",TRIM(AB459)&lt;&gt;"Closed")),"INVALID – corrective action not recorded/closed","")&lt;&gt;"",IF(AND(TRIM(U459)="Pass",ISNUMBER(AF459)),IF(AF459&lt;&gt;0,"INVALID – qty variance: use Fail or Pass after CA",""),"")&amp;IF(AND(TRIM(U459)="Pass",TRIM(AB459)&lt;&gt;"",TRIM(AB459)&lt;&gt;"Closed"),"INVALID – corrective action not closed: use Fail, then Pass after CA","")&amp;IF(AND(TRIM(AA459)&lt;&gt;"",TRIM(AB459)=""),"INVALID – CA status missing for the recorded corrective action","")&amp;IF(AND(TRIM(U459)="Pass after CA",OR(TRIM(AA459)="",TRIM(AB459)&lt;&gt;"Closed")),"INVALID – corrective action not recorded/closed",""),IF(AND(AS459=1,Documents!$J$18&lt;&gt;"ON FILE"),"INVALID – GLD not on file (Documents sheet)",IF(AND(AS459=2,Documents!$O$18&lt;&gt;"ON FILE"),"INVALID – menu checklist not on file (Documents sheet)",IF(AND(AS459=3,NOT(ISNUMBER(Flights!$AX$18))),"INVALID – enter carrying flight KUL departure (Flights AX)",IF(AND(AS459=3,OR(Flights!$AX$18&gt;=Flights!$AA$18,Flights!$AX$18&lt;Flights!$AA$18-3)),"INVALID – Flights AX must be before this leg's STD (within 3 days)",IF(AG459&gt;AsOfUTC,"INVALID – completion time is in the future",IF(AND(ISNUMBER(S459),AG459&lt;S459),IF(H459="Physical uplift","INVALID – before uplift window (cannot confirm loading)","INVALID – before valid window"),IF(AG459&gt;Flights!$AA$18,"INVALID – completed after departure (cannot establish readiness)",IF(AND(H459="Physical uplift",AG459&gt;Q459),"INVALID – recorded after the loading flight departed",IF(AG459&gt;Q459,"COMPLETE – LATE","COMPLETE")))))))))))))))))),IF(TRIM(U459)="Fail","FAIL – DISCREPANCY",IF(AND(TRIM(U459)&lt;&gt;"",TRIM(U459)&lt;&gt;"Not started",TRIM(U459)&lt;&gt;"In progress"),"INVALID – unrecognised status (use the list)",IF(AsOfUTC&gt;Q459,"OVERDUE",IF(N459="Clarification required","OPEN – CLARIFICATION","OPEN")))))))</f>
        <v>OPEN</v>
      </c>
      <c r="AI459" s="61" t="n">
        <f aca="false">IF(OR(AH459="N/A – RULE",AH459="N/A – JUSTIFIED"),0,1)</f>
        <v>1</v>
      </c>
      <c r="AJ459" s="61" t="n">
        <f aca="false">IF(LEFT(AH459,8)="COMPLETE",1,0)</f>
        <v>0</v>
      </c>
      <c r="AK459" s="61" t="n">
        <f aca="false">IF(AND(AI459=1,AJ459=0,AsOfUTC&gt;Q459),1,0)</f>
        <v>0</v>
      </c>
      <c r="AL459" s="61" t="n">
        <f aca="false">IF(AND(AI459=1,OR(TRIM(U459)="Fail",AND(TRIM(AB459)&lt;&gt;"",TRIM(AB459)&lt;&gt;"Closed"),AND(ISNUMBER(AF459),AF459&lt;&gt;0,TRIM(U459)&lt;&gt;"Pass after CA"))),1,0)</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row>
    <row r="460" customFormat="false" ht="39.75" hidden="false" customHeight="true" outlineLevel="0" collapsed="false">
      <c r="A460" s="57" t="s">
        <v>1072</v>
      </c>
      <c r="B460" s="57" t="s">
        <v>268</v>
      </c>
      <c r="C460" s="57" t="str">
        <f aca="false">Flights!$F$18</f>
        <v>MH0004</v>
      </c>
      <c r="D460" s="58" t="n">
        <f aca="false">Flights!$D$18</f>
        <v>46310</v>
      </c>
      <c r="E460" s="57" t="str">
        <f aca="false">Flights!$G$18&amp;"-"&amp;Flights!$H$18</f>
        <v>KUL-LHR</v>
      </c>
      <c r="F460" s="57" t="str">
        <f aca="false">Flights!$K$18</f>
        <v>EY</v>
      </c>
      <c r="G460" s="57" t="s">
        <v>76</v>
      </c>
      <c r="H460" s="57" t="s">
        <v>343</v>
      </c>
      <c r="I460" s="57" t="s">
        <v>363</v>
      </c>
      <c r="J460" s="57" t="s">
        <v>364</v>
      </c>
      <c r="K460" s="67" t="s">
        <v>365</v>
      </c>
      <c r="L460" s="67" t="s">
        <v>347</v>
      </c>
      <c r="M460" s="67"/>
      <c r="N460" s="67" t="s">
        <v>348</v>
      </c>
      <c r="O460" s="67"/>
      <c r="P460" s="57" t="s">
        <v>179</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59" t="n">
        <f aca="false">Q460-T7EarlyD*24/24</f>
        <v>46289.0763888889</v>
      </c>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IF(N460="N/A – rule","N/A – RULE",IF(TRIM(U460)="N/A",IF(AT460=0,"INVALID – N/A not permitted for this mandatory check",IF(AND(TRIM(AC460)&lt;&gt;"",TRIM(AE460)&lt;&gt;"",TRIM(T460)&lt;&gt;"",TRIM(AE460)&lt;&gt;TRIM(T460)),"N/A – JUSTIFIED","INVALID – N/A needs justification, PIC and a different verifier")),IF(OR(TRIM(U460)="Pass",TRIM(U460)="Pass after CA"),IF(NOT(ISNUMBER(AD460)),"INVALID – completion time missing",IF(TRIM(T460)="","INVALID – PIC missing",IF(TRIM(V460)="","INVALID – result / assessment missing",IF(TRIM(Z460)="","INVALID – evidence missing",IF(TRIM(AE460)="","INVALID – verifier missing",IF(TRIM(AE460)=TRIM(T460),"INVALID – verifier must be someone other than the PIC",IF(AND(AQ460=1,TRIM(W460)=""),"INVALID – batch ID missing",IF(AND(AR460=1,OR(NOT(ISNUMBER(X460)),NOT(ISNUMBER(Y460)))),"INVALID – expected/actual qty missing",IF(IF(AND(TRIM(U460)="Pass",ISNUMBER(AF460)),IF(AF460&lt;&gt;0,"INVALID – qty variance: use Fail or Pass after CA",""),"")&amp;IF(AND(TRIM(U460)="Pass",TRIM(AB460)&lt;&gt;"",TRIM(AB460)&lt;&gt;"Closed"),"INVALID – corrective action not closed: use Fail, then Pass after CA","")&amp;IF(AND(TRIM(AA460)&lt;&gt;"",TRIM(AB460)=""),"INVALID – CA status missing for the recorded corrective action","")&amp;IF(AND(TRIM(U460)="Pass after CA",OR(TRIM(AA460)="",TRIM(AB460)&lt;&gt;"Closed")),"INVALID – corrective action not recorded/closed","")&lt;&gt;"",IF(AND(TRIM(U460)="Pass",ISNUMBER(AF460)),IF(AF460&lt;&gt;0,"INVALID – qty variance: use Fail or Pass after CA",""),"")&amp;IF(AND(TRIM(U460)="Pass",TRIM(AB460)&lt;&gt;"",TRIM(AB460)&lt;&gt;"Closed"),"INVALID – corrective action not closed: use Fail, then Pass after CA","")&amp;IF(AND(TRIM(AA460)&lt;&gt;"",TRIM(AB460)=""),"INVALID – CA status missing for the recorded corrective action","")&amp;IF(AND(TRIM(U460)="Pass after CA",OR(TRIM(AA460)="",TRIM(AB460)&lt;&gt;"Closed")),"INVALID – corrective action not recorded/closed",""),IF(AND(AS460=1,Documents!$J$18&lt;&gt;"ON FILE"),"INVALID – GLD not on file (Documents sheet)",IF(AND(AS460=2,Documents!$O$18&lt;&gt;"ON FILE"),"INVALID – menu checklist not on file (Documents sheet)",IF(AND(AS460=3,NOT(ISNUMBER(Flights!$AX$18))),"INVALID – enter carrying flight KUL departure (Flights AX)",IF(AND(AS460=3,OR(Flights!$AX$18&gt;=Flights!$AA$18,Flights!$AX$18&lt;Flights!$AA$18-3)),"INVALID – Flights AX must be before this leg's STD (within 3 days)",IF(AG460&gt;AsOfUTC,"INVALID – completion time is in the future",IF(AND(ISNUMBER(S460),AG460&lt;S460),IF(H460="Physical uplift","INVALID – before uplift window (cannot confirm loading)","INVALID – before valid window"),IF(AG460&gt;Flights!$AA$18,"INVALID – completed after departure (cannot establish readiness)",IF(AND(H460="Physical uplift",AG460&gt;Q460),"INVALID – recorded after the loading flight departed",IF(AG460&gt;Q460,"COMPLETE – LATE","COMPLETE")))))))))))))))))),IF(TRIM(U460)="Fail","FAIL – DISCREPANCY",IF(AND(TRIM(U460)&lt;&gt;"",TRIM(U460)&lt;&gt;"Not started",TRIM(U460)&lt;&gt;"In progress"),"INVALID – unrecognised status (use the list)",IF(AsOfUTC&gt;Q460,"OVERDUE",IF(N460="Clarification required","OPEN – CLARIFICATION","OPEN")))))))</f>
        <v>OPEN</v>
      </c>
      <c r="AI460" s="61" t="n">
        <f aca="false">IF(OR(AH460="N/A – RULE",AH460="N/A – JUSTIFIED"),0,1)</f>
        <v>1</v>
      </c>
      <c r="AJ460" s="61" t="n">
        <f aca="false">IF(LEFT(AH460,8)="COMPLETE",1,0)</f>
        <v>0</v>
      </c>
      <c r="AK460" s="61" t="n">
        <f aca="false">IF(AND(AI460=1,AJ460=0,AsOfUTC&gt;Q460),1,0)</f>
        <v>0</v>
      </c>
      <c r="AL460" s="61" t="n">
        <f aca="false">IF(AND(AI460=1,OR(TRIM(U460)="Fail",AND(TRIM(AB460)&lt;&gt;"",TRIM(AB460)&lt;&gt;"Closed"),AND(ISNUMBER(AF460),AF460&lt;&gt;0,TRIM(U460)&lt;&gt;"Pass after CA"))),1,0)</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row>
    <row r="461" customFormat="false" ht="39.75" hidden="false" customHeight="true" outlineLevel="0" collapsed="false">
      <c r="A461" s="57" t="s">
        <v>1073</v>
      </c>
      <c r="B461" s="57" t="s">
        <v>268</v>
      </c>
      <c r="C461" s="57" t="str">
        <f aca="false">Flights!$F$18</f>
        <v>MH0004</v>
      </c>
      <c r="D461" s="58" t="n">
        <f aca="false">Flights!$D$18</f>
        <v>46310</v>
      </c>
      <c r="E461" s="57" t="str">
        <f aca="false">Flights!$G$18&amp;"-"&amp;Flights!$H$18</f>
        <v>KUL-LHR</v>
      </c>
      <c r="F461" s="57" t="str">
        <f aca="false">Flights!$K$18</f>
        <v>EY</v>
      </c>
      <c r="G461" s="57" t="s">
        <v>76</v>
      </c>
      <c r="H461" s="57" t="s">
        <v>343</v>
      </c>
      <c r="I461" s="57" t="s">
        <v>363</v>
      </c>
      <c r="J461" s="57" t="s">
        <v>367</v>
      </c>
      <c r="K461" s="67" t="s">
        <v>368</v>
      </c>
      <c r="L461" s="67" t="s">
        <v>347</v>
      </c>
      <c r="M461" s="67"/>
      <c r="N461" s="67" t="s">
        <v>348</v>
      </c>
      <c r="O461" s="67"/>
      <c r="P461" s="57" t="s">
        <v>179</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59" t="n">
        <f aca="false">Q461-T7EarlyD*24/24</f>
        <v>46289.0763888889</v>
      </c>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IF(N461="N/A – rule","N/A – RULE",IF(TRIM(U461)="N/A",IF(AT461=0,"INVALID – N/A not permitted for this mandatory check",IF(AND(TRIM(AC461)&lt;&gt;"",TRIM(AE461)&lt;&gt;"",TRIM(T461)&lt;&gt;"",TRIM(AE461)&lt;&gt;TRIM(T461)),"N/A – JUSTIFIED","INVALID – N/A needs justification, PIC and a different verifier")),IF(OR(TRIM(U461)="Pass",TRIM(U461)="Pass after CA"),IF(NOT(ISNUMBER(AD461)),"INVALID – completion time missing",IF(TRIM(T461)="","INVALID – PIC missing",IF(TRIM(V461)="","INVALID – result / assessment missing",IF(TRIM(Z461)="","INVALID – evidence missing",IF(TRIM(AE461)="","INVALID – verifier missing",IF(TRIM(AE461)=TRIM(T461),"INVALID – verifier must be someone other than the PIC",IF(AND(AQ461=1,TRIM(W461)=""),"INVALID – batch ID missing",IF(AND(AR461=1,OR(NOT(ISNUMBER(X461)),NOT(ISNUMBER(Y461)))),"INVALID – expected/actual qty missing",IF(IF(AND(TRIM(U461)="Pass",ISNUMBER(AF461)),IF(AF461&lt;&gt;0,"INVALID – qty variance: use Fail or Pass after CA",""),"")&amp;IF(AND(TRIM(U461)="Pass",TRIM(AB461)&lt;&gt;"",TRIM(AB461)&lt;&gt;"Closed"),"INVALID – corrective action not closed: use Fail, then Pass after CA","")&amp;IF(AND(TRIM(AA461)&lt;&gt;"",TRIM(AB461)=""),"INVALID – CA status missing for the recorded corrective action","")&amp;IF(AND(TRIM(U461)="Pass after CA",OR(TRIM(AA461)="",TRIM(AB461)&lt;&gt;"Closed")),"INVALID – corrective action not recorded/closed","")&lt;&gt;"",IF(AND(TRIM(U461)="Pass",ISNUMBER(AF461)),IF(AF461&lt;&gt;0,"INVALID – qty variance: use Fail or Pass after CA",""),"")&amp;IF(AND(TRIM(U461)="Pass",TRIM(AB461)&lt;&gt;"",TRIM(AB461)&lt;&gt;"Closed"),"INVALID – corrective action not closed: use Fail, then Pass after CA","")&amp;IF(AND(TRIM(AA461)&lt;&gt;"",TRIM(AB461)=""),"INVALID – CA status missing for the recorded corrective action","")&amp;IF(AND(TRIM(U461)="Pass after CA",OR(TRIM(AA461)="",TRIM(AB461)&lt;&gt;"Closed")),"INVALID – corrective action not recorded/closed",""),IF(AND(AS461=1,Documents!$J$18&lt;&gt;"ON FILE"),"INVALID – GLD not on file (Documents sheet)",IF(AND(AS461=2,Documents!$O$18&lt;&gt;"ON FILE"),"INVALID – menu checklist not on file (Documents sheet)",IF(AND(AS461=3,NOT(ISNUMBER(Flights!$AX$18))),"INVALID – enter carrying flight KUL departure (Flights AX)",IF(AND(AS461=3,OR(Flights!$AX$18&gt;=Flights!$AA$18,Flights!$AX$18&lt;Flights!$AA$18-3)),"INVALID – Flights AX must be before this leg's STD (within 3 days)",IF(AG461&gt;AsOfUTC,"INVALID – completion time is in the future",IF(AND(ISNUMBER(S461),AG461&lt;S461),IF(H461="Physical uplift","INVALID – before uplift window (cannot confirm loading)","INVALID – before valid window"),IF(AG461&gt;Flights!$AA$18,"INVALID – completed after departure (cannot establish readiness)",IF(AND(H461="Physical uplift",AG461&gt;Q461),"INVALID – recorded after the loading flight departed",IF(AG461&gt;Q461,"COMPLETE – LATE","COMPLETE")))))))))))))))))),IF(TRIM(U461)="Fail","FAIL – DISCREPANCY",IF(AND(TRIM(U461)&lt;&gt;"",TRIM(U461)&lt;&gt;"Not started",TRIM(U461)&lt;&gt;"In progress"),"INVALID – unrecognised status (use the list)",IF(AsOfUTC&gt;Q461,"OVERDUE",IF(N461="Clarification required","OPEN – CLARIFICATION","OPEN")))))))</f>
        <v>OPEN</v>
      </c>
      <c r="AI461" s="61" t="n">
        <f aca="false">IF(OR(AH461="N/A – RULE",AH461="N/A – JUSTIFIED"),0,1)</f>
        <v>1</v>
      </c>
      <c r="AJ461" s="61" t="n">
        <f aca="false">IF(LEFT(AH461,8)="COMPLETE",1,0)</f>
        <v>0</v>
      </c>
      <c r="AK461" s="61" t="n">
        <f aca="false">IF(AND(AI461=1,AJ461=0,AsOfUTC&gt;Q461),1,0)</f>
        <v>0</v>
      </c>
      <c r="AL461" s="61" t="n">
        <f aca="false">IF(AND(AI461=1,OR(TRIM(U461)="Fail",AND(TRIM(AB461)&lt;&gt;"",TRIM(AB461)&lt;&gt;"Closed"),AND(ISNUMBER(AF461),AF461&lt;&gt;0,TRIM(U461)&lt;&gt;"Pass after CA"))),1,0)</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row>
    <row r="462" customFormat="false" ht="39.75" hidden="false" customHeight="true" outlineLevel="0" collapsed="false">
      <c r="A462" s="57" t="s">
        <v>1074</v>
      </c>
      <c r="B462" s="57" t="s">
        <v>268</v>
      </c>
      <c r="C462" s="57" t="str">
        <f aca="false">Flights!$F$18</f>
        <v>MH0004</v>
      </c>
      <c r="D462" s="58" t="n">
        <f aca="false">Flights!$D$18</f>
        <v>46310</v>
      </c>
      <c r="E462" s="57" t="str">
        <f aca="false">Flights!$G$18&amp;"-"&amp;Flights!$H$18</f>
        <v>KUL-LHR</v>
      </c>
      <c r="F462" s="57" t="str">
        <f aca="false">Flights!$K$18</f>
        <v>EY</v>
      </c>
      <c r="G462" s="57" t="s">
        <v>76</v>
      </c>
      <c r="H462" s="57" t="s">
        <v>343</v>
      </c>
      <c r="I462" s="57" t="s">
        <v>370</v>
      </c>
      <c r="J462" s="57" t="s">
        <v>371</v>
      </c>
      <c r="K462" s="67" t="s">
        <v>372</v>
      </c>
      <c r="L462" s="67" t="s">
        <v>347</v>
      </c>
      <c r="M462" s="67"/>
      <c r="N462" s="67" t="s">
        <v>348</v>
      </c>
      <c r="O462" s="67"/>
      <c r="P462" s="57" t="s">
        <v>179</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59" t="n">
        <f aca="false">Q462-T7EarlyD*24/24</f>
        <v>46289.0763888889</v>
      </c>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IF(N462="N/A – rule","N/A – RULE",IF(TRIM(U462)="N/A",IF(AT462=0,"INVALID – N/A not permitted for this mandatory check",IF(AND(TRIM(AC462)&lt;&gt;"",TRIM(AE462)&lt;&gt;"",TRIM(T462)&lt;&gt;"",TRIM(AE462)&lt;&gt;TRIM(T462)),"N/A – JUSTIFIED","INVALID – N/A needs justification, PIC and a different verifier")),IF(OR(TRIM(U462)="Pass",TRIM(U462)="Pass after CA"),IF(NOT(ISNUMBER(AD462)),"INVALID – completion time missing",IF(TRIM(T462)="","INVALID – PIC missing",IF(TRIM(V462)="","INVALID – result / assessment missing",IF(TRIM(Z462)="","INVALID – evidence missing",IF(TRIM(AE462)="","INVALID – verifier missing",IF(TRIM(AE462)=TRIM(T462),"INVALID – verifier must be someone other than the PIC",IF(AND(AQ462=1,TRIM(W462)=""),"INVALID – batch ID missing",IF(AND(AR462=1,OR(NOT(ISNUMBER(X462)),NOT(ISNUMBER(Y462)))),"INVALID – expected/actual qty missing",IF(IF(AND(TRIM(U462)="Pass",ISNUMBER(AF462)),IF(AF462&lt;&gt;0,"INVALID – qty variance: use Fail or Pass after CA",""),"")&amp;IF(AND(TRIM(U462)="Pass",TRIM(AB462)&lt;&gt;"",TRIM(AB462)&lt;&gt;"Closed"),"INVALID – corrective action not closed: use Fail, then Pass after CA","")&amp;IF(AND(TRIM(AA462)&lt;&gt;"",TRIM(AB462)=""),"INVALID – CA status missing for the recorded corrective action","")&amp;IF(AND(TRIM(U462)="Pass after CA",OR(TRIM(AA462)="",TRIM(AB462)&lt;&gt;"Closed")),"INVALID – corrective action not recorded/closed","")&lt;&gt;"",IF(AND(TRIM(U462)="Pass",ISNUMBER(AF462)),IF(AF462&lt;&gt;0,"INVALID – qty variance: use Fail or Pass after CA",""),"")&amp;IF(AND(TRIM(U462)="Pass",TRIM(AB462)&lt;&gt;"",TRIM(AB462)&lt;&gt;"Closed"),"INVALID – corrective action not closed: use Fail, then Pass after CA","")&amp;IF(AND(TRIM(AA462)&lt;&gt;"",TRIM(AB462)=""),"INVALID – CA status missing for the recorded corrective action","")&amp;IF(AND(TRIM(U462)="Pass after CA",OR(TRIM(AA462)="",TRIM(AB462)&lt;&gt;"Closed")),"INVALID – corrective action not recorded/closed",""),IF(AND(AS462=1,Documents!$J$18&lt;&gt;"ON FILE"),"INVALID – GLD not on file (Documents sheet)",IF(AND(AS462=2,Documents!$O$18&lt;&gt;"ON FILE"),"INVALID – menu checklist not on file (Documents sheet)",IF(AND(AS462=3,NOT(ISNUMBER(Flights!$AX$18))),"INVALID – enter carrying flight KUL departure (Flights AX)",IF(AND(AS462=3,OR(Flights!$AX$18&gt;=Flights!$AA$18,Flights!$AX$18&lt;Flights!$AA$18-3)),"INVALID – Flights AX must be before this leg's STD (within 3 days)",IF(AG462&gt;AsOfUTC,"INVALID – completion time is in the future",IF(AND(ISNUMBER(S462),AG462&lt;S462),IF(H462="Physical uplift","INVALID – before uplift window (cannot confirm loading)","INVALID – before valid window"),IF(AG462&gt;Flights!$AA$18,"INVALID – completed after departure (cannot establish readiness)",IF(AND(H462="Physical uplift",AG462&gt;Q462),"INVALID – recorded after the loading flight departed",IF(AG462&gt;Q462,"COMPLETE – LATE","COMPLETE")))))))))))))))))),IF(TRIM(U462)="Fail","FAIL – DISCREPANCY",IF(AND(TRIM(U462)&lt;&gt;"",TRIM(U462)&lt;&gt;"Not started",TRIM(U462)&lt;&gt;"In progress"),"INVALID – unrecognised status (use the list)",IF(AsOfUTC&gt;Q462,"OVERDUE",IF(N462="Clarification required","OPEN – CLARIFICATION","OPEN")))))))</f>
        <v>OPEN</v>
      </c>
      <c r="AI462" s="61" t="n">
        <f aca="false">IF(OR(AH462="N/A – RULE",AH462="N/A – JUSTIFIED"),0,1)</f>
        <v>1</v>
      </c>
      <c r="AJ462" s="61" t="n">
        <f aca="false">IF(LEFT(AH462,8)="COMPLETE",1,0)</f>
        <v>0</v>
      </c>
      <c r="AK462" s="61" t="n">
        <f aca="false">IF(AND(AI462=1,AJ462=0,AsOfUTC&gt;Q462),1,0)</f>
        <v>0</v>
      </c>
      <c r="AL462" s="61" t="n">
        <f aca="false">IF(AND(AI462=1,OR(TRIM(U462)="Fail",AND(TRIM(AB462)&lt;&gt;"",TRIM(AB462)&lt;&gt;"Closed"),AND(ISNUMBER(AF462),AF462&lt;&gt;0,TRIM(U462)&lt;&gt;"Pass after CA"))),1,0)</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row>
    <row r="463" customFormat="false" ht="39.75" hidden="false" customHeight="true" outlineLevel="0" collapsed="false">
      <c r="A463" s="57" t="s">
        <v>1075</v>
      </c>
      <c r="B463" s="57" t="s">
        <v>268</v>
      </c>
      <c r="C463" s="57" t="str">
        <f aca="false">Flights!$F$18</f>
        <v>MH0004</v>
      </c>
      <c r="D463" s="58" t="n">
        <f aca="false">Flights!$D$18</f>
        <v>46310</v>
      </c>
      <c r="E463" s="57" t="str">
        <f aca="false">Flights!$G$18&amp;"-"&amp;Flights!$H$18</f>
        <v>KUL-LHR</v>
      </c>
      <c r="F463" s="57" t="str">
        <f aca="false">Flights!$K$18</f>
        <v>EY</v>
      </c>
      <c r="G463" s="57" t="s">
        <v>76</v>
      </c>
      <c r="H463" s="57" t="s">
        <v>343</v>
      </c>
      <c r="I463" s="57" t="s">
        <v>370</v>
      </c>
      <c r="J463" s="57" t="s">
        <v>374</v>
      </c>
      <c r="K463" s="67" t="s">
        <v>372</v>
      </c>
      <c r="L463" s="67" t="s">
        <v>347</v>
      </c>
      <c r="M463" s="67"/>
      <c r="N463" s="67" t="s">
        <v>348</v>
      </c>
      <c r="O463" s="67"/>
      <c r="P463" s="57" t="s">
        <v>179</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59" t="n">
        <f aca="false">Q463-T7EarlyD*24/24</f>
        <v>46289.0763888889</v>
      </c>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IF(N463="N/A – rule","N/A – RULE",IF(TRIM(U463)="N/A",IF(AT463=0,"INVALID – N/A not permitted for this mandatory check",IF(AND(TRIM(AC463)&lt;&gt;"",TRIM(AE463)&lt;&gt;"",TRIM(T463)&lt;&gt;"",TRIM(AE463)&lt;&gt;TRIM(T463)),"N/A – JUSTIFIED","INVALID – N/A needs justification, PIC and a different verifier")),IF(OR(TRIM(U463)="Pass",TRIM(U463)="Pass after CA"),IF(NOT(ISNUMBER(AD463)),"INVALID – completion time missing",IF(TRIM(T463)="","INVALID – PIC missing",IF(TRIM(V463)="","INVALID – result / assessment missing",IF(TRIM(Z463)="","INVALID – evidence missing",IF(TRIM(AE463)="","INVALID – verifier missing",IF(TRIM(AE463)=TRIM(T463),"INVALID – verifier must be someone other than the PIC",IF(AND(AQ463=1,TRIM(W463)=""),"INVALID – batch ID missing",IF(AND(AR463=1,OR(NOT(ISNUMBER(X463)),NOT(ISNUMBER(Y463)))),"INVALID – expected/actual qty missing",IF(IF(AND(TRIM(U463)="Pass",ISNUMBER(AF463)),IF(AF463&lt;&gt;0,"INVALID – qty variance: use Fail or Pass after CA",""),"")&amp;IF(AND(TRIM(U463)="Pass",TRIM(AB463)&lt;&gt;"",TRIM(AB463)&lt;&gt;"Closed"),"INVALID – corrective action not closed: use Fail, then Pass after CA","")&amp;IF(AND(TRIM(AA463)&lt;&gt;"",TRIM(AB463)=""),"INVALID – CA status missing for the recorded corrective action","")&amp;IF(AND(TRIM(U463)="Pass after CA",OR(TRIM(AA463)="",TRIM(AB463)&lt;&gt;"Closed")),"INVALID – corrective action not recorded/closed","")&lt;&gt;"",IF(AND(TRIM(U463)="Pass",ISNUMBER(AF463)),IF(AF463&lt;&gt;0,"INVALID – qty variance: use Fail or Pass after CA",""),"")&amp;IF(AND(TRIM(U463)="Pass",TRIM(AB463)&lt;&gt;"",TRIM(AB463)&lt;&gt;"Closed"),"INVALID – corrective action not closed: use Fail, then Pass after CA","")&amp;IF(AND(TRIM(AA463)&lt;&gt;"",TRIM(AB463)=""),"INVALID – CA status missing for the recorded corrective action","")&amp;IF(AND(TRIM(U463)="Pass after CA",OR(TRIM(AA463)="",TRIM(AB463)&lt;&gt;"Closed")),"INVALID – corrective action not recorded/closed",""),IF(AND(AS463=1,Documents!$J$18&lt;&gt;"ON FILE"),"INVALID – GLD not on file (Documents sheet)",IF(AND(AS463=2,Documents!$O$18&lt;&gt;"ON FILE"),"INVALID – menu checklist not on file (Documents sheet)",IF(AND(AS463=3,NOT(ISNUMBER(Flights!$AX$18))),"INVALID – enter carrying flight KUL departure (Flights AX)",IF(AND(AS463=3,OR(Flights!$AX$18&gt;=Flights!$AA$18,Flights!$AX$18&lt;Flights!$AA$18-3)),"INVALID – Flights AX must be before this leg's STD (within 3 days)",IF(AG463&gt;AsOfUTC,"INVALID – completion time is in the future",IF(AND(ISNUMBER(S463),AG463&lt;S463),IF(H463="Physical uplift","INVALID – before uplift window (cannot confirm loading)","INVALID – before valid window"),IF(AG463&gt;Flights!$AA$18,"INVALID – completed after departure (cannot establish readiness)",IF(AND(H463="Physical uplift",AG463&gt;Q463),"INVALID – recorded after the loading flight departed",IF(AG463&gt;Q463,"COMPLETE – LATE","COMPLETE")))))))))))))))))),IF(TRIM(U463)="Fail","FAIL – DISCREPANCY",IF(AND(TRIM(U463)&lt;&gt;"",TRIM(U463)&lt;&gt;"Not started",TRIM(U463)&lt;&gt;"In progress"),"INVALID – unrecognised status (use the list)",IF(AsOfUTC&gt;Q463,"OVERDUE",IF(N463="Clarification required","OPEN – CLARIFICATION","OPEN")))))))</f>
        <v>OPEN</v>
      </c>
      <c r="AI463" s="61" t="n">
        <f aca="false">IF(OR(AH463="N/A – RULE",AH463="N/A – JUSTIFIED"),0,1)</f>
        <v>1</v>
      </c>
      <c r="AJ463" s="61" t="n">
        <f aca="false">IF(LEFT(AH463,8)="COMPLETE",1,0)</f>
        <v>0</v>
      </c>
      <c r="AK463" s="61" t="n">
        <f aca="false">IF(AND(AI463=1,AJ463=0,AsOfUTC&gt;Q463),1,0)</f>
        <v>0</v>
      </c>
      <c r="AL463" s="61" t="n">
        <f aca="false">IF(AND(AI463=1,OR(TRIM(U463)="Fail",AND(TRIM(AB463)&lt;&gt;"",TRIM(AB463)&lt;&gt;"Closed"),AND(ISNUMBER(AF463),AF463&lt;&gt;0,TRIM(U463)&lt;&gt;"Pass after CA"))),1,0)</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row>
    <row r="464" customFormat="false" ht="39.75" hidden="false" customHeight="true" outlineLevel="0" collapsed="false">
      <c r="A464" s="57" t="s">
        <v>1076</v>
      </c>
      <c r="B464" s="57" t="s">
        <v>268</v>
      </c>
      <c r="C464" s="57" t="str">
        <f aca="false">Flights!$F$18</f>
        <v>MH0004</v>
      </c>
      <c r="D464" s="58" t="n">
        <f aca="false">Flights!$D$18</f>
        <v>46310</v>
      </c>
      <c r="E464" s="57" t="str">
        <f aca="false">Flights!$G$18&amp;"-"&amp;Flights!$H$18</f>
        <v>KUL-LHR</v>
      </c>
      <c r="F464" s="57" t="str">
        <f aca="false">Flights!$K$18</f>
        <v>EY</v>
      </c>
      <c r="G464" s="57" t="s">
        <v>76</v>
      </c>
      <c r="H464" s="57" t="s">
        <v>343</v>
      </c>
      <c r="I464" s="57" t="s">
        <v>376</v>
      </c>
      <c r="J464" s="57" t="s">
        <v>377</v>
      </c>
      <c r="K464" s="67" t="s">
        <v>681</v>
      </c>
      <c r="L464" s="67" t="s">
        <v>379</v>
      </c>
      <c r="M464" s="67"/>
      <c r="N464" s="67" t="s">
        <v>348</v>
      </c>
      <c r="O464" s="67"/>
      <c r="P464" s="57" t="s">
        <v>179</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59" t="n">
        <f aca="false">Q464-T7EarlyD*24/24</f>
        <v>46289.0763888889</v>
      </c>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IF(N464="N/A – rule","N/A – RULE",IF(TRIM(U464)="N/A",IF(AT464=0,"INVALID – N/A not permitted for this mandatory check",IF(AND(TRIM(AC464)&lt;&gt;"",TRIM(AE464)&lt;&gt;"",TRIM(T464)&lt;&gt;"",TRIM(AE464)&lt;&gt;TRIM(T464)),"N/A – JUSTIFIED","INVALID – N/A needs justification, PIC and a different verifier")),IF(OR(TRIM(U464)="Pass",TRIM(U464)="Pass after CA"),IF(NOT(ISNUMBER(AD464)),"INVALID – completion time missing",IF(TRIM(T464)="","INVALID – PIC missing",IF(TRIM(V464)="","INVALID – result / assessment missing",IF(TRIM(Z464)="","INVALID – evidence missing",IF(TRIM(AE464)="","INVALID – verifier missing",IF(TRIM(AE464)=TRIM(T464),"INVALID – verifier must be someone other than the PIC",IF(AND(AQ464=1,TRIM(W464)=""),"INVALID – batch ID missing",IF(AND(AR464=1,OR(NOT(ISNUMBER(X464)),NOT(ISNUMBER(Y464)))),"INVALID – expected/actual qty missing",IF(IF(AND(TRIM(U464)="Pass",ISNUMBER(AF464)),IF(AF464&lt;&gt;0,"INVALID – qty variance: use Fail or Pass after CA",""),"")&amp;IF(AND(TRIM(U464)="Pass",TRIM(AB464)&lt;&gt;"",TRIM(AB464)&lt;&gt;"Closed"),"INVALID – corrective action not closed: use Fail, then Pass after CA","")&amp;IF(AND(TRIM(AA464)&lt;&gt;"",TRIM(AB464)=""),"INVALID – CA status missing for the recorded corrective action","")&amp;IF(AND(TRIM(U464)="Pass after CA",OR(TRIM(AA464)="",TRIM(AB464)&lt;&gt;"Closed")),"INVALID – corrective action not recorded/closed","")&lt;&gt;"",IF(AND(TRIM(U464)="Pass",ISNUMBER(AF464)),IF(AF464&lt;&gt;0,"INVALID – qty variance: use Fail or Pass after CA",""),"")&amp;IF(AND(TRIM(U464)="Pass",TRIM(AB464)&lt;&gt;"",TRIM(AB464)&lt;&gt;"Closed"),"INVALID – corrective action not closed: use Fail, then Pass after CA","")&amp;IF(AND(TRIM(AA464)&lt;&gt;"",TRIM(AB464)=""),"INVALID – CA status missing for the recorded corrective action","")&amp;IF(AND(TRIM(U464)="Pass after CA",OR(TRIM(AA464)="",TRIM(AB464)&lt;&gt;"Closed")),"INVALID – corrective action not recorded/closed",""),IF(AND(AS464=1,Documents!$J$18&lt;&gt;"ON FILE"),"INVALID – GLD not on file (Documents sheet)",IF(AND(AS464=2,Documents!$O$18&lt;&gt;"ON FILE"),"INVALID – menu checklist not on file (Documents sheet)",IF(AND(AS464=3,NOT(ISNUMBER(Flights!$AX$18))),"INVALID – enter carrying flight KUL departure (Flights AX)",IF(AND(AS464=3,OR(Flights!$AX$18&gt;=Flights!$AA$18,Flights!$AX$18&lt;Flights!$AA$18-3)),"INVALID – Flights AX must be before this leg's STD (within 3 days)",IF(AG464&gt;AsOfUTC,"INVALID – completion time is in the future",IF(AND(ISNUMBER(S464),AG464&lt;S464),IF(H464="Physical uplift","INVALID – before uplift window (cannot confirm loading)","INVALID – before valid window"),IF(AG464&gt;Flights!$AA$18,"INVALID – completed after departure (cannot establish readiness)",IF(AND(H464="Physical uplift",AG464&gt;Q464),"INVALID – recorded after the loading flight departed",IF(AG464&gt;Q464,"COMPLETE – LATE","COMPLETE")))))))))))))))))),IF(TRIM(U464)="Fail","FAIL – DISCREPANCY",IF(AND(TRIM(U464)&lt;&gt;"",TRIM(U464)&lt;&gt;"Not started",TRIM(U464)&lt;&gt;"In progress"),"INVALID – unrecognised status (use the list)",IF(AsOfUTC&gt;Q464,"OVERDUE",IF(N464="Clarification required","OPEN – CLARIFICATION","OPEN")))))))</f>
        <v>OPEN</v>
      </c>
      <c r="AI464" s="61" t="n">
        <f aca="false">IF(OR(AH464="N/A – RULE",AH464="N/A – JUSTIFIED"),0,1)</f>
        <v>1</v>
      </c>
      <c r="AJ464" s="61" t="n">
        <f aca="false">IF(LEFT(AH464,8)="COMPLETE",1,0)</f>
        <v>0</v>
      </c>
      <c r="AK464" s="61" t="n">
        <f aca="false">IF(AND(AI464=1,AJ464=0,AsOfUTC&gt;Q464),1,0)</f>
        <v>0</v>
      </c>
      <c r="AL464" s="61" t="n">
        <f aca="false">IF(AND(AI464=1,OR(TRIM(U464)="Fail",AND(TRIM(AB464)&lt;&gt;"",TRIM(AB464)&lt;&gt;"Closed"),AND(ISNUMBER(AF464),AF464&lt;&gt;0,TRIM(U464)&lt;&gt;"Pass after CA"))),1,0)</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row>
    <row r="465" customFormat="false" ht="39.75" hidden="false" customHeight="true" outlineLevel="0" collapsed="false">
      <c r="A465" s="57" t="s">
        <v>1077</v>
      </c>
      <c r="B465" s="57" t="s">
        <v>268</v>
      </c>
      <c r="C465" s="57" t="str">
        <f aca="false">Flights!$F$18</f>
        <v>MH0004</v>
      </c>
      <c r="D465" s="58" t="n">
        <f aca="false">Flights!$D$18</f>
        <v>46310</v>
      </c>
      <c r="E465" s="57" t="str">
        <f aca="false">Flights!$G$18&amp;"-"&amp;Flights!$H$18</f>
        <v>KUL-LHR</v>
      </c>
      <c r="F465" s="57" t="str">
        <f aca="false">Flights!$K$18</f>
        <v>EY</v>
      </c>
      <c r="G465" s="57" t="s">
        <v>78</v>
      </c>
      <c r="H465" s="57" t="s">
        <v>343</v>
      </c>
      <c r="I465" s="57" t="s">
        <v>344</v>
      </c>
      <c r="J465" s="57" t="s">
        <v>381</v>
      </c>
      <c r="K465" s="67" t="s">
        <v>382</v>
      </c>
      <c r="L465" s="67" t="s">
        <v>383</v>
      </c>
      <c r="M465" s="67"/>
      <c r="N465" s="67" t="s">
        <v>348</v>
      </c>
      <c r="O465" s="67"/>
      <c r="P465" s="57" t="s">
        <v>179</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59" t="n">
        <f aca="false">Q465-T24EarlyH/24</f>
        <v>46308.0763888889</v>
      </c>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IF(N465="N/A – rule","N/A – RULE",IF(TRIM(U465)="N/A",IF(AT465=0,"INVALID – N/A not permitted for this mandatory check",IF(AND(TRIM(AC465)&lt;&gt;"",TRIM(AE465)&lt;&gt;"",TRIM(T465)&lt;&gt;"",TRIM(AE465)&lt;&gt;TRIM(T465)),"N/A – JUSTIFIED","INVALID – N/A needs justification, PIC and a different verifier")),IF(OR(TRIM(U465)="Pass",TRIM(U465)="Pass after CA"),IF(NOT(ISNUMBER(AD465)),"INVALID – completion time missing",IF(TRIM(T465)="","INVALID – PIC missing",IF(TRIM(V465)="","INVALID – result / assessment missing",IF(TRIM(Z465)="","INVALID – evidence missing",IF(TRIM(AE465)="","INVALID – verifier missing",IF(TRIM(AE465)=TRIM(T465),"INVALID – verifier must be someone other than the PIC",IF(AND(AQ465=1,TRIM(W465)=""),"INVALID – batch ID missing",IF(AND(AR465=1,OR(NOT(ISNUMBER(X465)),NOT(ISNUMBER(Y465)))),"INVALID – expected/actual qty missing",IF(IF(AND(TRIM(U465)="Pass",ISNUMBER(AF465)),IF(AF465&lt;&gt;0,"INVALID – qty variance: use Fail or Pass after CA",""),"")&amp;IF(AND(TRIM(U465)="Pass",TRIM(AB465)&lt;&gt;"",TRIM(AB465)&lt;&gt;"Closed"),"INVALID – corrective action not closed: use Fail, then Pass after CA","")&amp;IF(AND(TRIM(AA465)&lt;&gt;"",TRIM(AB465)=""),"INVALID – CA status missing for the recorded corrective action","")&amp;IF(AND(TRIM(U465)="Pass after CA",OR(TRIM(AA465)="",TRIM(AB465)&lt;&gt;"Closed")),"INVALID – corrective action not recorded/closed","")&lt;&gt;"",IF(AND(TRIM(U465)="Pass",ISNUMBER(AF465)),IF(AF465&lt;&gt;0,"INVALID – qty variance: use Fail or Pass after CA",""),"")&amp;IF(AND(TRIM(U465)="Pass",TRIM(AB465)&lt;&gt;"",TRIM(AB465)&lt;&gt;"Closed"),"INVALID – corrective action not closed: use Fail, then Pass after CA","")&amp;IF(AND(TRIM(AA465)&lt;&gt;"",TRIM(AB465)=""),"INVALID – CA status missing for the recorded corrective action","")&amp;IF(AND(TRIM(U465)="Pass after CA",OR(TRIM(AA465)="",TRIM(AB465)&lt;&gt;"Closed")),"INVALID – corrective action not recorded/closed",""),IF(AND(AS465=1,Documents!$J$18&lt;&gt;"ON FILE"),"INVALID – GLD not on file (Documents sheet)",IF(AND(AS465=2,Documents!$O$18&lt;&gt;"ON FILE"),"INVALID – menu checklist not on file (Documents sheet)",IF(AND(AS465=3,NOT(ISNUMBER(Flights!$AX$18))),"INVALID – enter carrying flight KUL departure (Flights AX)",IF(AND(AS465=3,OR(Flights!$AX$18&gt;=Flights!$AA$18,Flights!$AX$18&lt;Flights!$AA$18-3)),"INVALID – Flights AX must be before this leg's STD (within 3 days)",IF(AG465&gt;AsOfUTC,"INVALID – completion time is in the future",IF(AND(ISNUMBER(S465),AG465&lt;S465),IF(H465="Physical uplift","INVALID – before uplift window (cannot confirm loading)","INVALID – before valid window"),IF(AG465&gt;Flights!$AA$18,"INVALID – completed after departure (cannot establish readiness)",IF(AND(H465="Physical uplift",AG465&gt;Q465),"INVALID – recorded after the loading flight departed",IF(AG465&gt;Q465,"COMPLETE – LATE","COMPLETE")))))))))))))))))),IF(TRIM(U465)="Fail","FAIL – DISCREPANCY",IF(AND(TRIM(U465)&lt;&gt;"",TRIM(U465)&lt;&gt;"Not started",TRIM(U465)&lt;&gt;"In progress"),"INVALID – unrecognised status (use the list)",IF(AsOfUTC&gt;Q465,"OVERDUE",IF(N465="Clarification required","OPEN – CLARIFICATION","OPEN")))))))</f>
        <v>OPEN</v>
      </c>
      <c r="AI465" s="61" t="n">
        <f aca="false">IF(OR(AH465="N/A – RULE",AH465="N/A – JUSTIFIED"),0,1)</f>
        <v>1</v>
      </c>
      <c r="AJ465" s="61" t="n">
        <f aca="false">IF(LEFT(AH465,8)="COMPLETE",1,0)</f>
        <v>0</v>
      </c>
      <c r="AK465" s="61" t="n">
        <f aca="false">IF(AND(AI465=1,AJ465=0,AsOfUTC&gt;Q465),1,0)</f>
        <v>0</v>
      </c>
      <c r="AL465" s="61" t="n">
        <f aca="false">IF(AND(AI465=1,OR(TRIM(U465)="Fail",AND(TRIM(AB465)&lt;&gt;"",TRIM(AB465)&lt;&gt;"Closed"),AND(ISNUMBER(AF465),AF465&lt;&gt;0,TRIM(U465)&lt;&gt;"Pass after CA"))),1,0)</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row>
    <row r="466" customFormat="false" ht="39.75" hidden="false" customHeight="true" outlineLevel="0" collapsed="false">
      <c r="A466" s="57" t="s">
        <v>1078</v>
      </c>
      <c r="B466" s="57" t="s">
        <v>268</v>
      </c>
      <c r="C466" s="57" t="str">
        <f aca="false">Flights!$F$18</f>
        <v>MH0004</v>
      </c>
      <c r="D466" s="58" t="n">
        <f aca="false">Flights!$D$18</f>
        <v>46310</v>
      </c>
      <c r="E466" s="57" t="str">
        <f aca="false">Flights!$G$18&amp;"-"&amp;Flights!$H$18</f>
        <v>KUL-LHR</v>
      </c>
      <c r="F466" s="57" t="str">
        <f aca="false">Flights!$K$18</f>
        <v>EY</v>
      </c>
      <c r="G466" s="57" t="s">
        <v>385</v>
      </c>
      <c r="H466" s="57" t="s">
        <v>343</v>
      </c>
      <c r="I466" s="57" t="s">
        <v>344</v>
      </c>
      <c r="J466" s="57" t="s">
        <v>386</v>
      </c>
      <c r="K466" s="67"/>
      <c r="L466" s="67" t="s">
        <v>387</v>
      </c>
      <c r="M466" s="67"/>
      <c r="N466" s="67" t="s">
        <v>348</v>
      </c>
      <c r="O466" s="67" t="s">
        <v>388</v>
      </c>
      <c r="P466" s="57" t="s">
        <v>179</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59" t="n">
        <f aca="false">Q466-T12EarlyH/24</f>
        <v>46309.0763888889</v>
      </c>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IF(N466="N/A – rule","N/A – RULE",IF(TRIM(U466)="N/A",IF(AT466=0,"INVALID – N/A not permitted for this mandatory check",IF(AND(TRIM(AC466)&lt;&gt;"",TRIM(AE466)&lt;&gt;"",TRIM(T466)&lt;&gt;"",TRIM(AE466)&lt;&gt;TRIM(T466)),"N/A – JUSTIFIED","INVALID – N/A needs justification, PIC and a different verifier")),IF(OR(TRIM(U466)="Pass",TRIM(U466)="Pass after CA"),IF(NOT(ISNUMBER(AD466)),"INVALID – completion time missing",IF(TRIM(T466)="","INVALID – PIC missing",IF(TRIM(V466)="","INVALID – result / assessment missing",IF(TRIM(Z466)="","INVALID – evidence missing",IF(TRIM(AE466)="","INVALID – verifier missing",IF(TRIM(AE466)=TRIM(T466),"INVALID – verifier must be someone other than the PIC",IF(AND(AQ466=1,TRIM(W466)=""),"INVALID – batch ID missing",IF(AND(AR466=1,OR(NOT(ISNUMBER(X466)),NOT(ISNUMBER(Y466)))),"INVALID – expected/actual qty missing",IF(IF(AND(TRIM(U466)="Pass",ISNUMBER(AF466)),IF(AF466&lt;&gt;0,"INVALID – qty variance: use Fail or Pass after CA",""),"")&amp;IF(AND(TRIM(U466)="Pass",TRIM(AB466)&lt;&gt;"",TRIM(AB466)&lt;&gt;"Closed"),"INVALID – corrective action not closed: use Fail, then Pass after CA","")&amp;IF(AND(TRIM(AA466)&lt;&gt;"",TRIM(AB466)=""),"INVALID – CA status missing for the recorded corrective action","")&amp;IF(AND(TRIM(U466)="Pass after CA",OR(TRIM(AA466)="",TRIM(AB466)&lt;&gt;"Closed")),"INVALID – corrective action not recorded/closed","")&lt;&gt;"",IF(AND(TRIM(U466)="Pass",ISNUMBER(AF466)),IF(AF466&lt;&gt;0,"INVALID – qty variance: use Fail or Pass after CA",""),"")&amp;IF(AND(TRIM(U466)="Pass",TRIM(AB466)&lt;&gt;"",TRIM(AB466)&lt;&gt;"Closed"),"INVALID – corrective action not closed: use Fail, then Pass after CA","")&amp;IF(AND(TRIM(AA466)&lt;&gt;"",TRIM(AB466)=""),"INVALID – CA status missing for the recorded corrective action","")&amp;IF(AND(TRIM(U466)="Pass after CA",OR(TRIM(AA466)="",TRIM(AB466)&lt;&gt;"Closed")),"INVALID – corrective action not recorded/closed",""),IF(AND(AS466=1,Documents!$J$18&lt;&gt;"ON FILE"),"INVALID – GLD not on file (Documents sheet)",IF(AND(AS466=2,Documents!$O$18&lt;&gt;"ON FILE"),"INVALID – menu checklist not on file (Documents sheet)",IF(AND(AS466=3,NOT(ISNUMBER(Flights!$AX$18))),"INVALID – enter carrying flight KUL departure (Flights AX)",IF(AND(AS466=3,OR(Flights!$AX$18&gt;=Flights!$AA$18,Flights!$AX$18&lt;Flights!$AA$18-3)),"INVALID – Flights AX must be before this leg's STD (within 3 days)",IF(AG466&gt;AsOfUTC,"INVALID – completion time is in the future",IF(AND(ISNUMBER(S466),AG466&lt;S466),IF(H466="Physical uplift","INVALID – before uplift window (cannot confirm loading)","INVALID – before valid window"),IF(AG466&gt;Flights!$AA$18,"INVALID – completed after departure (cannot establish readiness)",IF(AND(H466="Physical uplift",AG466&gt;Q466),"INVALID – recorded after the loading flight departed",IF(AG466&gt;Q466,"COMPLETE – LATE","COMPLETE")))))))))))))))))),IF(TRIM(U466)="Fail","FAIL – DISCREPANCY",IF(AND(TRIM(U466)&lt;&gt;"",TRIM(U466)&lt;&gt;"Not started",TRIM(U466)&lt;&gt;"In progress"),"INVALID – unrecognised status (use the list)",IF(AsOfUTC&gt;Q466,"OVERDUE",IF(N466="Clarification required","OPEN – CLARIFICATION","OPEN")))))))</f>
        <v>OPEN</v>
      </c>
      <c r="AI466" s="61" t="n">
        <f aca="false">IF(OR(AH466="N/A – RULE",AH466="N/A – JUSTIFIED"),0,1)</f>
        <v>1</v>
      </c>
      <c r="AJ466" s="61" t="n">
        <f aca="false">IF(LEFT(AH466,8)="COMPLETE",1,0)</f>
        <v>0</v>
      </c>
      <c r="AK466" s="61" t="n">
        <f aca="false">IF(AND(AI466=1,AJ466=0,AsOfUTC&gt;Q466),1,0)</f>
        <v>0</v>
      </c>
      <c r="AL466" s="61" t="n">
        <f aca="false">IF(AND(AI466=1,OR(TRIM(U466)="Fail",AND(TRIM(AB466)&lt;&gt;"",TRIM(AB466)&lt;&gt;"Closed"),AND(ISNUMBER(AF466),AF466&lt;&gt;0,TRIM(U466)&lt;&gt;"Pass after CA"))),1,0)</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row>
    <row r="467" customFormat="false" ht="39.75" hidden="false" customHeight="true" outlineLevel="0" collapsed="false">
      <c r="A467" s="57" t="s">
        <v>1079</v>
      </c>
      <c r="B467" s="57" t="s">
        <v>268</v>
      </c>
      <c r="C467" s="57" t="str">
        <f aca="false">Flights!$F$18</f>
        <v>MH0004</v>
      </c>
      <c r="D467" s="58" t="n">
        <f aca="false">Flights!$D$18</f>
        <v>46310</v>
      </c>
      <c r="E467" s="57" t="str">
        <f aca="false">Flights!$G$18&amp;"-"&amp;Flights!$H$18</f>
        <v>KUL-LHR</v>
      </c>
      <c r="F467" s="57" t="str">
        <f aca="false">Flights!$K$18</f>
        <v>EY</v>
      </c>
      <c r="G467" s="57" t="s">
        <v>385</v>
      </c>
      <c r="H467" s="57" t="s">
        <v>343</v>
      </c>
      <c r="I467" s="57" t="s">
        <v>344</v>
      </c>
      <c r="J467" s="57" t="s">
        <v>390</v>
      </c>
      <c r="K467" s="67" t="s">
        <v>391</v>
      </c>
      <c r="L467" s="67" t="s">
        <v>387</v>
      </c>
      <c r="M467" s="67"/>
      <c r="N467" s="67" t="s">
        <v>348</v>
      </c>
      <c r="O467" s="67" t="s">
        <v>388</v>
      </c>
      <c r="P467" s="57" t="s">
        <v>179</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59" t="n">
        <f aca="false">Q467-T12EarlyH/24</f>
        <v>46309.0763888889</v>
      </c>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IF(N467="N/A – rule","N/A – RULE",IF(TRIM(U467)="N/A",IF(AT467=0,"INVALID – N/A not permitted for this mandatory check",IF(AND(TRIM(AC467)&lt;&gt;"",TRIM(AE467)&lt;&gt;"",TRIM(T467)&lt;&gt;"",TRIM(AE467)&lt;&gt;TRIM(T467)),"N/A – JUSTIFIED","INVALID – N/A needs justification, PIC and a different verifier")),IF(OR(TRIM(U467)="Pass",TRIM(U467)="Pass after CA"),IF(NOT(ISNUMBER(AD467)),"INVALID – completion time missing",IF(TRIM(T467)="","INVALID – PIC missing",IF(TRIM(V467)="","INVALID – result / assessment missing",IF(TRIM(Z467)="","INVALID – evidence missing",IF(TRIM(AE467)="","INVALID – verifier missing",IF(TRIM(AE467)=TRIM(T467),"INVALID – verifier must be someone other than the PIC",IF(AND(AQ467=1,TRIM(W467)=""),"INVALID – batch ID missing",IF(AND(AR467=1,OR(NOT(ISNUMBER(X467)),NOT(ISNUMBER(Y467)))),"INVALID – expected/actual qty missing",IF(IF(AND(TRIM(U467)="Pass",ISNUMBER(AF467)),IF(AF467&lt;&gt;0,"INVALID – qty variance: use Fail or Pass after CA",""),"")&amp;IF(AND(TRIM(U467)="Pass",TRIM(AB467)&lt;&gt;"",TRIM(AB467)&lt;&gt;"Closed"),"INVALID – corrective action not closed: use Fail, then Pass after CA","")&amp;IF(AND(TRIM(AA467)&lt;&gt;"",TRIM(AB467)=""),"INVALID – CA status missing for the recorded corrective action","")&amp;IF(AND(TRIM(U467)="Pass after CA",OR(TRIM(AA467)="",TRIM(AB467)&lt;&gt;"Closed")),"INVALID – corrective action not recorded/closed","")&lt;&gt;"",IF(AND(TRIM(U467)="Pass",ISNUMBER(AF467)),IF(AF467&lt;&gt;0,"INVALID – qty variance: use Fail or Pass after CA",""),"")&amp;IF(AND(TRIM(U467)="Pass",TRIM(AB467)&lt;&gt;"",TRIM(AB467)&lt;&gt;"Closed"),"INVALID – corrective action not closed: use Fail, then Pass after CA","")&amp;IF(AND(TRIM(AA467)&lt;&gt;"",TRIM(AB467)=""),"INVALID – CA status missing for the recorded corrective action","")&amp;IF(AND(TRIM(U467)="Pass after CA",OR(TRIM(AA467)="",TRIM(AB467)&lt;&gt;"Closed")),"INVALID – corrective action not recorded/closed",""),IF(AND(AS467=1,Documents!$J$18&lt;&gt;"ON FILE"),"INVALID – GLD not on file (Documents sheet)",IF(AND(AS467=2,Documents!$O$18&lt;&gt;"ON FILE"),"INVALID – menu checklist not on file (Documents sheet)",IF(AND(AS467=3,NOT(ISNUMBER(Flights!$AX$18))),"INVALID – enter carrying flight KUL departure (Flights AX)",IF(AND(AS467=3,OR(Flights!$AX$18&gt;=Flights!$AA$18,Flights!$AX$18&lt;Flights!$AA$18-3)),"INVALID – Flights AX must be before this leg's STD (within 3 days)",IF(AG467&gt;AsOfUTC,"INVALID – completion time is in the future",IF(AND(ISNUMBER(S467),AG467&lt;S467),IF(H467="Physical uplift","INVALID – before uplift window (cannot confirm loading)","INVALID – before valid window"),IF(AG467&gt;Flights!$AA$18,"INVALID – completed after departure (cannot establish readiness)",IF(AND(H467="Physical uplift",AG467&gt;Q467),"INVALID – recorded after the loading flight departed",IF(AG467&gt;Q467,"COMPLETE – LATE","COMPLETE")))))))))))))))))),IF(TRIM(U467)="Fail","FAIL – DISCREPANCY",IF(AND(TRIM(U467)&lt;&gt;"",TRIM(U467)&lt;&gt;"Not started",TRIM(U467)&lt;&gt;"In progress"),"INVALID – unrecognised status (use the list)",IF(AsOfUTC&gt;Q467,"OVERDUE",IF(N467="Clarification required","OPEN – CLARIFICATION","OPEN")))))))</f>
        <v>OPEN</v>
      </c>
      <c r="AI467" s="61" t="n">
        <f aca="false">IF(OR(AH467="N/A – RULE",AH467="N/A – JUSTIFIED"),0,1)</f>
        <v>1</v>
      </c>
      <c r="AJ467" s="61" t="n">
        <f aca="false">IF(LEFT(AH467,8)="COMPLETE",1,0)</f>
        <v>0</v>
      </c>
      <c r="AK467" s="61" t="n">
        <f aca="false">IF(AND(AI467=1,AJ467=0,AsOfUTC&gt;Q467),1,0)</f>
        <v>0</v>
      </c>
      <c r="AL467" s="61" t="n">
        <f aca="false">IF(AND(AI467=1,OR(TRIM(U467)="Fail",AND(TRIM(AB467)&lt;&gt;"",TRIM(AB467)&lt;&gt;"Closed"),AND(ISNUMBER(AF467),AF467&lt;&gt;0,TRIM(U467)&lt;&gt;"Pass after CA"))),1,0)</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row>
    <row r="468" customFormat="false" ht="39.75" hidden="false" customHeight="true" outlineLevel="0" collapsed="false">
      <c r="A468" s="57" t="s">
        <v>1080</v>
      </c>
      <c r="B468" s="57" t="s">
        <v>268</v>
      </c>
      <c r="C468" s="57" t="str">
        <f aca="false">Flights!$F$18</f>
        <v>MH0004</v>
      </c>
      <c r="D468" s="58" t="n">
        <f aca="false">Flights!$D$18</f>
        <v>46310</v>
      </c>
      <c r="E468" s="57" t="str">
        <f aca="false">Flights!$G$18&amp;"-"&amp;Flights!$H$18</f>
        <v>KUL-LHR</v>
      </c>
      <c r="F468" s="57" t="str">
        <f aca="false">Flights!$K$18</f>
        <v>EY</v>
      </c>
      <c r="G468" s="57" t="s">
        <v>385</v>
      </c>
      <c r="H468" s="57" t="s">
        <v>343</v>
      </c>
      <c r="I468" s="57" t="s">
        <v>393</v>
      </c>
      <c r="J468" s="57" t="s">
        <v>394</v>
      </c>
      <c r="K468" s="67"/>
      <c r="L468" s="67" t="s">
        <v>387</v>
      </c>
      <c r="M468" s="67"/>
      <c r="N468" s="67" t="s">
        <v>348</v>
      </c>
      <c r="O468" s="67" t="s">
        <v>388</v>
      </c>
      <c r="P468" s="57" t="s">
        <v>179</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59" t="n">
        <f aca="false">Q468-T12EarlyH/24</f>
        <v>46309.0763888889</v>
      </c>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IF(N468="N/A – rule","N/A – RULE",IF(TRIM(U468)="N/A",IF(AT468=0,"INVALID – N/A not permitted for this mandatory check",IF(AND(TRIM(AC468)&lt;&gt;"",TRIM(AE468)&lt;&gt;"",TRIM(T468)&lt;&gt;"",TRIM(AE468)&lt;&gt;TRIM(T468)),"N/A – JUSTIFIED","INVALID – N/A needs justification, PIC and a different verifier")),IF(OR(TRIM(U468)="Pass",TRIM(U468)="Pass after CA"),IF(NOT(ISNUMBER(AD468)),"INVALID – completion time missing",IF(TRIM(T468)="","INVALID – PIC missing",IF(TRIM(V468)="","INVALID – result / assessment missing",IF(TRIM(Z468)="","INVALID – evidence missing",IF(TRIM(AE468)="","INVALID – verifier missing",IF(TRIM(AE468)=TRIM(T468),"INVALID – verifier must be someone other than the PIC",IF(AND(AQ468=1,TRIM(W468)=""),"INVALID – batch ID missing",IF(AND(AR468=1,OR(NOT(ISNUMBER(X468)),NOT(ISNUMBER(Y468)))),"INVALID – expected/actual qty missing",IF(IF(AND(TRIM(U468)="Pass",ISNUMBER(AF468)),IF(AF468&lt;&gt;0,"INVALID – qty variance: use Fail or Pass after CA",""),"")&amp;IF(AND(TRIM(U468)="Pass",TRIM(AB468)&lt;&gt;"",TRIM(AB468)&lt;&gt;"Closed"),"INVALID – corrective action not closed: use Fail, then Pass after CA","")&amp;IF(AND(TRIM(AA468)&lt;&gt;"",TRIM(AB468)=""),"INVALID – CA status missing for the recorded corrective action","")&amp;IF(AND(TRIM(U468)="Pass after CA",OR(TRIM(AA468)="",TRIM(AB468)&lt;&gt;"Closed")),"INVALID – corrective action not recorded/closed","")&lt;&gt;"",IF(AND(TRIM(U468)="Pass",ISNUMBER(AF468)),IF(AF468&lt;&gt;0,"INVALID – qty variance: use Fail or Pass after CA",""),"")&amp;IF(AND(TRIM(U468)="Pass",TRIM(AB468)&lt;&gt;"",TRIM(AB468)&lt;&gt;"Closed"),"INVALID – corrective action not closed: use Fail, then Pass after CA","")&amp;IF(AND(TRIM(AA468)&lt;&gt;"",TRIM(AB468)=""),"INVALID – CA status missing for the recorded corrective action","")&amp;IF(AND(TRIM(U468)="Pass after CA",OR(TRIM(AA468)="",TRIM(AB468)&lt;&gt;"Closed")),"INVALID – corrective action not recorded/closed",""),IF(AND(AS468=1,Documents!$J$18&lt;&gt;"ON FILE"),"INVALID – GLD not on file (Documents sheet)",IF(AND(AS468=2,Documents!$O$18&lt;&gt;"ON FILE"),"INVALID – menu checklist not on file (Documents sheet)",IF(AND(AS468=3,NOT(ISNUMBER(Flights!$AX$18))),"INVALID – enter carrying flight KUL departure (Flights AX)",IF(AND(AS468=3,OR(Flights!$AX$18&gt;=Flights!$AA$18,Flights!$AX$18&lt;Flights!$AA$18-3)),"INVALID – Flights AX must be before this leg's STD (within 3 days)",IF(AG468&gt;AsOfUTC,"INVALID – completion time is in the future",IF(AND(ISNUMBER(S468),AG468&lt;S468),IF(H468="Physical uplift","INVALID – before uplift window (cannot confirm loading)","INVALID – before valid window"),IF(AG468&gt;Flights!$AA$18,"INVALID – completed after departure (cannot establish readiness)",IF(AND(H468="Physical uplift",AG468&gt;Q468),"INVALID – recorded after the loading flight departed",IF(AG468&gt;Q468,"COMPLETE – LATE","COMPLETE")))))))))))))))))),IF(TRIM(U468)="Fail","FAIL – DISCREPANCY",IF(AND(TRIM(U468)&lt;&gt;"",TRIM(U468)&lt;&gt;"Not started",TRIM(U468)&lt;&gt;"In progress"),"INVALID – unrecognised status (use the list)",IF(AsOfUTC&gt;Q468,"OVERDUE",IF(N468="Clarification required","OPEN – CLARIFICATION","OPEN")))))))</f>
        <v>OPEN</v>
      </c>
      <c r="AI468" s="61" t="n">
        <f aca="false">IF(OR(AH468="N/A – RULE",AH468="N/A – JUSTIFIED"),0,1)</f>
        <v>1</v>
      </c>
      <c r="AJ468" s="61" t="n">
        <f aca="false">IF(LEFT(AH468,8)="COMPLETE",1,0)</f>
        <v>0</v>
      </c>
      <c r="AK468" s="61" t="n">
        <f aca="false">IF(AND(AI468=1,AJ468=0,AsOfUTC&gt;Q468),1,0)</f>
        <v>0</v>
      </c>
      <c r="AL468" s="61" t="n">
        <f aca="false">IF(AND(AI468=1,OR(TRIM(U468)="Fail",AND(TRIM(AB468)&lt;&gt;"",TRIM(AB468)&lt;&gt;"Closed"),AND(ISNUMBER(AF468),AF468&lt;&gt;0,TRIM(U468)&lt;&gt;"Pass after CA"))),1,0)</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row>
    <row r="469" customFormat="false" ht="39.75" hidden="false" customHeight="true" outlineLevel="0" collapsed="false">
      <c r="A469" s="57" t="s">
        <v>1081</v>
      </c>
      <c r="B469" s="57" t="s">
        <v>268</v>
      </c>
      <c r="C469" s="57" t="str">
        <f aca="false">Flights!$F$18</f>
        <v>MH0004</v>
      </c>
      <c r="D469" s="58" t="n">
        <f aca="false">Flights!$D$18</f>
        <v>46310</v>
      </c>
      <c r="E469" s="57" t="str">
        <f aca="false">Flights!$G$18&amp;"-"&amp;Flights!$H$18</f>
        <v>KUL-LHR</v>
      </c>
      <c r="F469" s="57" t="str">
        <f aca="false">Flights!$K$18</f>
        <v>EY</v>
      </c>
      <c r="G469" s="57" t="s">
        <v>385</v>
      </c>
      <c r="H469" s="57" t="s">
        <v>343</v>
      </c>
      <c r="I469" s="57" t="s">
        <v>393</v>
      </c>
      <c r="J469" s="57" t="s">
        <v>396</v>
      </c>
      <c r="K469" s="67"/>
      <c r="L469" s="67" t="s">
        <v>387</v>
      </c>
      <c r="M469" s="67"/>
      <c r="N469" s="67" t="s">
        <v>348</v>
      </c>
      <c r="O469" s="67" t="s">
        <v>388</v>
      </c>
      <c r="P469" s="57" t="s">
        <v>179</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59" t="n">
        <f aca="false">Q469-T12EarlyH/24</f>
        <v>46309.0763888889</v>
      </c>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IF(N469="N/A – rule","N/A – RULE",IF(TRIM(U469)="N/A",IF(AT469=0,"INVALID – N/A not permitted for this mandatory check",IF(AND(TRIM(AC469)&lt;&gt;"",TRIM(AE469)&lt;&gt;"",TRIM(T469)&lt;&gt;"",TRIM(AE469)&lt;&gt;TRIM(T469)),"N/A – JUSTIFIED","INVALID – N/A needs justification, PIC and a different verifier")),IF(OR(TRIM(U469)="Pass",TRIM(U469)="Pass after CA"),IF(NOT(ISNUMBER(AD469)),"INVALID – completion time missing",IF(TRIM(T469)="","INVALID – PIC missing",IF(TRIM(V469)="","INVALID – result / assessment missing",IF(TRIM(Z469)="","INVALID – evidence missing",IF(TRIM(AE469)="","INVALID – verifier missing",IF(TRIM(AE469)=TRIM(T469),"INVALID – verifier must be someone other than the PIC",IF(AND(AQ469=1,TRIM(W469)=""),"INVALID – batch ID missing",IF(AND(AR469=1,OR(NOT(ISNUMBER(X469)),NOT(ISNUMBER(Y469)))),"INVALID – expected/actual qty missing",IF(IF(AND(TRIM(U469)="Pass",ISNUMBER(AF469)),IF(AF469&lt;&gt;0,"INVALID – qty variance: use Fail or Pass after CA",""),"")&amp;IF(AND(TRIM(U469)="Pass",TRIM(AB469)&lt;&gt;"",TRIM(AB469)&lt;&gt;"Closed"),"INVALID – corrective action not closed: use Fail, then Pass after CA","")&amp;IF(AND(TRIM(AA469)&lt;&gt;"",TRIM(AB469)=""),"INVALID – CA status missing for the recorded corrective action","")&amp;IF(AND(TRIM(U469)="Pass after CA",OR(TRIM(AA469)="",TRIM(AB469)&lt;&gt;"Closed")),"INVALID – corrective action not recorded/closed","")&lt;&gt;"",IF(AND(TRIM(U469)="Pass",ISNUMBER(AF469)),IF(AF469&lt;&gt;0,"INVALID – qty variance: use Fail or Pass after CA",""),"")&amp;IF(AND(TRIM(U469)="Pass",TRIM(AB469)&lt;&gt;"",TRIM(AB469)&lt;&gt;"Closed"),"INVALID – corrective action not closed: use Fail, then Pass after CA","")&amp;IF(AND(TRIM(AA469)&lt;&gt;"",TRIM(AB469)=""),"INVALID – CA status missing for the recorded corrective action","")&amp;IF(AND(TRIM(U469)="Pass after CA",OR(TRIM(AA469)="",TRIM(AB469)&lt;&gt;"Closed")),"INVALID – corrective action not recorded/closed",""),IF(AND(AS469=1,Documents!$J$18&lt;&gt;"ON FILE"),"INVALID – GLD not on file (Documents sheet)",IF(AND(AS469=2,Documents!$O$18&lt;&gt;"ON FILE"),"INVALID – menu checklist not on file (Documents sheet)",IF(AND(AS469=3,NOT(ISNUMBER(Flights!$AX$18))),"INVALID – enter carrying flight KUL departure (Flights AX)",IF(AND(AS469=3,OR(Flights!$AX$18&gt;=Flights!$AA$18,Flights!$AX$18&lt;Flights!$AA$18-3)),"INVALID – Flights AX must be before this leg's STD (within 3 days)",IF(AG469&gt;AsOfUTC,"INVALID – completion time is in the future",IF(AND(ISNUMBER(S469),AG469&lt;S469),IF(H469="Physical uplift","INVALID – before uplift window (cannot confirm loading)","INVALID – before valid window"),IF(AG469&gt;Flights!$AA$18,"INVALID – completed after departure (cannot establish readiness)",IF(AND(H469="Physical uplift",AG469&gt;Q469),"INVALID – recorded after the loading flight departed",IF(AG469&gt;Q469,"COMPLETE – LATE","COMPLETE")))))))))))))))))),IF(TRIM(U469)="Fail","FAIL – DISCREPANCY",IF(AND(TRIM(U469)&lt;&gt;"",TRIM(U469)&lt;&gt;"Not started",TRIM(U469)&lt;&gt;"In progress"),"INVALID – unrecognised status (use the list)",IF(AsOfUTC&gt;Q469,"OVERDUE",IF(N469="Clarification required","OPEN – CLARIFICATION","OPEN")))))))</f>
        <v>OPEN</v>
      </c>
      <c r="AI469" s="61" t="n">
        <f aca="false">IF(OR(AH469="N/A – RULE",AH469="N/A – JUSTIFIED"),0,1)</f>
        <v>1</v>
      </c>
      <c r="AJ469" s="61" t="n">
        <f aca="false">IF(LEFT(AH469,8)="COMPLETE",1,0)</f>
        <v>0</v>
      </c>
      <c r="AK469" s="61" t="n">
        <f aca="false">IF(AND(AI469=1,AJ469=0,AsOfUTC&gt;Q469),1,0)</f>
        <v>0</v>
      </c>
      <c r="AL469" s="61" t="n">
        <f aca="false">IF(AND(AI469=1,OR(TRIM(U469)="Fail",AND(TRIM(AB469)&lt;&gt;"",TRIM(AB469)&lt;&gt;"Closed"),AND(ISNUMBER(AF469),AF469&lt;&gt;0,TRIM(U469)&lt;&gt;"Pass after CA"))),1,0)</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row>
    <row r="470" customFormat="false" ht="39.75" hidden="false" customHeight="true" outlineLevel="0" collapsed="false">
      <c r="A470" s="57" t="s">
        <v>1082</v>
      </c>
      <c r="B470" s="57" t="s">
        <v>268</v>
      </c>
      <c r="C470" s="57" t="str">
        <f aca="false">Flights!$F$18</f>
        <v>MH0004</v>
      </c>
      <c r="D470" s="58" t="n">
        <f aca="false">Flights!$D$18</f>
        <v>46310</v>
      </c>
      <c r="E470" s="57" t="str">
        <f aca="false">Flights!$G$18&amp;"-"&amp;Flights!$H$18</f>
        <v>KUL-LHR</v>
      </c>
      <c r="F470" s="57" t="str">
        <f aca="false">Flights!$K$18</f>
        <v>EY</v>
      </c>
      <c r="G470" s="57" t="s">
        <v>385</v>
      </c>
      <c r="H470" s="57" t="s">
        <v>343</v>
      </c>
      <c r="I470" s="57" t="s">
        <v>393</v>
      </c>
      <c r="J470" s="57" t="s">
        <v>398</v>
      </c>
      <c r="K470" s="67"/>
      <c r="L470" s="67" t="s">
        <v>387</v>
      </c>
      <c r="M470" s="67"/>
      <c r="N470" s="67" t="s">
        <v>348</v>
      </c>
      <c r="O470" s="67" t="s">
        <v>388</v>
      </c>
      <c r="P470" s="57" t="s">
        <v>179</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59" t="n">
        <f aca="false">Q470-T12EarlyH/24</f>
        <v>46309.0763888889</v>
      </c>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IF(N470="N/A – rule","N/A – RULE",IF(TRIM(U470)="N/A",IF(AT470=0,"INVALID – N/A not permitted for this mandatory check",IF(AND(TRIM(AC470)&lt;&gt;"",TRIM(AE470)&lt;&gt;"",TRIM(T470)&lt;&gt;"",TRIM(AE470)&lt;&gt;TRIM(T470)),"N/A – JUSTIFIED","INVALID – N/A needs justification, PIC and a different verifier")),IF(OR(TRIM(U470)="Pass",TRIM(U470)="Pass after CA"),IF(NOT(ISNUMBER(AD470)),"INVALID – completion time missing",IF(TRIM(T470)="","INVALID – PIC missing",IF(TRIM(V470)="","INVALID – result / assessment missing",IF(TRIM(Z470)="","INVALID – evidence missing",IF(TRIM(AE470)="","INVALID – verifier missing",IF(TRIM(AE470)=TRIM(T470),"INVALID – verifier must be someone other than the PIC",IF(AND(AQ470=1,TRIM(W470)=""),"INVALID – batch ID missing",IF(AND(AR470=1,OR(NOT(ISNUMBER(X470)),NOT(ISNUMBER(Y470)))),"INVALID – expected/actual qty missing",IF(IF(AND(TRIM(U470)="Pass",ISNUMBER(AF470)),IF(AF470&lt;&gt;0,"INVALID – qty variance: use Fail or Pass after CA",""),"")&amp;IF(AND(TRIM(U470)="Pass",TRIM(AB470)&lt;&gt;"",TRIM(AB470)&lt;&gt;"Closed"),"INVALID – corrective action not closed: use Fail, then Pass after CA","")&amp;IF(AND(TRIM(AA470)&lt;&gt;"",TRIM(AB470)=""),"INVALID – CA status missing for the recorded corrective action","")&amp;IF(AND(TRIM(U470)="Pass after CA",OR(TRIM(AA470)="",TRIM(AB470)&lt;&gt;"Closed")),"INVALID – corrective action not recorded/closed","")&lt;&gt;"",IF(AND(TRIM(U470)="Pass",ISNUMBER(AF470)),IF(AF470&lt;&gt;0,"INVALID – qty variance: use Fail or Pass after CA",""),"")&amp;IF(AND(TRIM(U470)="Pass",TRIM(AB470)&lt;&gt;"",TRIM(AB470)&lt;&gt;"Closed"),"INVALID – corrective action not closed: use Fail, then Pass after CA","")&amp;IF(AND(TRIM(AA470)&lt;&gt;"",TRIM(AB470)=""),"INVALID – CA status missing for the recorded corrective action","")&amp;IF(AND(TRIM(U470)="Pass after CA",OR(TRIM(AA470)="",TRIM(AB470)&lt;&gt;"Closed")),"INVALID – corrective action not recorded/closed",""),IF(AND(AS470=1,Documents!$J$18&lt;&gt;"ON FILE"),"INVALID – GLD not on file (Documents sheet)",IF(AND(AS470=2,Documents!$O$18&lt;&gt;"ON FILE"),"INVALID – menu checklist not on file (Documents sheet)",IF(AND(AS470=3,NOT(ISNUMBER(Flights!$AX$18))),"INVALID – enter carrying flight KUL departure (Flights AX)",IF(AND(AS470=3,OR(Flights!$AX$18&gt;=Flights!$AA$18,Flights!$AX$18&lt;Flights!$AA$18-3)),"INVALID – Flights AX must be before this leg's STD (within 3 days)",IF(AG470&gt;AsOfUTC,"INVALID – completion time is in the future",IF(AND(ISNUMBER(S470),AG470&lt;S470),IF(H470="Physical uplift","INVALID – before uplift window (cannot confirm loading)","INVALID – before valid window"),IF(AG470&gt;Flights!$AA$18,"INVALID – completed after departure (cannot establish readiness)",IF(AND(H470="Physical uplift",AG470&gt;Q470),"INVALID – recorded after the loading flight departed",IF(AG470&gt;Q470,"COMPLETE – LATE","COMPLETE")))))))))))))))))),IF(TRIM(U470)="Fail","FAIL – DISCREPANCY",IF(AND(TRIM(U470)&lt;&gt;"",TRIM(U470)&lt;&gt;"Not started",TRIM(U470)&lt;&gt;"In progress"),"INVALID – unrecognised status (use the list)",IF(AsOfUTC&gt;Q470,"OVERDUE",IF(N470="Clarification required","OPEN – CLARIFICATION","OPEN")))))))</f>
        <v>OPEN</v>
      </c>
      <c r="AI470" s="61" t="n">
        <f aca="false">IF(OR(AH470="N/A – RULE",AH470="N/A – JUSTIFIED"),0,1)</f>
        <v>1</v>
      </c>
      <c r="AJ470" s="61" t="n">
        <f aca="false">IF(LEFT(AH470,8)="COMPLETE",1,0)</f>
        <v>0</v>
      </c>
      <c r="AK470" s="61" t="n">
        <f aca="false">IF(AND(AI470=1,AJ470=0,AsOfUTC&gt;Q470),1,0)</f>
        <v>0</v>
      </c>
      <c r="AL470" s="61" t="n">
        <f aca="false">IF(AND(AI470=1,OR(TRIM(U470)="Fail",AND(TRIM(AB470)&lt;&gt;"",TRIM(AB470)&lt;&gt;"Closed"),AND(ISNUMBER(AF470),AF470&lt;&gt;0,TRIM(U470)&lt;&gt;"Pass after CA"))),1,0)</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row>
    <row r="471" customFormat="false" ht="141" hidden="false" customHeight="true" outlineLevel="0" collapsed="false">
      <c r="A471" s="57" t="s">
        <v>1083</v>
      </c>
      <c r="B471" s="57" t="s">
        <v>268</v>
      </c>
      <c r="C471" s="57" t="str">
        <f aca="false">Flights!$F$18</f>
        <v>MH0004</v>
      </c>
      <c r="D471" s="58" t="n">
        <f aca="false">Flights!$D$18</f>
        <v>46310</v>
      </c>
      <c r="E471" s="57" t="str">
        <f aca="false">Flights!$G$18&amp;"-"&amp;Flights!$H$18</f>
        <v>KUL-LHR</v>
      </c>
      <c r="F471" s="57" t="str">
        <f aca="false">Flights!$K$18</f>
        <v>EY</v>
      </c>
      <c r="G471" s="57" t="s">
        <v>385</v>
      </c>
      <c r="H471" s="57" t="s">
        <v>343</v>
      </c>
      <c r="I471" s="57" t="s">
        <v>393</v>
      </c>
      <c r="J471" s="57" t="s">
        <v>400</v>
      </c>
      <c r="K471" s="67" t="s">
        <v>401</v>
      </c>
      <c r="L471" s="67" t="s">
        <v>387</v>
      </c>
      <c r="M471" s="67"/>
      <c r="N471" s="67" t="s">
        <v>348</v>
      </c>
      <c r="O471" s="67" t="s">
        <v>388</v>
      </c>
      <c r="P471" s="57" t="s">
        <v>179</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59" t="n">
        <f aca="false">Q471-T12EarlyH/24</f>
        <v>46309.0763888889</v>
      </c>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IF(N471="N/A – rule","N/A – RULE",IF(TRIM(U471)="N/A",IF(AT471=0,"INVALID – N/A not permitted for this mandatory check",IF(AND(TRIM(AC471)&lt;&gt;"",TRIM(AE471)&lt;&gt;"",TRIM(T471)&lt;&gt;"",TRIM(AE471)&lt;&gt;TRIM(T471)),"N/A – JUSTIFIED","INVALID – N/A needs justification, PIC and a different verifier")),IF(OR(TRIM(U471)="Pass",TRIM(U471)="Pass after CA"),IF(NOT(ISNUMBER(AD471)),"INVALID – completion time missing",IF(TRIM(T471)="","INVALID – PIC missing",IF(TRIM(V471)="","INVALID – result / assessment missing",IF(TRIM(Z471)="","INVALID – evidence missing",IF(TRIM(AE471)="","INVALID – verifier missing",IF(TRIM(AE471)=TRIM(T471),"INVALID – verifier must be someone other than the PIC",IF(AND(AQ471=1,TRIM(W471)=""),"INVALID – batch ID missing",IF(AND(AR471=1,OR(NOT(ISNUMBER(X471)),NOT(ISNUMBER(Y471)))),"INVALID – expected/actual qty missing",IF(IF(AND(TRIM(U471)="Pass",ISNUMBER(AF471)),IF(AF471&lt;&gt;0,"INVALID – qty variance: use Fail or Pass after CA",""),"")&amp;IF(AND(TRIM(U471)="Pass",TRIM(AB471)&lt;&gt;"",TRIM(AB471)&lt;&gt;"Closed"),"INVALID – corrective action not closed: use Fail, then Pass after CA","")&amp;IF(AND(TRIM(AA471)&lt;&gt;"",TRIM(AB471)=""),"INVALID – CA status missing for the recorded corrective action","")&amp;IF(AND(TRIM(U471)="Pass after CA",OR(TRIM(AA471)="",TRIM(AB471)&lt;&gt;"Closed")),"INVALID – corrective action not recorded/closed","")&lt;&gt;"",IF(AND(TRIM(U471)="Pass",ISNUMBER(AF471)),IF(AF471&lt;&gt;0,"INVALID – qty variance: use Fail or Pass after CA",""),"")&amp;IF(AND(TRIM(U471)="Pass",TRIM(AB471)&lt;&gt;"",TRIM(AB471)&lt;&gt;"Closed"),"INVALID – corrective action not closed: use Fail, then Pass after CA","")&amp;IF(AND(TRIM(AA471)&lt;&gt;"",TRIM(AB471)=""),"INVALID – CA status missing for the recorded corrective action","")&amp;IF(AND(TRIM(U471)="Pass after CA",OR(TRIM(AA471)="",TRIM(AB471)&lt;&gt;"Closed")),"INVALID – corrective action not recorded/closed",""),IF(AND(AS471=1,Documents!$J$18&lt;&gt;"ON FILE"),"INVALID – GLD not on file (Documents sheet)",IF(AND(AS471=2,Documents!$O$18&lt;&gt;"ON FILE"),"INVALID – menu checklist not on file (Documents sheet)",IF(AND(AS471=3,NOT(ISNUMBER(Flights!$AX$18))),"INVALID – enter carrying flight KUL departure (Flights AX)",IF(AND(AS471=3,OR(Flights!$AX$18&gt;=Flights!$AA$18,Flights!$AX$18&lt;Flights!$AA$18-3)),"INVALID – Flights AX must be before this leg's STD (within 3 days)",IF(AG471&gt;AsOfUTC,"INVALID – completion time is in the future",IF(AND(ISNUMBER(S471),AG471&lt;S471),IF(H471="Physical uplift","INVALID – before uplift window (cannot confirm loading)","INVALID – before valid window"),IF(AG471&gt;Flights!$AA$18,"INVALID – completed after departure (cannot establish readiness)",IF(AND(H471="Physical uplift",AG471&gt;Q471),"INVALID – recorded after the loading flight departed",IF(AG471&gt;Q471,"COMPLETE – LATE","COMPLETE")))))))))))))))))),IF(TRIM(U471)="Fail","FAIL – DISCREPANCY",IF(AND(TRIM(U471)&lt;&gt;"",TRIM(U471)&lt;&gt;"Not started",TRIM(U471)&lt;&gt;"In progress"),"INVALID – unrecognised status (use the list)",IF(AsOfUTC&gt;Q471,"OVERDUE",IF(N471="Clarification required","OPEN – CLARIFICATION","OPEN")))))))</f>
        <v>OPEN</v>
      </c>
      <c r="AI471" s="61" t="n">
        <f aca="false">IF(OR(AH471="N/A – RULE",AH471="N/A – JUSTIFIED"),0,1)</f>
        <v>1</v>
      </c>
      <c r="AJ471" s="61" t="n">
        <f aca="false">IF(LEFT(AH471,8)="COMPLETE",1,0)</f>
        <v>0</v>
      </c>
      <c r="AK471" s="61" t="n">
        <f aca="false">IF(AND(AI471=1,AJ471=0,AsOfUTC&gt;Q471),1,0)</f>
        <v>0</v>
      </c>
      <c r="AL471" s="61" t="n">
        <f aca="false">IF(AND(AI471=1,OR(TRIM(U471)="Fail",AND(TRIM(AB471)&lt;&gt;"",TRIM(AB471)&lt;&gt;"Closed"),AND(ISNUMBER(AF471),AF471&lt;&gt;0,TRIM(U471)&lt;&gt;"Pass after CA"))),1,0)</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row>
    <row r="472" customFormat="false" ht="39.75" hidden="false" customHeight="true" outlineLevel="0" collapsed="false">
      <c r="A472" s="57" t="s">
        <v>1084</v>
      </c>
      <c r="B472" s="57" t="s">
        <v>268</v>
      </c>
      <c r="C472" s="57" t="str">
        <f aca="false">Flights!$F$18</f>
        <v>MH0004</v>
      </c>
      <c r="D472" s="58" t="n">
        <f aca="false">Flights!$D$18</f>
        <v>46310</v>
      </c>
      <c r="E472" s="57" t="str">
        <f aca="false">Flights!$G$18&amp;"-"&amp;Flights!$H$18</f>
        <v>KUL-LHR</v>
      </c>
      <c r="F472" s="57" t="str">
        <f aca="false">Flights!$K$18</f>
        <v>EY</v>
      </c>
      <c r="G472" s="57" t="s">
        <v>385</v>
      </c>
      <c r="H472" s="57" t="s">
        <v>343</v>
      </c>
      <c r="I472" s="57" t="s">
        <v>393</v>
      </c>
      <c r="J472" s="57" t="s">
        <v>403</v>
      </c>
      <c r="K472" s="67"/>
      <c r="L472" s="67" t="s">
        <v>387</v>
      </c>
      <c r="M472" s="67"/>
      <c r="N472" s="67" t="s">
        <v>348</v>
      </c>
      <c r="O472" s="67" t="s">
        <v>388</v>
      </c>
      <c r="P472" s="57" t="s">
        <v>179</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59" t="n">
        <f aca="false">Q472-T12EarlyH/24</f>
        <v>46309.0763888889</v>
      </c>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IF(N472="N/A – rule","N/A – RULE",IF(TRIM(U472)="N/A",IF(AT472=0,"INVALID – N/A not permitted for this mandatory check",IF(AND(TRIM(AC472)&lt;&gt;"",TRIM(AE472)&lt;&gt;"",TRIM(T472)&lt;&gt;"",TRIM(AE472)&lt;&gt;TRIM(T472)),"N/A – JUSTIFIED","INVALID – N/A needs justification, PIC and a different verifier")),IF(OR(TRIM(U472)="Pass",TRIM(U472)="Pass after CA"),IF(NOT(ISNUMBER(AD472)),"INVALID – completion time missing",IF(TRIM(T472)="","INVALID – PIC missing",IF(TRIM(V472)="","INVALID – result / assessment missing",IF(TRIM(Z472)="","INVALID – evidence missing",IF(TRIM(AE472)="","INVALID – verifier missing",IF(TRIM(AE472)=TRIM(T472),"INVALID – verifier must be someone other than the PIC",IF(AND(AQ472=1,TRIM(W472)=""),"INVALID – batch ID missing",IF(AND(AR472=1,OR(NOT(ISNUMBER(X472)),NOT(ISNUMBER(Y472)))),"INVALID – expected/actual qty missing",IF(IF(AND(TRIM(U472)="Pass",ISNUMBER(AF472)),IF(AF472&lt;&gt;0,"INVALID – qty variance: use Fail or Pass after CA",""),"")&amp;IF(AND(TRIM(U472)="Pass",TRIM(AB472)&lt;&gt;"",TRIM(AB472)&lt;&gt;"Closed"),"INVALID – corrective action not closed: use Fail, then Pass after CA","")&amp;IF(AND(TRIM(AA472)&lt;&gt;"",TRIM(AB472)=""),"INVALID – CA status missing for the recorded corrective action","")&amp;IF(AND(TRIM(U472)="Pass after CA",OR(TRIM(AA472)="",TRIM(AB472)&lt;&gt;"Closed")),"INVALID – corrective action not recorded/closed","")&lt;&gt;"",IF(AND(TRIM(U472)="Pass",ISNUMBER(AF472)),IF(AF472&lt;&gt;0,"INVALID – qty variance: use Fail or Pass after CA",""),"")&amp;IF(AND(TRIM(U472)="Pass",TRIM(AB472)&lt;&gt;"",TRIM(AB472)&lt;&gt;"Closed"),"INVALID – corrective action not closed: use Fail, then Pass after CA","")&amp;IF(AND(TRIM(AA472)&lt;&gt;"",TRIM(AB472)=""),"INVALID – CA status missing for the recorded corrective action","")&amp;IF(AND(TRIM(U472)="Pass after CA",OR(TRIM(AA472)="",TRIM(AB472)&lt;&gt;"Closed")),"INVALID – corrective action not recorded/closed",""),IF(AND(AS472=1,Documents!$J$18&lt;&gt;"ON FILE"),"INVALID – GLD not on file (Documents sheet)",IF(AND(AS472=2,Documents!$O$18&lt;&gt;"ON FILE"),"INVALID – menu checklist not on file (Documents sheet)",IF(AND(AS472=3,NOT(ISNUMBER(Flights!$AX$18))),"INVALID – enter carrying flight KUL departure (Flights AX)",IF(AND(AS472=3,OR(Flights!$AX$18&gt;=Flights!$AA$18,Flights!$AX$18&lt;Flights!$AA$18-3)),"INVALID – Flights AX must be before this leg's STD (within 3 days)",IF(AG472&gt;AsOfUTC,"INVALID – completion time is in the future",IF(AND(ISNUMBER(S472),AG472&lt;S472),IF(H472="Physical uplift","INVALID – before uplift window (cannot confirm loading)","INVALID – before valid window"),IF(AG472&gt;Flights!$AA$18,"INVALID – completed after departure (cannot establish readiness)",IF(AND(H472="Physical uplift",AG472&gt;Q472),"INVALID – recorded after the loading flight departed",IF(AG472&gt;Q472,"COMPLETE – LATE","COMPLETE")))))))))))))))))),IF(TRIM(U472)="Fail","FAIL – DISCREPANCY",IF(AND(TRIM(U472)&lt;&gt;"",TRIM(U472)&lt;&gt;"Not started",TRIM(U472)&lt;&gt;"In progress"),"INVALID – unrecognised status (use the list)",IF(AsOfUTC&gt;Q472,"OVERDUE",IF(N472="Clarification required","OPEN – CLARIFICATION","OPEN")))))))</f>
        <v>OPEN</v>
      </c>
      <c r="AI472" s="61" t="n">
        <f aca="false">IF(OR(AH472="N/A – RULE",AH472="N/A – JUSTIFIED"),0,1)</f>
        <v>1</v>
      </c>
      <c r="AJ472" s="61" t="n">
        <f aca="false">IF(LEFT(AH472,8)="COMPLETE",1,0)</f>
        <v>0</v>
      </c>
      <c r="AK472" s="61" t="n">
        <f aca="false">IF(AND(AI472=1,AJ472=0,AsOfUTC&gt;Q472),1,0)</f>
        <v>0</v>
      </c>
      <c r="AL472" s="61" t="n">
        <f aca="false">IF(AND(AI472=1,OR(TRIM(U472)="Fail",AND(TRIM(AB472)&lt;&gt;"",TRIM(AB472)&lt;&gt;"Closed"),AND(ISNUMBER(AF472),AF472&lt;&gt;0,TRIM(U472)&lt;&gt;"Pass after CA"))),1,0)</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row>
    <row r="473" customFormat="false" ht="116.25" hidden="false" customHeight="true" outlineLevel="0" collapsed="false">
      <c r="A473" s="57" t="s">
        <v>1085</v>
      </c>
      <c r="B473" s="57" t="s">
        <v>268</v>
      </c>
      <c r="C473" s="57" t="str">
        <f aca="false">Flights!$F$18</f>
        <v>MH0004</v>
      </c>
      <c r="D473" s="58" t="n">
        <f aca="false">Flights!$D$18</f>
        <v>46310</v>
      </c>
      <c r="E473" s="57" t="str">
        <f aca="false">Flights!$G$18&amp;"-"&amp;Flights!$H$18</f>
        <v>KUL-LHR</v>
      </c>
      <c r="F473" s="57" t="str">
        <f aca="false">Flights!$K$18</f>
        <v>EY</v>
      </c>
      <c r="G473" s="57" t="s">
        <v>385</v>
      </c>
      <c r="H473" s="57" t="s">
        <v>343</v>
      </c>
      <c r="I473" s="57" t="s">
        <v>405</v>
      </c>
      <c r="J473" s="57" t="s">
        <v>406</v>
      </c>
      <c r="K473" s="67" t="s">
        <v>466</v>
      </c>
      <c r="L473" s="67" t="s">
        <v>408</v>
      </c>
      <c r="M473" s="67" t="s">
        <v>691</v>
      </c>
      <c r="N473" s="67" t="s">
        <v>409</v>
      </c>
      <c r="O473" s="67" t="s">
        <v>1086</v>
      </c>
      <c r="P473" s="57" t="s">
        <v>179</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59" t="n">
        <f aca="false">Q473-T12EarlyH/24</f>
        <v>46309.0763888889</v>
      </c>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IF(N473="N/A – rule","N/A – RULE",IF(TRIM(U473)="N/A",IF(AT473=0,"INVALID – N/A not permitted for this mandatory check",IF(AND(TRIM(AC473)&lt;&gt;"",TRIM(AE473)&lt;&gt;"",TRIM(T473)&lt;&gt;"",TRIM(AE473)&lt;&gt;TRIM(T473)),"N/A – JUSTIFIED","INVALID – N/A needs justification, PIC and a different verifier")),IF(OR(TRIM(U473)="Pass",TRIM(U473)="Pass after CA"),IF(NOT(ISNUMBER(AD473)),"INVALID – completion time missing",IF(TRIM(T473)="","INVALID – PIC missing",IF(TRIM(V473)="","INVALID – result / assessment missing",IF(TRIM(Z473)="","INVALID – evidence missing",IF(TRIM(AE473)="","INVALID – verifier missing",IF(TRIM(AE473)=TRIM(T473),"INVALID – verifier must be someone other than the PIC",IF(AND(AQ473=1,TRIM(W473)=""),"INVALID – batch ID missing",IF(AND(AR473=1,OR(NOT(ISNUMBER(X473)),NOT(ISNUMBER(Y473)))),"INVALID – expected/actual qty missing",IF(IF(AND(TRIM(U473)="Pass",ISNUMBER(AF473)),IF(AF473&lt;&gt;0,"INVALID – qty variance: use Fail or Pass after CA",""),"")&amp;IF(AND(TRIM(U473)="Pass",TRIM(AB473)&lt;&gt;"",TRIM(AB473)&lt;&gt;"Closed"),"INVALID – corrective action not closed: use Fail, then Pass after CA","")&amp;IF(AND(TRIM(AA473)&lt;&gt;"",TRIM(AB473)=""),"INVALID – CA status missing for the recorded corrective action","")&amp;IF(AND(TRIM(U473)="Pass after CA",OR(TRIM(AA473)="",TRIM(AB473)&lt;&gt;"Closed")),"INVALID – corrective action not recorded/closed","")&lt;&gt;"",IF(AND(TRIM(U473)="Pass",ISNUMBER(AF473)),IF(AF473&lt;&gt;0,"INVALID – qty variance: use Fail or Pass after CA",""),"")&amp;IF(AND(TRIM(U473)="Pass",TRIM(AB473)&lt;&gt;"",TRIM(AB473)&lt;&gt;"Closed"),"INVALID – corrective action not closed: use Fail, then Pass after CA","")&amp;IF(AND(TRIM(AA473)&lt;&gt;"",TRIM(AB473)=""),"INVALID – CA status missing for the recorded corrective action","")&amp;IF(AND(TRIM(U473)="Pass after CA",OR(TRIM(AA473)="",TRIM(AB473)&lt;&gt;"Closed")),"INVALID – corrective action not recorded/closed",""),IF(AND(AS473=1,Documents!$J$18&lt;&gt;"ON FILE"),"INVALID – GLD not on file (Documents sheet)",IF(AND(AS473=2,Documents!$O$18&lt;&gt;"ON FILE"),"INVALID – menu checklist not on file (Documents sheet)",IF(AND(AS473=3,NOT(ISNUMBER(Flights!$AX$18))),"INVALID – enter carrying flight KUL departure (Flights AX)",IF(AND(AS473=3,OR(Flights!$AX$18&gt;=Flights!$AA$18,Flights!$AX$18&lt;Flights!$AA$18-3)),"INVALID – Flights AX must be before this leg's STD (within 3 days)",IF(AG473&gt;AsOfUTC,"INVALID – completion time is in the future",IF(AND(ISNUMBER(S473),AG473&lt;S473),IF(H473="Physical uplift","INVALID – before uplift window (cannot confirm loading)","INVALID – before valid window"),IF(AG473&gt;Flights!$AA$18,"INVALID – completed after departure (cannot establish readiness)",IF(AND(H473="Physical uplift",AG473&gt;Q473),"INVALID – recorded after the loading flight departed",IF(AG473&gt;Q473,"COMPLETE – LATE","COMPLETE")))))))))))))))))),IF(TRIM(U473)="Fail","FAIL – DISCREPANCY",IF(AND(TRIM(U473)&lt;&gt;"",TRIM(U473)&lt;&gt;"Not started",TRIM(U473)&lt;&gt;"In progress"),"INVALID – unrecognised status (use the list)",IF(AsOfUTC&gt;Q473,"OVERDUE",IF(N473="Clarification required","OPEN – CLARIFICATION","OPEN")))))))</f>
        <v>OPEN – CLARIFICATION</v>
      </c>
      <c r="AI473" s="61" t="n">
        <f aca="false">IF(OR(AH473="N/A – RULE",AH473="N/A – JUSTIFIED"),0,1)</f>
        <v>1</v>
      </c>
      <c r="AJ473" s="61" t="n">
        <f aca="false">IF(LEFT(AH473,8)="COMPLETE",1,0)</f>
        <v>0</v>
      </c>
      <c r="AK473" s="61" t="n">
        <f aca="false">IF(AND(AI473=1,AJ473=0,AsOfUTC&gt;Q473),1,0)</f>
        <v>0</v>
      </c>
      <c r="AL473" s="61" t="n">
        <f aca="false">IF(AND(AI473=1,OR(TRIM(U473)="Fail",AND(TRIM(AB473)&lt;&gt;"",TRIM(AB473)&lt;&gt;"Closed"),AND(ISNUMBER(AF473),AF473&lt;&gt;0,TRIM(U473)&lt;&gt;"Pass after CA"))),1,0)</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8" t="b">
        <f aca="false">TRUE()</f>
        <v>1</v>
      </c>
    </row>
    <row r="474" customFormat="false" ht="41.25" hidden="false" customHeight="true" outlineLevel="0" collapsed="false">
      <c r="A474" s="57" t="s">
        <v>1087</v>
      </c>
      <c r="B474" s="57" t="s">
        <v>268</v>
      </c>
      <c r="C474" s="57" t="str">
        <f aca="false">Flights!$F$18</f>
        <v>MH0004</v>
      </c>
      <c r="D474" s="58" t="n">
        <f aca="false">Flights!$D$18</f>
        <v>46310</v>
      </c>
      <c r="E474" s="57" t="str">
        <f aca="false">Flights!$G$18&amp;"-"&amp;Flights!$H$18</f>
        <v>KUL-LHR</v>
      </c>
      <c r="F474" s="57" t="str">
        <f aca="false">Flights!$K$18</f>
        <v>EY</v>
      </c>
      <c r="G474" s="57" t="s">
        <v>385</v>
      </c>
      <c r="H474" s="57" t="s">
        <v>343</v>
      </c>
      <c r="I474" s="57" t="s">
        <v>412</v>
      </c>
      <c r="J474" s="57" t="s">
        <v>413</v>
      </c>
      <c r="K474" s="67" t="s">
        <v>414</v>
      </c>
      <c r="L474" s="67" t="s">
        <v>415</v>
      </c>
      <c r="M474" s="67" t="s">
        <v>416</v>
      </c>
      <c r="N474" s="67" t="s">
        <v>348</v>
      </c>
      <c r="O474" s="67" t="s">
        <v>468</v>
      </c>
      <c r="P474" s="57" t="s">
        <v>179</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59" t="n">
        <f aca="false">Q474-T12EarlyH/24</f>
        <v>46309.0763888889</v>
      </c>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IF(N474="N/A – rule","N/A – RULE",IF(TRIM(U474)="N/A",IF(AT474=0,"INVALID – N/A not permitted for this mandatory check",IF(AND(TRIM(AC474)&lt;&gt;"",TRIM(AE474)&lt;&gt;"",TRIM(T474)&lt;&gt;"",TRIM(AE474)&lt;&gt;TRIM(T474)),"N/A – JUSTIFIED","INVALID – N/A needs justification, PIC and a different verifier")),IF(OR(TRIM(U474)="Pass",TRIM(U474)="Pass after CA"),IF(NOT(ISNUMBER(AD474)),"INVALID – completion time missing",IF(TRIM(T474)="","INVALID – PIC missing",IF(TRIM(V474)="","INVALID – result / assessment missing",IF(TRIM(Z474)="","INVALID – evidence missing",IF(TRIM(AE474)="","INVALID – verifier missing",IF(TRIM(AE474)=TRIM(T474),"INVALID – verifier must be someone other than the PIC",IF(AND(AQ474=1,TRIM(W474)=""),"INVALID – batch ID missing",IF(AND(AR474=1,OR(NOT(ISNUMBER(X474)),NOT(ISNUMBER(Y474)))),"INVALID – expected/actual qty missing",IF(IF(AND(TRIM(U474)="Pass",ISNUMBER(AF474)),IF(AF474&lt;&gt;0,"INVALID – qty variance: use Fail or Pass after CA",""),"")&amp;IF(AND(TRIM(U474)="Pass",TRIM(AB474)&lt;&gt;"",TRIM(AB474)&lt;&gt;"Closed"),"INVALID – corrective action not closed: use Fail, then Pass after CA","")&amp;IF(AND(TRIM(AA474)&lt;&gt;"",TRIM(AB474)=""),"INVALID – CA status missing for the recorded corrective action","")&amp;IF(AND(TRIM(U474)="Pass after CA",OR(TRIM(AA474)="",TRIM(AB474)&lt;&gt;"Closed")),"INVALID – corrective action not recorded/closed","")&lt;&gt;"",IF(AND(TRIM(U474)="Pass",ISNUMBER(AF474)),IF(AF474&lt;&gt;0,"INVALID – qty variance: use Fail or Pass after CA",""),"")&amp;IF(AND(TRIM(U474)="Pass",TRIM(AB474)&lt;&gt;"",TRIM(AB474)&lt;&gt;"Closed"),"INVALID – corrective action not closed: use Fail, then Pass after CA","")&amp;IF(AND(TRIM(AA474)&lt;&gt;"",TRIM(AB474)=""),"INVALID – CA status missing for the recorded corrective action","")&amp;IF(AND(TRIM(U474)="Pass after CA",OR(TRIM(AA474)="",TRIM(AB474)&lt;&gt;"Closed")),"INVALID – corrective action not recorded/closed",""),IF(AND(AS474=1,Documents!$J$18&lt;&gt;"ON FILE"),"INVALID – GLD not on file (Documents sheet)",IF(AND(AS474=2,Documents!$O$18&lt;&gt;"ON FILE"),"INVALID – menu checklist not on file (Documents sheet)",IF(AND(AS474=3,NOT(ISNUMBER(Flights!$AX$18))),"INVALID – enter carrying flight KUL departure (Flights AX)",IF(AND(AS474=3,OR(Flights!$AX$18&gt;=Flights!$AA$18,Flights!$AX$18&lt;Flights!$AA$18-3)),"INVALID – Flights AX must be before this leg's STD (within 3 days)",IF(AG474&gt;AsOfUTC,"INVALID – completion time is in the future",IF(AND(ISNUMBER(S474),AG474&lt;S474),IF(H474="Physical uplift","INVALID – before uplift window (cannot confirm loading)","INVALID – before valid window"),IF(AG474&gt;Flights!$AA$18,"INVALID – completed after departure (cannot establish readiness)",IF(AND(H474="Physical uplift",AG474&gt;Q474),"INVALID – recorded after the loading flight departed",IF(AG474&gt;Q474,"COMPLETE – LATE","COMPLETE")))))))))))))))))),IF(TRIM(U474)="Fail","FAIL – DISCREPANCY",IF(AND(TRIM(U474)&lt;&gt;"",TRIM(U474)&lt;&gt;"Not started",TRIM(U474)&lt;&gt;"In progress"),"INVALID – unrecognised status (use the list)",IF(AsOfUTC&gt;Q474,"OVERDUE",IF(N474="Clarification required","OPEN – CLARIFICATION","OPEN")))))))</f>
        <v>OPEN</v>
      </c>
      <c r="AI474" s="61" t="n">
        <f aca="false">IF(OR(AH474="N/A – RULE",AH474="N/A – JUSTIFIED"),0,1)</f>
        <v>1</v>
      </c>
      <c r="AJ474" s="61" t="n">
        <f aca="false">IF(LEFT(AH474,8)="COMPLETE",1,0)</f>
        <v>0</v>
      </c>
      <c r="AK474" s="61" t="n">
        <f aca="false">IF(AND(AI474=1,AJ474=0,AsOfUTC&gt;Q474),1,0)</f>
        <v>0</v>
      </c>
      <c r="AL474" s="61" t="n">
        <f aca="false">IF(AND(AI474=1,OR(TRIM(U474)="Fail",AND(TRIM(AB474)&lt;&gt;"",TRIM(AB474)&lt;&gt;"Closed"),AND(ISNUMBER(AF474),AF474&lt;&gt;0,TRIM(U474)&lt;&gt;"Pass after CA"))),1,0)</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8" t="b">
        <f aca="false">TRUE()</f>
        <v>1</v>
      </c>
    </row>
    <row r="475" customFormat="false" ht="91.5" hidden="false" customHeight="true" outlineLevel="0" collapsed="false">
      <c r="A475" s="57" t="s">
        <v>1088</v>
      </c>
      <c r="B475" s="57" t="s">
        <v>268</v>
      </c>
      <c r="C475" s="57" t="str">
        <f aca="false">Flights!$F$18</f>
        <v>MH0004</v>
      </c>
      <c r="D475" s="58" t="n">
        <f aca="false">Flights!$D$18</f>
        <v>46310</v>
      </c>
      <c r="E475" s="57" t="str">
        <f aca="false">Flights!$G$18&amp;"-"&amp;Flights!$H$18</f>
        <v>KUL-LHR</v>
      </c>
      <c r="F475" s="57" t="str">
        <f aca="false">Flights!$K$18</f>
        <v>EY</v>
      </c>
      <c r="G475" s="57" t="s">
        <v>385</v>
      </c>
      <c r="H475" s="57" t="s">
        <v>343</v>
      </c>
      <c r="I475" s="57" t="s">
        <v>412</v>
      </c>
      <c r="J475" s="57" t="s">
        <v>419</v>
      </c>
      <c r="K475" s="67" t="s">
        <v>420</v>
      </c>
      <c r="L475" s="67" t="s">
        <v>421</v>
      </c>
      <c r="M475" s="67" t="s">
        <v>416</v>
      </c>
      <c r="N475" s="67" t="s">
        <v>348</v>
      </c>
      <c r="O475" s="67" t="s">
        <v>1089</v>
      </c>
      <c r="P475" s="57" t="s">
        <v>179</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59" t="n">
        <f aca="false">Q475-T12EarlyH/24</f>
        <v>46309.0763888889</v>
      </c>
      <c r="T475" s="60"/>
      <c r="U475" s="60"/>
      <c r="V475" s="60"/>
      <c r="W475" s="61"/>
      <c r="X475" s="69"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IF(N475="N/A – rule","N/A – RULE",IF(TRIM(U475)="N/A",IF(AT475=0,"INVALID – N/A not permitted for this mandatory check",IF(AND(TRIM(AC475)&lt;&gt;"",TRIM(AE475)&lt;&gt;"",TRIM(T475)&lt;&gt;"",TRIM(AE475)&lt;&gt;TRIM(T475)),"N/A – JUSTIFIED","INVALID – N/A needs justification, PIC and a different verifier")),IF(OR(TRIM(U475)="Pass",TRIM(U475)="Pass after CA"),IF(NOT(ISNUMBER(AD475)),"INVALID – completion time missing",IF(TRIM(T475)="","INVALID – PIC missing",IF(TRIM(V475)="","INVALID – result / assessment missing",IF(TRIM(Z475)="","INVALID – evidence missing",IF(TRIM(AE475)="","INVALID – verifier missing",IF(TRIM(AE475)=TRIM(T475),"INVALID – verifier must be someone other than the PIC",IF(AND(AQ475=1,TRIM(W475)=""),"INVALID – batch ID missing",IF(AND(AR475=1,OR(NOT(ISNUMBER(X475)),NOT(ISNUMBER(Y475)))),"INVALID – expected/actual qty missing",IF(IF(AND(TRIM(U475)="Pass",ISNUMBER(AF475)),IF(AF475&lt;&gt;0,"INVALID – qty variance: use Fail or Pass after CA",""),"")&amp;IF(AND(TRIM(U475)="Pass",TRIM(AB475)&lt;&gt;"",TRIM(AB475)&lt;&gt;"Closed"),"INVALID – corrective action not closed: use Fail, then Pass after CA","")&amp;IF(AND(TRIM(AA475)&lt;&gt;"",TRIM(AB475)=""),"INVALID – CA status missing for the recorded corrective action","")&amp;IF(AND(TRIM(U475)="Pass after CA",OR(TRIM(AA475)="",TRIM(AB475)&lt;&gt;"Closed")),"INVALID – corrective action not recorded/closed","")&lt;&gt;"",IF(AND(TRIM(U475)="Pass",ISNUMBER(AF475)),IF(AF475&lt;&gt;0,"INVALID – qty variance: use Fail or Pass after CA",""),"")&amp;IF(AND(TRIM(U475)="Pass",TRIM(AB475)&lt;&gt;"",TRIM(AB475)&lt;&gt;"Closed"),"INVALID – corrective action not closed: use Fail, then Pass after CA","")&amp;IF(AND(TRIM(AA475)&lt;&gt;"",TRIM(AB475)=""),"INVALID – CA status missing for the recorded corrective action","")&amp;IF(AND(TRIM(U475)="Pass after CA",OR(TRIM(AA475)="",TRIM(AB475)&lt;&gt;"Closed")),"INVALID – corrective action not recorded/closed",""),IF(AND(AS475=1,Documents!$J$18&lt;&gt;"ON FILE"),"INVALID – GLD not on file (Documents sheet)",IF(AND(AS475=2,Documents!$O$18&lt;&gt;"ON FILE"),"INVALID – menu checklist not on file (Documents sheet)",IF(AND(AS475=3,NOT(ISNUMBER(Flights!$AX$18))),"INVALID – enter carrying flight KUL departure (Flights AX)",IF(AND(AS475=3,OR(Flights!$AX$18&gt;=Flights!$AA$18,Flights!$AX$18&lt;Flights!$AA$18-3)),"INVALID – Flights AX must be before this leg's STD (within 3 days)",IF(AG475&gt;AsOfUTC,"INVALID – completion time is in the future",IF(AND(ISNUMBER(S475),AG475&lt;S475),IF(H475="Physical uplift","INVALID – before uplift window (cannot confirm loading)","INVALID – before valid window"),IF(AG475&gt;Flights!$AA$18,"INVALID – completed after departure (cannot establish readiness)",IF(AND(H475="Physical uplift",AG475&gt;Q475),"INVALID – recorded after the loading flight departed",IF(AG475&gt;Q475,"COMPLETE – LATE","COMPLETE")))))))))))))))))),IF(TRIM(U475)="Fail","FAIL – DISCREPANCY",IF(AND(TRIM(U475)&lt;&gt;"",TRIM(U475)&lt;&gt;"Not started",TRIM(U475)&lt;&gt;"In progress"),"INVALID – unrecognised status (use the list)",IF(AsOfUTC&gt;Q475,"OVERDUE",IF(N475="Clarification required","OPEN – CLARIFICATION","OPEN")))))))</f>
        <v>OPEN</v>
      </c>
      <c r="AI475" s="61" t="n">
        <f aca="false">IF(OR(AH475="N/A – RULE",AH475="N/A – JUSTIFIED"),0,1)</f>
        <v>1</v>
      </c>
      <c r="AJ475" s="61" t="n">
        <f aca="false">IF(LEFT(AH475,8)="COMPLETE",1,0)</f>
        <v>0</v>
      </c>
      <c r="AK475" s="61" t="n">
        <f aca="false">IF(AND(AI475=1,AJ475=0,AsOfUTC&gt;Q475),1,0)</f>
        <v>0</v>
      </c>
      <c r="AL475" s="61" t="n">
        <f aca="false">IF(AND(AI475=1,OR(TRIM(U475)="Fail",AND(TRIM(AB475)&lt;&gt;"",TRIM(AB475)&lt;&gt;"Closed"),AND(ISNUMBER(AF475),AF475&lt;&gt;0,TRIM(U475)&lt;&gt;"Pass after CA"))),1,0)</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8" t="b">
        <f aca="false">TRUE()</f>
        <v>1</v>
      </c>
    </row>
    <row r="476" customFormat="false" ht="39.75" hidden="false" customHeight="true" outlineLevel="0" collapsed="false">
      <c r="A476" s="57" t="s">
        <v>1090</v>
      </c>
      <c r="B476" s="57" t="s">
        <v>268</v>
      </c>
      <c r="C476" s="57" t="str">
        <f aca="false">Flights!$F$18</f>
        <v>MH0004</v>
      </c>
      <c r="D476" s="58" t="n">
        <f aca="false">Flights!$D$18</f>
        <v>46310</v>
      </c>
      <c r="E476" s="57" t="str">
        <f aca="false">Flights!$G$18&amp;"-"&amp;Flights!$H$18</f>
        <v>KUL-LHR</v>
      </c>
      <c r="F476" s="57" t="str">
        <f aca="false">Flights!$K$18</f>
        <v>EY</v>
      </c>
      <c r="G476" s="57" t="s">
        <v>424</v>
      </c>
      <c r="H476" s="57" t="s">
        <v>425</v>
      </c>
      <c r="I476" s="57" t="s">
        <v>344</v>
      </c>
      <c r="J476" s="57" t="s">
        <v>426</v>
      </c>
      <c r="K476" s="67" t="s">
        <v>391</v>
      </c>
      <c r="L476" s="67" t="s">
        <v>427</v>
      </c>
      <c r="M476" s="67"/>
      <c r="N476" s="67" t="s">
        <v>348</v>
      </c>
      <c r="O476" s="67" t="s">
        <v>428</v>
      </c>
      <c r="P476" s="57" t="s">
        <v>179</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59" t="n">
        <f aca="false">IF(ISNUMBER(Flights!$AY$18),MAX(Q476-UpliftWindowH/24,Flights!$AY$18+UpliftWindowH/24),Q476-UpliftWindowH/24)</f>
        <v>46309.8263888889</v>
      </c>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IF(N476="N/A – rule","N/A – RULE",IF(TRIM(U476)="N/A",IF(AT476=0,"INVALID – N/A not permitted for this mandatory check",IF(AND(TRIM(AC476)&lt;&gt;"",TRIM(AE476)&lt;&gt;"",TRIM(T476)&lt;&gt;"",TRIM(AE476)&lt;&gt;TRIM(T476)),"N/A – JUSTIFIED","INVALID – N/A needs justification, PIC and a different verifier")),IF(OR(TRIM(U476)="Pass",TRIM(U476)="Pass after CA"),IF(NOT(ISNUMBER(AD476)),"INVALID – completion time missing",IF(TRIM(T476)="","INVALID – PIC missing",IF(TRIM(V476)="","INVALID – result / assessment missing",IF(TRIM(Z476)="","INVALID – evidence missing",IF(TRIM(AE476)="","INVALID – verifier missing",IF(TRIM(AE476)=TRIM(T476),"INVALID – verifier must be someone other than the PIC",IF(AND(AQ476=1,TRIM(W476)=""),"INVALID – batch ID missing",IF(AND(AR476=1,OR(NOT(ISNUMBER(X476)),NOT(ISNUMBER(Y476)))),"INVALID – expected/actual qty missing",IF(IF(AND(TRIM(U476)="Pass",ISNUMBER(AF476)),IF(AF476&lt;&gt;0,"INVALID – qty variance: use Fail or Pass after CA",""),"")&amp;IF(AND(TRIM(U476)="Pass",TRIM(AB476)&lt;&gt;"",TRIM(AB476)&lt;&gt;"Closed"),"INVALID – corrective action not closed: use Fail, then Pass after CA","")&amp;IF(AND(TRIM(AA476)&lt;&gt;"",TRIM(AB476)=""),"INVALID – CA status missing for the recorded corrective action","")&amp;IF(AND(TRIM(U476)="Pass after CA",OR(TRIM(AA476)="",TRIM(AB476)&lt;&gt;"Closed")),"INVALID – corrective action not recorded/closed","")&lt;&gt;"",IF(AND(TRIM(U476)="Pass",ISNUMBER(AF476)),IF(AF476&lt;&gt;0,"INVALID – qty variance: use Fail or Pass after CA",""),"")&amp;IF(AND(TRIM(U476)="Pass",TRIM(AB476)&lt;&gt;"",TRIM(AB476)&lt;&gt;"Closed"),"INVALID – corrective action not closed: use Fail, then Pass after CA","")&amp;IF(AND(TRIM(AA476)&lt;&gt;"",TRIM(AB476)=""),"INVALID – CA status missing for the recorded corrective action","")&amp;IF(AND(TRIM(U476)="Pass after CA",OR(TRIM(AA476)="",TRIM(AB476)&lt;&gt;"Closed")),"INVALID – corrective action not recorded/closed",""),IF(AND(AS476=1,Documents!$J$18&lt;&gt;"ON FILE"),"INVALID – GLD not on file (Documents sheet)",IF(AND(AS476=2,Documents!$O$18&lt;&gt;"ON FILE"),"INVALID – menu checklist not on file (Documents sheet)",IF(AND(AS476=3,NOT(ISNUMBER(Flights!$AX$18))),"INVALID – enter carrying flight KUL departure (Flights AX)",IF(AND(AS476=3,OR(Flights!$AX$18&gt;=Flights!$AA$18,Flights!$AX$18&lt;Flights!$AA$18-3)),"INVALID – Flights AX must be before this leg's STD (within 3 days)",IF(AG476&gt;AsOfUTC,"INVALID – completion time is in the future",IF(AND(ISNUMBER(S476),AG476&lt;S476),IF(H476="Physical uplift","INVALID – before uplift window (cannot confirm loading)","INVALID – before valid window"),IF(AG476&gt;Flights!$AA$18,"INVALID – completed after departure (cannot establish readiness)",IF(AND(H476="Physical uplift",AG476&gt;Q476),"INVALID – recorded after the loading flight departed",IF(AG476&gt;Q476,"COMPLETE – LATE","COMPLETE")))))))))))))))))),IF(TRIM(U476)="Fail","FAIL – DISCREPANCY",IF(AND(TRIM(U476)&lt;&gt;"",TRIM(U476)&lt;&gt;"Not started",TRIM(U476)&lt;&gt;"In progress"),"INVALID – unrecognised status (use the list)",IF(AsOfUTC&gt;Q476,"OVERDUE",IF(N476="Clarification required","OPEN – CLARIFICATION","OPEN")))))))</f>
        <v>OPEN</v>
      </c>
      <c r="AI476" s="61" t="n">
        <f aca="false">IF(OR(AH476="N/A – RULE",AH476="N/A – JUSTIFIED"),0,1)</f>
        <v>1</v>
      </c>
      <c r="AJ476" s="61" t="n">
        <f aca="false">IF(LEFT(AH476,8)="COMPLETE",1,0)</f>
        <v>0</v>
      </c>
      <c r="AK476" s="61" t="n">
        <f aca="false">IF(AND(AI476=1,AJ476=0,AsOfUTC&gt;Q476),1,0)</f>
        <v>0</v>
      </c>
      <c r="AL476" s="61" t="n">
        <f aca="false">IF(AND(AI476=1,OR(TRIM(U476)="Fail",AND(TRIM(AB476)&lt;&gt;"",TRIM(AB476)&lt;&gt;"Closed"),AND(ISNUMBER(AF476),AF476&lt;&gt;0,TRIM(U476)&lt;&gt;"Pass after CA"))),1,0)</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row>
    <row r="477" customFormat="false" ht="39.75" hidden="false" customHeight="true" outlineLevel="0" collapsed="false">
      <c r="A477" s="57" t="s">
        <v>1091</v>
      </c>
      <c r="B477" s="57" t="s">
        <v>268</v>
      </c>
      <c r="C477" s="57" t="str">
        <f aca="false">Flights!$F$18</f>
        <v>MH0004</v>
      </c>
      <c r="D477" s="58" t="n">
        <f aca="false">Flights!$D$18</f>
        <v>46310</v>
      </c>
      <c r="E477" s="57" t="str">
        <f aca="false">Flights!$G$18&amp;"-"&amp;Flights!$H$18</f>
        <v>KUL-LHR</v>
      </c>
      <c r="F477" s="57" t="str">
        <f aca="false">Flights!$K$18</f>
        <v>EY</v>
      </c>
      <c r="G477" s="57" t="s">
        <v>424</v>
      </c>
      <c r="H477" s="57" t="s">
        <v>425</v>
      </c>
      <c r="I477" s="57" t="s">
        <v>393</v>
      </c>
      <c r="J477" s="57" t="s">
        <v>430</v>
      </c>
      <c r="K477" s="67" t="s">
        <v>391</v>
      </c>
      <c r="L477" s="67" t="s">
        <v>427</v>
      </c>
      <c r="M477" s="67"/>
      <c r="N477" s="67" t="s">
        <v>348</v>
      </c>
      <c r="O477" s="67" t="s">
        <v>428</v>
      </c>
      <c r="P477" s="57" t="s">
        <v>179</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59" t="n">
        <f aca="false">IF(ISNUMBER(Flights!$AY$18),MAX(Q477-UpliftWindowH/24,Flights!$AY$18+UpliftWindowH/24),Q477-UpliftWindowH/24)</f>
        <v>46309.8263888889</v>
      </c>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IF(N477="N/A – rule","N/A – RULE",IF(TRIM(U477)="N/A",IF(AT477=0,"INVALID – N/A not permitted for this mandatory check",IF(AND(TRIM(AC477)&lt;&gt;"",TRIM(AE477)&lt;&gt;"",TRIM(T477)&lt;&gt;"",TRIM(AE477)&lt;&gt;TRIM(T477)),"N/A – JUSTIFIED","INVALID – N/A needs justification, PIC and a different verifier")),IF(OR(TRIM(U477)="Pass",TRIM(U477)="Pass after CA"),IF(NOT(ISNUMBER(AD477)),"INVALID – completion time missing",IF(TRIM(T477)="","INVALID – PIC missing",IF(TRIM(V477)="","INVALID – result / assessment missing",IF(TRIM(Z477)="","INVALID – evidence missing",IF(TRIM(AE477)="","INVALID – verifier missing",IF(TRIM(AE477)=TRIM(T477),"INVALID – verifier must be someone other than the PIC",IF(AND(AQ477=1,TRIM(W477)=""),"INVALID – batch ID missing",IF(AND(AR477=1,OR(NOT(ISNUMBER(X477)),NOT(ISNUMBER(Y477)))),"INVALID – expected/actual qty missing",IF(IF(AND(TRIM(U477)="Pass",ISNUMBER(AF477)),IF(AF477&lt;&gt;0,"INVALID – qty variance: use Fail or Pass after CA",""),"")&amp;IF(AND(TRIM(U477)="Pass",TRIM(AB477)&lt;&gt;"",TRIM(AB477)&lt;&gt;"Closed"),"INVALID – corrective action not closed: use Fail, then Pass after CA","")&amp;IF(AND(TRIM(AA477)&lt;&gt;"",TRIM(AB477)=""),"INVALID – CA status missing for the recorded corrective action","")&amp;IF(AND(TRIM(U477)="Pass after CA",OR(TRIM(AA477)="",TRIM(AB477)&lt;&gt;"Closed")),"INVALID – corrective action not recorded/closed","")&lt;&gt;"",IF(AND(TRIM(U477)="Pass",ISNUMBER(AF477)),IF(AF477&lt;&gt;0,"INVALID – qty variance: use Fail or Pass after CA",""),"")&amp;IF(AND(TRIM(U477)="Pass",TRIM(AB477)&lt;&gt;"",TRIM(AB477)&lt;&gt;"Closed"),"INVALID – corrective action not closed: use Fail, then Pass after CA","")&amp;IF(AND(TRIM(AA477)&lt;&gt;"",TRIM(AB477)=""),"INVALID – CA status missing for the recorded corrective action","")&amp;IF(AND(TRIM(U477)="Pass after CA",OR(TRIM(AA477)="",TRIM(AB477)&lt;&gt;"Closed")),"INVALID – corrective action not recorded/closed",""),IF(AND(AS477=1,Documents!$J$18&lt;&gt;"ON FILE"),"INVALID – GLD not on file (Documents sheet)",IF(AND(AS477=2,Documents!$O$18&lt;&gt;"ON FILE"),"INVALID – menu checklist not on file (Documents sheet)",IF(AND(AS477=3,NOT(ISNUMBER(Flights!$AX$18))),"INVALID – enter carrying flight KUL departure (Flights AX)",IF(AND(AS477=3,OR(Flights!$AX$18&gt;=Flights!$AA$18,Flights!$AX$18&lt;Flights!$AA$18-3)),"INVALID – Flights AX must be before this leg's STD (within 3 days)",IF(AG477&gt;AsOfUTC,"INVALID – completion time is in the future",IF(AND(ISNUMBER(S477),AG477&lt;S477),IF(H477="Physical uplift","INVALID – before uplift window (cannot confirm loading)","INVALID – before valid window"),IF(AG477&gt;Flights!$AA$18,"INVALID – completed after departure (cannot establish readiness)",IF(AND(H477="Physical uplift",AG477&gt;Q477),"INVALID – recorded after the loading flight departed",IF(AG477&gt;Q477,"COMPLETE – LATE","COMPLETE")))))))))))))))))),IF(TRIM(U477)="Fail","FAIL – DISCREPANCY",IF(AND(TRIM(U477)&lt;&gt;"",TRIM(U477)&lt;&gt;"Not started",TRIM(U477)&lt;&gt;"In progress"),"INVALID – unrecognised status (use the list)",IF(AsOfUTC&gt;Q477,"OVERDUE",IF(N477="Clarification required","OPEN – CLARIFICATION","OPEN")))))))</f>
        <v>OPEN</v>
      </c>
      <c r="AI477" s="61" t="n">
        <f aca="false">IF(OR(AH477="N/A – RULE",AH477="N/A – JUSTIFIED"),0,1)</f>
        <v>1</v>
      </c>
      <c r="AJ477" s="61" t="n">
        <f aca="false">IF(LEFT(AH477,8)="COMPLETE",1,0)</f>
        <v>0</v>
      </c>
      <c r="AK477" s="61" t="n">
        <f aca="false">IF(AND(AI477=1,AJ477=0,AsOfUTC&gt;Q477),1,0)</f>
        <v>0</v>
      </c>
      <c r="AL477" s="61" t="n">
        <f aca="false">IF(AND(AI477=1,OR(TRIM(U477)="Fail",AND(TRIM(AB477)&lt;&gt;"",TRIM(AB477)&lt;&gt;"Closed"),AND(ISNUMBER(AF477),AF477&lt;&gt;0,TRIM(U477)&lt;&gt;"Pass after CA"))),1,0)</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row>
    <row r="478" customFormat="false" ht="116.25" hidden="false" customHeight="true" outlineLevel="0" collapsed="false">
      <c r="A478" s="57" t="s">
        <v>1092</v>
      </c>
      <c r="B478" s="57" t="s">
        <v>268</v>
      </c>
      <c r="C478" s="57" t="str">
        <f aca="false">Flights!$F$18</f>
        <v>MH0004</v>
      </c>
      <c r="D478" s="58" t="n">
        <f aca="false">Flights!$D$18</f>
        <v>46310</v>
      </c>
      <c r="E478" s="57" t="str">
        <f aca="false">Flights!$G$18&amp;"-"&amp;Flights!$H$18</f>
        <v>KUL-LHR</v>
      </c>
      <c r="F478" s="57" t="str">
        <f aca="false">Flights!$K$18</f>
        <v>EY</v>
      </c>
      <c r="G478" s="57" t="s">
        <v>424</v>
      </c>
      <c r="H478" s="57" t="s">
        <v>425</v>
      </c>
      <c r="I478" s="57" t="s">
        <v>405</v>
      </c>
      <c r="J478" s="57" t="s">
        <v>432</v>
      </c>
      <c r="K478" s="67" t="s">
        <v>466</v>
      </c>
      <c r="L478" s="67" t="s">
        <v>408</v>
      </c>
      <c r="M478" s="67" t="s">
        <v>691</v>
      </c>
      <c r="N478" s="67" t="s">
        <v>409</v>
      </c>
      <c r="O478" s="67" t="s">
        <v>1086</v>
      </c>
      <c r="P478" s="57" t="s">
        <v>179</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59" t="n">
        <f aca="false">IF(ISNUMBER(Flights!$AY$18),MAX(Q478-UpliftWindowH/24,Flights!$AY$18+UpliftWindowH/24),Q478-UpliftWindowH/24)</f>
        <v>46309.8263888889</v>
      </c>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IF(N478="N/A – rule","N/A – RULE",IF(TRIM(U478)="N/A",IF(AT478=0,"INVALID – N/A not permitted for this mandatory check",IF(AND(TRIM(AC478)&lt;&gt;"",TRIM(AE478)&lt;&gt;"",TRIM(T478)&lt;&gt;"",TRIM(AE478)&lt;&gt;TRIM(T478)),"N/A – JUSTIFIED","INVALID – N/A needs justification, PIC and a different verifier")),IF(OR(TRIM(U478)="Pass",TRIM(U478)="Pass after CA"),IF(NOT(ISNUMBER(AD478)),"INVALID – completion time missing",IF(TRIM(T478)="","INVALID – PIC missing",IF(TRIM(V478)="","INVALID – result / assessment missing",IF(TRIM(Z478)="","INVALID – evidence missing",IF(TRIM(AE478)="","INVALID – verifier missing",IF(TRIM(AE478)=TRIM(T478),"INVALID – verifier must be someone other than the PIC",IF(AND(AQ478=1,TRIM(W478)=""),"INVALID – batch ID missing",IF(AND(AR478=1,OR(NOT(ISNUMBER(X478)),NOT(ISNUMBER(Y478)))),"INVALID – expected/actual qty missing",IF(IF(AND(TRIM(U478)="Pass",ISNUMBER(AF478)),IF(AF478&lt;&gt;0,"INVALID – qty variance: use Fail or Pass after CA",""),"")&amp;IF(AND(TRIM(U478)="Pass",TRIM(AB478)&lt;&gt;"",TRIM(AB478)&lt;&gt;"Closed"),"INVALID – corrective action not closed: use Fail, then Pass after CA","")&amp;IF(AND(TRIM(AA478)&lt;&gt;"",TRIM(AB478)=""),"INVALID – CA status missing for the recorded corrective action","")&amp;IF(AND(TRIM(U478)="Pass after CA",OR(TRIM(AA478)="",TRIM(AB478)&lt;&gt;"Closed")),"INVALID – corrective action not recorded/closed","")&lt;&gt;"",IF(AND(TRIM(U478)="Pass",ISNUMBER(AF478)),IF(AF478&lt;&gt;0,"INVALID – qty variance: use Fail or Pass after CA",""),"")&amp;IF(AND(TRIM(U478)="Pass",TRIM(AB478)&lt;&gt;"",TRIM(AB478)&lt;&gt;"Closed"),"INVALID – corrective action not closed: use Fail, then Pass after CA","")&amp;IF(AND(TRIM(AA478)&lt;&gt;"",TRIM(AB478)=""),"INVALID – CA status missing for the recorded corrective action","")&amp;IF(AND(TRIM(U478)="Pass after CA",OR(TRIM(AA478)="",TRIM(AB478)&lt;&gt;"Closed")),"INVALID – corrective action not recorded/closed",""),IF(AND(AS478=1,Documents!$J$18&lt;&gt;"ON FILE"),"INVALID – GLD not on file (Documents sheet)",IF(AND(AS478=2,Documents!$O$18&lt;&gt;"ON FILE"),"INVALID – menu checklist not on file (Documents sheet)",IF(AND(AS478=3,NOT(ISNUMBER(Flights!$AX$18))),"INVALID – enter carrying flight KUL departure (Flights AX)",IF(AND(AS478=3,OR(Flights!$AX$18&gt;=Flights!$AA$18,Flights!$AX$18&lt;Flights!$AA$18-3)),"INVALID – Flights AX must be before this leg's STD (within 3 days)",IF(AG478&gt;AsOfUTC,"INVALID – completion time is in the future",IF(AND(ISNUMBER(S478),AG478&lt;S478),IF(H478="Physical uplift","INVALID – before uplift window (cannot confirm loading)","INVALID – before valid window"),IF(AG478&gt;Flights!$AA$18,"INVALID – completed after departure (cannot establish readiness)",IF(AND(H478="Physical uplift",AG478&gt;Q478),"INVALID – recorded after the loading flight departed",IF(AG478&gt;Q478,"COMPLETE – LATE","COMPLETE")))))))))))))))))),IF(TRIM(U478)="Fail","FAIL – DISCREPANCY",IF(AND(TRIM(U478)&lt;&gt;"",TRIM(U478)&lt;&gt;"Not started",TRIM(U478)&lt;&gt;"In progress"),"INVALID – unrecognised status (use the list)",IF(AsOfUTC&gt;Q478,"OVERDUE",IF(N478="Clarification required","OPEN – CLARIFICATION","OPEN")))))))</f>
        <v>OPEN – CLARIFICATION</v>
      </c>
      <c r="AI478" s="61" t="n">
        <f aca="false">IF(OR(AH478="N/A – RULE",AH478="N/A – JUSTIFIED"),0,1)</f>
        <v>1</v>
      </c>
      <c r="AJ478" s="61" t="n">
        <f aca="false">IF(LEFT(AH478,8)="COMPLETE",1,0)</f>
        <v>0</v>
      </c>
      <c r="AK478" s="61" t="n">
        <f aca="false">IF(AND(AI478=1,AJ478=0,AsOfUTC&gt;Q478),1,0)</f>
        <v>0</v>
      </c>
      <c r="AL478" s="61" t="n">
        <f aca="false">IF(AND(AI478=1,OR(TRIM(U478)="Fail",AND(TRIM(AB478)&lt;&gt;"",TRIM(AB478)&lt;&gt;"Closed"),AND(ISNUMBER(AF478),AF478&lt;&gt;0,TRIM(U478)&lt;&gt;"Pass after CA"))),1,0)</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8" t="b">
        <f aca="false">TRUE()</f>
        <v>1</v>
      </c>
    </row>
    <row r="479" customFormat="false" ht="39.75" hidden="false" customHeight="true" outlineLevel="0" collapsed="false">
      <c r="A479" s="57" t="s">
        <v>1093</v>
      </c>
      <c r="B479" s="57" t="s">
        <v>268</v>
      </c>
      <c r="C479" s="57" t="str">
        <f aca="false">Flights!$F$18</f>
        <v>MH0004</v>
      </c>
      <c r="D479" s="58" t="n">
        <f aca="false">Flights!$D$18</f>
        <v>46310</v>
      </c>
      <c r="E479" s="57" t="str">
        <f aca="false">Flights!$G$18&amp;"-"&amp;Flights!$H$18</f>
        <v>KUL-LHR</v>
      </c>
      <c r="F479" s="57" t="str">
        <f aca="false">Flights!$K$18</f>
        <v>EY</v>
      </c>
      <c r="G479" s="57" t="s">
        <v>424</v>
      </c>
      <c r="H479" s="57" t="s">
        <v>425</v>
      </c>
      <c r="I479" s="57" t="s">
        <v>412</v>
      </c>
      <c r="J479" s="57" t="s">
        <v>434</v>
      </c>
      <c r="K479" s="67" t="s">
        <v>414</v>
      </c>
      <c r="L479" s="67" t="s">
        <v>415</v>
      </c>
      <c r="M479" s="67" t="s">
        <v>416</v>
      </c>
      <c r="N479" s="67" t="s">
        <v>348</v>
      </c>
      <c r="O479" s="67"/>
      <c r="P479" s="57" t="s">
        <v>179</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59" t="n">
        <f aca="false">IF(ISNUMBER(Flights!$AY$18),MAX(Q479-UpliftWindowH/24,Flights!$AY$18+UpliftWindowH/24),Q479-UpliftWindowH/24)</f>
        <v>46309.8263888889</v>
      </c>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IF(N479="N/A – rule","N/A – RULE",IF(TRIM(U479)="N/A",IF(AT479=0,"INVALID – N/A not permitted for this mandatory check",IF(AND(TRIM(AC479)&lt;&gt;"",TRIM(AE479)&lt;&gt;"",TRIM(T479)&lt;&gt;"",TRIM(AE479)&lt;&gt;TRIM(T479)),"N/A – JUSTIFIED","INVALID – N/A needs justification, PIC and a different verifier")),IF(OR(TRIM(U479)="Pass",TRIM(U479)="Pass after CA"),IF(NOT(ISNUMBER(AD479)),"INVALID – completion time missing",IF(TRIM(T479)="","INVALID – PIC missing",IF(TRIM(V479)="","INVALID – result / assessment missing",IF(TRIM(Z479)="","INVALID – evidence missing",IF(TRIM(AE479)="","INVALID – verifier missing",IF(TRIM(AE479)=TRIM(T479),"INVALID – verifier must be someone other than the PIC",IF(AND(AQ479=1,TRIM(W479)=""),"INVALID – batch ID missing",IF(AND(AR479=1,OR(NOT(ISNUMBER(X479)),NOT(ISNUMBER(Y479)))),"INVALID – expected/actual qty missing",IF(IF(AND(TRIM(U479)="Pass",ISNUMBER(AF479)),IF(AF479&lt;&gt;0,"INVALID – qty variance: use Fail or Pass after CA",""),"")&amp;IF(AND(TRIM(U479)="Pass",TRIM(AB479)&lt;&gt;"",TRIM(AB479)&lt;&gt;"Closed"),"INVALID – corrective action not closed: use Fail, then Pass after CA","")&amp;IF(AND(TRIM(AA479)&lt;&gt;"",TRIM(AB479)=""),"INVALID – CA status missing for the recorded corrective action","")&amp;IF(AND(TRIM(U479)="Pass after CA",OR(TRIM(AA479)="",TRIM(AB479)&lt;&gt;"Closed")),"INVALID – corrective action not recorded/closed","")&lt;&gt;"",IF(AND(TRIM(U479)="Pass",ISNUMBER(AF479)),IF(AF479&lt;&gt;0,"INVALID – qty variance: use Fail or Pass after CA",""),"")&amp;IF(AND(TRIM(U479)="Pass",TRIM(AB479)&lt;&gt;"",TRIM(AB479)&lt;&gt;"Closed"),"INVALID – corrective action not closed: use Fail, then Pass after CA","")&amp;IF(AND(TRIM(AA479)&lt;&gt;"",TRIM(AB479)=""),"INVALID – CA status missing for the recorded corrective action","")&amp;IF(AND(TRIM(U479)="Pass after CA",OR(TRIM(AA479)="",TRIM(AB479)&lt;&gt;"Closed")),"INVALID – corrective action not recorded/closed",""),IF(AND(AS479=1,Documents!$J$18&lt;&gt;"ON FILE"),"INVALID – GLD not on file (Documents sheet)",IF(AND(AS479=2,Documents!$O$18&lt;&gt;"ON FILE"),"INVALID – menu checklist not on file (Documents sheet)",IF(AND(AS479=3,NOT(ISNUMBER(Flights!$AX$18))),"INVALID – enter carrying flight KUL departure (Flights AX)",IF(AND(AS479=3,OR(Flights!$AX$18&gt;=Flights!$AA$18,Flights!$AX$18&lt;Flights!$AA$18-3)),"INVALID – Flights AX must be before this leg's STD (within 3 days)",IF(AG479&gt;AsOfUTC,"INVALID – completion time is in the future",IF(AND(ISNUMBER(S479),AG479&lt;S479),IF(H479="Physical uplift","INVALID – before uplift window (cannot confirm loading)","INVALID – before valid window"),IF(AG479&gt;Flights!$AA$18,"INVALID – completed after departure (cannot establish readiness)",IF(AND(H479="Physical uplift",AG479&gt;Q479),"INVALID – recorded after the loading flight departed",IF(AG479&gt;Q479,"COMPLETE – LATE","COMPLETE")))))))))))))))))),IF(TRIM(U479)="Fail","FAIL – DISCREPANCY",IF(AND(TRIM(U479)&lt;&gt;"",TRIM(U479)&lt;&gt;"Not started",TRIM(U479)&lt;&gt;"In progress"),"INVALID – unrecognised status (use the list)",IF(AsOfUTC&gt;Q479,"OVERDUE",IF(N479="Clarification required","OPEN – CLARIFICATION","OPEN")))))))</f>
        <v>OPEN</v>
      </c>
      <c r="AI479" s="61" t="n">
        <f aca="false">IF(OR(AH479="N/A – RULE",AH479="N/A – JUSTIFIED"),0,1)</f>
        <v>1</v>
      </c>
      <c r="AJ479" s="61" t="n">
        <f aca="false">IF(LEFT(AH479,8)="COMPLETE",1,0)</f>
        <v>0</v>
      </c>
      <c r="AK479" s="61" t="n">
        <f aca="false">IF(AND(AI479=1,AJ479=0,AsOfUTC&gt;Q479),1,0)</f>
        <v>0</v>
      </c>
      <c r="AL479" s="61" t="n">
        <f aca="false">IF(AND(AI479=1,OR(TRIM(U479)="Fail",AND(TRIM(AB479)&lt;&gt;"",TRIM(AB479)&lt;&gt;"Closed"),AND(ISNUMBER(AF479),AF479&lt;&gt;0,TRIM(U479)&lt;&gt;"Pass after CA"))),1,0)</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8" t="b">
        <f aca="false">TRUE()</f>
        <v>1</v>
      </c>
    </row>
    <row r="480" customFormat="false" ht="54" hidden="false" customHeight="true" outlineLevel="0" collapsed="false">
      <c r="A480" s="57" t="s">
        <v>1094</v>
      </c>
      <c r="B480" s="57" t="s">
        <v>268</v>
      </c>
      <c r="C480" s="57" t="str">
        <f aca="false">Flights!$F$18</f>
        <v>MH0004</v>
      </c>
      <c r="D480" s="58" t="n">
        <f aca="false">Flights!$D$18</f>
        <v>46310</v>
      </c>
      <c r="E480" s="57" t="str">
        <f aca="false">Flights!$G$18&amp;"-"&amp;Flights!$H$18</f>
        <v>KUL-LHR</v>
      </c>
      <c r="F480" s="57" t="str">
        <f aca="false">Flights!$K$18</f>
        <v>EY</v>
      </c>
      <c r="G480" s="57" t="s">
        <v>424</v>
      </c>
      <c r="H480" s="57" t="s">
        <v>425</v>
      </c>
      <c r="I480" s="57" t="s">
        <v>412</v>
      </c>
      <c r="J480" s="57" t="s">
        <v>436</v>
      </c>
      <c r="K480" s="67" t="s">
        <v>420</v>
      </c>
      <c r="L480" s="67" t="s">
        <v>421</v>
      </c>
      <c r="M480" s="67" t="s">
        <v>416</v>
      </c>
      <c r="N480" s="67" t="s">
        <v>348</v>
      </c>
      <c r="O480" s="67" t="s">
        <v>1095</v>
      </c>
      <c r="P480" s="57" t="s">
        <v>179</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59" t="n">
        <f aca="false">IF(ISNUMBER(Flights!$AY$18),MAX(Q480-UpliftWindowH/24,Flights!$AY$18+UpliftWindowH/24),Q480-UpliftWindowH/24)</f>
        <v>46309.8263888889</v>
      </c>
      <c r="T480" s="60"/>
      <c r="U480" s="60"/>
      <c r="V480" s="60"/>
      <c r="W480" s="61"/>
      <c r="X480" s="69"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IF(N480="N/A – rule","N/A – RULE",IF(TRIM(U480)="N/A",IF(AT480=0,"INVALID – N/A not permitted for this mandatory check",IF(AND(TRIM(AC480)&lt;&gt;"",TRIM(AE480)&lt;&gt;"",TRIM(T480)&lt;&gt;"",TRIM(AE480)&lt;&gt;TRIM(T480)),"N/A – JUSTIFIED","INVALID – N/A needs justification, PIC and a different verifier")),IF(OR(TRIM(U480)="Pass",TRIM(U480)="Pass after CA"),IF(NOT(ISNUMBER(AD480)),"INVALID – completion time missing",IF(TRIM(T480)="","INVALID – PIC missing",IF(TRIM(V480)="","INVALID – result / assessment missing",IF(TRIM(Z480)="","INVALID – evidence missing",IF(TRIM(AE480)="","INVALID – verifier missing",IF(TRIM(AE480)=TRIM(T480),"INVALID – verifier must be someone other than the PIC",IF(AND(AQ480=1,TRIM(W480)=""),"INVALID – batch ID missing",IF(AND(AR480=1,OR(NOT(ISNUMBER(X480)),NOT(ISNUMBER(Y480)))),"INVALID – expected/actual qty missing",IF(IF(AND(TRIM(U480)="Pass",ISNUMBER(AF480)),IF(AF480&lt;&gt;0,"INVALID – qty variance: use Fail or Pass after CA",""),"")&amp;IF(AND(TRIM(U480)="Pass",TRIM(AB480)&lt;&gt;"",TRIM(AB480)&lt;&gt;"Closed"),"INVALID – corrective action not closed: use Fail, then Pass after CA","")&amp;IF(AND(TRIM(AA480)&lt;&gt;"",TRIM(AB480)=""),"INVALID – CA status missing for the recorded corrective action","")&amp;IF(AND(TRIM(U480)="Pass after CA",OR(TRIM(AA480)="",TRIM(AB480)&lt;&gt;"Closed")),"INVALID – corrective action not recorded/closed","")&lt;&gt;"",IF(AND(TRIM(U480)="Pass",ISNUMBER(AF480)),IF(AF480&lt;&gt;0,"INVALID – qty variance: use Fail or Pass after CA",""),"")&amp;IF(AND(TRIM(U480)="Pass",TRIM(AB480)&lt;&gt;"",TRIM(AB480)&lt;&gt;"Closed"),"INVALID – corrective action not closed: use Fail, then Pass after CA","")&amp;IF(AND(TRIM(AA480)&lt;&gt;"",TRIM(AB480)=""),"INVALID – CA status missing for the recorded corrective action","")&amp;IF(AND(TRIM(U480)="Pass after CA",OR(TRIM(AA480)="",TRIM(AB480)&lt;&gt;"Closed")),"INVALID – corrective action not recorded/closed",""),IF(AND(AS480=1,Documents!$J$18&lt;&gt;"ON FILE"),"INVALID – GLD not on file (Documents sheet)",IF(AND(AS480=2,Documents!$O$18&lt;&gt;"ON FILE"),"INVALID – menu checklist not on file (Documents sheet)",IF(AND(AS480=3,NOT(ISNUMBER(Flights!$AX$18))),"INVALID – enter carrying flight KUL departure (Flights AX)",IF(AND(AS480=3,OR(Flights!$AX$18&gt;=Flights!$AA$18,Flights!$AX$18&lt;Flights!$AA$18-3)),"INVALID – Flights AX must be before this leg's STD (within 3 days)",IF(AG480&gt;AsOfUTC,"INVALID – completion time is in the future",IF(AND(ISNUMBER(S480),AG480&lt;S480),IF(H480="Physical uplift","INVALID – before uplift window (cannot confirm loading)","INVALID – before valid window"),IF(AG480&gt;Flights!$AA$18,"INVALID – completed after departure (cannot establish readiness)",IF(AND(H480="Physical uplift",AG480&gt;Q480),"INVALID – recorded after the loading flight departed",IF(AG480&gt;Q480,"COMPLETE – LATE","COMPLETE")))))))))))))))))),IF(TRIM(U480)="Fail","FAIL – DISCREPANCY",IF(AND(TRIM(U480)&lt;&gt;"",TRIM(U480)&lt;&gt;"Not started",TRIM(U480)&lt;&gt;"In progress"),"INVALID – unrecognised status (use the list)",IF(AsOfUTC&gt;Q480,"OVERDUE",IF(N480="Clarification required","OPEN – CLARIFICATION","OPEN")))))))</f>
        <v>OPEN</v>
      </c>
      <c r="AI480" s="61" t="n">
        <f aca="false">IF(OR(AH480="N/A – RULE",AH480="N/A – JUSTIFIED"),0,1)</f>
        <v>1</v>
      </c>
      <c r="AJ480" s="61" t="n">
        <f aca="false">IF(LEFT(AH480,8)="COMPLETE",1,0)</f>
        <v>0</v>
      </c>
      <c r="AK480" s="61" t="n">
        <f aca="false">IF(AND(AI480=1,AJ480=0,AsOfUTC&gt;Q480),1,0)</f>
        <v>0</v>
      </c>
      <c r="AL480" s="61" t="n">
        <f aca="false">IF(AND(AI480=1,OR(TRIM(U480)="Fail",AND(TRIM(AB480)&lt;&gt;"",TRIM(AB480)&lt;&gt;"Closed"),AND(ISNUMBER(AF480),AF480&lt;&gt;0,TRIM(U480)&lt;&gt;"Pass after CA"))),1,0)</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8" t="b">
        <f aca="false">TRUE()</f>
        <v>1</v>
      </c>
    </row>
    <row r="481" customFormat="false" ht="39.75" hidden="false" customHeight="true" outlineLevel="0" collapsed="false">
      <c r="A481" s="57" t="s">
        <v>1096</v>
      </c>
      <c r="B481" s="57" t="s">
        <v>270</v>
      </c>
      <c r="C481" s="57" t="str">
        <f aca="false">Flights!$F$19</f>
        <v>MH0003</v>
      </c>
      <c r="D481" s="58" t="n">
        <f aca="false">Flights!$D$19</f>
        <v>46320</v>
      </c>
      <c r="E481" s="57" t="str">
        <f aca="false">Flights!$G$19&amp;"-"&amp;Flights!$H$19</f>
        <v>LHR-KUL</v>
      </c>
      <c r="F481" s="57" t="str">
        <f aca="false">Flights!$K$19</f>
        <v>EY</v>
      </c>
      <c r="G481" s="57" t="s">
        <v>76</v>
      </c>
      <c r="H481" s="57" t="s">
        <v>343</v>
      </c>
      <c r="I481" s="57" t="s">
        <v>344</v>
      </c>
      <c r="J481" s="57" t="s">
        <v>345</v>
      </c>
      <c r="K481" s="67" t="s">
        <v>346</v>
      </c>
      <c r="L481" s="67" t="s">
        <v>347</v>
      </c>
      <c r="M481" s="67"/>
      <c r="N481" s="67" t="s">
        <v>348</v>
      </c>
      <c r="O481" s="67"/>
      <c r="P481" s="57" t="s">
        <v>178</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59" t="n">
        <f aca="false">Q481-T7EarlyD*24/24</f>
        <v>46299.4583333333</v>
      </c>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IF(N481="N/A – rule","N/A – RULE",IF(TRIM(U481)="N/A",IF(AT481=0,"INVALID – N/A not permitted for this mandatory check",IF(AND(TRIM(AC481)&lt;&gt;"",TRIM(AE481)&lt;&gt;"",TRIM(T481)&lt;&gt;"",TRIM(AE481)&lt;&gt;TRIM(T481)),"N/A – JUSTIFIED","INVALID – N/A needs justification, PIC and a different verifier")),IF(OR(TRIM(U481)="Pass",TRIM(U481)="Pass after CA"),IF(NOT(ISNUMBER(AD481)),"INVALID – completion time missing",IF(TRIM(T481)="","INVALID – PIC missing",IF(TRIM(V481)="","INVALID – result / assessment missing",IF(TRIM(Z481)="","INVALID – evidence missing",IF(TRIM(AE481)="","INVALID – verifier missing",IF(TRIM(AE481)=TRIM(T481),"INVALID – verifier must be someone other than the PIC",IF(AND(AQ481=1,TRIM(W481)=""),"INVALID – batch ID missing",IF(AND(AR481=1,OR(NOT(ISNUMBER(X481)),NOT(ISNUMBER(Y481)))),"INVALID – expected/actual qty missing",IF(IF(AND(TRIM(U481)="Pass",ISNUMBER(AF481)),IF(AF481&lt;&gt;0,"INVALID – qty variance: use Fail or Pass after CA",""),"")&amp;IF(AND(TRIM(U481)="Pass",TRIM(AB481)&lt;&gt;"",TRIM(AB481)&lt;&gt;"Closed"),"INVALID – corrective action not closed: use Fail, then Pass after CA","")&amp;IF(AND(TRIM(AA481)&lt;&gt;"",TRIM(AB481)=""),"INVALID – CA status missing for the recorded corrective action","")&amp;IF(AND(TRIM(U481)="Pass after CA",OR(TRIM(AA481)="",TRIM(AB481)&lt;&gt;"Closed")),"INVALID – corrective action not recorded/closed","")&lt;&gt;"",IF(AND(TRIM(U481)="Pass",ISNUMBER(AF481)),IF(AF481&lt;&gt;0,"INVALID – qty variance: use Fail or Pass after CA",""),"")&amp;IF(AND(TRIM(U481)="Pass",TRIM(AB481)&lt;&gt;"",TRIM(AB481)&lt;&gt;"Closed"),"INVALID – corrective action not closed: use Fail, then Pass after CA","")&amp;IF(AND(TRIM(AA481)&lt;&gt;"",TRIM(AB481)=""),"INVALID – CA status missing for the recorded corrective action","")&amp;IF(AND(TRIM(U481)="Pass after CA",OR(TRIM(AA481)="",TRIM(AB481)&lt;&gt;"Closed")),"INVALID – corrective action not recorded/closed",""),IF(AND(AS481=1,Documents!$J$19&lt;&gt;"ON FILE"),"INVALID – GLD not on file (Documents sheet)",IF(AND(AS481=2,Documents!$O$19&lt;&gt;"ON FILE"),"INVALID – menu checklist not on file (Documents sheet)",IF(AND(AS481=3,NOT(ISNUMBER(Flights!$AX$19))),"INVALID – enter carrying flight KUL departure (Flights AX)",IF(AND(AS481=3,OR(Flights!$AX$19&gt;=Flights!$AA$19,Flights!$AX$19&lt;Flights!$AA$19-3)),"INVALID – Flights AX must be before this leg's STD (within 3 days)",IF(AG481&gt;AsOfUTC,"INVALID – completion time is in the future",IF(AND(ISNUMBER(S481),AG481&lt;S481),IF(H481="Physical uplift","INVALID – before uplift window (cannot confirm loading)","INVALID – before valid window"),IF(AG481&gt;Flights!$AA$19,"INVALID – completed after departure (cannot establish readiness)",IF(AND(H481="Physical uplift",AG481&gt;Q481),"INVALID – recorded after the loading flight departed",IF(AG481&gt;Q481,"COMPLETE – LATE","COMPLETE")))))))))))))))))),IF(TRIM(U481)="Fail","FAIL – DISCREPANCY",IF(AND(TRIM(U481)&lt;&gt;"",TRIM(U481)&lt;&gt;"Not started",TRIM(U481)&lt;&gt;"In progress"),"INVALID – unrecognised status (use the list)",IF(AsOfUTC&gt;Q481,"OVERDUE",IF(N481="Clarification required","OPEN – CLARIFICATION","OPEN")))))))</f>
        <v>OPEN</v>
      </c>
      <c r="AI481" s="61" t="n">
        <f aca="false">IF(OR(AH481="N/A – RULE",AH481="N/A – JUSTIFIED"),0,1)</f>
        <v>1</v>
      </c>
      <c r="AJ481" s="61" t="n">
        <f aca="false">IF(LEFT(AH481,8)="COMPLETE",1,0)</f>
        <v>0</v>
      </c>
      <c r="AK481" s="61" t="n">
        <f aca="false">IF(AND(AI481=1,AJ481=0,AsOfUTC&gt;Q481),1,0)</f>
        <v>0</v>
      </c>
      <c r="AL481" s="61" t="n">
        <f aca="false">IF(AND(AI481=1,OR(TRIM(U481)="Fail",AND(TRIM(AB481)&lt;&gt;"",TRIM(AB481)&lt;&gt;"Closed"),AND(ISNUMBER(AF481),AF481&lt;&gt;0,TRIM(U481)&lt;&gt;"Pass after CA"))),1,0)</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row>
    <row r="482" customFormat="false" ht="39.75" hidden="false" customHeight="true" outlineLevel="0" collapsed="false">
      <c r="A482" s="57" t="s">
        <v>1097</v>
      </c>
      <c r="B482" s="57" t="s">
        <v>270</v>
      </c>
      <c r="C482" s="57" t="str">
        <f aca="false">Flights!$F$19</f>
        <v>MH0003</v>
      </c>
      <c r="D482" s="58" t="n">
        <f aca="false">Flights!$D$19</f>
        <v>46320</v>
      </c>
      <c r="E482" s="57" t="str">
        <f aca="false">Flights!$G$19&amp;"-"&amp;Flights!$H$19</f>
        <v>LHR-KUL</v>
      </c>
      <c r="F482" s="57" t="str">
        <f aca="false">Flights!$K$19</f>
        <v>EY</v>
      </c>
      <c r="G482" s="57" t="s">
        <v>76</v>
      </c>
      <c r="H482" s="57" t="s">
        <v>343</v>
      </c>
      <c r="I482" s="57" t="s">
        <v>350</v>
      </c>
      <c r="J482" s="57" t="s">
        <v>351</v>
      </c>
      <c r="K482" s="67" t="s">
        <v>352</v>
      </c>
      <c r="L482" s="67" t="s">
        <v>347</v>
      </c>
      <c r="M482" s="67"/>
      <c r="N482" s="67" t="s">
        <v>348</v>
      </c>
      <c r="O482" s="67"/>
      <c r="P482" s="57" t="s">
        <v>178</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59" t="n">
        <f aca="false">Q482-T7EarlyD*24/24</f>
        <v>46299.4583333333</v>
      </c>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IF(N482="N/A – rule","N/A – RULE",IF(TRIM(U482)="N/A",IF(AT482=0,"INVALID – N/A not permitted for this mandatory check",IF(AND(TRIM(AC482)&lt;&gt;"",TRIM(AE482)&lt;&gt;"",TRIM(T482)&lt;&gt;"",TRIM(AE482)&lt;&gt;TRIM(T482)),"N/A – JUSTIFIED","INVALID – N/A needs justification, PIC and a different verifier")),IF(OR(TRIM(U482)="Pass",TRIM(U482)="Pass after CA"),IF(NOT(ISNUMBER(AD482)),"INVALID – completion time missing",IF(TRIM(T482)="","INVALID – PIC missing",IF(TRIM(V482)="","INVALID – result / assessment missing",IF(TRIM(Z482)="","INVALID – evidence missing",IF(TRIM(AE482)="","INVALID – verifier missing",IF(TRIM(AE482)=TRIM(T482),"INVALID – verifier must be someone other than the PIC",IF(AND(AQ482=1,TRIM(W482)=""),"INVALID – batch ID missing",IF(AND(AR482=1,OR(NOT(ISNUMBER(X482)),NOT(ISNUMBER(Y482)))),"INVALID – expected/actual qty missing",IF(IF(AND(TRIM(U482)="Pass",ISNUMBER(AF482)),IF(AF482&lt;&gt;0,"INVALID – qty variance: use Fail or Pass after CA",""),"")&amp;IF(AND(TRIM(U482)="Pass",TRIM(AB482)&lt;&gt;"",TRIM(AB482)&lt;&gt;"Closed"),"INVALID – corrective action not closed: use Fail, then Pass after CA","")&amp;IF(AND(TRIM(AA482)&lt;&gt;"",TRIM(AB482)=""),"INVALID – CA status missing for the recorded corrective action","")&amp;IF(AND(TRIM(U482)="Pass after CA",OR(TRIM(AA482)="",TRIM(AB482)&lt;&gt;"Closed")),"INVALID – corrective action not recorded/closed","")&lt;&gt;"",IF(AND(TRIM(U482)="Pass",ISNUMBER(AF482)),IF(AF482&lt;&gt;0,"INVALID – qty variance: use Fail or Pass after CA",""),"")&amp;IF(AND(TRIM(U482)="Pass",TRIM(AB482)&lt;&gt;"",TRIM(AB482)&lt;&gt;"Closed"),"INVALID – corrective action not closed: use Fail, then Pass after CA","")&amp;IF(AND(TRIM(AA482)&lt;&gt;"",TRIM(AB482)=""),"INVALID – CA status missing for the recorded corrective action","")&amp;IF(AND(TRIM(U482)="Pass after CA",OR(TRIM(AA482)="",TRIM(AB482)&lt;&gt;"Closed")),"INVALID – corrective action not recorded/closed",""),IF(AND(AS482=1,Documents!$J$19&lt;&gt;"ON FILE"),"INVALID – GLD not on file (Documents sheet)",IF(AND(AS482=2,Documents!$O$19&lt;&gt;"ON FILE"),"INVALID – menu checklist not on file (Documents sheet)",IF(AND(AS482=3,NOT(ISNUMBER(Flights!$AX$19))),"INVALID – enter carrying flight KUL departure (Flights AX)",IF(AND(AS482=3,OR(Flights!$AX$19&gt;=Flights!$AA$19,Flights!$AX$19&lt;Flights!$AA$19-3)),"INVALID – Flights AX must be before this leg's STD (within 3 days)",IF(AG482&gt;AsOfUTC,"INVALID – completion time is in the future",IF(AND(ISNUMBER(S482),AG482&lt;S482),IF(H482="Physical uplift","INVALID – before uplift window (cannot confirm loading)","INVALID – before valid window"),IF(AG482&gt;Flights!$AA$19,"INVALID – completed after departure (cannot establish readiness)",IF(AND(H482="Physical uplift",AG482&gt;Q482),"INVALID – recorded after the loading flight departed",IF(AG482&gt;Q482,"COMPLETE – LATE","COMPLETE")))))))))))))))))),IF(TRIM(U482)="Fail","FAIL – DISCREPANCY",IF(AND(TRIM(U482)&lt;&gt;"",TRIM(U482)&lt;&gt;"Not started",TRIM(U482)&lt;&gt;"In progress"),"INVALID – unrecognised status (use the list)",IF(AsOfUTC&gt;Q482,"OVERDUE",IF(N482="Clarification required","OPEN – CLARIFICATION","OPEN")))))))</f>
        <v>OPEN</v>
      </c>
      <c r="AI482" s="61" t="n">
        <f aca="false">IF(OR(AH482="N/A – RULE",AH482="N/A – JUSTIFIED"),0,1)</f>
        <v>1</v>
      </c>
      <c r="AJ482" s="61" t="n">
        <f aca="false">IF(LEFT(AH482,8)="COMPLETE",1,0)</f>
        <v>0</v>
      </c>
      <c r="AK482" s="61" t="n">
        <f aca="false">IF(AND(AI482=1,AJ482=0,AsOfUTC&gt;Q482),1,0)</f>
        <v>0</v>
      </c>
      <c r="AL482" s="61" t="n">
        <f aca="false">IF(AND(AI482=1,OR(TRIM(U482)="Fail",AND(TRIM(AB482)&lt;&gt;"",TRIM(AB482)&lt;&gt;"Closed"),AND(ISNUMBER(AF482),AF482&lt;&gt;0,TRIM(U482)&lt;&gt;"Pass after CA"))),1,0)</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8" t="b">
        <f aca="false">TRUE()</f>
        <v>1</v>
      </c>
    </row>
    <row r="483" customFormat="false" ht="41.25" hidden="false" customHeight="true" outlineLevel="0" collapsed="false">
      <c r="A483" s="57" t="s">
        <v>1098</v>
      </c>
      <c r="B483" s="57" t="s">
        <v>270</v>
      </c>
      <c r="C483" s="57" t="str">
        <f aca="false">Flights!$F$19</f>
        <v>MH0003</v>
      </c>
      <c r="D483" s="58" t="n">
        <f aca="false">Flights!$D$19</f>
        <v>46320</v>
      </c>
      <c r="E483" s="57" t="str">
        <f aca="false">Flights!$G$19&amp;"-"&amp;Flights!$H$19</f>
        <v>LHR-KUL</v>
      </c>
      <c r="F483" s="57" t="str">
        <f aca="false">Flights!$K$19</f>
        <v>EY</v>
      </c>
      <c r="G483" s="57" t="s">
        <v>76</v>
      </c>
      <c r="H483" s="57" t="s">
        <v>343</v>
      </c>
      <c r="I483" s="57" t="s">
        <v>354</v>
      </c>
      <c r="J483" s="57" t="s">
        <v>355</v>
      </c>
      <c r="K483" s="67" t="s">
        <v>356</v>
      </c>
      <c r="L483" s="67" t="s">
        <v>347</v>
      </c>
      <c r="M483" s="67"/>
      <c r="N483" s="67" t="str">
        <f aca="false">IF(TRIM(Flights!$L$19)="A339","Required","N/A – rule")</f>
        <v>N/A – rule</v>
      </c>
      <c r="O483" s="67" t="s">
        <v>357</v>
      </c>
      <c r="P483" s="57" t="s">
        <v>178</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59" t="n">
        <f aca="false">Q483-T7EarlyD*24/24</f>
        <v>46299.4583333333</v>
      </c>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IF(N483="N/A – rule","N/A – RULE",IF(TRIM(U483)="N/A",IF(AT483=0,"INVALID – N/A not permitted for this mandatory check",IF(AND(TRIM(AC483)&lt;&gt;"",TRIM(AE483)&lt;&gt;"",TRIM(T483)&lt;&gt;"",TRIM(AE483)&lt;&gt;TRIM(T483)),"N/A – JUSTIFIED","INVALID – N/A needs justification, PIC and a different verifier")),IF(OR(TRIM(U483)="Pass",TRIM(U483)="Pass after CA"),IF(NOT(ISNUMBER(AD483)),"INVALID – completion time missing",IF(TRIM(T483)="","INVALID – PIC missing",IF(TRIM(V483)="","INVALID – result / assessment missing",IF(TRIM(Z483)="","INVALID – evidence missing",IF(TRIM(AE483)="","INVALID – verifier missing",IF(TRIM(AE483)=TRIM(T483),"INVALID – verifier must be someone other than the PIC",IF(AND(AQ483=1,TRIM(W483)=""),"INVALID – batch ID missing",IF(AND(AR483=1,OR(NOT(ISNUMBER(X483)),NOT(ISNUMBER(Y483)))),"INVALID – expected/actual qty missing",IF(IF(AND(TRIM(U483)="Pass",ISNUMBER(AF483)),IF(AF483&lt;&gt;0,"INVALID – qty variance: use Fail or Pass after CA",""),"")&amp;IF(AND(TRIM(U483)="Pass",TRIM(AB483)&lt;&gt;"",TRIM(AB483)&lt;&gt;"Closed"),"INVALID – corrective action not closed: use Fail, then Pass after CA","")&amp;IF(AND(TRIM(AA483)&lt;&gt;"",TRIM(AB483)=""),"INVALID – CA status missing for the recorded corrective action","")&amp;IF(AND(TRIM(U483)="Pass after CA",OR(TRIM(AA483)="",TRIM(AB483)&lt;&gt;"Closed")),"INVALID – corrective action not recorded/closed","")&lt;&gt;"",IF(AND(TRIM(U483)="Pass",ISNUMBER(AF483)),IF(AF483&lt;&gt;0,"INVALID – qty variance: use Fail or Pass after CA",""),"")&amp;IF(AND(TRIM(U483)="Pass",TRIM(AB483)&lt;&gt;"",TRIM(AB483)&lt;&gt;"Closed"),"INVALID – corrective action not closed: use Fail, then Pass after CA","")&amp;IF(AND(TRIM(AA483)&lt;&gt;"",TRIM(AB483)=""),"INVALID – CA status missing for the recorded corrective action","")&amp;IF(AND(TRIM(U483)="Pass after CA",OR(TRIM(AA483)="",TRIM(AB483)&lt;&gt;"Closed")),"INVALID – corrective action not recorded/closed",""),IF(AND(AS483=1,Documents!$J$19&lt;&gt;"ON FILE"),"INVALID – GLD not on file (Documents sheet)",IF(AND(AS483=2,Documents!$O$19&lt;&gt;"ON FILE"),"INVALID – menu checklist not on file (Documents sheet)",IF(AND(AS483=3,NOT(ISNUMBER(Flights!$AX$19))),"INVALID – enter carrying flight KUL departure (Flights AX)",IF(AND(AS483=3,OR(Flights!$AX$19&gt;=Flights!$AA$19,Flights!$AX$19&lt;Flights!$AA$19-3)),"INVALID – Flights AX must be before this leg's STD (within 3 days)",IF(AG483&gt;AsOfUTC,"INVALID – completion time is in the future",IF(AND(ISNUMBER(S483),AG483&lt;S483),IF(H483="Physical uplift","INVALID – before uplift window (cannot confirm loading)","INVALID – before valid window"),IF(AG483&gt;Flights!$AA$19,"INVALID – completed after departure (cannot establish readiness)",IF(AND(H483="Physical uplift",AG483&gt;Q483),"INVALID – recorded after the loading flight departed",IF(AG483&gt;Q483,"COMPLETE – LATE","COMPLETE")))))))))))))))))),IF(TRIM(U483)="Fail","FAIL – DISCREPANCY",IF(AND(TRIM(U483)&lt;&gt;"",TRIM(U483)&lt;&gt;"Not started",TRIM(U483)&lt;&gt;"In progress"),"INVALID – unrecognised status (use the list)",IF(AsOfUTC&gt;Q483,"OVERDUE",IF(N483="Clarification required","OPEN – CLARIFICATION","OPEN")))))))</f>
        <v>N/A – RULE</v>
      </c>
      <c r="AI483" s="61" t="n">
        <f aca="false">IF(OR(AH483="N/A – RULE",AH483="N/A – JUSTIFIED"),0,1)</f>
        <v>0</v>
      </c>
      <c r="AJ483" s="61" t="n">
        <f aca="false">IF(LEFT(AH483,8)="COMPLETE",1,0)</f>
        <v>0</v>
      </c>
      <c r="AK483" s="61" t="n">
        <f aca="false">IF(AND(AI483=1,AJ483=0,AsOfUTC&gt;Q483),1,0)</f>
        <v>0</v>
      </c>
      <c r="AL483" s="61" t="n">
        <f aca="false">IF(AND(AI483=1,OR(TRIM(U483)="Fail",AND(TRIM(AB483)&lt;&gt;"",TRIM(AB483)&lt;&gt;"Closed"),AND(ISNUMBER(AF483),AF483&lt;&gt;0,TRIM(U483)&lt;&gt;"Pass after CA"))),1,0)</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row>
    <row r="484" customFormat="false" ht="39.75" hidden="false" customHeight="true" outlineLevel="0" collapsed="false">
      <c r="A484" s="57" t="s">
        <v>1099</v>
      </c>
      <c r="B484" s="57" t="s">
        <v>270</v>
      </c>
      <c r="C484" s="57" t="str">
        <f aca="false">Flights!$F$19</f>
        <v>MH0003</v>
      </c>
      <c r="D484" s="58" t="n">
        <f aca="false">Flights!$D$19</f>
        <v>46320</v>
      </c>
      <c r="E484" s="57" t="str">
        <f aca="false">Flights!$G$19&amp;"-"&amp;Flights!$H$19</f>
        <v>LHR-KUL</v>
      </c>
      <c r="F484" s="57" t="str">
        <f aca="false">Flights!$K$19</f>
        <v>EY</v>
      </c>
      <c r="G484" s="57" t="s">
        <v>76</v>
      </c>
      <c r="H484" s="57" t="s">
        <v>343</v>
      </c>
      <c r="I484" s="57" t="s">
        <v>359</v>
      </c>
      <c r="J484" s="57" t="s">
        <v>360</v>
      </c>
      <c r="K484" s="67" t="s">
        <v>361</v>
      </c>
      <c r="L484" s="67" t="s">
        <v>347</v>
      </c>
      <c r="M484" s="67"/>
      <c r="N484" s="67" t="s">
        <v>348</v>
      </c>
      <c r="O484" s="67"/>
      <c r="P484" s="57" t="s">
        <v>178</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59" t="n">
        <f aca="false">Q484-T7EarlyD*24/24</f>
        <v>46299.4583333333</v>
      </c>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IF(N484="N/A – rule","N/A – RULE",IF(TRIM(U484)="N/A",IF(AT484=0,"INVALID – N/A not permitted for this mandatory check",IF(AND(TRIM(AC484)&lt;&gt;"",TRIM(AE484)&lt;&gt;"",TRIM(T484)&lt;&gt;"",TRIM(AE484)&lt;&gt;TRIM(T484)),"N/A – JUSTIFIED","INVALID – N/A needs justification, PIC and a different verifier")),IF(OR(TRIM(U484)="Pass",TRIM(U484)="Pass after CA"),IF(NOT(ISNUMBER(AD484)),"INVALID – completion time missing",IF(TRIM(T484)="","INVALID – PIC missing",IF(TRIM(V484)="","INVALID – result / assessment missing",IF(TRIM(Z484)="","INVALID – evidence missing",IF(TRIM(AE484)="","INVALID – verifier missing",IF(TRIM(AE484)=TRIM(T484),"INVALID – verifier must be someone other than the PIC",IF(AND(AQ484=1,TRIM(W484)=""),"INVALID – batch ID missing",IF(AND(AR484=1,OR(NOT(ISNUMBER(X484)),NOT(ISNUMBER(Y484)))),"INVALID – expected/actual qty missing",IF(IF(AND(TRIM(U484)="Pass",ISNUMBER(AF484)),IF(AF484&lt;&gt;0,"INVALID – qty variance: use Fail or Pass after CA",""),"")&amp;IF(AND(TRIM(U484)="Pass",TRIM(AB484)&lt;&gt;"",TRIM(AB484)&lt;&gt;"Closed"),"INVALID – corrective action not closed: use Fail, then Pass after CA","")&amp;IF(AND(TRIM(AA484)&lt;&gt;"",TRIM(AB484)=""),"INVALID – CA status missing for the recorded corrective action","")&amp;IF(AND(TRIM(U484)="Pass after CA",OR(TRIM(AA484)="",TRIM(AB484)&lt;&gt;"Closed")),"INVALID – corrective action not recorded/closed","")&lt;&gt;"",IF(AND(TRIM(U484)="Pass",ISNUMBER(AF484)),IF(AF484&lt;&gt;0,"INVALID – qty variance: use Fail or Pass after CA",""),"")&amp;IF(AND(TRIM(U484)="Pass",TRIM(AB484)&lt;&gt;"",TRIM(AB484)&lt;&gt;"Closed"),"INVALID – corrective action not closed: use Fail, then Pass after CA","")&amp;IF(AND(TRIM(AA484)&lt;&gt;"",TRIM(AB484)=""),"INVALID – CA status missing for the recorded corrective action","")&amp;IF(AND(TRIM(U484)="Pass after CA",OR(TRIM(AA484)="",TRIM(AB484)&lt;&gt;"Closed")),"INVALID – corrective action not recorded/closed",""),IF(AND(AS484=1,Documents!$J$19&lt;&gt;"ON FILE"),"INVALID – GLD not on file (Documents sheet)",IF(AND(AS484=2,Documents!$O$19&lt;&gt;"ON FILE"),"INVALID – menu checklist not on file (Documents sheet)",IF(AND(AS484=3,NOT(ISNUMBER(Flights!$AX$19))),"INVALID – enter carrying flight KUL departure (Flights AX)",IF(AND(AS484=3,OR(Flights!$AX$19&gt;=Flights!$AA$19,Flights!$AX$19&lt;Flights!$AA$19-3)),"INVALID – Flights AX must be before this leg's STD (within 3 days)",IF(AG484&gt;AsOfUTC,"INVALID – completion time is in the future",IF(AND(ISNUMBER(S484),AG484&lt;S484),IF(H484="Physical uplift","INVALID – before uplift window (cannot confirm loading)","INVALID – before valid window"),IF(AG484&gt;Flights!$AA$19,"INVALID – completed after departure (cannot establish readiness)",IF(AND(H484="Physical uplift",AG484&gt;Q484),"INVALID – recorded after the loading flight departed",IF(AG484&gt;Q484,"COMPLETE – LATE","COMPLETE")))))))))))))))))),IF(TRIM(U484)="Fail","FAIL – DISCREPANCY",IF(AND(TRIM(U484)&lt;&gt;"",TRIM(U484)&lt;&gt;"Not started",TRIM(U484)&lt;&gt;"In progress"),"INVALID – unrecognised status (use the list)",IF(AsOfUTC&gt;Q484,"OVERDUE",IF(N484="Clarification required","OPEN – CLARIFICATION","OPEN")))))))</f>
        <v>OPEN</v>
      </c>
      <c r="AI484" s="61" t="n">
        <f aca="false">IF(OR(AH484="N/A – RULE",AH484="N/A – JUSTIFIED"),0,1)</f>
        <v>1</v>
      </c>
      <c r="AJ484" s="61" t="n">
        <f aca="false">IF(LEFT(AH484,8)="COMPLETE",1,0)</f>
        <v>0</v>
      </c>
      <c r="AK484" s="61" t="n">
        <f aca="false">IF(AND(AI484=1,AJ484=0,AsOfUTC&gt;Q484),1,0)</f>
        <v>0</v>
      </c>
      <c r="AL484" s="61" t="n">
        <f aca="false">IF(AND(AI484=1,OR(TRIM(U484)="Fail",AND(TRIM(AB484)&lt;&gt;"",TRIM(AB484)&lt;&gt;"Closed"),AND(ISNUMBER(AF484),AF484&lt;&gt;0,TRIM(U484)&lt;&gt;"Pass after CA"))),1,0)</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row>
    <row r="485" customFormat="false" ht="39.75" hidden="false" customHeight="true" outlineLevel="0" collapsed="false">
      <c r="A485" s="57" t="s">
        <v>1100</v>
      </c>
      <c r="B485" s="57" t="s">
        <v>270</v>
      </c>
      <c r="C485" s="57" t="str">
        <f aca="false">Flights!$F$19</f>
        <v>MH0003</v>
      </c>
      <c r="D485" s="58" t="n">
        <f aca="false">Flights!$D$19</f>
        <v>46320</v>
      </c>
      <c r="E485" s="57" t="str">
        <f aca="false">Flights!$G$19&amp;"-"&amp;Flights!$H$19</f>
        <v>LHR-KUL</v>
      </c>
      <c r="F485" s="57" t="str">
        <f aca="false">Flights!$K$19</f>
        <v>EY</v>
      </c>
      <c r="G485" s="57" t="s">
        <v>76</v>
      </c>
      <c r="H485" s="57" t="s">
        <v>343</v>
      </c>
      <c r="I485" s="57" t="s">
        <v>363</v>
      </c>
      <c r="J485" s="57" t="s">
        <v>364</v>
      </c>
      <c r="K485" s="67" t="s">
        <v>365</v>
      </c>
      <c r="L485" s="67" t="s">
        <v>347</v>
      </c>
      <c r="M485" s="67"/>
      <c r="N485" s="67" t="s">
        <v>348</v>
      </c>
      <c r="O485" s="67"/>
      <c r="P485" s="57" t="s">
        <v>178</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59" t="n">
        <f aca="false">Q485-T7EarlyD*24/24</f>
        <v>46299.4583333333</v>
      </c>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IF(N485="N/A – rule","N/A – RULE",IF(TRIM(U485)="N/A",IF(AT485=0,"INVALID – N/A not permitted for this mandatory check",IF(AND(TRIM(AC485)&lt;&gt;"",TRIM(AE485)&lt;&gt;"",TRIM(T485)&lt;&gt;"",TRIM(AE485)&lt;&gt;TRIM(T485)),"N/A – JUSTIFIED","INVALID – N/A needs justification, PIC and a different verifier")),IF(OR(TRIM(U485)="Pass",TRIM(U485)="Pass after CA"),IF(NOT(ISNUMBER(AD485)),"INVALID – completion time missing",IF(TRIM(T485)="","INVALID – PIC missing",IF(TRIM(V485)="","INVALID – result / assessment missing",IF(TRIM(Z485)="","INVALID – evidence missing",IF(TRIM(AE485)="","INVALID – verifier missing",IF(TRIM(AE485)=TRIM(T485),"INVALID – verifier must be someone other than the PIC",IF(AND(AQ485=1,TRIM(W485)=""),"INVALID – batch ID missing",IF(AND(AR485=1,OR(NOT(ISNUMBER(X485)),NOT(ISNUMBER(Y485)))),"INVALID – expected/actual qty missing",IF(IF(AND(TRIM(U485)="Pass",ISNUMBER(AF485)),IF(AF485&lt;&gt;0,"INVALID – qty variance: use Fail or Pass after CA",""),"")&amp;IF(AND(TRIM(U485)="Pass",TRIM(AB485)&lt;&gt;"",TRIM(AB485)&lt;&gt;"Closed"),"INVALID – corrective action not closed: use Fail, then Pass after CA","")&amp;IF(AND(TRIM(AA485)&lt;&gt;"",TRIM(AB485)=""),"INVALID – CA status missing for the recorded corrective action","")&amp;IF(AND(TRIM(U485)="Pass after CA",OR(TRIM(AA485)="",TRIM(AB485)&lt;&gt;"Closed")),"INVALID – corrective action not recorded/closed","")&lt;&gt;"",IF(AND(TRIM(U485)="Pass",ISNUMBER(AF485)),IF(AF485&lt;&gt;0,"INVALID – qty variance: use Fail or Pass after CA",""),"")&amp;IF(AND(TRIM(U485)="Pass",TRIM(AB485)&lt;&gt;"",TRIM(AB485)&lt;&gt;"Closed"),"INVALID – corrective action not closed: use Fail, then Pass after CA","")&amp;IF(AND(TRIM(AA485)&lt;&gt;"",TRIM(AB485)=""),"INVALID – CA status missing for the recorded corrective action","")&amp;IF(AND(TRIM(U485)="Pass after CA",OR(TRIM(AA485)="",TRIM(AB485)&lt;&gt;"Closed")),"INVALID – corrective action not recorded/closed",""),IF(AND(AS485=1,Documents!$J$19&lt;&gt;"ON FILE"),"INVALID – GLD not on file (Documents sheet)",IF(AND(AS485=2,Documents!$O$19&lt;&gt;"ON FILE"),"INVALID – menu checklist not on file (Documents sheet)",IF(AND(AS485=3,NOT(ISNUMBER(Flights!$AX$19))),"INVALID – enter carrying flight KUL departure (Flights AX)",IF(AND(AS485=3,OR(Flights!$AX$19&gt;=Flights!$AA$19,Flights!$AX$19&lt;Flights!$AA$19-3)),"INVALID – Flights AX must be before this leg's STD (within 3 days)",IF(AG485&gt;AsOfUTC,"INVALID – completion time is in the future",IF(AND(ISNUMBER(S485),AG485&lt;S485),IF(H485="Physical uplift","INVALID – before uplift window (cannot confirm loading)","INVALID – before valid window"),IF(AG485&gt;Flights!$AA$19,"INVALID – completed after departure (cannot establish readiness)",IF(AND(H485="Physical uplift",AG485&gt;Q485),"INVALID – recorded after the loading flight departed",IF(AG485&gt;Q485,"COMPLETE – LATE","COMPLETE")))))))))))))))))),IF(TRIM(U485)="Fail","FAIL – DISCREPANCY",IF(AND(TRIM(U485)&lt;&gt;"",TRIM(U485)&lt;&gt;"Not started",TRIM(U485)&lt;&gt;"In progress"),"INVALID – unrecognised status (use the list)",IF(AsOfUTC&gt;Q485,"OVERDUE",IF(N485="Clarification required","OPEN – CLARIFICATION","OPEN")))))))</f>
        <v>OPEN</v>
      </c>
      <c r="AI485" s="61" t="n">
        <f aca="false">IF(OR(AH485="N/A – RULE",AH485="N/A – JUSTIFIED"),0,1)</f>
        <v>1</v>
      </c>
      <c r="AJ485" s="61" t="n">
        <f aca="false">IF(LEFT(AH485,8)="COMPLETE",1,0)</f>
        <v>0</v>
      </c>
      <c r="AK485" s="61" t="n">
        <f aca="false">IF(AND(AI485=1,AJ485=0,AsOfUTC&gt;Q485),1,0)</f>
        <v>0</v>
      </c>
      <c r="AL485" s="61" t="n">
        <f aca="false">IF(AND(AI485=1,OR(TRIM(U485)="Fail",AND(TRIM(AB485)&lt;&gt;"",TRIM(AB485)&lt;&gt;"Closed"),AND(ISNUMBER(AF485),AF485&lt;&gt;0,TRIM(U485)&lt;&gt;"Pass after CA"))),1,0)</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row>
    <row r="486" customFormat="false" ht="39.75" hidden="false" customHeight="true" outlineLevel="0" collapsed="false">
      <c r="A486" s="57" t="s">
        <v>1101</v>
      </c>
      <c r="B486" s="57" t="s">
        <v>270</v>
      </c>
      <c r="C486" s="57" t="str">
        <f aca="false">Flights!$F$19</f>
        <v>MH0003</v>
      </c>
      <c r="D486" s="58" t="n">
        <f aca="false">Flights!$D$19</f>
        <v>46320</v>
      </c>
      <c r="E486" s="57" t="str">
        <f aca="false">Flights!$G$19&amp;"-"&amp;Flights!$H$19</f>
        <v>LHR-KUL</v>
      </c>
      <c r="F486" s="57" t="str">
        <f aca="false">Flights!$K$19</f>
        <v>EY</v>
      </c>
      <c r="G486" s="57" t="s">
        <v>76</v>
      </c>
      <c r="H486" s="57" t="s">
        <v>343</v>
      </c>
      <c r="I486" s="57" t="s">
        <v>363</v>
      </c>
      <c r="J486" s="57" t="s">
        <v>367</v>
      </c>
      <c r="K486" s="67" t="s">
        <v>368</v>
      </c>
      <c r="L486" s="67" t="s">
        <v>347</v>
      </c>
      <c r="M486" s="67"/>
      <c r="N486" s="67" t="s">
        <v>348</v>
      </c>
      <c r="O486" s="67"/>
      <c r="P486" s="57" t="s">
        <v>178</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59" t="n">
        <f aca="false">Q486-T7EarlyD*24/24</f>
        <v>46299.4583333333</v>
      </c>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IF(N486="N/A – rule","N/A – RULE",IF(TRIM(U486)="N/A",IF(AT486=0,"INVALID – N/A not permitted for this mandatory check",IF(AND(TRIM(AC486)&lt;&gt;"",TRIM(AE486)&lt;&gt;"",TRIM(T486)&lt;&gt;"",TRIM(AE486)&lt;&gt;TRIM(T486)),"N/A – JUSTIFIED","INVALID – N/A needs justification, PIC and a different verifier")),IF(OR(TRIM(U486)="Pass",TRIM(U486)="Pass after CA"),IF(NOT(ISNUMBER(AD486)),"INVALID – completion time missing",IF(TRIM(T486)="","INVALID – PIC missing",IF(TRIM(V486)="","INVALID – result / assessment missing",IF(TRIM(Z486)="","INVALID – evidence missing",IF(TRIM(AE486)="","INVALID – verifier missing",IF(TRIM(AE486)=TRIM(T486),"INVALID – verifier must be someone other than the PIC",IF(AND(AQ486=1,TRIM(W486)=""),"INVALID – batch ID missing",IF(AND(AR486=1,OR(NOT(ISNUMBER(X486)),NOT(ISNUMBER(Y486)))),"INVALID – expected/actual qty missing",IF(IF(AND(TRIM(U486)="Pass",ISNUMBER(AF486)),IF(AF486&lt;&gt;0,"INVALID – qty variance: use Fail or Pass after CA",""),"")&amp;IF(AND(TRIM(U486)="Pass",TRIM(AB486)&lt;&gt;"",TRIM(AB486)&lt;&gt;"Closed"),"INVALID – corrective action not closed: use Fail, then Pass after CA","")&amp;IF(AND(TRIM(AA486)&lt;&gt;"",TRIM(AB486)=""),"INVALID – CA status missing for the recorded corrective action","")&amp;IF(AND(TRIM(U486)="Pass after CA",OR(TRIM(AA486)="",TRIM(AB486)&lt;&gt;"Closed")),"INVALID – corrective action not recorded/closed","")&lt;&gt;"",IF(AND(TRIM(U486)="Pass",ISNUMBER(AF486)),IF(AF486&lt;&gt;0,"INVALID – qty variance: use Fail or Pass after CA",""),"")&amp;IF(AND(TRIM(U486)="Pass",TRIM(AB486)&lt;&gt;"",TRIM(AB486)&lt;&gt;"Closed"),"INVALID – corrective action not closed: use Fail, then Pass after CA","")&amp;IF(AND(TRIM(AA486)&lt;&gt;"",TRIM(AB486)=""),"INVALID – CA status missing for the recorded corrective action","")&amp;IF(AND(TRIM(U486)="Pass after CA",OR(TRIM(AA486)="",TRIM(AB486)&lt;&gt;"Closed")),"INVALID – corrective action not recorded/closed",""),IF(AND(AS486=1,Documents!$J$19&lt;&gt;"ON FILE"),"INVALID – GLD not on file (Documents sheet)",IF(AND(AS486=2,Documents!$O$19&lt;&gt;"ON FILE"),"INVALID – menu checklist not on file (Documents sheet)",IF(AND(AS486=3,NOT(ISNUMBER(Flights!$AX$19))),"INVALID – enter carrying flight KUL departure (Flights AX)",IF(AND(AS486=3,OR(Flights!$AX$19&gt;=Flights!$AA$19,Flights!$AX$19&lt;Flights!$AA$19-3)),"INVALID – Flights AX must be before this leg's STD (within 3 days)",IF(AG486&gt;AsOfUTC,"INVALID – completion time is in the future",IF(AND(ISNUMBER(S486),AG486&lt;S486),IF(H486="Physical uplift","INVALID – before uplift window (cannot confirm loading)","INVALID – before valid window"),IF(AG486&gt;Flights!$AA$19,"INVALID – completed after departure (cannot establish readiness)",IF(AND(H486="Physical uplift",AG486&gt;Q486),"INVALID – recorded after the loading flight departed",IF(AG486&gt;Q486,"COMPLETE – LATE","COMPLETE")))))))))))))))))),IF(TRIM(U486)="Fail","FAIL – DISCREPANCY",IF(AND(TRIM(U486)&lt;&gt;"",TRIM(U486)&lt;&gt;"Not started",TRIM(U486)&lt;&gt;"In progress"),"INVALID – unrecognised status (use the list)",IF(AsOfUTC&gt;Q486,"OVERDUE",IF(N486="Clarification required","OPEN – CLARIFICATION","OPEN")))))))</f>
        <v>OPEN</v>
      </c>
      <c r="AI486" s="61" t="n">
        <f aca="false">IF(OR(AH486="N/A – RULE",AH486="N/A – JUSTIFIED"),0,1)</f>
        <v>1</v>
      </c>
      <c r="AJ486" s="61" t="n">
        <f aca="false">IF(LEFT(AH486,8)="COMPLETE",1,0)</f>
        <v>0</v>
      </c>
      <c r="AK486" s="61" t="n">
        <f aca="false">IF(AND(AI486=1,AJ486=0,AsOfUTC&gt;Q486),1,0)</f>
        <v>0</v>
      </c>
      <c r="AL486" s="61" t="n">
        <f aca="false">IF(AND(AI486=1,OR(TRIM(U486)="Fail",AND(TRIM(AB486)&lt;&gt;"",TRIM(AB486)&lt;&gt;"Closed"),AND(ISNUMBER(AF486),AF486&lt;&gt;0,TRIM(U486)&lt;&gt;"Pass after CA"))),1,0)</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row>
    <row r="487" customFormat="false" ht="39.75" hidden="false" customHeight="true" outlineLevel="0" collapsed="false">
      <c r="A487" s="57" t="s">
        <v>1102</v>
      </c>
      <c r="B487" s="57" t="s">
        <v>270</v>
      </c>
      <c r="C487" s="57" t="str">
        <f aca="false">Flights!$F$19</f>
        <v>MH0003</v>
      </c>
      <c r="D487" s="58" t="n">
        <f aca="false">Flights!$D$19</f>
        <v>46320</v>
      </c>
      <c r="E487" s="57" t="str">
        <f aca="false">Flights!$G$19&amp;"-"&amp;Flights!$H$19</f>
        <v>LHR-KUL</v>
      </c>
      <c r="F487" s="57" t="str">
        <f aca="false">Flights!$K$19</f>
        <v>EY</v>
      </c>
      <c r="G487" s="57" t="s">
        <v>76</v>
      </c>
      <c r="H487" s="57" t="s">
        <v>343</v>
      </c>
      <c r="I487" s="57" t="s">
        <v>370</v>
      </c>
      <c r="J487" s="57" t="s">
        <v>371</v>
      </c>
      <c r="K487" s="67" t="s">
        <v>372</v>
      </c>
      <c r="L487" s="67" t="s">
        <v>347</v>
      </c>
      <c r="M487" s="67"/>
      <c r="N487" s="67" t="s">
        <v>348</v>
      </c>
      <c r="O487" s="67"/>
      <c r="P487" s="57" t="s">
        <v>178</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59" t="n">
        <f aca="false">Q487-T7EarlyD*24/24</f>
        <v>46299.4583333333</v>
      </c>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IF(N487="N/A – rule","N/A – RULE",IF(TRIM(U487)="N/A",IF(AT487=0,"INVALID – N/A not permitted for this mandatory check",IF(AND(TRIM(AC487)&lt;&gt;"",TRIM(AE487)&lt;&gt;"",TRIM(T487)&lt;&gt;"",TRIM(AE487)&lt;&gt;TRIM(T487)),"N/A – JUSTIFIED","INVALID – N/A needs justification, PIC and a different verifier")),IF(OR(TRIM(U487)="Pass",TRIM(U487)="Pass after CA"),IF(NOT(ISNUMBER(AD487)),"INVALID – completion time missing",IF(TRIM(T487)="","INVALID – PIC missing",IF(TRIM(V487)="","INVALID – result / assessment missing",IF(TRIM(Z487)="","INVALID – evidence missing",IF(TRIM(AE487)="","INVALID – verifier missing",IF(TRIM(AE487)=TRIM(T487),"INVALID – verifier must be someone other than the PIC",IF(AND(AQ487=1,TRIM(W487)=""),"INVALID – batch ID missing",IF(AND(AR487=1,OR(NOT(ISNUMBER(X487)),NOT(ISNUMBER(Y487)))),"INVALID – expected/actual qty missing",IF(IF(AND(TRIM(U487)="Pass",ISNUMBER(AF487)),IF(AF487&lt;&gt;0,"INVALID – qty variance: use Fail or Pass after CA",""),"")&amp;IF(AND(TRIM(U487)="Pass",TRIM(AB487)&lt;&gt;"",TRIM(AB487)&lt;&gt;"Closed"),"INVALID – corrective action not closed: use Fail, then Pass after CA","")&amp;IF(AND(TRIM(AA487)&lt;&gt;"",TRIM(AB487)=""),"INVALID – CA status missing for the recorded corrective action","")&amp;IF(AND(TRIM(U487)="Pass after CA",OR(TRIM(AA487)="",TRIM(AB487)&lt;&gt;"Closed")),"INVALID – corrective action not recorded/closed","")&lt;&gt;"",IF(AND(TRIM(U487)="Pass",ISNUMBER(AF487)),IF(AF487&lt;&gt;0,"INVALID – qty variance: use Fail or Pass after CA",""),"")&amp;IF(AND(TRIM(U487)="Pass",TRIM(AB487)&lt;&gt;"",TRIM(AB487)&lt;&gt;"Closed"),"INVALID – corrective action not closed: use Fail, then Pass after CA","")&amp;IF(AND(TRIM(AA487)&lt;&gt;"",TRIM(AB487)=""),"INVALID – CA status missing for the recorded corrective action","")&amp;IF(AND(TRIM(U487)="Pass after CA",OR(TRIM(AA487)="",TRIM(AB487)&lt;&gt;"Closed")),"INVALID – corrective action not recorded/closed",""),IF(AND(AS487=1,Documents!$J$19&lt;&gt;"ON FILE"),"INVALID – GLD not on file (Documents sheet)",IF(AND(AS487=2,Documents!$O$19&lt;&gt;"ON FILE"),"INVALID – menu checklist not on file (Documents sheet)",IF(AND(AS487=3,NOT(ISNUMBER(Flights!$AX$19))),"INVALID – enter carrying flight KUL departure (Flights AX)",IF(AND(AS487=3,OR(Flights!$AX$19&gt;=Flights!$AA$19,Flights!$AX$19&lt;Flights!$AA$19-3)),"INVALID – Flights AX must be before this leg's STD (within 3 days)",IF(AG487&gt;AsOfUTC,"INVALID – completion time is in the future",IF(AND(ISNUMBER(S487),AG487&lt;S487),IF(H487="Physical uplift","INVALID – before uplift window (cannot confirm loading)","INVALID – before valid window"),IF(AG487&gt;Flights!$AA$19,"INVALID – completed after departure (cannot establish readiness)",IF(AND(H487="Physical uplift",AG487&gt;Q487),"INVALID – recorded after the loading flight departed",IF(AG487&gt;Q487,"COMPLETE – LATE","COMPLETE")))))))))))))))))),IF(TRIM(U487)="Fail","FAIL – DISCREPANCY",IF(AND(TRIM(U487)&lt;&gt;"",TRIM(U487)&lt;&gt;"Not started",TRIM(U487)&lt;&gt;"In progress"),"INVALID – unrecognised status (use the list)",IF(AsOfUTC&gt;Q487,"OVERDUE",IF(N487="Clarification required","OPEN – CLARIFICATION","OPEN")))))))</f>
        <v>OPEN</v>
      </c>
      <c r="AI487" s="61" t="n">
        <f aca="false">IF(OR(AH487="N/A – RULE",AH487="N/A – JUSTIFIED"),0,1)</f>
        <v>1</v>
      </c>
      <c r="AJ487" s="61" t="n">
        <f aca="false">IF(LEFT(AH487,8)="COMPLETE",1,0)</f>
        <v>0</v>
      </c>
      <c r="AK487" s="61" t="n">
        <f aca="false">IF(AND(AI487=1,AJ487=0,AsOfUTC&gt;Q487),1,0)</f>
        <v>0</v>
      </c>
      <c r="AL487" s="61" t="n">
        <f aca="false">IF(AND(AI487=1,OR(TRIM(U487)="Fail",AND(TRIM(AB487)&lt;&gt;"",TRIM(AB487)&lt;&gt;"Closed"),AND(ISNUMBER(AF487),AF487&lt;&gt;0,TRIM(U487)&lt;&gt;"Pass after CA"))),1,0)</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row>
    <row r="488" customFormat="false" ht="39.75" hidden="false" customHeight="true" outlineLevel="0" collapsed="false">
      <c r="A488" s="57" t="s">
        <v>1103</v>
      </c>
      <c r="B488" s="57" t="s">
        <v>270</v>
      </c>
      <c r="C488" s="57" t="str">
        <f aca="false">Flights!$F$19</f>
        <v>MH0003</v>
      </c>
      <c r="D488" s="58" t="n">
        <f aca="false">Flights!$D$19</f>
        <v>46320</v>
      </c>
      <c r="E488" s="57" t="str">
        <f aca="false">Flights!$G$19&amp;"-"&amp;Flights!$H$19</f>
        <v>LHR-KUL</v>
      </c>
      <c r="F488" s="57" t="str">
        <f aca="false">Flights!$K$19</f>
        <v>EY</v>
      </c>
      <c r="G488" s="57" t="s">
        <v>76</v>
      </c>
      <c r="H488" s="57" t="s">
        <v>343</v>
      </c>
      <c r="I488" s="57" t="s">
        <v>370</v>
      </c>
      <c r="J488" s="57" t="s">
        <v>374</v>
      </c>
      <c r="K488" s="67" t="s">
        <v>372</v>
      </c>
      <c r="L488" s="67" t="s">
        <v>347</v>
      </c>
      <c r="M488" s="67"/>
      <c r="N488" s="67" t="s">
        <v>348</v>
      </c>
      <c r="O488" s="67"/>
      <c r="P488" s="57" t="s">
        <v>178</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59" t="n">
        <f aca="false">Q488-T7EarlyD*24/24</f>
        <v>46299.4583333333</v>
      </c>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IF(N488="N/A – rule","N/A – RULE",IF(TRIM(U488)="N/A",IF(AT488=0,"INVALID – N/A not permitted for this mandatory check",IF(AND(TRIM(AC488)&lt;&gt;"",TRIM(AE488)&lt;&gt;"",TRIM(T488)&lt;&gt;"",TRIM(AE488)&lt;&gt;TRIM(T488)),"N/A – JUSTIFIED","INVALID – N/A needs justification, PIC and a different verifier")),IF(OR(TRIM(U488)="Pass",TRIM(U488)="Pass after CA"),IF(NOT(ISNUMBER(AD488)),"INVALID – completion time missing",IF(TRIM(T488)="","INVALID – PIC missing",IF(TRIM(V488)="","INVALID – result / assessment missing",IF(TRIM(Z488)="","INVALID – evidence missing",IF(TRIM(AE488)="","INVALID – verifier missing",IF(TRIM(AE488)=TRIM(T488),"INVALID – verifier must be someone other than the PIC",IF(AND(AQ488=1,TRIM(W488)=""),"INVALID – batch ID missing",IF(AND(AR488=1,OR(NOT(ISNUMBER(X488)),NOT(ISNUMBER(Y488)))),"INVALID – expected/actual qty missing",IF(IF(AND(TRIM(U488)="Pass",ISNUMBER(AF488)),IF(AF488&lt;&gt;0,"INVALID – qty variance: use Fail or Pass after CA",""),"")&amp;IF(AND(TRIM(U488)="Pass",TRIM(AB488)&lt;&gt;"",TRIM(AB488)&lt;&gt;"Closed"),"INVALID – corrective action not closed: use Fail, then Pass after CA","")&amp;IF(AND(TRIM(AA488)&lt;&gt;"",TRIM(AB488)=""),"INVALID – CA status missing for the recorded corrective action","")&amp;IF(AND(TRIM(U488)="Pass after CA",OR(TRIM(AA488)="",TRIM(AB488)&lt;&gt;"Closed")),"INVALID – corrective action not recorded/closed","")&lt;&gt;"",IF(AND(TRIM(U488)="Pass",ISNUMBER(AF488)),IF(AF488&lt;&gt;0,"INVALID – qty variance: use Fail or Pass after CA",""),"")&amp;IF(AND(TRIM(U488)="Pass",TRIM(AB488)&lt;&gt;"",TRIM(AB488)&lt;&gt;"Closed"),"INVALID – corrective action not closed: use Fail, then Pass after CA","")&amp;IF(AND(TRIM(AA488)&lt;&gt;"",TRIM(AB488)=""),"INVALID – CA status missing for the recorded corrective action","")&amp;IF(AND(TRIM(U488)="Pass after CA",OR(TRIM(AA488)="",TRIM(AB488)&lt;&gt;"Closed")),"INVALID – corrective action not recorded/closed",""),IF(AND(AS488=1,Documents!$J$19&lt;&gt;"ON FILE"),"INVALID – GLD not on file (Documents sheet)",IF(AND(AS488=2,Documents!$O$19&lt;&gt;"ON FILE"),"INVALID – menu checklist not on file (Documents sheet)",IF(AND(AS488=3,NOT(ISNUMBER(Flights!$AX$19))),"INVALID – enter carrying flight KUL departure (Flights AX)",IF(AND(AS488=3,OR(Flights!$AX$19&gt;=Flights!$AA$19,Flights!$AX$19&lt;Flights!$AA$19-3)),"INVALID – Flights AX must be before this leg's STD (within 3 days)",IF(AG488&gt;AsOfUTC,"INVALID – completion time is in the future",IF(AND(ISNUMBER(S488),AG488&lt;S488),IF(H488="Physical uplift","INVALID – before uplift window (cannot confirm loading)","INVALID – before valid window"),IF(AG488&gt;Flights!$AA$19,"INVALID – completed after departure (cannot establish readiness)",IF(AND(H488="Physical uplift",AG488&gt;Q488),"INVALID – recorded after the loading flight departed",IF(AG488&gt;Q488,"COMPLETE – LATE","COMPLETE")))))))))))))))))),IF(TRIM(U488)="Fail","FAIL – DISCREPANCY",IF(AND(TRIM(U488)&lt;&gt;"",TRIM(U488)&lt;&gt;"Not started",TRIM(U488)&lt;&gt;"In progress"),"INVALID – unrecognised status (use the list)",IF(AsOfUTC&gt;Q488,"OVERDUE",IF(N488="Clarification required","OPEN – CLARIFICATION","OPEN")))))))</f>
        <v>OPEN</v>
      </c>
      <c r="AI488" s="61" t="n">
        <f aca="false">IF(OR(AH488="N/A – RULE",AH488="N/A – JUSTIFIED"),0,1)</f>
        <v>1</v>
      </c>
      <c r="AJ488" s="61" t="n">
        <f aca="false">IF(LEFT(AH488,8)="COMPLETE",1,0)</f>
        <v>0</v>
      </c>
      <c r="AK488" s="61" t="n">
        <f aca="false">IF(AND(AI488=1,AJ488=0,AsOfUTC&gt;Q488),1,0)</f>
        <v>0</v>
      </c>
      <c r="AL488" s="61" t="n">
        <f aca="false">IF(AND(AI488=1,OR(TRIM(U488)="Fail",AND(TRIM(AB488)&lt;&gt;"",TRIM(AB488)&lt;&gt;"Closed"),AND(ISNUMBER(AF488),AF488&lt;&gt;0,TRIM(U488)&lt;&gt;"Pass after CA"))),1,0)</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row>
    <row r="489" customFormat="false" ht="39.75" hidden="false" customHeight="true" outlineLevel="0" collapsed="false">
      <c r="A489" s="57" t="s">
        <v>1104</v>
      </c>
      <c r="B489" s="57" t="s">
        <v>270</v>
      </c>
      <c r="C489" s="57" t="str">
        <f aca="false">Flights!$F$19</f>
        <v>MH0003</v>
      </c>
      <c r="D489" s="58" t="n">
        <f aca="false">Flights!$D$19</f>
        <v>46320</v>
      </c>
      <c r="E489" s="57" t="str">
        <f aca="false">Flights!$G$19&amp;"-"&amp;Flights!$H$19</f>
        <v>LHR-KUL</v>
      </c>
      <c r="F489" s="57" t="str">
        <f aca="false">Flights!$K$19</f>
        <v>EY</v>
      </c>
      <c r="G489" s="57" t="s">
        <v>76</v>
      </c>
      <c r="H489" s="57" t="s">
        <v>343</v>
      </c>
      <c r="I489" s="57" t="s">
        <v>376</v>
      </c>
      <c r="J489" s="57" t="s">
        <v>377</v>
      </c>
      <c r="K489" s="67" t="s">
        <v>378</v>
      </c>
      <c r="L489" s="67" t="s">
        <v>379</v>
      </c>
      <c r="M489" s="67"/>
      <c r="N489" s="67" t="s">
        <v>348</v>
      </c>
      <c r="O489" s="67"/>
      <c r="P489" s="57" t="s">
        <v>178</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59" t="n">
        <f aca="false">Q489-T7EarlyD*24/24</f>
        <v>46299.4583333333</v>
      </c>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IF(N489="N/A – rule","N/A – RULE",IF(TRIM(U489)="N/A",IF(AT489=0,"INVALID – N/A not permitted for this mandatory check",IF(AND(TRIM(AC489)&lt;&gt;"",TRIM(AE489)&lt;&gt;"",TRIM(T489)&lt;&gt;"",TRIM(AE489)&lt;&gt;TRIM(T489)),"N/A – JUSTIFIED","INVALID – N/A needs justification, PIC and a different verifier")),IF(OR(TRIM(U489)="Pass",TRIM(U489)="Pass after CA"),IF(NOT(ISNUMBER(AD489)),"INVALID – completion time missing",IF(TRIM(T489)="","INVALID – PIC missing",IF(TRIM(V489)="","INVALID – result / assessment missing",IF(TRIM(Z489)="","INVALID – evidence missing",IF(TRIM(AE489)="","INVALID – verifier missing",IF(TRIM(AE489)=TRIM(T489),"INVALID – verifier must be someone other than the PIC",IF(AND(AQ489=1,TRIM(W489)=""),"INVALID – batch ID missing",IF(AND(AR489=1,OR(NOT(ISNUMBER(X489)),NOT(ISNUMBER(Y489)))),"INVALID – expected/actual qty missing",IF(IF(AND(TRIM(U489)="Pass",ISNUMBER(AF489)),IF(AF489&lt;&gt;0,"INVALID – qty variance: use Fail or Pass after CA",""),"")&amp;IF(AND(TRIM(U489)="Pass",TRIM(AB489)&lt;&gt;"",TRIM(AB489)&lt;&gt;"Closed"),"INVALID – corrective action not closed: use Fail, then Pass after CA","")&amp;IF(AND(TRIM(AA489)&lt;&gt;"",TRIM(AB489)=""),"INVALID – CA status missing for the recorded corrective action","")&amp;IF(AND(TRIM(U489)="Pass after CA",OR(TRIM(AA489)="",TRIM(AB489)&lt;&gt;"Closed")),"INVALID – corrective action not recorded/closed","")&lt;&gt;"",IF(AND(TRIM(U489)="Pass",ISNUMBER(AF489)),IF(AF489&lt;&gt;0,"INVALID – qty variance: use Fail or Pass after CA",""),"")&amp;IF(AND(TRIM(U489)="Pass",TRIM(AB489)&lt;&gt;"",TRIM(AB489)&lt;&gt;"Closed"),"INVALID – corrective action not closed: use Fail, then Pass after CA","")&amp;IF(AND(TRIM(AA489)&lt;&gt;"",TRIM(AB489)=""),"INVALID – CA status missing for the recorded corrective action","")&amp;IF(AND(TRIM(U489)="Pass after CA",OR(TRIM(AA489)="",TRIM(AB489)&lt;&gt;"Closed")),"INVALID – corrective action not recorded/closed",""),IF(AND(AS489=1,Documents!$J$19&lt;&gt;"ON FILE"),"INVALID – GLD not on file (Documents sheet)",IF(AND(AS489=2,Documents!$O$19&lt;&gt;"ON FILE"),"INVALID – menu checklist not on file (Documents sheet)",IF(AND(AS489=3,NOT(ISNUMBER(Flights!$AX$19))),"INVALID – enter carrying flight KUL departure (Flights AX)",IF(AND(AS489=3,OR(Flights!$AX$19&gt;=Flights!$AA$19,Flights!$AX$19&lt;Flights!$AA$19-3)),"INVALID – Flights AX must be before this leg's STD (within 3 days)",IF(AG489&gt;AsOfUTC,"INVALID – completion time is in the future",IF(AND(ISNUMBER(S489),AG489&lt;S489),IF(H489="Physical uplift","INVALID – before uplift window (cannot confirm loading)","INVALID – before valid window"),IF(AG489&gt;Flights!$AA$19,"INVALID – completed after departure (cannot establish readiness)",IF(AND(H489="Physical uplift",AG489&gt;Q489),"INVALID – recorded after the loading flight departed",IF(AG489&gt;Q489,"COMPLETE – LATE","COMPLETE")))))))))))))))))),IF(TRIM(U489)="Fail","FAIL – DISCREPANCY",IF(AND(TRIM(U489)&lt;&gt;"",TRIM(U489)&lt;&gt;"Not started",TRIM(U489)&lt;&gt;"In progress"),"INVALID – unrecognised status (use the list)",IF(AsOfUTC&gt;Q489,"OVERDUE",IF(N489="Clarification required","OPEN – CLARIFICATION","OPEN")))))))</f>
        <v>OPEN</v>
      </c>
      <c r="AI489" s="61" t="n">
        <f aca="false">IF(OR(AH489="N/A – RULE",AH489="N/A – JUSTIFIED"),0,1)</f>
        <v>1</v>
      </c>
      <c r="AJ489" s="61" t="n">
        <f aca="false">IF(LEFT(AH489,8)="COMPLETE",1,0)</f>
        <v>0</v>
      </c>
      <c r="AK489" s="61" t="n">
        <f aca="false">IF(AND(AI489=1,AJ489=0,AsOfUTC&gt;Q489),1,0)</f>
        <v>0</v>
      </c>
      <c r="AL489" s="61" t="n">
        <f aca="false">IF(AND(AI489=1,OR(TRIM(U489)="Fail",AND(TRIM(AB489)&lt;&gt;"",TRIM(AB489)&lt;&gt;"Closed"),AND(ISNUMBER(AF489),AF489&lt;&gt;0,TRIM(U489)&lt;&gt;"Pass after CA"))),1,0)</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row>
    <row r="490" customFormat="false" ht="39.75" hidden="false" customHeight="true" outlineLevel="0" collapsed="false">
      <c r="A490" s="57" t="s">
        <v>1105</v>
      </c>
      <c r="B490" s="57" t="s">
        <v>270</v>
      </c>
      <c r="C490" s="57" t="str">
        <f aca="false">Flights!$F$19</f>
        <v>MH0003</v>
      </c>
      <c r="D490" s="58" t="n">
        <f aca="false">Flights!$D$19</f>
        <v>46320</v>
      </c>
      <c r="E490" s="57" t="str">
        <f aca="false">Flights!$G$19&amp;"-"&amp;Flights!$H$19</f>
        <v>LHR-KUL</v>
      </c>
      <c r="F490" s="57" t="str">
        <f aca="false">Flights!$K$19</f>
        <v>EY</v>
      </c>
      <c r="G490" s="57" t="s">
        <v>78</v>
      </c>
      <c r="H490" s="57" t="s">
        <v>343</v>
      </c>
      <c r="I490" s="57" t="s">
        <v>344</v>
      </c>
      <c r="J490" s="57" t="s">
        <v>381</v>
      </c>
      <c r="K490" s="67" t="s">
        <v>382</v>
      </c>
      <c r="L490" s="67" t="s">
        <v>383</v>
      </c>
      <c r="M490" s="67"/>
      <c r="N490" s="67" t="s">
        <v>348</v>
      </c>
      <c r="O490" s="67"/>
      <c r="P490" s="57" t="s">
        <v>178</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59" t="n">
        <f aca="false">Q490-T24EarlyH/24</f>
        <v>46318.4583333333</v>
      </c>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IF(N490="N/A – rule","N/A – RULE",IF(TRIM(U490)="N/A",IF(AT490=0,"INVALID – N/A not permitted for this mandatory check",IF(AND(TRIM(AC490)&lt;&gt;"",TRIM(AE490)&lt;&gt;"",TRIM(T490)&lt;&gt;"",TRIM(AE490)&lt;&gt;TRIM(T490)),"N/A – JUSTIFIED","INVALID – N/A needs justification, PIC and a different verifier")),IF(OR(TRIM(U490)="Pass",TRIM(U490)="Pass after CA"),IF(NOT(ISNUMBER(AD490)),"INVALID – completion time missing",IF(TRIM(T490)="","INVALID – PIC missing",IF(TRIM(V490)="","INVALID – result / assessment missing",IF(TRIM(Z490)="","INVALID – evidence missing",IF(TRIM(AE490)="","INVALID – verifier missing",IF(TRIM(AE490)=TRIM(T490),"INVALID – verifier must be someone other than the PIC",IF(AND(AQ490=1,TRIM(W490)=""),"INVALID – batch ID missing",IF(AND(AR490=1,OR(NOT(ISNUMBER(X490)),NOT(ISNUMBER(Y490)))),"INVALID – expected/actual qty missing",IF(IF(AND(TRIM(U490)="Pass",ISNUMBER(AF490)),IF(AF490&lt;&gt;0,"INVALID – qty variance: use Fail or Pass after CA",""),"")&amp;IF(AND(TRIM(U490)="Pass",TRIM(AB490)&lt;&gt;"",TRIM(AB490)&lt;&gt;"Closed"),"INVALID – corrective action not closed: use Fail, then Pass after CA","")&amp;IF(AND(TRIM(AA490)&lt;&gt;"",TRIM(AB490)=""),"INVALID – CA status missing for the recorded corrective action","")&amp;IF(AND(TRIM(U490)="Pass after CA",OR(TRIM(AA490)="",TRIM(AB490)&lt;&gt;"Closed")),"INVALID – corrective action not recorded/closed","")&lt;&gt;"",IF(AND(TRIM(U490)="Pass",ISNUMBER(AF490)),IF(AF490&lt;&gt;0,"INVALID – qty variance: use Fail or Pass after CA",""),"")&amp;IF(AND(TRIM(U490)="Pass",TRIM(AB490)&lt;&gt;"",TRIM(AB490)&lt;&gt;"Closed"),"INVALID – corrective action not closed: use Fail, then Pass after CA","")&amp;IF(AND(TRIM(AA490)&lt;&gt;"",TRIM(AB490)=""),"INVALID – CA status missing for the recorded corrective action","")&amp;IF(AND(TRIM(U490)="Pass after CA",OR(TRIM(AA490)="",TRIM(AB490)&lt;&gt;"Closed")),"INVALID – corrective action not recorded/closed",""),IF(AND(AS490=1,Documents!$J$19&lt;&gt;"ON FILE"),"INVALID – GLD not on file (Documents sheet)",IF(AND(AS490=2,Documents!$O$19&lt;&gt;"ON FILE"),"INVALID – menu checklist not on file (Documents sheet)",IF(AND(AS490=3,NOT(ISNUMBER(Flights!$AX$19))),"INVALID – enter carrying flight KUL departure (Flights AX)",IF(AND(AS490=3,OR(Flights!$AX$19&gt;=Flights!$AA$19,Flights!$AX$19&lt;Flights!$AA$19-3)),"INVALID – Flights AX must be before this leg's STD (within 3 days)",IF(AG490&gt;AsOfUTC,"INVALID – completion time is in the future",IF(AND(ISNUMBER(S490),AG490&lt;S490),IF(H490="Physical uplift","INVALID – before uplift window (cannot confirm loading)","INVALID – before valid window"),IF(AG490&gt;Flights!$AA$19,"INVALID – completed after departure (cannot establish readiness)",IF(AND(H490="Physical uplift",AG490&gt;Q490),"INVALID – recorded after the loading flight departed",IF(AG490&gt;Q490,"COMPLETE – LATE","COMPLETE")))))))))))))))))),IF(TRIM(U490)="Fail","FAIL – DISCREPANCY",IF(AND(TRIM(U490)&lt;&gt;"",TRIM(U490)&lt;&gt;"Not started",TRIM(U490)&lt;&gt;"In progress"),"INVALID – unrecognised status (use the list)",IF(AsOfUTC&gt;Q490,"OVERDUE",IF(N490="Clarification required","OPEN – CLARIFICATION","OPEN")))))))</f>
        <v>OPEN</v>
      </c>
      <c r="AI490" s="61" t="n">
        <f aca="false">IF(OR(AH490="N/A – RULE",AH490="N/A – JUSTIFIED"),0,1)</f>
        <v>1</v>
      </c>
      <c r="AJ490" s="61" t="n">
        <f aca="false">IF(LEFT(AH490,8)="COMPLETE",1,0)</f>
        <v>0</v>
      </c>
      <c r="AK490" s="61" t="n">
        <f aca="false">IF(AND(AI490=1,AJ490=0,AsOfUTC&gt;Q490),1,0)</f>
        <v>0</v>
      </c>
      <c r="AL490" s="61" t="n">
        <f aca="false">IF(AND(AI490=1,OR(TRIM(U490)="Fail",AND(TRIM(AB490)&lt;&gt;"",TRIM(AB490)&lt;&gt;"Closed"),AND(ISNUMBER(AF490),AF490&lt;&gt;0,TRIM(U490)&lt;&gt;"Pass after CA"))),1,0)</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row>
    <row r="491" customFormat="false" ht="39.75" hidden="false" customHeight="true" outlineLevel="0" collapsed="false">
      <c r="A491" s="57" t="s">
        <v>1106</v>
      </c>
      <c r="B491" s="57" t="s">
        <v>270</v>
      </c>
      <c r="C491" s="57" t="str">
        <f aca="false">Flights!$F$19</f>
        <v>MH0003</v>
      </c>
      <c r="D491" s="58" t="n">
        <f aca="false">Flights!$D$19</f>
        <v>46320</v>
      </c>
      <c r="E491" s="57" t="str">
        <f aca="false">Flights!$G$19&amp;"-"&amp;Flights!$H$19</f>
        <v>LHR-KUL</v>
      </c>
      <c r="F491" s="57" t="str">
        <f aca="false">Flights!$K$19</f>
        <v>EY</v>
      </c>
      <c r="G491" s="57" t="s">
        <v>385</v>
      </c>
      <c r="H491" s="57" t="s">
        <v>343</v>
      </c>
      <c r="I491" s="57" t="s">
        <v>344</v>
      </c>
      <c r="J491" s="57" t="s">
        <v>386</v>
      </c>
      <c r="K491" s="67"/>
      <c r="L491" s="67" t="s">
        <v>387</v>
      </c>
      <c r="M491" s="67"/>
      <c r="N491" s="67" t="s">
        <v>348</v>
      </c>
      <c r="O491" s="67" t="s">
        <v>388</v>
      </c>
      <c r="P491" s="57" t="s">
        <v>178</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59" t="n">
        <f aca="false">Q491-T12EarlyH/24</f>
        <v>46319.4583333333</v>
      </c>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IF(N491="N/A – rule","N/A – RULE",IF(TRIM(U491)="N/A",IF(AT491=0,"INVALID – N/A not permitted for this mandatory check",IF(AND(TRIM(AC491)&lt;&gt;"",TRIM(AE491)&lt;&gt;"",TRIM(T491)&lt;&gt;"",TRIM(AE491)&lt;&gt;TRIM(T491)),"N/A – JUSTIFIED","INVALID – N/A needs justification, PIC and a different verifier")),IF(OR(TRIM(U491)="Pass",TRIM(U491)="Pass after CA"),IF(NOT(ISNUMBER(AD491)),"INVALID – completion time missing",IF(TRIM(T491)="","INVALID – PIC missing",IF(TRIM(V491)="","INVALID – result / assessment missing",IF(TRIM(Z491)="","INVALID – evidence missing",IF(TRIM(AE491)="","INVALID – verifier missing",IF(TRIM(AE491)=TRIM(T491),"INVALID – verifier must be someone other than the PIC",IF(AND(AQ491=1,TRIM(W491)=""),"INVALID – batch ID missing",IF(AND(AR491=1,OR(NOT(ISNUMBER(X491)),NOT(ISNUMBER(Y491)))),"INVALID – expected/actual qty missing",IF(IF(AND(TRIM(U491)="Pass",ISNUMBER(AF491)),IF(AF491&lt;&gt;0,"INVALID – qty variance: use Fail or Pass after CA",""),"")&amp;IF(AND(TRIM(U491)="Pass",TRIM(AB491)&lt;&gt;"",TRIM(AB491)&lt;&gt;"Closed"),"INVALID – corrective action not closed: use Fail, then Pass after CA","")&amp;IF(AND(TRIM(AA491)&lt;&gt;"",TRIM(AB491)=""),"INVALID – CA status missing for the recorded corrective action","")&amp;IF(AND(TRIM(U491)="Pass after CA",OR(TRIM(AA491)="",TRIM(AB491)&lt;&gt;"Closed")),"INVALID – corrective action not recorded/closed","")&lt;&gt;"",IF(AND(TRIM(U491)="Pass",ISNUMBER(AF491)),IF(AF491&lt;&gt;0,"INVALID – qty variance: use Fail or Pass after CA",""),"")&amp;IF(AND(TRIM(U491)="Pass",TRIM(AB491)&lt;&gt;"",TRIM(AB491)&lt;&gt;"Closed"),"INVALID – corrective action not closed: use Fail, then Pass after CA","")&amp;IF(AND(TRIM(AA491)&lt;&gt;"",TRIM(AB491)=""),"INVALID – CA status missing for the recorded corrective action","")&amp;IF(AND(TRIM(U491)="Pass after CA",OR(TRIM(AA491)="",TRIM(AB491)&lt;&gt;"Closed")),"INVALID – corrective action not recorded/closed",""),IF(AND(AS491=1,Documents!$J$19&lt;&gt;"ON FILE"),"INVALID – GLD not on file (Documents sheet)",IF(AND(AS491=2,Documents!$O$19&lt;&gt;"ON FILE"),"INVALID – menu checklist not on file (Documents sheet)",IF(AND(AS491=3,NOT(ISNUMBER(Flights!$AX$19))),"INVALID – enter carrying flight KUL departure (Flights AX)",IF(AND(AS491=3,OR(Flights!$AX$19&gt;=Flights!$AA$19,Flights!$AX$19&lt;Flights!$AA$19-3)),"INVALID – Flights AX must be before this leg's STD (within 3 days)",IF(AG491&gt;AsOfUTC,"INVALID – completion time is in the future",IF(AND(ISNUMBER(S491),AG491&lt;S491),IF(H491="Physical uplift","INVALID – before uplift window (cannot confirm loading)","INVALID – before valid window"),IF(AG491&gt;Flights!$AA$19,"INVALID – completed after departure (cannot establish readiness)",IF(AND(H491="Physical uplift",AG491&gt;Q491),"INVALID – recorded after the loading flight departed",IF(AG491&gt;Q491,"COMPLETE – LATE","COMPLETE")))))))))))))))))),IF(TRIM(U491)="Fail","FAIL – DISCREPANCY",IF(AND(TRIM(U491)&lt;&gt;"",TRIM(U491)&lt;&gt;"Not started",TRIM(U491)&lt;&gt;"In progress"),"INVALID – unrecognised status (use the list)",IF(AsOfUTC&gt;Q491,"OVERDUE",IF(N491="Clarification required","OPEN – CLARIFICATION","OPEN")))))))</f>
        <v>OPEN</v>
      </c>
      <c r="AI491" s="61" t="n">
        <f aca="false">IF(OR(AH491="N/A – RULE",AH491="N/A – JUSTIFIED"),0,1)</f>
        <v>1</v>
      </c>
      <c r="AJ491" s="61" t="n">
        <f aca="false">IF(LEFT(AH491,8)="COMPLETE",1,0)</f>
        <v>0</v>
      </c>
      <c r="AK491" s="61" t="n">
        <f aca="false">IF(AND(AI491=1,AJ491=0,AsOfUTC&gt;Q491),1,0)</f>
        <v>0</v>
      </c>
      <c r="AL491" s="61" t="n">
        <f aca="false">IF(AND(AI491=1,OR(TRIM(U491)="Fail",AND(TRIM(AB491)&lt;&gt;"",TRIM(AB491)&lt;&gt;"Closed"),AND(ISNUMBER(AF491),AF491&lt;&gt;0,TRIM(U491)&lt;&gt;"Pass after CA"))),1,0)</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row>
    <row r="492" customFormat="false" ht="39.75" hidden="false" customHeight="true" outlineLevel="0" collapsed="false">
      <c r="A492" s="57" t="s">
        <v>1107</v>
      </c>
      <c r="B492" s="57" t="s">
        <v>270</v>
      </c>
      <c r="C492" s="57" t="str">
        <f aca="false">Flights!$F$19</f>
        <v>MH0003</v>
      </c>
      <c r="D492" s="58" t="n">
        <f aca="false">Flights!$D$19</f>
        <v>46320</v>
      </c>
      <c r="E492" s="57" t="str">
        <f aca="false">Flights!$G$19&amp;"-"&amp;Flights!$H$19</f>
        <v>LHR-KUL</v>
      </c>
      <c r="F492" s="57" t="str">
        <f aca="false">Flights!$K$19</f>
        <v>EY</v>
      </c>
      <c r="G492" s="57" t="s">
        <v>385</v>
      </c>
      <c r="H492" s="57" t="s">
        <v>343</v>
      </c>
      <c r="I492" s="57" t="s">
        <v>344</v>
      </c>
      <c r="J492" s="57" t="s">
        <v>390</v>
      </c>
      <c r="K492" s="67" t="s">
        <v>391</v>
      </c>
      <c r="L492" s="67" t="s">
        <v>387</v>
      </c>
      <c r="M492" s="67"/>
      <c r="N492" s="67" t="s">
        <v>348</v>
      </c>
      <c r="O492" s="67" t="s">
        <v>388</v>
      </c>
      <c r="P492" s="57" t="s">
        <v>178</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59" t="n">
        <f aca="false">Q492-T12EarlyH/24</f>
        <v>46319.4583333333</v>
      </c>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IF(N492="N/A – rule","N/A – RULE",IF(TRIM(U492)="N/A",IF(AT492=0,"INVALID – N/A not permitted for this mandatory check",IF(AND(TRIM(AC492)&lt;&gt;"",TRIM(AE492)&lt;&gt;"",TRIM(T492)&lt;&gt;"",TRIM(AE492)&lt;&gt;TRIM(T492)),"N/A – JUSTIFIED","INVALID – N/A needs justification, PIC and a different verifier")),IF(OR(TRIM(U492)="Pass",TRIM(U492)="Pass after CA"),IF(NOT(ISNUMBER(AD492)),"INVALID – completion time missing",IF(TRIM(T492)="","INVALID – PIC missing",IF(TRIM(V492)="","INVALID – result / assessment missing",IF(TRIM(Z492)="","INVALID – evidence missing",IF(TRIM(AE492)="","INVALID – verifier missing",IF(TRIM(AE492)=TRIM(T492),"INVALID – verifier must be someone other than the PIC",IF(AND(AQ492=1,TRIM(W492)=""),"INVALID – batch ID missing",IF(AND(AR492=1,OR(NOT(ISNUMBER(X492)),NOT(ISNUMBER(Y492)))),"INVALID – expected/actual qty missing",IF(IF(AND(TRIM(U492)="Pass",ISNUMBER(AF492)),IF(AF492&lt;&gt;0,"INVALID – qty variance: use Fail or Pass after CA",""),"")&amp;IF(AND(TRIM(U492)="Pass",TRIM(AB492)&lt;&gt;"",TRIM(AB492)&lt;&gt;"Closed"),"INVALID – corrective action not closed: use Fail, then Pass after CA","")&amp;IF(AND(TRIM(AA492)&lt;&gt;"",TRIM(AB492)=""),"INVALID – CA status missing for the recorded corrective action","")&amp;IF(AND(TRIM(U492)="Pass after CA",OR(TRIM(AA492)="",TRIM(AB492)&lt;&gt;"Closed")),"INVALID – corrective action not recorded/closed","")&lt;&gt;"",IF(AND(TRIM(U492)="Pass",ISNUMBER(AF492)),IF(AF492&lt;&gt;0,"INVALID – qty variance: use Fail or Pass after CA",""),"")&amp;IF(AND(TRIM(U492)="Pass",TRIM(AB492)&lt;&gt;"",TRIM(AB492)&lt;&gt;"Closed"),"INVALID – corrective action not closed: use Fail, then Pass after CA","")&amp;IF(AND(TRIM(AA492)&lt;&gt;"",TRIM(AB492)=""),"INVALID – CA status missing for the recorded corrective action","")&amp;IF(AND(TRIM(U492)="Pass after CA",OR(TRIM(AA492)="",TRIM(AB492)&lt;&gt;"Closed")),"INVALID – corrective action not recorded/closed",""),IF(AND(AS492=1,Documents!$J$19&lt;&gt;"ON FILE"),"INVALID – GLD not on file (Documents sheet)",IF(AND(AS492=2,Documents!$O$19&lt;&gt;"ON FILE"),"INVALID – menu checklist not on file (Documents sheet)",IF(AND(AS492=3,NOT(ISNUMBER(Flights!$AX$19))),"INVALID – enter carrying flight KUL departure (Flights AX)",IF(AND(AS492=3,OR(Flights!$AX$19&gt;=Flights!$AA$19,Flights!$AX$19&lt;Flights!$AA$19-3)),"INVALID – Flights AX must be before this leg's STD (within 3 days)",IF(AG492&gt;AsOfUTC,"INVALID – completion time is in the future",IF(AND(ISNUMBER(S492),AG492&lt;S492),IF(H492="Physical uplift","INVALID – before uplift window (cannot confirm loading)","INVALID – before valid window"),IF(AG492&gt;Flights!$AA$19,"INVALID – completed after departure (cannot establish readiness)",IF(AND(H492="Physical uplift",AG492&gt;Q492),"INVALID – recorded after the loading flight departed",IF(AG492&gt;Q492,"COMPLETE – LATE","COMPLETE")))))))))))))))))),IF(TRIM(U492)="Fail","FAIL – DISCREPANCY",IF(AND(TRIM(U492)&lt;&gt;"",TRIM(U492)&lt;&gt;"Not started",TRIM(U492)&lt;&gt;"In progress"),"INVALID – unrecognised status (use the list)",IF(AsOfUTC&gt;Q492,"OVERDUE",IF(N492="Clarification required","OPEN – CLARIFICATION","OPEN")))))))</f>
        <v>OPEN</v>
      </c>
      <c r="AI492" s="61" t="n">
        <f aca="false">IF(OR(AH492="N/A – RULE",AH492="N/A – JUSTIFIED"),0,1)</f>
        <v>1</v>
      </c>
      <c r="AJ492" s="61" t="n">
        <f aca="false">IF(LEFT(AH492,8)="COMPLETE",1,0)</f>
        <v>0</v>
      </c>
      <c r="AK492" s="61" t="n">
        <f aca="false">IF(AND(AI492=1,AJ492=0,AsOfUTC&gt;Q492),1,0)</f>
        <v>0</v>
      </c>
      <c r="AL492" s="61" t="n">
        <f aca="false">IF(AND(AI492=1,OR(TRIM(U492)="Fail",AND(TRIM(AB492)&lt;&gt;"",TRIM(AB492)&lt;&gt;"Closed"),AND(ISNUMBER(AF492),AF492&lt;&gt;0,TRIM(U492)&lt;&gt;"Pass after CA"))),1,0)</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row>
    <row r="493" customFormat="false" ht="39.75" hidden="false" customHeight="true" outlineLevel="0" collapsed="false">
      <c r="A493" s="57" t="s">
        <v>1108</v>
      </c>
      <c r="B493" s="57" t="s">
        <v>270</v>
      </c>
      <c r="C493" s="57" t="str">
        <f aca="false">Flights!$F$19</f>
        <v>MH0003</v>
      </c>
      <c r="D493" s="58" t="n">
        <f aca="false">Flights!$D$19</f>
        <v>46320</v>
      </c>
      <c r="E493" s="57" t="str">
        <f aca="false">Flights!$G$19&amp;"-"&amp;Flights!$H$19</f>
        <v>LHR-KUL</v>
      </c>
      <c r="F493" s="57" t="str">
        <f aca="false">Flights!$K$19</f>
        <v>EY</v>
      </c>
      <c r="G493" s="57" t="s">
        <v>385</v>
      </c>
      <c r="H493" s="57" t="s">
        <v>343</v>
      </c>
      <c r="I493" s="57" t="s">
        <v>393</v>
      </c>
      <c r="J493" s="57" t="s">
        <v>394</v>
      </c>
      <c r="K493" s="67"/>
      <c r="L493" s="67" t="s">
        <v>387</v>
      </c>
      <c r="M493" s="67"/>
      <c r="N493" s="67" t="s">
        <v>348</v>
      </c>
      <c r="O493" s="67" t="s">
        <v>388</v>
      </c>
      <c r="P493" s="57" t="s">
        <v>178</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59" t="n">
        <f aca="false">Q493-T12EarlyH/24</f>
        <v>46319.4583333333</v>
      </c>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IF(N493="N/A – rule","N/A – RULE",IF(TRIM(U493)="N/A",IF(AT493=0,"INVALID – N/A not permitted for this mandatory check",IF(AND(TRIM(AC493)&lt;&gt;"",TRIM(AE493)&lt;&gt;"",TRIM(T493)&lt;&gt;"",TRIM(AE493)&lt;&gt;TRIM(T493)),"N/A – JUSTIFIED","INVALID – N/A needs justification, PIC and a different verifier")),IF(OR(TRIM(U493)="Pass",TRIM(U493)="Pass after CA"),IF(NOT(ISNUMBER(AD493)),"INVALID – completion time missing",IF(TRIM(T493)="","INVALID – PIC missing",IF(TRIM(V493)="","INVALID – result / assessment missing",IF(TRIM(Z493)="","INVALID – evidence missing",IF(TRIM(AE493)="","INVALID – verifier missing",IF(TRIM(AE493)=TRIM(T493),"INVALID – verifier must be someone other than the PIC",IF(AND(AQ493=1,TRIM(W493)=""),"INVALID – batch ID missing",IF(AND(AR493=1,OR(NOT(ISNUMBER(X493)),NOT(ISNUMBER(Y493)))),"INVALID – expected/actual qty missing",IF(IF(AND(TRIM(U493)="Pass",ISNUMBER(AF493)),IF(AF493&lt;&gt;0,"INVALID – qty variance: use Fail or Pass after CA",""),"")&amp;IF(AND(TRIM(U493)="Pass",TRIM(AB493)&lt;&gt;"",TRIM(AB493)&lt;&gt;"Closed"),"INVALID – corrective action not closed: use Fail, then Pass after CA","")&amp;IF(AND(TRIM(AA493)&lt;&gt;"",TRIM(AB493)=""),"INVALID – CA status missing for the recorded corrective action","")&amp;IF(AND(TRIM(U493)="Pass after CA",OR(TRIM(AA493)="",TRIM(AB493)&lt;&gt;"Closed")),"INVALID – corrective action not recorded/closed","")&lt;&gt;"",IF(AND(TRIM(U493)="Pass",ISNUMBER(AF493)),IF(AF493&lt;&gt;0,"INVALID – qty variance: use Fail or Pass after CA",""),"")&amp;IF(AND(TRIM(U493)="Pass",TRIM(AB493)&lt;&gt;"",TRIM(AB493)&lt;&gt;"Closed"),"INVALID – corrective action not closed: use Fail, then Pass after CA","")&amp;IF(AND(TRIM(AA493)&lt;&gt;"",TRIM(AB493)=""),"INVALID – CA status missing for the recorded corrective action","")&amp;IF(AND(TRIM(U493)="Pass after CA",OR(TRIM(AA493)="",TRIM(AB493)&lt;&gt;"Closed")),"INVALID – corrective action not recorded/closed",""),IF(AND(AS493=1,Documents!$J$19&lt;&gt;"ON FILE"),"INVALID – GLD not on file (Documents sheet)",IF(AND(AS493=2,Documents!$O$19&lt;&gt;"ON FILE"),"INVALID – menu checklist not on file (Documents sheet)",IF(AND(AS493=3,NOT(ISNUMBER(Flights!$AX$19))),"INVALID – enter carrying flight KUL departure (Flights AX)",IF(AND(AS493=3,OR(Flights!$AX$19&gt;=Flights!$AA$19,Flights!$AX$19&lt;Flights!$AA$19-3)),"INVALID – Flights AX must be before this leg's STD (within 3 days)",IF(AG493&gt;AsOfUTC,"INVALID – completion time is in the future",IF(AND(ISNUMBER(S493),AG493&lt;S493),IF(H493="Physical uplift","INVALID – before uplift window (cannot confirm loading)","INVALID – before valid window"),IF(AG493&gt;Flights!$AA$19,"INVALID – completed after departure (cannot establish readiness)",IF(AND(H493="Physical uplift",AG493&gt;Q493),"INVALID – recorded after the loading flight departed",IF(AG493&gt;Q493,"COMPLETE – LATE","COMPLETE")))))))))))))))))),IF(TRIM(U493)="Fail","FAIL – DISCREPANCY",IF(AND(TRIM(U493)&lt;&gt;"",TRIM(U493)&lt;&gt;"Not started",TRIM(U493)&lt;&gt;"In progress"),"INVALID – unrecognised status (use the list)",IF(AsOfUTC&gt;Q493,"OVERDUE",IF(N493="Clarification required","OPEN – CLARIFICATION","OPEN")))))))</f>
        <v>OPEN</v>
      </c>
      <c r="AI493" s="61" t="n">
        <f aca="false">IF(OR(AH493="N/A – RULE",AH493="N/A – JUSTIFIED"),0,1)</f>
        <v>1</v>
      </c>
      <c r="AJ493" s="61" t="n">
        <f aca="false">IF(LEFT(AH493,8)="COMPLETE",1,0)</f>
        <v>0</v>
      </c>
      <c r="AK493" s="61" t="n">
        <f aca="false">IF(AND(AI493=1,AJ493=0,AsOfUTC&gt;Q493),1,0)</f>
        <v>0</v>
      </c>
      <c r="AL493" s="61" t="n">
        <f aca="false">IF(AND(AI493=1,OR(TRIM(U493)="Fail",AND(TRIM(AB493)&lt;&gt;"",TRIM(AB493)&lt;&gt;"Closed"),AND(ISNUMBER(AF493),AF493&lt;&gt;0,TRIM(U493)&lt;&gt;"Pass after CA"))),1,0)</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row>
    <row r="494" customFormat="false" ht="39.75" hidden="false" customHeight="true" outlineLevel="0" collapsed="false">
      <c r="A494" s="57" t="s">
        <v>1109</v>
      </c>
      <c r="B494" s="57" t="s">
        <v>270</v>
      </c>
      <c r="C494" s="57" t="str">
        <f aca="false">Flights!$F$19</f>
        <v>MH0003</v>
      </c>
      <c r="D494" s="58" t="n">
        <f aca="false">Flights!$D$19</f>
        <v>46320</v>
      </c>
      <c r="E494" s="57" t="str">
        <f aca="false">Flights!$G$19&amp;"-"&amp;Flights!$H$19</f>
        <v>LHR-KUL</v>
      </c>
      <c r="F494" s="57" t="str">
        <f aca="false">Flights!$K$19</f>
        <v>EY</v>
      </c>
      <c r="G494" s="57" t="s">
        <v>385</v>
      </c>
      <c r="H494" s="57" t="s">
        <v>343</v>
      </c>
      <c r="I494" s="57" t="s">
        <v>393</v>
      </c>
      <c r="J494" s="57" t="s">
        <v>396</v>
      </c>
      <c r="K494" s="67"/>
      <c r="L494" s="67" t="s">
        <v>387</v>
      </c>
      <c r="M494" s="67"/>
      <c r="N494" s="67" t="s">
        <v>348</v>
      </c>
      <c r="O494" s="67" t="s">
        <v>388</v>
      </c>
      <c r="P494" s="57" t="s">
        <v>178</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59" t="n">
        <f aca="false">Q494-T12EarlyH/24</f>
        <v>46319.4583333333</v>
      </c>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IF(N494="N/A – rule","N/A – RULE",IF(TRIM(U494)="N/A",IF(AT494=0,"INVALID – N/A not permitted for this mandatory check",IF(AND(TRIM(AC494)&lt;&gt;"",TRIM(AE494)&lt;&gt;"",TRIM(T494)&lt;&gt;"",TRIM(AE494)&lt;&gt;TRIM(T494)),"N/A – JUSTIFIED","INVALID – N/A needs justification, PIC and a different verifier")),IF(OR(TRIM(U494)="Pass",TRIM(U494)="Pass after CA"),IF(NOT(ISNUMBER(AD494)),"INVALID – completion time missing",IF(TRIM(T494)="","INVALID – PIC missing",IF(TRIM(V494)="","INVALID – result / assessment missing",IF(TRIM(Z494)="","INVALID – evidence missing",IF(TRIM(AE494)="","INVALID – verifier missing",IF(TRIM(AE494)=TRIM(T494),"INVALID – verifier must be someone other than the PIC",IF(AND(AQ494=1,TRIM(W494)=""),"INVALID – batch ID missing",IF(AND(AR494=1,OR(NOT(ISNUMBER(X494)),NOT(ISNUMBER(Y494)))),"INVALID – expected/actual qty missing",IF(IF(AND(TRIM(U494)="Pass",ISNUMBER(AF494)),IF(AF494&lt;&gt;0,"INVALID – qty variance: use Fail or Pass after CA",""),"")&amp;IF(AND(TRIM(U494)="Pass",TRIM(AB494)&lt;&gt;"",TRIM(AB494)&lt;&gt;"Closed"),"INVALID – corrective action not closed: use Fail, then Pass after CA","")&amp;IF(AND(TRIM(AA494)&lt;&gt;"",TRIM(AB494)=""),"INVALID – CA status missing for the recorded corrective action","")&amp;IF(AND(TRIM(U494)="Pass after CA",OR(TRIM(AA494)="",TRIM(AB494)&lt;&gt;"Closed")),"INVALID – corrective action not recorded/closed","")&lt;&gt;"",IF(AND(TRIM(U494)="Pass",ISNUMBER(AF494)),IF(AF494&lt;&gt;0,"INVALID – qty variance: use Fail or Pass after CA",""),"")&amp;IF(AND(TRIM(U494)="Pass",TRIM(AB494)&lt;&gt;"",TRIM(AB494)&lt;&gt;"Closed"),"INVALID – corrective action not closed: use Fail, then Pass after CA","")&amp;IF(AND(TRIM(AA494)&lt;&gt;"",TRIM(AB494)=""),"INVALID – CA status missing for the recorded corrective action","")&amp;IF(AND(TRIM(U494)="Pass after CA",OR(TRIM(AA494)="",TRIM(AB494)&lt;&gt;"Closed")),"INVALID – corrective action not recorded/closed",""),IF(AND(AS494=1,Documents!$J$19&lt;&gt;"ON FILE"),"INVALID – GLD not on file (Documents sheet)",IF(AND(AS494=2,Documents!$O$19&lt;&gt;"ON FILE"),"INVALID – menu checklist not on file (Documents sheet)",IF(AND(AS494=3,NOT(ISNUMBER(Flights!$AX$19))),"INVALID – enter carrying flight KUL departure (Flights AX)",IF(AND(AS494=3,OR(Flights!$AX$19&gt;=Flights!$AA$19,Flights!$AX$19&lt;Flights!$AA$19-3)),"INVALID – Flights AX must be before this leg's STD (within 3 days)",IF(AG494&gt;AsOfUTC,"INVALID – completion time is in the future",IF(AND(ISNUMBER(S494),AG494&lt;S494),IF(H494="Physical uplift","INVALID – before uplift window (cannot confirm loading)","INVALID – before valid window"),IF(AG494&gt;Flights!$AA$19,"INVALID – completed after departure (cannot establish readiness)",IF(AND(H494="Physical uplift",AG494&gt;Q494),"INVALID – recorded after the loading flight departed",IF(AG494&gt;Q494,"COMPLETE – LATE","COMPLETE")))))))))))))))))),IF(TRIM(U494)="Fail","FAIL – DISCREPANCY",IF(AND(TRIM(U494)&lt;&gt;"",TRIM(U494)&lt;&gt;"Not started",TRIM(U494)&lt;&gt;"In progress"),"INVALID – unrecognised status (use the list)",IF(AsOfUTC&gt;Q494,"OVERDUE",IF(N494="Clarification required","OPEN – CLARIFICATION","OPEN")))))))</f>
        <v>OPEN</v>
      </c>
      <c r="AI494" s="61" t="n">
        <f aca="false">IF(OR(AH494="N/A – RULE",AH494="N/A – JUSTIFIED"),0,1)</f>
        <v>1</v>
      </c>
      <c r="AJ494" s="61" t="n">
        <f aca="false">IF(LEFT(AH494,8)="COMPLETE",1,0)</f>
        <v>0</v>
      </c>
      <c r="AK494" s="61" t="n">
        <f aca="false">IF(AND(AI494=1,AJ494=0,AsOfUTC&gt;Q494),1,0)</f>
        <v>0</v>
      </c>
      <c r="AL494" s="61" t="n">
        <f aca="false">IF(AND(AI494=1,OR(TRIM(U494)="Fail",AND(TRIM(AB494)&lt;&gt;"",TRIM(AB494)&lt;&gt;"Closed"),AND(ISNUMBER(AF494),AF494&lt;&gt;0,TRIM(U494)&lt;&gt;"Pass after CA"))),1,0)</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row>
    <row r="495" customFormat="false" ht="39.75" hidden="false" customHeight="true" outlineLevel="0" collapsed="false">
      <c r="A495" s="57" t="s">
        <v>1110</v>
      </c>
      <c r="B495" s="57" t="s">
        <v>270</v>
      </c>
      <c r="C495" s="57" t="str">
        <f aca="false">Flights!$F$19</f>
        <v>MH0003</v>
      </c>
      <c r="D495" s="58" t="n">
        <f aca="false">Flights!$D$19</f>
        <v>46320</v>
      </c>
      <c r="E495" s="57" t="str">
        <f aca="false">Flights!$G$19&amp;"-"&amp;Flights!$H$19</f>
        <v>LHR-KUL</v>
      </c>
      <c r="F495" s="57" t="str">
        <f aca="false">Flights!$K$19</f>
        <v>EY</v>
      </c>
      <c r="G495" s="57" t="s">
        <v>385</v>
      </c>
      <c r="H495" s="57" t="s">
        <v>343</v>
      </c>
      <c r="I495" s="57" t="s">
        <v>393</v>
      </c>
      <c r="J495" s="57" t="s">
        <v>398</v>
      </c>
      <c r="K495" s="67"/>
      <c r="L495" s="67" t="s">
        <v>387</v>
      </c>
      <c r="M495" s="67"/>
      <c r="N495" s="67" t="s">
        <v>348</v>
      </c>
      <c r="O495" s="67" t="s">
        <v>388</v>
      </c>
      <c r="P495" s="57" t="s">
        <v>178</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59" t="n">
        <f aca="false">Q495-T12EarlyH/24</f>
        <v>46319.4583333333</v>
      </c>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IF(N495="N/A – rule","N/A – RULE",IF(TRIM(U495)="N/A",IF(AT495=0,"INVALID – N/A not permitted for this mandatory check",IF(AND(TRIM(AC495)&lt;&gt;"",TRIM(AE495)&lt;&gt;"",TRIM(T495)&lt;&gt;"",TRIM(AE495)&lt;&gt;TRIM(T495)),"N/A – JUSTIFIED","INVALID – N/A needs justification, PIC and a different verifier")),IF(OR(TRIM(U495)="Pass",TRIM(U495)="Pass after CA"),IF(NOT(ISNUMBER(AD495)),"INVALID – completion time missing",IF(TRIM(T495)="","INVALID – PIC missing",IF(TRIM(V495)="","INVALID – result / assessment missing",IF(TRIM(Z495)="","INVALID – evidence missing",IF(TRIM(AE495)="","INVALID – verifier missing",IF(TRIM(AE495)=TRIM(T495),"INVALID – verifier must be someone other than the PIC",IF(AND(AQ495=1,TRIM(W495)=""),"INVALID – batch ID missing",IF(AND(AR495=1,OR(NOT(ISNUMBER(X495)),NOT(ISNUMBER(Y495)))),"INVALID – expected/actual qty missing",IF(IF(AND(TRIM(U495)="Pass",ISNUMBER(AF495)),IF(AF495&lt;&gt;0,"INVALID – qty variance: use Fail or Pass after CA",""),"")&amp;IF(AND(TRIM(U495)="Pass",TRIM(AB495)&lt;&gt;"",TRIM(AB495)&lt;&gt;"Closed"),"INVALID – corrective action not closed: use Fail, then Pass after CA","")&amp;IF(AND(TRIM(AA495)&lt;&gt;"",TRIM(AB495)=""),"INVALID – CA status missing for the recorded corrective action","")&amp;IF(AND(TRIM(U495)="Pass after CA",OR(TRIM(AA495)="",TRIM(AB495)&lt;&gt;"Closed")),"INVALID – corrective action not recorded/closed","")&lt;&gt;"",IF(AND(TRIM(U495)="Pass",ISNUMBER(AF495)),IF(AF495&lt;&gt;0,"INVALID – qty variance: use Fail or Pass after CA",""),"")&amp;IF(AND(TRIM(U495)="Pass",TRIM(AB495)&lt;&gt;"",TRIM(AB495)&lt;&gt;"Closed"),"INVALID – corrective action not closed: use Fail, then Pass after CA","")&amp;IF(AND(TRIM(AA495)&lt;&gt;"",TRIM(AB495)=""),"INVALID – CA status missing for the recorded corrective action","")&amp;IF(AND(TRIM(U495)="Pass after CA",OR(TRIM(AA495)="",TRIM(AB495)&lt;&gt;"Closed")),"INVALID – corrective action not recorded/closed",""),IF(AND(AS495=1,Documents!$J$19&lt;&gt;"ON FILE"),"INVALID – GLD not on file (Documents sheet)",IF(AND(AS495=2,Documents!$O$19&lt;&gt;"ON FILE"),"INVALID – menu checklist not on file (Documents sheet)",IF(AND(AS495=3,NOT(ISNUMBER(Flights!$AX$19))),"INVALID – enter carrying flight KUL departure (Flights AX)",IF(AND(AS495=3,OR(Flights!$AX$19&gt;=Flights!$AA$19,Flights!$AX$19&lt;Flights!$AA$19-3)),"INVALID – Flights AX must be before this leg's STD (within 3 days)",IF(AG495&gt;AsOfUTC,"INVALID – completion time is in the future",IF(AND(ISNUMBER(S495),AG495&lt;S495),IF(H495="Physical uplift","INVALID – before uplift window (cannot confirm loading)","INVALID – before valid window"),IF(AG495&gt;Flights!$AA$19,"INVALID – completed after departure (cannot establish readiness)",IF(AND(H495="Physical uplift",AG495&gt;Q495),"INVALID – recorded after the loading flight departed",IF(AG495&gt;Q495,"COMPLETE – LATE","COMPLETE")))))))))))))))))),IF(TRIM(U495)="Fail","FAIL – DISCREPANCY",IF(AND(TRIM(U495)&lt;&gt;"",TRIM(U495)&lt;&gt;"Not started",TRIM(U495)&lt;&gt;"In progress"),"INVALID – unrecognised status (use the list)",IF(AsOfUTC&gt;Q495,"OVERDUE",IF(N495="Clarification required","OPEN – CLARIFICATION","OPEN")))))))</f>
        <v>OPEN</v>
      </c>
      <c r="AI495" s="61" t="n">
        <f aca="false">IF(OR(AH495="N/A – RULE",AH495="N/A – JUSTIFIED"),0,1)</f>
        <v>1</v>
      </c>
      <c r="AJ495" s="61" t="n">
        <f aca="false">IF(LEFT(AH495,8)="COMPLETE",1,0)</f>
        <v>0</v>
      </c>
      <c r="AK495" s="61" t="n">
        <f aca="false">IF(AND(AI495=1,AJ495=0,AsOfUTC&gt;Q495),1,0)</f>
        <v>0</v>
      </c>
      <c r="AL495" s="61" t="n">
        <f aca="false">IF(AND(AI495=1,OR(TRIM(U495)="Fail",AND(TRIM(AB495)&lt;&gt;"",TRIM(AB495)&lt;&gt;"Closed"),AND(ISNUMBER(AF495),AF495&lt;&gt;0,TRIM(U495)&lt;&gt;"Pass after CA"))),1,0)</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row>
    <row r="496" customFormat="false" ht="141" hidden="false" customHeight="true" outlineLevel="0" collapsed="false">
      <c r="A496" s="57" t="s">
        <v>1111</v>
      </c>
      <c r="B496" s="57" t="s">
        <v>270</v>
      </c>
      <c r="C496" s="57" t="str">
        <f aca="false">Flights!$F$19</f>
        <v>MH0003</v>
      </c>
      <c r="D496" s="58" t="n">
        <f aca="false">Flights!$D$19</f>
        <v>46320</v>
      </c>
      <c r="E496" s="57" t="str">
        <f aca="false">Flights!$G$19&amp;"-"&amp;Flights!$H$19</f>
        <v>LHR-KUL</v>
      </c>
      <c r="F496" s="57" t="str">
        <f aca="false">Flights!$K$19</f>
        <v>EY</v>
      </c>
      <c r="G496" s="57" t="s">
        <v>385</v>
      </c>
      <c r="H496" s="57" t="s">
        <v>343</v>
      </c>
      <c r="I496" s="57" t="s">
        <v>393</v>
      </c>
      <c r="J496" s="57" t="s">
        <v>400</v>
      </c>
      <c r="K496" s="67" t="s">
        <v>401</v>
      </c>
      <c r="L496" s="67" t="s">
        <v>387</v>
      </c>
      <c r="M496" s="67"/>
      <c r="N496" s="67" t="s">
        <v>348</v>
      </c>
      <c r="O496" s="67" t="s">
        <v>388</v>
      </c>
      <c r="P496" s="57" t="s">
        <v>178</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59" t="n">
        <f aca="false">Q496-T12EarlyH/24</f>
        <v>46319.4583333333</v>
      </c>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IF(N496="N/A – rule","N/A – RULE",IF(TRIM(U496)="N/A",IF(AT496=0,"INVALID – N/A not permitted for this mandatory check",IF(AND(TRIM(AC496)&lt;&gt;"",TRIM(AE496)&lt;&gt;"",TRIM(T496)&lt;&gt;"",TRIM(AE496)&lt;&gt;TRIM(T496)),"N/A – JUSTIFIED","INVALID – N/A needs justification, PIC and a different verifier")),IF(OR(TRIM(U496)="Pass",TRIM(U496)="Pass after CA"),IF(NOT(ISNUMBER(AD496)),"INVALID – completion time missing",IF(TRIM(T496)="","INVALID – PIC missing",IF(TRIM(V496)="","INVALID – result / assessment missing",IF(TRIM(Z496)="","INVALID – evidence missing",IF(TRIM(AE496)="","INVALID – verifier missing",IF(TRIM(AE496)=TRIM(T496),"INVALID – verifier must be someone other than the PIC",IF(AND(AQ496=1,TRIM(W496)=""),"INVALID – batch ID missing",IF(AND(AR496=1,OR(NOT(ISNUMBER(X496)),NOT(ISNUMBER(Y496)))),"INVALID – expected/actual qty missing",IF(IF(AND(TRIM(U496)="Pass",ISNUMBER(AF496)),IF(AF496&lt;&gt;0,"INVALID – qty variance: use Fail or Pass after CA",""),"")&amp;IF(AND(TRIM(U496)="Pass",TRIM(AB496)&lt;&gt;"",TRIM(AB496)&lt;&gt;"Closed"),"INVALID – corrective action not closed: use Fail, then Pass after CA","")&amp;IF(AND(TRIM(AA496)&lt;&gt;"",TRIM(AB496)=""),"INVALID – CA status missing for the recorded corrective action","")&amp;IF(AND(TRIM(U496)="Pass after CA",OR(TRIM(AA496)="",TRIM(AB496)&lt;&gt;"Closed")),"INVALID – corrective action not recorded/closed","")&lt;&gt;"",IF(AND(TRIM(U496)="Pass",ISNUMBER(AF496)),IF(AF496&lt;&gt;0,"INVALID – qty variance: use Fail or Pass after CA",""),"")&amp;IF(AND(TRIM(U496)="Pass",TRIM(AB496)&lt;&gt;"",TRIM(AB496)&lt;&gt;"Closed"),"INVALID – corrective action not closed: use Fail, then Pass after CA","")&amp;IF(AND(TRIM(AA496)&lt;&gt;"",TRIM(AB496)=""),"INVALID – CA status missing for the recorded corrective action","")&amp;IF(AND(TRIM(U496)="Pass after CA",OR(TRIM(AA496)="",TRIM(AB496)&lt;&gt;"Closed")),"INVALID – corrective action not recorded/closed",""),IF(AND(AS496=1,Documents!$J$19&lt;&gt;"ON FILE"),"INVALID – GLD not on file (Documents sheet)",IF(AND(AS496=2,Documents!$O$19&lt;&gt;"ON FILE"),"INVALID – menu checklist not on file (Documents sheet)",IF(AND(AS496=3,NOT(ISNUMBER(Flights!$AX$19))),"INVALID – enter carrying flight KUL departure (Flights AX)",IF(AND(AS496=3,OR(Flights!$AX$19&gt;=Flights!$AA$19,Flights!$AX$19&lt;Flights!$AA$19-3)),"INVALID – Flights AX must be before this leg's STD (within 3 days)",IF(AG496&gt;AsOfUTC,"INVALID – completion time is in the future",IF(AND(ISNUMBER(S496),AG496&lt;S496),IF(H496="Physical uplift","INVALID – before uplift window (cannot confirm loading)","INVALID – before valid window"),IF(AG496&gt;Flights!$AA$19,"INVALID – completed after departure (cannot establish readiness)",IF(AND(H496="Physical uplift",AG496&gt;Q496),"INVALID – recorded after the loading flight departed",IF(AG496&gt;Q496,"COMPLETE – LATE","COMPLETE")))))))))))))))))),IF(TRIM(U496)="Fail","FAIL – DISCREPANCY",IF(AND(TRIM(U496)&lt;&gt;"",TRIM(U496)&lt;&gt;"Not started",TRIM(U496)&lt;&gt;"In progress"),"INVALID – unrecognised status (use the list)",IF(AsOfUTC&gt;Q496,"OVERDUE",IF(N496="Clarification required","OPEN – CLARIFICATION","OPEN")))))))</f>
        <v>OPEN</v>
      </c>
      <c r="AI496" s="61" t="n">
        <f aca="false">IF(OR(AH496="N/A – RULE",AH496="N/A – JUSTIFIED"),0,1)</f>
        <v>1</v>
      </c>
      <c r="AJ496" s="61" t="n">
        <f aca="false">IF(LEFT(AH496,8)="COMPLETE",1,0)</f>
        <v>0</v>
      </c>
      <c r="AK496" s="61" t="n">
        <f aca="false">IF(AND(AI496=1,AJ496=0,AsOfUTC&gt;Q496),1,0)</f>
        <v>0</v>
      </c>
      <c r="AL496" s="61" t="n">
        <f aca="false">IF(AND(AI496=1,OR(TRIM(U496)="Fail",AND(TRIM(AB496)&lt;&gt;"",TRIM(AB496)&lt;&gt;"Closed"),AND(ISNUMBER(AF496),AF496&lt;&gt;0,TRIM(U496)&lt;&gt;"Pass after CA"))),1,0)</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row>
    <row r="497" customFormat="false" ht="39.75" hidden="false" customHeight="true" outlineLevel="0" collapsed="false">
      <c r="A497" s="57" t="s">
        <v>1112</v>
      </c>
      <c r="B497" s="57" t="s">
        <v>270</v>
      </c>
      <c r="C497" s="57" t="str">
        <f aca="false">Flights!$F$19</f>
        <v>MH0003</v>
      </c>
      <c r="D497" s="58" t="n">
        <f aca="false">Flights!$D$19</f>
        <v>46320</v>
      </c>
      <c r="E497" s="57" t="str">
        <f aca="false">Flights!$G$19&amp;"-"&amp;Flights!$H$19</f>
        <v>LHR-KUL</v>
      </c>
      <c r="F497" s="57" t="str">
        <f aca="false">Flights!$K$19</f>
        <v>EY</v>
      </c>
      <c r="G497" s="57" t="s">
        <v>385</v>
      </c>
      <c r="H497" s="57" t="s">
        <v>343</v>
      </c>
      <c r="I497" s="57" t="s">
        <v>393</v>
      </c>
      <c r="J497" s="57" t="s">
        <v>403</v>
      </c>
      <c r="K497" s="67"/>
      <c r="L497" s="67" t="s">
        <v>387</v>
      </c>
      <c r="M497" s="67"/>
      <c r="N497" s="67" t="s">
        <v>348</v>
      </c>
      <c r="O497" s="67" t="s">
        <v>388</v>
      </c>
      <c r="P497" s="57" t="s">
        <v>178</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59" t="n">
        <f aca="false">Q497-T12EarlyH/24</f>
        <v>46319.4583333333</v>
      </c>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IF(N497="N/A – rule","N/A – RULE",IF(TRIM(U497)="N/A",IF(AT497=0,"INVALID – N/A not permitted for this mandatory check",IF(AND(TRIM(AC497)&lt;&gt;"",TRIM(AE497)&lt;&gt;"",TRIM(T497)&lt;&gt;"",TRIM(AE497)&lt;&gt;TRIM(T497)),"N/A – JUSTIFIED","INVALID – N/A needs justification, PIC and a different verifier")),IF(OR(TRIM(U497)="Pass",TRIM(U497)="Pass after CA"),IF(NOT(ISNUMBER(AD497)),"INVALID – completion time missing",IF(TRIM(T497)="","INVALID – PIC missing",IF(TRIM(V497)="","INVALID – result / assessment missing",IF(TRIM(Z497)="","INVALID – evidence missing",IF(TRIM(AE497)="","INVALID – verifier missing",IF(TRIM(AE497)=TRIM(T497),"INVALID – verifier must be someone other than the PIC",IF(AND(AQ497=1,TRIM(W497)=""),"INVALID – batch ID missing",IF(AND(AR497=1,OR(NOT(ISNUMBER(X497)),NOT(ISNUMBER(Y497)))),"INVALID – expected/actual qty missing",IF(IF(AND(TRIM(U497)="Pass",ISNUMBER(AF497)),IF(AF497&lt;&gt;0,"INVALID – qty variance: use Fail or Pass after CA",""),"")&amp;IF(AND(TRIM(U497)="Pass",TRIM(AB497)&lt;&gt;"",TRIM(AB497)&lt;&gt;"Closed"),"INVALID – corrective action not closed: use Fail, then Pass after CA","")&amp;IF(AND(TRIM(AA497)&lt;&gt;"",TRIM(AB497)=""),"INVALID – CA status missing for the recorded corrective action","")&amp;IF(AND(TRIM(U497)="Pass after CA",OR(TRIM(AA497)="",TRIM(AB497)&lt;&gt;"Closed")),"INVALID – corrective action not recorded/closed","")&lt;&gt;"",IF(AND(TRIM(U497)="Pass",ISNUMBER(AF497)),IF(AF497&lt;&gt;0,"INVALID – qty variance: use Fail or Pass after CA",""),"")&amp;IF(AND(TRIM(U497)="Pass",TRIM(AB497)&lt;&gt;"",TRIM(AB497)&lt;&gt;"Closed"),"INVALID – corrective action not closed: use Fail, then Pass after CA","")&amp;IF(AND(TRIM(AA497)&lt;&gt;"",TRIM(AB497)=""),"INVALID – CA status missing for the recorded corrective action","")&amp;IF(AND(TRIM(U497)="Pass after CA",OR(TRIM(AA497)="",TRIM(AB497)&lt;&gt;"Closed")),"INVALID – corrective action not recorded/closed",""),IF(AND(AS497=1,Documents!$J$19&lt;&gt;"ON FILE"),"INVALID – GLD not on file (Documents sheet)",IF(AND(AS497=2,Documents!$O$19&lt;&gt;"ON FILE"),"INVALID – menu checklist not on file (Documents sheet)",IF(AND(AS497=3,NOT(ISNUMBER(Flights!$AX$19))),"INVALID – enter carrying flight KUL departure (Flights AX)",IF(AND(AS497=3,OR(Flights!$AX$19&gt;=Flights!$AA$19,Flights!$AX$19&lt;Flights!$AA$19-3)),"INVALID – Flights AX must be before this leg's STD (within 3 days)",IF(AG497&gt;AsOfUTC,"INVALID – completion time is in the future",IF(AND(ISNUMBER(S497),AG497&lt;S497),IF(H497="Physical uplift","INVALID – before uplift window (cannot confirm loading)","INVALID – before valid window"),IF(AG497&gt;Flights!$AA$19,"INVALID – completed after departure (cannot establish readiness)",IF(AND(H497="Physical uplift",AG497&gt;Q497),"INVALID – recorded after the loading flight departed",IF(AG497&gt;Q497,"COMPLETE – LATE","COMPLETE")))))))))))))))))),IF(TRIM(U497)="Fail","FAIL – DISCREPANCY",IF(AND(TRIM(U497)&lt;&gt;"",TRIM(U497)&lt;&gt;"Not started",TRIM(U497)&lt;&gt;"In progress"),"INVALID – unrecognised status (use the list)",IF(AsOfUTC&gt;Q497,"OVERDUE",IF(N497="Clarification required","OPEN – CLARIFICATION","OPEN")))))))</f>
        <v>OPEN</v>
      </c>
      <c r="AI497" s="61" t="n">
        <f aca="false">IF(OR(AH497="N/A – RULE",AH497="N/A – JUSTIFIED"),0,1)</f>
        <v>1</v>
      </c>
      <c r="AJ497" s="61" t="n">
        <f aca="false">IF(LEFT(AH497,8)="COMPLETE",1,0)</f>
        <v>0</v>
      </c>
      <c r="AK497" s="61" t="n">
        <f aca="false">IF(AND(AI497=1,AJ497=0,AsOfUTC&gt;Q497),1,0)</f>
        <v>0</v>
      </c>
      <c r="AL497" s="61" t="n">
        <f aca="false">IF(AND(AI497=1,OR(TRIM(U497)="Fail",AND(TRIM(AB497)&lt;&gt;"",TRIM(AB497)&lt;&gt;"Closed"),AND(ISNUMBER(AF497),AF497&lt;&gt;0,TRIM(U497)&lt;&gt;"Pass after CA"))),1,0)</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row>
    <row r="498" customFormat="false" ht="54" hidden="false" customHeight="true" outlineLevel="0" collapsed="false">
      <c r="A498" s="57" t="s">
        <v>1113</v>
      </c>
      <c r="B498" s="57" t="s">
        <v>270</v>
      </c>
      <c r="C498" s="57" t="str">
        <f aca="false">Flights!$F$19</f>
        <v>MH0003</v>
      </c>
      <c r="D498" s="58" t="n">
        <f aca="false">Flights!$D$19</f>
        <v>46320</v>
      </c>
      <c r="E498" s="57" t="str">
        <f aca="false">Flights!$G$19&amp;"-"&amp;Flights!$H$19</f>
        <v>LHR-KUL</v>
      </c>
      <c r="F498" s="57" t="str">
        <f aca="false">Flights!$K$19</f>
        <v>EY</v>
      </c>
      <c r="G498" s="57" t="s">
        <v>385</v>
      </c>
      <c r="H498" s="57" t="s">
        <v>343</v>
      </c>
      <c r="I498" s="57" t="s">
        <v>405</v>
      </c>
      <c r="J498" s="57" t="s">
        <v>406</v>
      </c>
      <c r="K498" s="67" t="s">
        <v>407</v>
      </c>
      <c r="L498" s="67" t="s">
        <v>408</v>
      </c>
      <c r="M498" s="67" t="s">
        <v>178</v>
      </c>
      <c r="N498" s="67" t="s">
        <v>409</v>
      </c>
      <c r="O498" s="67" t="s">
        <v>410</v>
      </c>
      <c r="P498" s="57" t="s">
        <v>178</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59" t="n">
        <f aca="false">Q498-T12EarlyH/24</f>
        <v>46319.4583333333</v>
      </c>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IF(N498="N/A – rule","N/A – RULE",IF(TRIM(U498)="N/A",IF(AT498=0,"INVALID – N/A not permitted for this mandatory check",IF(AND(TRIM(AC498)&lt;&gt;"",TRIM(AE498)&lt;&gt;"",TRIM(T498)&lt;&gt;"",TRIM(AE498)&lt;&gt;TRIM(T498)),"N/A – JUSTIFIED","INVALID – N/A needs justification, PIC and a different verifier")),IF(OR(TRIM(U498)="Pass",TRIM(U498)="Pass after CA"),IF(NOT(ISNUMBER(AD498)),"INVALID – completion time missing",IF(TRIM(T498)="","INVALID – PIC missing",IF(TRIM(V498)="","INVALID – result / assessment missing",IF(TRIM(Z498)="","INVALID – evidence missing",IF(TRIM(AE498)="","INVALID – verifier missing",IF(TRIM(AE498)=TRIM(T498),"INVALID – verifier must be someone other than the PIC",IF(AND(AQ498=1,TRIM(W498)=""),"INVALID – batch ID missing",IF(AND(AR498=1,OR(NOT(ISNUMBER(X498)),NOT(ISNUMBER(Y498)))),"INVALID – expected/actual qty missing",IF(IF(AND(TRIM(U498)="Pass",ISNUMBER(AF498)),IF(AF498&lt;&gt;0,"INVALID – qty variance: use Fail or Pass after CA",""),"")&amp;IF(AND(TRIM(U498)="Pass",TRIM(AB498)&lt;&gt;"",TRIM(AB498)&lt;&gt;"Closed"),"INVALID – corrective action not closed: use Fail, then Pass after CA","")&amp;IF(AND(TRIM(AA498)&lt;&gt;"",TRIM(AB498)=""),"INVALID – CA status missing for the recorded corrective action","")&amp;IF(AND(TRIM(U498)="Pass after CA",OR(TRIM(AA498)="",TRIM(AB498)&lt;&gt;"Closed")),"INVALID – corrective action not recorded/closed","")&lt;&gt;"",IF(AND(TRIM(U498)="Pass",ISNUMBER(AF498)),IF(AF498&lt;&gt;0,"INVALID – qty variance: use Fail or Pass after CA",""),"")&amp;IF(AND(TRIM(U498)="Pass",TRIM(AB498)&lt;&gt;"",TRIM(AB498)&lt;&gt;"Closed"),"INVALID – corrective action not closed: use Fail, then Pass after CA","")&amp;IF(AND(TRIM(AA498)&lt;&gt;"",TRIM(AB498)=""),"INVALID – CA status missing for the recorded corrective action","")&amp;IF(AND(TRIM(U498)="Pass after CA",OR(TRIM(AA498)="",TRIM(AB498)&lt;&gt;"Closed")),"INVALID – corrective action not recorded/closed",""),IF(AND(AS498=1,Documents!$J$19&lt;&gt;"ON FILE"),"INVALID – GLD not on file (Documents sheet)",IF(AND(AS498=2,Documents!$O$19&lt;&gt;"ON FILE"),"INVALID – menu checklist not on file (Documents sheet)",IF(AND(AS498=3,NOT(ISNUMBER(Flights!$AX$19))),"INVALID – enter carrying flight KUL departure (Flights AX)",IF(AND(AS498=3,OR(Flights!$AX$19&gt;=Flights!$AA$19,Flights!$AX$19&lt;Flights!$AA$19-3)),"INVALID – Flights AX must be before this leg's STD (within 3 days)",IF(AG498&gt;AsOfUTC,"INVALID – completion time is in the future",IF(AND(ISNUMBER(S498),AG498&lt;S498),IF(H498="Physical uplift","INVALID – before uplift window (cannot confirm loading)","INVALID – before valid window"),IF(AG498&gt;Flights!$AA$19,"INVALID – completed after departure (cannot establish readiness)",IF(AND(H498="Physical uplift",AG498&gt;Q498),"INVALID – recorded after the loading flight departed",IF(AG498&gt;Q498,"COMPLETE – LATE","COMPLETE")))))))))))))))))),IF(TRIM(U498)="Fail","FAIL – DISCREPANCY",IF(AND(TRIM(U498)&lt;&gt;"",TRIM(U498)&lt;&gt;"Not started",TRIM(U498)&lt;&gt;"In progress"),"INVALID – unrecognised status (use the list)",IF(AsOfUTC&gt;Q498,"OVERDUE",IF(N498="Clarification required","OPEN – CLARIFICATION","OPEN")))))))</f>
        <v>OPEN – CLARIFICATION</v>
      </c>
      <c r="AI498" s="61" t="n">
        <f aca="false">IF(OR(AH498="N/A – RULE",AH498="N/A – JUSTIFIED"),0,1)</f>
        <v>1</v>
      </c>
      <c r="AJ498" s="61" t="n">
        <f aca="false">IF(LEFT(AH498,8)="COMPLETE",1,0)</f>
        <v>0</v>
      </c>
      <c r="AK498" s="61" t="n">
        <f aca="false">IF(AND(AI498=1,AJ498=0,AsOfUTC&gt;Q498),1,0)</f>
        <v>0</v>
      </c>
      <c r="AL498" s="61" t="n">
        <f aca="false">IF(AND(AI498=1,OR(TRIM(U498)="Fail",AND(TRIM(AB498)&lt;&gt;"",TRIM(AB498)&lt;&gt;"Closed"),AND(ISNUMBER(AF498),AF498&lt;&gt;0,TRIM(U498)&lt;&gt;"Pass after CA"))),1,0)</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8" t="b">
        <f aca="false">TRUE()</f>
        <v>1</v>
      </c>
    </row>
    <row r="499" customFormat="false" ht="41.25" hidden="false" customHeight="true" outlineLevel="0" collapsed="false">
      <c r="A499" s="57" t="s">
        <v>1114</v>
      </c>
      <c r="B499" s="57" t="s">
        <v>270</v>
      </c>
      <c r="C499" s="57" t="str">
        <f aca="false">Flights!$F$19</f>
        <v>MH0003</v>
      </c>
      <c r="D499" s="58" t="n">
        <f aca="false">Flights!$D$19</f>
        <v>46320</v>
      </c>
      <c r="E499" s="57" t="str">
        <f aca="false">Flights!$G$19&amp;"-"&amp;Flights!$H$19</f>
        <v>LHR-KUL</v>
      </c>
      <c r="F499" s="57" t="str">
        <f aca="false">Flights!$K$19</f>
        <v>EY</v>
      </c>
      <c r="G499" s="57" t="s">
        <v>385</v>
      </c>
      <c r="H499" s="57" t="s">
        <v>343</v>
      </c>
      <c r="I499" s="57" t="s">
        <v>412</v>
      </c>
      <c r="J499" s="57" t="s">
        <v>413</v>
      </c>
      <c r="K499" s="67" t="s">
        <v>414</v>
      </c>
      <c r="L499" s="67" t="s">
        <v>415</v>
      </c>
      <c r="M499" s="67" t="s">
        <v>416</v>
      </c>
      <c r="N499" s="67" t="s">
        <v>348</v>
      </c>
      <c r="O499" s="67" t="s">
        <v>417</v>
      </c>
      <c r="P499" s="57" t="s">
        <v>178</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59" t="n">
        <f aca="false">Q499-T12EarlyH/24</f>
        <v>46319.4583333333</v>
      </c>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IF(N499="N/A – rule","N/A – RULE",IF(TRIM(U499)="N/A",IF(AT499=0,"INVALID – N/A not permitted for this mandatory check",IF(AND(TRIM(AC499)&lt;&gt;"",TRIM(AE499)&lt;&gt;"",TRIM(T499)&lt;&gt;"",TRIM(AE499)&lt;&gt;TRIM(T499)),"N/A – JUSTIFIED","INVALID – N/A needs justification, PIC and a different verifier")),IF(OR(TRIM(U499)="Pass",TRIM(U499)="Pass after CA"),IF(NOT(ISNUMBER(AD499)),"INVALID – completion time missing",IF(TRIM(T499)="","INVALID – PIC missing",IF(TRIM(V499)="","INVALID – result / assessment missing",IF(TRIM(Z499)="","INVALID – evidence missing",IF(TRIM(AE499)="","INVALID – verifier missing",IF(TRIM(AE499)=TRIM(T499),"INVALID – verifier must be someone other than the PIC",IF(AND(AQ499=1,TRIM(W499)=""),"INVALID – batch ID missing",IF(AND(AR499=1,OR(NOT(ISNUMBER(X499)),NOT(ISNUMBER(Y499)))),"INVALID – expected/actual qty missing",IF(IF(AND(TRIM(U499)="Pass",ISNUMBER(AF499)),IF(AF499&lt;&gt;0,"INVALID – qty variance: use Fail or Pass after CA",""),"")&amp;IF(AND(TRIM(U499)="Pass",TRIM(AB499)&lt;&gt;"",TRIM(AB499)&lt;&gt;"Closed"),"INVALID – corrective action not closed: use Fail, then Pass after CA","")&amp;IF(AND(TRIM(AA499)&lt;&gt;"",TRIM(AB499)=""),"INVALID – CA status missing for the recorded corrective action","")&amp;IF(AND(TRIM(U499)="Pass after CA",OR(TRIM(AA499)="",TRIM(AB499)&lt;&gt;"Closed")),"INVALID – corrective action not recorded/closed","")&lt;&gt;"",IF(AND(TRIM(U499)="Pass",ISNUMBER(AF499)),IF(AF499&lt;&gt;0,"INVALID – qty variance: use Fail or Pass after CA",""),"")&amp;IF(AND(TRIM(U499)="Pass",TRIM(AB499)&lt;&gt;"",TRIM(AB499)&lt;&gt;"Closed"),"INVALID – corrective action not closed: use Fail, then Pass after CA","")&amp;IF(AND(TRIM(AA499)&lt;&gt;"",TRIM(AB499)=""),"INVALID – CA status missing for the recorded corrective action","")&amp;IF(AND(TRIM(U499)="Pass after CA",OR(TRIM(AA499)="",TRIM(AB499)&lt;&gt;"Closed")),"INVALID – corrective action not recorded/closed",""),IF(AND(AS499=1,Documents!$J$19&lt;&gt;"ON FILE"),"INVALID – GLD not on file (Documents sheet)",IF(AND(AS499=2,Documents!$O$19&lt;&gt;"ON FILE"),"INVALID – menu checklist not on file (Documents sheet)",IF(AND(AS499=3,NOT(ISNUMBER(Flights!$AX$19))),"INVALID – enter carrying flight KUL departure (Flights AX)",IF(AND(AS499=3,OR(Flights!$AX$19&gt;=Flights!$AA$19,Flights!$AX$19&lt;Flights!$AA$19-3)),"INVALID – Flights AX must be before this leg's STD (within 3 days)",IF(AG499&gt;AsOfUTC,"INVALID – completion time is in the future",IF(AND(ISNUMBER(S499),AG499&lt;S499),IF(H499="Physical uplift","INVALID – before uplift window (cannot confirm loading)","INVALID – before valid window"),IF(AG499&gt;Flights!$AA$19,"INVALID – completed after departure (cannot establish readiness)",IF(AND(H499="Physical uplift",AG499&gt;Q499),"INVALID – recorded after the loading flight departed",IF(AG499&gt;Q499,"COMPLETE – LATE","COMPLETE")))))))))))))))))),IF(TRIM(U499)="Fail","FAIL – DISCREPANCY",IF(AND(TRIM(U499)&lt;&gt;"",TRIM(U499)&lt;&gt;"Not started",TRIM(U499)&lt;&gt;"In progress"),"INVALID – unrecognised status (use the list)",IF(AsOfUTC&gt;Q499,"OVERDUE",IF(N499="Clarification required","OPEN – CLARIFICATION","OPEN")))))))</f>
        <v>OPEN</v>
      </c>
      <c r="AI499" s="61" t="n">
        <f aca="false">IF(OR(AH499="N/A – RULE",AH499="N/A – JUSTIFIED"),0,1)</f>
        <v>1</v>
      </c>
      <c r="AJ499" s="61" t="n">
        <f aca="false">IF(LEFT(AH499,8)="COMPLETE",1,0)</f>
        <v>0</v>
      </c>
      <c r="AK499" s="61" t="n">
        <f aca="false">IF(AND(AI499=1,AJ499=0,AsOfUTC&gt;Q499),1,0)</f>
        <v>0</v>
      </c>
      <c r="AL499" s="61" t="n">
        <f aca="false">IF(AND(AI499=1,OR(TRIM(U499)="Fail",AND(TRIM(AB499)&lt;&gt;"",TRIM(AB499)&lt;&gt;"Closed"),AND(ISNUMBER(AF499),AF499&lt;&gt;0,TRIM(U499)&lt;&gt;"Pass after CA"))),1,0)</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8" t="b">
        <f aca="false">TRUE()</f>
        <v>1</v>
      </c>
    </row>
    <row r="500" customFormat="false" ht="91.5" hidden="false" customHeight="true" outlineLevel="0" collapsed="false">
      <c r="A500" s="57" t="s">
        <v>1115</v>
      </c>
      <c r="B500" s="57" t="s">
        <v>270</v>
      </c>
      <c r="C500" s="57" t="str">
        <f aca="false">Flights!$F$19</f>
        <v>MH0003</v>
      </c>
      <c r="D500" s="58" t="n">
        <f aca="false">Flights!$D$19</f>
        <v>46320</v>
      </c>
      <c r="E500" s="57" t="str">
        <f aca="false">Flights!$G$19&amp;"-"&amp;Flights!$H$19</f>
        <v>LHR-KUL</v>
      </c>
      <c r="F500" s="57" t="str">
        <f aca="false">Flights!$K$19</f>
        <v>EY</v>
      </c>
      <c r="G500" s="57" t="s">
        <v>385</v>
      </c>
      <c r="H500" s="57" t="s">
        <v>343</v>
      </c>
      <c r="I500" s="57" t="s">
        <v>412</v>
      </c>
      <c r="J500" s="57" t="s">
        <v>419</v>
      </c>
      <c r="K500" s="67" t="s">
        <v>420</v>
      </c>
      <c r="L500" s="67" t="s">
        <v>421</v>
      </c>
      <c r="M500" s="67" t="s">
        <v>416</v>
      </c>
      <c r="N500" s="67" t="s">
        <v>348</v>
      </c>
      <c r="O500" s="67" t="s">
        <v>1116</v>
      </c>
      <c r="P500" s="57" t="s">
        <v>178</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59" t="n">
        <f aca="false">Q500-T12EarlyH/24</f>
        <v>46319.4583333333</v>
      </c>
      <c r="T500" s="60"/>
      <c r="U500" s="60"/>
      <c r="V500" s="60"/>
      <c r="W500" s="61"/>
      <c r="X500" s="69"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IF(N500="N/A – rule","N/A – RULE",IF(TRIM(U500)="N/A",IF(AT500=0,"INVALID – N/A not permitted for this mandatory check",IF(AND(TRIM(AC500)&lt;&gt;"",TRIM(AE500)&lt;&gt;"",TRIM(T500)&lt;&gt;"",TRIM(AE500)&lt;&gt;TRIM(T500)),"N/A – JUSTIFIED","INVALID – N/A needs justification, PIC and a different verifier")),IF(OR(TRIM(U500)="Pass",TRIM(U500)="Pass after CA"),IF(NOT(ISNUMBER(AD500)),"INVALID – completion time missing",IF(TRIM(T500)="","INVALID – PIC missing",IF(TRIM(V500)="","INVALID – result / assessment missing",IF(TRIM(Z500)="","INVALID – evidence missing",IF(TRIM(AE500)="","INVALID – verifier missing",IF(TRIM(AE500)=TRIM(T500),"INVALID – verifier must be someone other than the PIC",IF(AND(AQ500=1,TRIM(W500)=""),"INVALID – batch ID missing",IF(AND(AR500=1,OR(NOT(ISNUMBER(X500)),NOT(ISNUMBER(Y500)))),"INVALID – expected/actual qty missing",IF(IF(AND(TRIM(U500)="Pass",ISNUMBER(AF500)),IF(AF500&lt;&gt;0,"INVALID – qty variance: use Fail or Pass after CA",""),"")&amp;IF(AND(TRIM(U500)="Pass",TRIM(AB500)&lt;&gt;"",TRIM(AB500)&lt;&gt;"Closed"),"INVALID – corrective action not closed: use Fail, then Pass after CA","")&amp;IF(AND(TRIM(AA500)&lt;&gt;"",TRIM(AB500)=""),"INVALID – CA status missing for the recorded corrective action","")&amp;IF(AND(TRIM(U500)="Pass after CA",OR(TRIM(AA500)="",TRIM(AB500)&lt;&gt;"Closed")),"INVALID – corrective action not recorded/closed","")&lt;&gt;"",IF(AND(TRIM(U500)="Pass",ISNUMBER(AF500)),IF(AF500&lt;&gt;0,"INVALID – qty variance: use Fail or Pass after CA",""),"")&amp;IF(AND(TRIM(U500)="Pass",TRIM(AB500)&lt;&gt;"",TRIM(AB500)&lt;&gt;"Closed"),"INVALID – corrective action not closed: use Fail, then Pass after CA","")&amp;IF(AND(TRIM(AA500)&lt;&gt;"",TRIM(AB500)=""),"INVALID – CA status missing for the recorded corrective action","")&amp;IF(AND(TRIM(U500)="Pass after CA",OR(TRIM(AA500)="",TRIM(AB500)&lt;&gt;"Closed")),"INVALID – corrective action not recorded/closed",""),IF(AND(AS500=1,Documents!$J$19&lt;&gt;"ON FILE"),"INVALID – GLD not on file (Documents sheet)",IF(AND(AS500=2,Documents!$O$19&lt;&gt;"ON FILE"),"INVALID – menu checklist not on file (Documents sheet)",IF(AND(AS500=3,NOT(ISNUMBER(Flights!$AX$19))),"INVALID – enter carrying flight KUL departure (Flights AX)",IF(AND(AS500=3,OR(Flights!$AX$19&gt;=Flights!$AA$19,Flights!$AX$19&lt;Flights!$AA$19-3)),"INVALID – Flights AX must be before this leg's STD (within 3 days)",IF(AG500&gt;AsOfUTC,"INVALID – completion time is in the future",IF(AND(ISNUMBER(S500),AG500&lt;S500),IF(H500="Physical uplift","INVALID – before uplift window (cannot confirm loading)","INVALID – before valid window"),IF(AG500&gt;Flights!$AA$19,"INVALID – completed after departure (cannot establish readiness)",IF(AND(H500="Physical uplift",AG500&gt;Q500),"INVALID – recorded after the loading flight departed",IF(AG500&gt;Q500,"COMPLETE – LATE","COMPLETE")))))))))))))))))),IF(TRIM(U500)="Fail","FAIL – DISCREPANCY",IF(AND(TRIM(U500)&lt;&gt;"",TRIM(U500)&lt;&gt;"Not started",TRIM(U500)&lt;&gt;"In progress"),"INVALID – unrecognised status (use the list)",IF(AsOfUTC&gt;Q500,"OVERDUE",IF(N500="Clarification required","OPEN – CLARIFICATION","OPEN")))))))</f>
        <v>OPEN</v>
      </c>
      <c r="AI500" s="61" t="n">
        <f aca="false">IF(OR(AH500="N/A – RULE",AH500="N/A – JUSTIFIED"),0,1)</f>
        <v>1</v>
      </c>
      <c r="AJ500" s="61" t="n">
        <f aca="false">IF(LEFT(AH500,8)="COMPLETE",1,0)</f>
        <v>0</v>
      </c>
      <c r="AK500" s="61" t="n">
        <f aca="false">IF(AND(AI500=1,AJ500=0,AsOfUTC&gt;Q500),1,0)</f>
        <v>0</v>
      </c>
      <c r="AL500" s="61" t="n">
        <f aca="false">IF(AND(AI500=1,OR(TRIM(U500)="Fail",AND(TRIM(AB500)&lt;&gt;"",TRIM(AB500)&lt;&gt;"Closed"),AND(ISNUMBER(AF500),AF500&lt;&gt;0,TRIM(U500)&lt;&gt;"Pass after CA"))),1,0)</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8" t="b">
        <f aca="false">TRUE()</f>
        <v>1</v>
      </c>
    </row>
    <row r="501" customFormat="false" ht="39.75" hidden="false" customHeight="true" outlineLevel="0" collapsed="false">
      <c r="A501" s="57" t="s">
        <v>1117</v>
      </c>
      <c r="B501" s="57" t="s">
        <v>270</v>
      </c>
      <c r="C501" s="57" t="str">
        <f aca="false">Flights!$F$19</f>
        <v>MH0003</v>
      </c>
      <c r="D501" s="58" t="n">
        <f aca="false">Flights!$D$19</f>
        <v>46320</v>
      </c>
      <c r="E501" s="57" t="str">
        <f aca="false">Flights!$G$19&amp;"-"&amp;Flights!$H$19</f>
        <v>LHR-KUL</v>
      </c>
      <c r="F501" s="57" t="str">
        <f aca="false">Flights!$K$19</f>
        <v>EY</v>
      </c>
      <c r="G501" s="57" t="s">
        <v>424</v>
      </c>
      <c r="H501" s="57" t="s">
        <v>425</v>
      </c>
      <c r="I501" s="57" t="s">
        <v>344</v>
      </c>
      <c r="J501" s="57" t="s">
        <v>426</v>
      </c>
      <c r="K501" s="67" t="s">
        <v>391</v>
      </c>
      <c r="L501" s="67" t="s">
        <v>427</v>
      </c>
      <c r="M501" s="67"/>
      <c r="N501" s="67" t="s">
        <v>348</v>
      </c>
      <c r="O501" s="67" t="s">
        <v>428</v>
      </c>
      <c r="P501" s="57" t="s">
        <v>178</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59" t="n">
        <f aca="false">IF(ISNUMBER(Flights!$AY$19),MAX(Q501-UpliftWindowH/24,Flights!$AY$19+UpliftWindowH/24),Q501-UpliftWindowH/24)</f>
        <v>46320.2083333333</v>
      </c>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IF(N501="N/A – rule","N/A – RULE",IF(TRIM(U501)="N/A",IF(AT501=0,"INVALID – N/A not permitted for this mandatory check",IF(AND(TRIM(AC501)&lt;&gt;"",TRIM(AE501)&lt;&gt;"",TRIM(T501)&lt;&gt;"",TRIM(AE501)&lt;&gt;TRIM(T501)),"N/A – JUSTIFIED","INVALID – N/A needs justification, PIC and a different verifier")),IF(OR(TRIM(U501)="Pass",TRIM(U501)="Pass after CA"),IF(NOT(ISNUMBER(AD501)),"INVALID – completion time missing",IF(TRIM(T501)="","INVALID – PIC missing",IF(TRIM(V501)="","INVALID – result / assessment missing",IF(TRIM(Z501)="","INVALID – evidence missing",IF(TRIM(AE501)="","INVALID – verifier missing",IF(TRIM(AE501)=TRIM(T501),"INVALID – verifier must be someone other than the PIC",IF(AND(AQ501=1,TRIM(W501)=""),"INVALID – batch ID missing",IF(AND(AR501=1,OR(NOT(ISNUMBER(X501)),NOT(ISNUMBER(Y501)))),"INVALID – expected/actual qty missing",IF(IF(AND(TRIM(U501)="Pass",ISNUMBER(AF501)),IF(AF501&lt;&gt;0,"INVALID – qty variance: use Fail or Pass after CA",""),"")&amp;IF(AND(TRIM(U501)="Pass",TRIM(AB501)&lt;&gt;"",TRIM(AB501)&lt;&gt;"Closed"),"INVALID – corrective action not closed: use Fail, then Pass after CA","")&amp;IF(AND(TRIM(AA501)&lt;&gt;"",TRIM(AB501)=""),"INVALID – CA status missing for the recorded corrective action","")&amp;IF(AND(TRIM(U501)="Pass after CA",OR(TRIM(AA501)="",TRIM(AB501)&lt;&gt;"Closed")),"INVALID – corrective action not recorded/closed","")&lt;&gt;"",IF(AND(TRIM(U501)="Pass",ISNUMBER(AF501)),IF(AF501&lt;&gt;0,"INVALID – qty variance: use Fail or Pass after CA",""),"")&amp;IF(AND(TRIM(U501)="Pass",TRIM(AB501)&lt;&gt;"",TRIM(AB501)&lt;&gt;"Closed"),"INVALID – corrective action not closed: use Fail, then Pass after CA","")&amp;IF(AND(TRIM(AA501)&lt;&gt;"",TRIM(AB501)=""),"INVALID – CA status missing for the recorded corrective action","")&amp;IF(AND(TRIM(U501)="Pass after CA",OR(TRIM(AA501)="",TRIM(AB501)&lt;&gt;"Closed")),"INVALID – corrective action not recorded/closed",""),IF(AND(AS501=1,Documents!$J$19&lt;&gt;"ON FILE"),"INVALID – GLD not on file (Documents sheet)",IF(AND(AS501=2,Documents!$O$19&lt;&gt;"ON FILE"),"INVALID – menu checklist not on file (Documents sheet)",IF(AND(AS501=3,NOT(ISNUMBER(Flights!$AX$19))),"INVALID – enter carrying flight KUL departure (Flights AX)",IF(AND(AS501=3,OR(Flights!$AX$19&gt;=Flights!$AA$19,Flights!$AX$19&lt;Flights!$AA$19-3)),"INVALID – Flights AX must be before this leg's STD (within 3 days)",IF(AG501&gt;AsOfUTC,"INVALID – completion time is in the future",IF(AND(ISNUMBER(S501),AG501&lt;S501),IF(H501="Physical uplift","INVALID – before uplift window (cannot confirm loading)","INVALID – before valid window"),IF(AG501&gt;Flights!$AA$19,"INVALID – completed after departure (cannot establish readiness)",IF(AND(H501="Physical uplift",AG501&gt;Q501),"INVALID – recorded after the loading flight departed",IF(AG501&gt;Q501,"COMPLETE – LATE","COMPLETE")))))))))))))))))),IF(TRIM(U501)="Fail","FAIL – DISCREPANCY",IF(AND(TRIM(U501)&lt;&gt;"",TRIM(U501)&lt;&gt;"Not started",TRIM(U501)&lt;&gt;"In progress"),"INVALID – unrecognised status (use the list)",IF(AsOfUTC&gt;Q501,"OVERDUE",IF(N501="Clarification required","OPEN – CLARIFICATION","OPEN")))))))</f>
        <v>OPEN</v>
      </c>
      <c r="AI501" s="61" t="n">
        <f aca="false">IF(OR(AH501="N/A – RULE",AH501="N/A – JUSTIFIED"),0,1)</f>
        <v>1</v>
      </c>
      <c r="AJ501" s="61" t="n">
        <f aca="false">IF(LEFT(AH501,8)="COMPLETE",1,0)</f>
        <v>0</v>
      </c>
      <c r="AK501" s="61" t="n">
        <f aca="false">IF(AND(AI501=1,AJ501=0,AsOfUTC&gt;Q501),1,0)</f>
        <v>0</v>
      </c>
      <c r="AL501" s="61" t="n">
        <f aca="false">IF(AND(AI501=1,OR(TRIM(U501)="Fail",AND(TRIM(AB501)&lt;&gt;"",TRIM(AB501)&lt;&gt;"Closed"),AND(ISNUMBER(AF501),AF501&lt;&gt;0,TRIM(U501)&lt;&gt;"Pass after CA"))),1,0)</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row>
    <row r="502" customFormat="false" ht="39.75" hidden="false" customHeight="true" outlineLevel="0" collapsed="false">
      <c r="A502" s="57" t="s">
        <v>1118</v>
      </c>
      <c r="B502" s="57" t="s">
        <v>270</v>
      </c>
      <c r="C502" s="57" t="str">
        <f aca="false">Flights!$F$19</f>
        <v>MH0003</v>
      </c>
      <c r="D502" s="58" t="n">
        <f aca="false">Flights!$D$19</f>
        <v>46320</v>
      </c>
      <c r="E502" s="57" t="str">
        <f aca="false">Flights!$G$19&amp;"-"&amp;Flights!$H$19</f>
        <v>LHR-KUL</v>
      </c>
      <c r="F502" s="57" t="str">
        <f aca="false">Flights!$K$19</f>
        <v>EY</v>
      </c>
      <c r="G502" s="57" t="s">
        <v>424</v>
      </c>
      <c r="H502" s="57" t="s">
        <v>425</v>
      </c>
      <c r="I502" s="57" t="s">
        <v>393</v>
      </c>
      <c r="J502" s="57" t="s">
        <v>430</v>
      </c>
      <c r="K502" s="67" t="s">
        <v>391</v>
      </c>
      <c r="L502" s="67" t="s">
        <v>427</v>
      </c>
      <c r="M502" s="67"/>
      <c r="N502" s="67" t="s">
        <v>348</v>
      </c>
      <c r="O502" s="67" t="s">
        <v>428</v>
      </c>
      <c r="P502" s="57" t="s">
        <v>178</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59" t="n">
        <f aca="false">IF(ISNUMBER(Flights!$AY$19),MAX(Q502-UpliftWindowH/24,Flights!$AY$19+UpliftWindowH/24),Q502-UpliftWindowH/24)</f>
        <v>46320.2083333333</v>
      </c>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IF(N502="N/A – rule","N/A – RULE",IF(TRIM(U502)="N/A",IF(AT502=0,"INVALID – N/A not permitted for this mandatory check",IF(AND(TRIM(AC502)&lt;&gt;"",TRIM(AE502)&lt;&gt;"",TRIM(T502)&lt;&gt;"",TRIM(AE502)&lt;&gt;TRIM(T502)),"N/A – JUSTIFIED","INVALID – N/A needs justification, PIC and a different verifier")),IF(OR(TRIM(U502)="Pass",TRIM(U502)="Pass after CA"),IF(NOT(ISNUMBER(AD502)),"INVALID – completion time missing",IF(TRIM(T502)="","INVALID – PIC missing",IF(TRIM(V502)="","INVALID – result / assessment missing",IF(TRIM(Z502)="","INVALID – evidence missing",IF(TRIM(AE502)="","INVALID – verifier missing",IF(TRIM(AE502)=TRIM(T502),"INVALID – verifier must be someone other than the PIC",IF(AND(AQ502=1,TRIM(W502)=""),"INVALID – batch ID missing",IF(AND(AR502=1,OR(NOT(ISNUMBER(X502)),NOT(ISNUMBER(Y502)))),"INVALID – expected/actual qty missing",IF(IF(AND(TRIM(U502)="Pass",ISNUMBER(AF502)),IF(AF502&lt;&gt;0,"INVALID – qty variance: use Fail or Pass after CA",""),"")&amp;IF(AND(TRIM(U502)="Pass",TRIM(AB502)&lt;&gt;"",TRIM(AB502)&lt;&gt;"Closed"),"INVALID – corrective action not closed: use Fail, then Pass after CA","")&amp;IF(AND(TRIM(AA502)&lt;&gt;"",TRIM(AB502)=""),"INVALID – CA status missing for the recorded corrective action","")&amp;IF(AND(TRIM(U502)="Pass after CA",OR(TRIM(AA502)="",TRIM(AB502)&lt;&gt;"Closed")),"INVALID – corrective action not recorded/closed","")&lt;&gt;"",IF(AND(TRIM(U502)="Pass",ISNUMBER(AF502)),IF(AF502&lt;&gt;0,"INVALID – qty variance: use Fail or Pass after CA",""),"")&amp;IF(AND(TRIM(U502)="Pass",TRIM(AB502)&lt;&gt;"",TRIM(AB502)&lt;&gt;"Closed"),"INVALID – corrective action not closed: use Fail, then Pass after CA","")&amp;IF(AND(TRIM(AA502)&lt;&gt;"",TRIM(AB502)=""),"INVALID – CA status missing for the recorded corrective action","")&amp;IF(AND(TRIM(U502)="Pass after CA",OR(TRIM(AA502)="",TRIM(AB502)&lt;&gt;"Closed")),"INVALID – corrective action not recorded/closed",""),IF(AND(AS502=1,Documents!$J$19&lt;&gt;"ON FILE"),"INVALID – GLD not on file (Documents sheet)",IF(AND(AS502=2,Documents!$O$19&lt;&gt;"ON FILE"),"INVALID – menu checklist not on file (Documents sheet)",IF(AND(AS502=3,NOT(ISNUMBER(Flights!$AX$19))),"INVALID – enter carrying flight KUL departure (Flights AX)",IF(AND(AS502=3,OR(Flights!$AX$19&gt;=Flights!$AA$19,Flights!$AX$19&lt;Flights!$AA$19-3)),"INVALID – Flights AX must be before this leg's STD (within 3 days)",IF(AG502&gt;AsOfUTC,"INVALID – completion time is in the future",IF(AND(ISNUMBER(S502),AG502&lt;S502),IF(H502="Physical uplift","INVALID – before uplift window (cannot confirm loading)","INVALID – before valid window"),IF(AG502&gt;Flights!$AA$19,"INVALID – completed after departure (cannot establish readiness)",IF(AND(H502="Physical uplift",AG502&gt;Q502),"INVALID – recorded after the loading flight departed",IF(AG502&gt;Q502,"COMPLETE – LATE","COMPLETE")))))))))))))))))),IF(TRIM(U502)="Fail","FAIL – DISCREPANCY",IF(AND(TRIM(U502)&lt;&gt;"",TRIM(U502)&lt;&gt;"Not started",TRIM(U502)&lt;&gt;"In progress"),"INVALID – unrecognised status (use the list)",IF(AsOfUTC&gt;Q502,"OVERDUE",IF(N502="Clarification required","OPEN – CLARIFICATION","OPEN")))))))</f>
        <v>OPEN</v>
      </c>
      <c r="AI502" s="61" t="n">
        <f aca="false">IF(OR(AH502="N/A – RULE",AH502="N/A – JUSTIFIED"),0,1)</f>
        <v>1</v>
      </c>
      <c r="AJ502" s="61" t="n">
        <f aca="false">IF(LEFT(AH502,8)="COMPLETE",1,0)</f>
        <v>0</v>
      </c>
      <c r="AK502" s="61" t="n">
        <f aca="false">IF(AND(AI502=1,AJ502=0,AsOfUTC&gt;Q502),1,0)</f>
        <v>0</v>
      </c>
      <c r="AL502" s="61" t="n">
        <f aca="false">IF(AND(AI502=1,OR(TRIM(U502)="Fail",AND(TRIM(AB502)&lt;&gt;"",TRIM(AB502)&lt;&gt;"Closed"),AND(ISNUMBER(AF502),AF502&lt;&gt;0,TRIM(U502)&lt;&gt;"Pass after CA"))),1,0)</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row>
    <row r="503" customFormat="false" ht="54" hidden="false" customHeight="true" outlineLevel="0" collapsed="false">
      <c r="A503" s="57" t="s">
        <v>1119</v>
      </c>
      <c r="B503" s="57" t="s">
        <v>270</v>
      </c>
      <c r="C503" s="57" t="str">
        <f aca="false">Flights!$F$19</f>
        <v>MH0003</v>
      </c>
      <c r="D503" s="58" t="n">
        <f aca="false">Flights!$D$19</f>
        <v>46320</v>
      </c>
      <c r="E503" s="57" t="str">
        <f aca="false">Flights!$G$19&amp;"-"&amp;Flights!$H$19</f>
        <v>LHR-KUL</v>
      </c>
      <c r="F503" s="57" t="str">
        <f aca="false">Flights!$K$19</f>
        <v>EY</v>
      </c>
      <c r="G503" s="57" t="s">
        <v>424</v>
      </c>
      <c r="H503" s="57" t="s">
        <v>425</v>
      </c>
      <c r="I503" s="57" t="s">
        <v>405</v>
      </c>
      <c r="J503" s="57" t="s">
        <v>432</v>
      </c>
      <c r="K503" s="67" t="s">
        <v>407</v>
      </c>
      <c r="L503" s="67" t="s">
        <v>408</v>
      </c>
      <c r="M503" s="67" t="s">
        <v>178</v>
      </c>
      <c r="N503" s="67" t="s">
        <v>409</v>
      </c>
      <c r="O503" s="67" t="s">
        <v>410</v>
      </c>
      <c r="P503" s="57" t="s">
        <v>178</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59" t="n">
        <f aca="false">IF(ISNUMBER(Flights!$AY$19),MAX(Q503-UpliftWindowH/24,Flights!$AY$19+UpliftWindowH/24),Q503-UpliftWindowH/24)</f>
        <v>46320.2083333333</v>
      </c>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IF(N503="N/A – rule","N/A – RULE",IF(TRIM(U503)="N/A",IF(AT503=0,"INVALID – N/A not permitted for this mandatory check",IF(AND(TRIM(AC503)&lt;&gt;"",TRIM(AE503)&lt;&gt;"",TRIM(T503)&lt;&gt;"",TRIM(AE503)&lt;&gt;TRIM(T503)),"N/A – JUSTIFIED","INVALID – N/A needs justification, PIC and a different verifier")),IF(OR(TRIM(U503)="Pass",TRIM(U503)="Pass after CA"),IF(NOT(ISNUMBER(AD503)),"INVALID – completion time missing",IF(TRIM(T503)="","INVALID – PIC missing",IF(TRIM(V503)="","INVALID – result / assessment missing",IF(TRIM(Z503)="","INVALID – evidence missing",IF(TRIM(AE503)="","INVALID – verifier missing",IF(TRIM(AE503)=TRIM(T503),"INVALID – verifier must be someone other than the PIC",IF(AND(AQ503=1,TRIM(W503)=""),"INVALID – batch ID missing",IF(AND(AR503=1,OR(NOT(ISNUMBER(X503)),NOT(ISNUMBER(Y503)))),"INVALID – expected/actual qty missing",IF(IF(AND(TRIM(U503)="Pass",ISNUMBER(AF503)),IF(AF503&lt;&gt;0,"INVALID – qty variance: use Fail or Pass after CA",""),"")&amp;IF(AND(TRIM(U503)="Pass",TRIM(AB503)&lt;&gt;"",TRIM(AB503)&lt;&gt;"Closed"),"INVALID – corrective action not closed: use Fail, then Pass after CA","")&amp;IF(AND(TRIM(AA503)&lt;&gt;"",TRIM(AB503)=""),"INVALID – CA status missing for the recorded corrective action","")&amp;IF(AND(TRIM(U503)="Pass after CA",OR(TRIM(AA503)="",TRIM(AB503)&lt;&gt;"Closed")),"INVALID – corrective action not recorded/closed","")&lt;&gt;"",IF(AND(TRIM(U503)="Pass",ISNUMBER(AF503)),IF(AF503&lt;&gt;0,"INVALID – qty variance: use Fail or Pass after CA",""),"")&amp;IF(AND(TRIM(U503)="Pass",TRIM(AB503)&lt;&gt;"",TRIM(AB503)&lt;&gt;"Closed"),"INVALID – corrective action not closed: use Fail, then Pass after CA","")&amp;IF(AND(TRIM(AA503)&lt;&gt;"",TRIM(AB503)=""),"INVALID – CA status missing for the recorded corrective action","")&amp;IF(AND(TRIM(U503)="Pass after CA",OR(TRIM(AA503)="",TRIM(AB503)&lt;&gt;"Closed")),"INVALID – corrective action not recorded/closed",""),IF(AND(AS503=1,Documents!$J$19&lt;&gt;"ON FILE"),"INVALID – GLD not on file (Documents sheet)",IF(AND(AS503=2,Documents!$O$19&lt;&gt;"ON FILE"),"INVALID – menu checklist not on file (Documents sheet)",IF(AND(AS503=3,NOT(ISNUMBER(Flights!$AX$19))),"INVALID – enter carrying flight KUL departure (Flights AX)",IF(AND(AS503=3,OR(Flights!$AX$19&gt;=Flights!$AA$19,Flights!$AX$19&lt;Flights!$AA$19-3)),"INVALID – Flights AX must be before this leg's STD (within 3 days)",IF(AG503&gt;AsOfUTC,"INVALID – completion time is in the future",IF(AND(ISNUMBER(S503),AG503&lt;S503),IF(H503="Physical uplift","INVALID – before uplift window (cannot confirm loading)","INVALID – before valid window"),IF(AG503&gt;Flights!$AA$19,"INVALID – completed after departure (cannot establish readiness)",IF(AND(H503="Physical uplift",AG503&gt;Q503),"INVALID – recorded after the loading flight departed",IF(AG503&gt;Q503,"COMPLETE – LATE","COMPLETE")))))))))))))))))),IF(TRIM(U503)="Fail","FAIL – DISCREPANCY",IF(AND(TRIM(U503)&lt;&gt;"",TRIM(U503)&lt;&gt;"Not started",TRIM(U503)&lt;&gt;"In progress"),"INVALID – unrecognised status (use the list)",IF(AsOfUTC&gt;Q503,"OVERDUE",IF(N503="Clarification required","OPEN – CLARIFICATION","OPEN")))))))</f>
        <v>OPEN – CLARIFICATION</v>
      </c>
      <c r="AI503" s="61" t="n">
        <f aca="false">IF(OR(AH503="N/A – RULE",AH503="N/A – JUSTIFIED"),0,1)</f>
        <v>1</v>
      </c>
      <c r="AJ503" s="61" t="n">
        <f aca="false">IF(LEFT(AH503,8)="COMPLETE",1,0)</f>
        <v>0</v>
      </c>
      <c r="AK503" s="61" t="n">
        <f aca="false">IF(AND(AI503=1,AJ503=0,AsOfUTC&gt;Q503),1,0)</f>
        <v>0</v>
      </c>
      <c r="AL503" s="61" t="n">
        <f aca="false">IF(AND(AI503=1,OR(TRIM(U503)="Fail",AND(TRIM(AB503)&lt;&gt;"",TRIM(AB503)&lt;&gt;"Closed"),AND(ISNUMBER(AF503),AF503&lt;&gt;0,TRIM(U503)&lt;&gt;"Pass after CA"))),1,0)</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8" t="b">
        <f aca="false">TRUE()</f>
        <v>1</v>
      </c>
    </row>
    <row r="504" customFormat="false" ht="39.75" hidden="false" customHeight="true" outlineLevel="0" collapsed="false">
      <c r="A504" s="57" t="s">
        <v>1120</v>
      </c>
      <c r="B504" s="57" t="s">
        <v>270</v>
      </c>
      <c r="C504" s="57" t="str">
        <f aca="false">Flights!$F$19</f>
        <v>MH0003</v>
      </c>
      <c r="D504" s="58" t="n">
        <f aca="false">Flights!$D$19</f>
        <v>46320</v>
      </c>
      <c r="E504" s="57" t="str">
        <f aca="false">Flights!$G$19&amp;"-"&amp;Flights!$H$19</f>
        <v>LHR-KUL</v>
      </c>
      <c r="F504" s="57" t="str">
        <f aca="false">Flights!$K$19</f>
        <v>EY</v>
      </c>
      <c r="G504" s="57" t="s">
        <v>424</v>
      </c>
      <c r="H504" s="57" t="s">
        <v>425</v>
      </c>
      <c r="I504" s="57" t="s">
        <v>412</v>
      </c>
      <c r="J504" s="57" t="s">
        <v>434</v>
      </c>
      <c r="K504" s="67" t="s">
        <v>414</v>
      </c>
      <c r="L504" s="67" t="s">
        <v>415</v>
      </c>
      <c r="M504" s="67" t="s">
        <v>416</v>
      </c>
      <c r="N504" s="67" t="s">
        <v>348</v>
      </c>
      <c r="O504" s="67"/>
      <c r="P504" s="57" t="s">
        <v>178</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59" t="n">
        <f aca="false">IF(ISNUMBER(Flights!$AY$19),MAX(Q504-UpliftWindowH/24,Flights!$AY$19+UpliftWindowH/24),Q504-UpliftWindowH/24)</f>
        <v>46320.2083333333</v>
      </c>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IF(N504="N/A – rule","N/A – RULE",IF(TRIM(U504)="N/A",IF(AT504=0,"INVALID – N/A not permitted for this mandatory check",IF(AND(TRIM(AC504)&lt;&gt;"",TRIM(AE504)&lt;&gt;"",TRIM(T504)&lt;&gt;"",TRIM(AE504)&lt;&gt;TRIM(T504)),"N/A – JUSTIFIED","INVALID – N/A needs justification, PIC and a different verifier")),IF(OR(TRIM(U504)="Pass",TRIM(U504)="Pass after CA"),IF(NOT(ISNUMBER(AD504)),"INVALID – completion time missing",IF(TRIM(T504)="","INVALID – PIC missing",IF(TRIM(V504)="","INVALID – result / assessment missing",IF(TRIM(Z504)="","INVALID – evidence missing",IF(TRIM(AE504)="","INVALID – verifier missing",IF(TRIM(AE504)=TRIM(T504),"INVALID – verifier must be someone other than the PIC",IF(AND(AQ504=1,TRIM(W504)=""),"INVALID – batch ID missing",IF(AND(AR504=1,OR(NOT(ISNUMBER(X504)),NOT(ISNUMBER(Y504)))),"INVALID – expected/actual qty missing",IF(IF(AND(TRIM(U504)="Pass",ISNUMBER(AF504)),IF(AF504&lt;&gt;0,"INVALID – qty variance: use Fail or Pass after CA",""),"")&amp;IF(AND(TRIM(U504)="Pass",TRIM(AB504)&lt;&gt;"",TRIM(AB504)&lt;&gt;"Closed"),"INVALID – corrective action not closed: use Fail, then Pass after CA","")&amp;IF(AND(TRIM(AA504)&lt;&gt;"",TRIM(AB504)=""),"INVALID – CA status missing for the recorded corrective action","")&amp;IF(AND(TRIM(U504)="Pass after CA",OR(TRIM(AA504)="",TRIM(AB504)&lt;&gt;"Closed")),"INVALID – corrective action not recorded/closed","")&lt;&gt;"",IF(AND(TRIM(U504)="Pass",ISNUMBER(AF504)),IF(AF504&lt;&gt;0,"INVALID – qty variance: use Fail or Pass after CA",""),"")&amp;IF(AND(TRIM(U504)="Pass",TRIM(AB504)&lt;&gt;"",TRIM(AB504)&lt;&gt;"Closed"),"INVALID – corrective action not closed: use Fail, then Pass after CA","")&amp;IF(AND(TRIM(AA504)&lt;&gt;"",TRIM(AB504)=""),"INVALID – CA status missing for the recorded corrective action","")&amp;IF(AND(TRIM(U504)="Pass after CA",OR(TRIM(AA504)="",TRIM(AB504)&lt;&gt;"Closed")),"INVALID – corrective action not recorded/closed",""),IF(AND(AS504=1,Documents!$J$19&lt;&gt;"ON FILE"),"INVALID – GLD not on file (Documents sheet)",IF(AND(AS504=2,Documents!$O$19&lt;&gt;"ON FILE"),"INVALID – menu checklist not on file (Documents sheet)",IF(AND(AS504=3,NOT(ISNUMBER(Flights!$AX$19))),"INVALID – enter carrying flight KUL departure (Flights AX)",IF(AND(AS504=3,OR(Flights!$AX$19&gt;=Flights!$AA$19,Flights!$AX$19&lt;Flights!$AA$19-3)),"INVALID – Flights AX must be before this leg's STD (within 3 days)",IF(AG504&gt;AsOfUTC,"INVALID – completion time is in the future",IF(AND(ISNUMBER(S504),AG504&lt;S504),IF(H504="Physical uplift","INVALID – before uplift window (cannot confirm loading)","INVALID – before valid window"),IF(AG504&gt;Flights!$AA$19,"INVALID – completed after departure (cannot establish readiness)",IF(AND(H504="Physical uplift",AG504&gt;Q504),"INVALID – recorded after the loading flight departed",IF(AG504&gt;Q504,"COMPLETE – LATE","COMPLETE")))))))))))))))))),IF(TRIM(U504)="Fail","FAIL – DISCREPANCY",IF(AND(TRIM(U504)&lt;&gt;"",TRIM(U504)&lt;&gt;"Not started",TRIM(U504)&lt;&gt;"In progress"),"INVALID – unrecognised status (use the list)",IF(AsOfUTC&gt;Q504,"OVERDUE",IF(N504="Clarification required","OPEN – CLARIFICATION","OPEN")))))))</f>
        <v>OPEN</v>
      </c>
      <c r="AI504" s="61" t="n">
        <f aca="false">IF(OR(AH504="N/A – RULE",AH504="N/A – JUSTIFIED"),0,1)</f>
        <v>1</v>
      </c>
      <c r="AJ504" s="61" t="n">
        <f aca="false">IF(LEFT(AH504,8)="COMPLETE",1,0)</f>
        <v>0</v>
      </c>
      <c r="AK504" s="61" t="n">
        <f aca="false">IF(AND(AI504=1,AJ504=0,AsOfUTC&gt;Q504),1,0)</f>
        <v>0</v>
      </c>
      <c r="AL504" s="61" t="n">
        <f aca="false">IF(AND(AI504=1,OR(TRIM(U504)="Fail",AND(TRIM(AB504)&lt;&gt;"",TRIM(AB504)&lt;&gt;"Closed"),AND(ISNUMBER(AF504),AF504&lt;&gt;0,TRIM(U504)&lt;&gt;"Pass after CA"))),1,0)</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8" t="b">
        <f aca="false">TRUE()</f>
        <v>1</v>
      </c>
    </row>
    <row r="505" customFormat="false" ht="54" hidden="false" customHeight="true" outlineLevel="0" collapsed="false">
      <c r="A505" s="57" t="s">
        <v>1121</v>
      </c>
      <c r="B505" s="57" t="s">
        <v>270</v>
      </c>
      <c r="C505" s="57" t="str">
        <f aca="false">Flights!$F$19</f>
        <v>MH0003</v>
      </c>
      <c r="D505" s="58" t="n">
        <f aca="false">Flights!$D$19</f>
        <v>46320</v>
      </c>
      <c r="E505" s="57" t="str">
        <f aca="false">Flights!$G$19&amp;"-"&amp;Flights!$H$19</f>
        <v>LHR-KUL</v>
      </c>
      <c r="F505" s="57" t="str">
        <f aca="false">Flights!$K$19</f>
        <v>EY</v>
      </c>
      <c r="G505" s="57" t="s">
        <v>424</v>
      </c>
      <c r="H505" s="57" t="s">
        <v>425</v>
      </c>
      <c r="I505" s="57" t="s">
        <v>412</v>
      </c>
      <c r="J505" s="57" t="s">
        <v>436</v>
      </c>
      <c r="K505" s="67" t="s">
        <v>420</v>
      </c>
      <c r="L505" s="67" t="s">
        <v>421</v>
      </c>
      <c r="M505" s="67" t="s">
        <v>416</v>
      </c>
      <c r="N505" s="67" t="s">
        <v>348</v>
      </c>
      <c r="O505" s="67" t="s">
        <v>1122</v>
      </c>
      <c r="P505" s="57" t="s">
        <v>178</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59" t="n">
        <f aca="false">IF(ISNUMBER(Flights!$AY$19),MAX(Q505-UpliftWindowH/24,Flights!$AY$19+UpliftWindowH/24),Q505-UpliftWindowH/24)</f>
        <v>46320.2083333333</v>
      </c>
      <c r="T505" s="60"/>
      <c r="U505" s="60"/>
      <c r="V505" s="60"/>
      <c r="W505" s="61"/>
      <c r="X505" s="69"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IF(N505="N/A – rule","N/A – RULE",IF(TRIM(U505)="N/A",IF(AT505=0,"INVALID – N/A not permitted for this mandatory check",IF(AND(TRIM(AC505)&lt;&gt;"",TRIM(AE505)&lt;&gt;"",TRIM(T505)&lt;&gt;"",TRIM(AE505)&lt;&gt;TRIM(T505)),"N/A – JUSTIFIED","INVALID – N/A needs justification, PIC and a different verifier")),IF(OR(TRIM(U505)="Pass",TRIM(U505)="Pass after CA"),IF(NOT(ISNUMBER(AD505)),"INVALID – completion time missing",IF(TRIM(T505)="","INVALID – PIC missing",IF(TRIM(V505)="","INVALID – result / assessment missing",IF(TRIM(Z505)="","INVALID – evidence missing",IF(TRIM(AE505)="","INVALID – verifier missing",IF(TRIM(AE505)=TRIM(T505),"INVALID – verifier must be someone other than the PIC",IF(AND(AQ505=1,TRIM(W505)=""),"INVALID – batch ID missing",IF(AND(AR505=1,OR(NOT(ISNUMBER(X505)),NOT(ISNUMBER(Y505)))),"INVALID – expected/actual qty missing",IF(IF(AND(TRIM(U505)="Pass",ISNUMBER(AF505)),IF(AF505&lt;&gt;0,"INVALID – qty variance: use Fail or Pass after CA",""),"")&amp;IF(AND(TRIM(U505)="Pass",TRIM(AB505)&lt;&gt;"",TRIM(AB505)&lt;&gt;"Closed"),"INVALID – corrective action not closed: use Fail, then Pass after CA","")&amp;IF(AND(TRIM(AA505)&lt;&gt;"",TRIM(AB505)=""),"INVALID – CA status missing for the recorded corrective action","")&amp;IF(AND(TRIM(U505)="Pass after CA",OR(TRIM(AA505)="",TRIM(AB505)&lt;&gt;"Closed")),"INVALID – corrective action not recorded/closed","")&lt;&gt;"",IF(AND(TRIM(U505)="Pass",ISNUMBER(AF505)),IF(AF505&lt;&gt;0,"INVALID – qty variance: use Fail or Pass after CA",""),"")&amp;IF(AND(TRIM(U505)="Pass",TRIM(AB505)&lt;&gt;"",TRIM(AB505)&lt;&gt;"Closed"),"INVALID – corrective action not closed: use Fail, then Pass after CA","")&amp;IF(AND(TRIM(AA505)&lt;&gt;"",TRIM(AB505)=""),"INVALID – CA status missing for the recorded corrective action","")&amp;IF(AND(TRIM(U505)="Pass after CA",OR(TRIM(AA505)="",TRIM(AB505)&lt;&gt;"Closed")),"INVALID – corrective action not recorded/closed",""),IF(AND(AS505=1,Documents!$J$19&lt;&gt;"ON FILE"),"INVALID – GLD not on file (Documents sheet)",IF(AND(AS505=2,Documents!$O$19&lt;&gt;"ON FILE"),"INVALID – menu checklist not on file (Documents sheet)",IF(AND(AS505=3,NOT(ISNUMBER(Flights!$AX$19))),"INVALID – enter carrying flight KUL departure (Flights AX)",IF(AND(AS505=3,OR(Flights!$AX$19&gt;=Flights!$AA$19,Flights!$AX$19&lt;Flights!$AA$19-3)),"INVALID – Flights AX must be before this leg's STD (within 3 days)",IF(AG505&gt;AsOfUTC,"INVALID – completion time is in the future",IF(AND(ISNUMBER(S505),AG505&lt;S505),IF(H505="Physical uplift","INVALID – before uplift window (cannot confirm loading)","INVALID – before valid window"),IF(AG505&gt;Flights!$AA$19,"INVALID – completed after departure (cannot establish readiness)",IF(AND(H505="Physical uplift",AG505&gt;Q505),"INVALID – recorded after the loading flight departed",IF(AG505&gt;Q505,"COMPLETE – LATE","COMPLETE")))))))))))))))))),IF(TRIM(U505)="Fail","FAIL – DISCREPANCY",IF(AND(TRIM(U505)&lt;&gt;"",TRIM(U505)&lt;&gt;"Not started",TRIM(U505)&lt;&gt;"In progress"),"INVALID – unrecognised status (use the list)",IF(AsOfUTC&gt;Q505,"OVERDUE",IF(N505="Clarification required","OPEN – CLARIFICATION","OPEN")))))))</f>
        <v>OPEN</v>
      </c>
      <c r="AI505" s="61" t="n">
        <f aca="false">IF(OR(AH505="N/A – RULE",AH505="N/A – JUSTIFIED"),0,1)</f>
        <v>1</v>
      </c>
      <c r="AJ505" s="61" t="n">
        <f aca="false">IF(LEFT(AH505,8)="COMPLETE",1,0)</f>
        <v>0</v>
      </c>
      <c r="AK505" s="61" t="n">
        <f aca="false">IF(AND(AI505=1,AJ505=0,AsOfUTC&gt;Q505),1,0)</f>
        <v>0</v>
      </c>
      <c r="AL505" s="61" t="n">
        <f aca="false">IF(AND(AI505=1,OR(TRIM(U505)="Fail",AND(TRIM(AB505)&lt;&gt;"",TRIM(AB505)&lt;&gt;"Closed"),AND(ISNUMBER(AF505),AF505&lt;&gt;0,TRIM(U505)&lt;&gt;"Pass after CA"))),1,0)</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8" t="b">
        <f aca="false">TRUE()</f>
        <v>1</v>
      </c>
    </row>
    <row r="506" customFormat="false" ht="39.75" hidden="false" customHeight="true" outlineLevel="0" collapsed="false">
      <c r="A506" s="57" t="s">
        <v>1123</v>
      </c>
      <c r="B506" s="57" t="s">
        <v>272</v>
      </c>
      <c r="C506" s="57" t="str">
        <f aca="false">Flights!$F$20</f>
        <v>MH0072</v>
      </c>
      <c r="D506" s="58" t="n">
        <f aca="false">Flights!$D$20</f>
        <v>46321</v>
      </c>
      <c r="E506" s="57" t="str">
        <f aca="false">Flights!$G$20&amp;"-"&amp;Flights!$H$20</f>
        <v>KUL-HKG</v>
      </c>
      <c r="F506" s="57" t="str">
        <f aca="false">Flights!$K$20</f>
        <v>EY</v>
      </c>
      <c r="G506" s="57" t="s">
        <v>76</v>
      </c>
      <c r="H506" s="57" t="s">
        <v>343</v>
      </c>
      <c r="I506" s="57" t="s">
        <v>344</v>
      </c>
      <c r="J506" s="57" t="s">
        <v>345</v>
      </c>
      <c r="K506" s="67" t="s">
        <v>346</v>
      </c>
      <c r="L506" s="67" t="s">
        <v>347</v>
      </c>
      <c r="M506" s="67"/>
      <c r="N506" s="67" t="s">
        <v>348</v>
      </c>
      <c r="O506" s="67"/>
      <c r="P506" s="57" t="s">
        <v>179</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59" t="n">
        <f aca="false">Q506-T7EarlyD*24/24</f>
        <v>46300.0486111111</v>
      </c>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IF(N506="N/A – rule","N/A – RULE",IF(TRIM(U506)="N/A",IF(AT506=0,"INVALID – N/A not permitted for this mandatory check",IF(AND(TRIM(AC506)&lt;&gt;"",TRIM(AE506)&lt;&gt;"",TRIM(T506)&lt;&gt;"",TRIM(AE506)&lt;&gt;TRIM(T506)),"N/A – JUSTIFIED","INVALID – N/A needs justification, PIC and a different verifier")),IF(OR(TRIM(U506)="Pass",TRIM(U506)="Pass after CA"),IF(NOT(ISNUMBER(AD506)),"INVALID – completion time missing",IF(TRIM(T506)="","INVALID – PIC missing",IF(TRIM(V506)="","INVALID – result / assessment missing",IF(TRIM(Z506)="","INVALID – evidence missing",IF(TRIM(AE506)="","INVALID – verifier missing",IF(TRIM(AE506)=TRIM(T506),"INVALID – verifier must be someone other than the PIC",IF(AND(AQ506=1,TRIM(W506)=""),"INVALID – batch ID missing",IF(AND(AR506=1,OR(NOT(ISNUMBER(X506)),NOT(ISNUMBER(Y506)))),"INVALID – expected/actual qty missing",IF(IF(AND(TRIM(U506)="Pass",ISNUMBER(AF506)),IF(AF506&lt;&gt;0,"INVALID – qty variance: use Fail or Pass after CA",""),"")&amp;IF(AND(TRIM(U506)="Pass",TRIM(AB506)&lt;&gt;"",TRIM(AB506)&lt;&gt;"Closed"),"INVALID – corrective action not closed: use Fail, then Pass after CA","")&amp;IF(AND(TRIM(AA506)&lt;&gt;"",TRIM(AB506)=""),"INVALID – CA status missing for the recorded corrective action","")&amp;IF(AND(TRIM(U506)="Pass after CA",OR(TRIM(AA506)="",TRIM(AB506)&lt;&gt;"Closed")),"INVALID – corrective action not recorded/closed","")&lt;&gt;"",IF(AND(TRIM(U506)="Pass",ISNUMBER(AF506)),IF(AF506&lt;&gt;0,"INVALID – qty variance: use Fail or Pass after CA",""),"")&amp;IF(AND(TRIM(U506)="Pass",TRIM(AB506)&lt;&gt;"",TRIM(AB506)&lt;&gt;"Closed"),"INVALID – corrective action not closed: use Fail, then Pass after CA","")&amp;IF(AND(TRIM(AA506)&lt;&gt;"",TRIM(AB506)=""),"INVALID – CA status missing for the recorded corrective action","")&amp;IF(AND(TRIM(U506)="Pass after CA",OR(TRIM(AA506)="",TRIM(AB506)&lt;&gt;"Closed")),"INVALID – corrective action not recorded/closed",""),IF(AND(AS506=1,Documents!$J$20&lt;&gt;"ON FILE"),"INVALID – GLD not on file (Documents sheet)",IF(AND(AS506=2,Documents!$O$20&lt;&gt;"ON FILE"),"INVALID – menu checklist not on file (Documents sheet)",IF(AND(AS506=3,NOT(ISNUMBER(Flights!$AX$20))),"INVALID – enter carrying flight KUL departure (Flights AX)",IF(AND(AS506=3,OR(Flights!$AX$20&gt;=Flights!$AA$20,Flights!$AX$20&lt;Flights!$AA$20-3)),"INVALID – Flights AX must be before this leg's STD (within 3 days)",IF(AG506&gt;AsOfUTC,"INVALID – completion time is in the future",IF(AND(ISNUMBER(S506),AG506&lt;S506),IF(H506="Physical uplift","INVALID – before uplift window (cannot confirm loading)","INVALID – before valid window"),IF(AG506&gt;Flights!$AA$20,"INVALID – completed after departure (cannot establish readiness)",IF(AND(H506="Physical uplift",AG506&gt;Q506),"INVALID – recorded after the loading flight departed",IF(AG506&gt;Q506,"COMPLETE – LATE","COMPLETE")))))))))))))))))),IF(TRIM(U506)="Fail","FAIL – DISCREPANCY",IF(AND(TRIM(U506)&lt;&gt;"",TRIM(U506)&lt;&gt;"Not started",TRIM(U506)&lt;&gt;"In progress"),"INVALID – unrecognised status (use the list)",IF(AsOfUTC&gt;Q506,"OVERDUE",IF(N506="Clarification required","OPEN – CLARIFICATION","OPEN")))))))</f>
        <v>OPEN</v>
      </c>
      <c r="AI506" s="61" t="n">
        <f aca="false">IF(OR(AH506="N/A – RULE",AH506="N/A – JUSTIFIED"),0,1)</f>
        <v>1</v>
      </c>
      <c r="AJ506" s="61" t="n">
        <f aca="false">IF(LEFT(AH506,8)="COMPLETE",1,0)</f>
        <v>0</v>
      </c>
      <c r="AK506" s="61" t="n">
        <f aca="false">IF(AND(AI506=1,AJ506=0,AsOfUTC&gt;Q506),1,0)</f>
        <v>0</v>
      </c>
      <c r="AL506" s="61" t="n">
        <f aca="false">IF(AND(AI506=1,OR(TRIM(U506)="Fail",AND(TRIM(AB506)&lt;&gt;"",TRIM(AB506)&lt;&gt;"Closed"),AND(ISNUMBER(AF506),AF506&lt;&gt;0,TRIM(U506)&lt;&gt;"Pass after CA"))),1,0)</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row>
    <row r="507" customFormat="false" ht="39.75" hidden="false" customHeight="true" outlineLevel="0" collapsed="false">
      <c r="A507" s="57" t="s">
        <v>1124</v>
      </c>
      <c r="B507" s="57" t="s">
        <v>272</v>
      </c>
      <c r="C507" s="57" t="str">
        <f aca="false">Flights!$F$20</f>
        <v>MH0072</v>
      </c>
      <c r="D507" s="58" t="n">
        <f aca="false">Flights!$D$20</f>
        <v>46321</v>
      </c>
      <c r="E507" s="57" t="str">
        <f aca="false">Flights!$G$20&amp;"-"&amp;Flights!$H$20</f>
        <v>KUL-HKG</v>
      </c>
      <c r="F507" s="57" t="str">
        <f aca="false">Flights!$K$20</f>
        <v>EY</v>
      </c>
      <c r="G507" s="57" t="s">
        <v>76</v>
      </c>
      <c r="H507" s="57" t="s">
        <v>343</v>
      </c>
      <c r="I507" s="57" t="s">
        <v>350</v>
      </c>
      <c r="J507" s="57" t="s">
        <v>351</v>
      </c>
      <c r="K507" s="67" t="s">
        <v>352</v>
      </c>
      <c r="L507" s="67" t="s">
        <v>347</v>
      </c>
      <c r="M507" s="67"/>
      <c r="N507" s="67" t="s">
        <v>348</v>
      </c>
      <c r="O507" s="67"/>
      <c r="P507" s="57" t="s">
        <v>179</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59" t="n">
        <f aca="false">Q507-T7EarlyD*24/24</f>
        <v>46300.0486111111</v>
      </c>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IF(N507="N/A – rule","N/A – RULE",IF(TRIM(U507)="N/A",IF(AT507=0,"INVALID – N/A not permitted for this mandatory check",IF(AND(TRIM(AC507)&lt;&gt;"",TRIM(AE507)&lt;&gt;"",TRIM(T507)&lt;&gt;"",TRIM(AE507)&lt;&gt;TRIM(T507)),"N/A – JUSTIFIED","INVALID – N/A needs justification, PIC and a different verifier")),IF(OR(TRIM(U507)="Pass",TRIM(U507)="Pass after CA"),IF(NOT(ISNUMBER(AD507)),"INVALID – completion time missing",IF(TRIM(T507)="","INVALID – PIC missing",IF(TRIM(V507)="","INVALID – result / assessment missing",IF(TRIM(Z507)="","INVALID – evidence missing",IF(TRIM(AE507)="","INVALID – verifier missing",IF(TRIM(AE507)=TRIM(T507),"INVALID – verifier must be someone other than the PIC",IF(AND(AQ507=1,TRIM(W507)=""),"INVALID – batch ID missing",IF(AND(AR507=1,OR(NOT(ISNUMBER(X507)),NOT(ISNUMBER(Y507)))),"INVALID – expected/actual qty missing",IF(IF(AND(TRIM(U507)="Pass",ISNUMBER(AF507)),IF(AF507&lt;&gt;0,"INVALID – qty variance: use Fail or Pass after CA",""),"")&amp;IF(AND(TRIM(U507)="Pass",TRIM(AB507)&lt;&gt;"",TRIM(AB507)&lt;&gt;"Closed"),"INVALID – corrective action not closed: use Fail, then Pass after CA","")&amp;IF(AND(TRIM(AA507)&lt;&gt;"",TRIM(AB507)=""),"INVALID – CA status missing for the recorded corrective action","")&amp;IF(AND(TRIM(U507)="Pass after CA",OR(TRIM(AA507)="",TRIM(AB507)&lt;&gt;"Closed")),"INVALID – corrective action not recorded/closed","")&lt;&gt;"",IF(AND(TRIM(U507)="Pass",ISNUMBER(AF507)),IF(AF507&lt;&gt;0,"INVALID – qty variance: use Fail or Pass after CA",""),"")&amp;IF(AND(TRIM(U507)="Pass",TRIM(AB507)&lt;&gt;"",TRIM(AB507)&lt;&gt;"Closed"),"INVALID – corrective action not closed: use Fail, then Pass after CA","")&amp;IF(AND(TRIM(AA507)&lt;&gt;"",TRIM(AB507)=""),"INVALID – CA status missing for the recorded corrective action","")&amp;IF(AND(TRIM(U507)="Pass after CA",OR(TRIM(AA507)="",TRIM(AB507)&lt;&gt;"Closed")),"INVALID – corrective action not recorded/closed",""),IF(AND(AS507=1,Documents!$J$20&lt;&gt;"ON FILE"),"INVALID – GLD not on file (Documents sheet)",IF(AND(AS507=2,Documents!$O$20&lt;&gt;"ON FILE"),"INVALID – menu checklist not on file (Documents sheet)",IF(AND(AS507=3,NOT(ISNUMBER(Flights!$AX$20))),"INVALID – enter carrying flight KUL departure (Flights AX)",IF(AND(AS507=3,OR(Flights!$AX$20&gt;=Flights!$AA$20,Flights!$AX$20&lt;Flights!$AA$20-3)),"INVALID – Flights AX must be before this leg's STD (within 3 days)",IF(AG507&gt;AsOfUTC,"INVALID – completion time is in the future",IF(AND(ISNUMBER(S507),AG507&lt;S507),IF(H507="Physical uplift","INVALID – before uplift window (cannot confirm loading)","INVALID – before valid window"),IF(AG507&gt;Flights!$AA$20,"INVALID – completed after departure (cannot establish readiness)",IF(AND(H507="Physical uplift",AG507&gt;Q507),"INVALID – recorded after the loading flight departed",IF(AG507&gt;Q507,"COMPLETE – LATE","COMPLETE")))))))))))))))))),IF(TRIM(U507)="Fail","FAIL – DISCREPANCY",IF(AND(TRIM(U507)&lt;&gt;"",TRIM(U507)&lt;&gt;"Not started",TRIM(U507)&lt;&gt;"In progress"),"INVALID – unrecognised status (use the list)",IF(AsOfUTC&gt;Q507,"OVERDUE",IF(N507="Clarification required","OPEN – CLARIFICATION","OPEN")))))))</f>
        <v>OPEN</v>
      </c>
      <c r="AI507" s="61" t="n">
        <f aca="false">IF(OR(AH507="N/A – RULE",AH507="N/A – JUSTIFIED"),0,1)</f>
        <v>1</v>
      </c>
      <c r="AJ507" s="61" t="n">
        <f aca="false">IF(LEFT(AH507,8)="COMPLETE",1,0)</f>
        <v>0</v>
      </c>
      <c r="AK507" s="61" t="n">
        <f aca="false">IF(AND(AI507=1,AJ507=0,AsOfUTC&gt;Q507),1,0)</f>
        <v>0</v>
      </c>
      <c r="AL507" s="61" t="n">
        <f aca="false">IF(AND(AI507=1,OR(TRIM(U507)="Fail",AND(TRIM(AB507)&lt;&gt;"",TRIM(AB507)&lt;&gt;"Closed"),AND(ISNUMBER(AF507),AF507&lt;&gt;0,TRIM(U507)&lt;&gt;"Pass after CA"))),1,0)</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8" t="b">
        <f aca="false">TRUE()</f>
        <v>1</v>
      </c>
    </row>
    <row r="508" customFormat="false" ht="41.25" hidden="false" customHeight="true" outlineLevel="0" collapsed="false">
      <c r="A508" s="57" t="s">
        <v>1125</v>
      </c>
      <c r="B508" s="57" t="s">
        <v>272</v>
      </c>
      <c r="C508" s="57" t="str">
        <f aca="false">Flights!$F$20</f>
        <v>MH0072</v>
      </c>
      <c r="D508" s="58" t="n">
        <f aca="false">Flights!$D$20</f>
        <v>46321</v>
      </c>
      <c r="E508" s="57" t="str">
        <f aca="false">Flights!$G$20&amp;"-"&amp;Flights!$H$20</f>
        <v>KUL-HKG</v>
      </c>
      <c r="F508" s="57" t="str">
        <f aca="false">Flights!$K$20</f>
        <v>EY</v>
      </c>
      <c r="G508" s="57" t="s">
        <v>76</v>
      </c>
      <c r="H508" s="57" t="s">
        <v>343</v>
      </c>
      <c r="I508" s="57" t="s">
        <v>354</v>
      </c>
      <c r="J508" s="57" t="s">
        <v>355</v>
      </c>
      <c r="K508" s="67" t="s">
        <v>356</v>
      </c>
      <c r="L508" s="67" t="s">
        <v>347</v>
      </c>
      <c r="M508" s="67"/>
      <c r="N508" s="67" t="str">
        <f aca="false">IF(TRIM(Flights!$L$20)="A339","Required","N/A – rule")</f>
        <v>N/A – rule</v>
      </c>
      <c r="O508" s="67" t="s">
        <v>357</v>
      </c>
      <c r="P508" s="57" t="s">
        <v>179</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59" t="n">
        <f aca="false">Q508-T7EarlyD*24/24</f>
        <v>46300.0486111111</v>
      </c>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IF(N508="N/A – rule","N/A – RULE",IF(TRIM(U508)="N/A",IF(AT508=0,"INVALID – N/A not permitted for this mandatory check",IF(AND(TRIM(AC508)&lt;&gt;"",TRIM(AE508)&lt;&gt;"",TRIM(T508)&lt;&gt;"",TRIM(AE508)&lt;&gt;TRIM(T508)),"N/A – JUSTIFIED","INVALID – N/A needs justification, PIC and a different verifier")),IF(OR(TRIM(U508)="Pass",TRIM(U508)="Pass after CA"),IF(NOT(ISNUMBER(AD508)),"INVALID – completion time missing",IF(TRIM(T508)="","INVALID – PIC missing",IF(TRIM(V508)="","INVALID – result / assessment missing",IF(TRIM(Z508)="","INVALID – evidence missing",IF(TRIM(AE508)="","INVALID – verifier missing",IF(TRIM(AE508)=TRIM(T508),"INVALID – verifier must be someone other than the PIC",IF(AND(AQ508=1,TRIM(W508)=""),"INVALID – batch ID missing",IF(AND(AR508=1,OR(NOT(ISNUMBER(X508)),NOT(ISNUMBER(Y508)))),"INVALID – expected/actual qty missing",IF(IF(AND(TRIM(U508)="Pass",ISNUMBER(AF508)),IF(AF508&lt;&gt;0,"INVALID – qty variance: use Fail or Pass after CA",""),"")&amp;IF(AND(TRIM(U508)="Pass",TRIM(AB508)&lt;&gt;"",TRIM(AB508)&lt;&gt;"Closed"),"INVALID – corrective action not closed: use Fail, then Pass after CA","")&amp;IF(AND(TRIM(AA508)&lt;&gt;"",TRIM(AB508)=""),"INVALID – CA status missing for the recorded corrective action","")&amp;IF(AND(TRIM(U508)="Pass after CA",OR(TRIM(AA508)="",TRIM(AB508)&lt;&gt;"Closed")),"INVALID – corrective action not recorded/closed","")&lt;&gt;"",IF(AND(TRIM(U508)="Pass",ISNUMBER(AF508)),IF(AF508&lt;&gt;0,"INVALID – qty variance: use Fail or Pass after CA",""),"")&amp;IF(AND(TRIM(U508)="Pass",TRIM(AB508)&lt;&gt;"",TRIM(AB508)&lt;&gt;"Closed"),"INVALID – corrective action not closed: use Fail, then Pass after CA","")&amp;IF(AND(TRIM(AA508)&lt;&gt;"",TRIM(AB508)=""),"INVALID – CA status missing for the recorded corrective action","")&amp;IF(AND(TRIM(U508)="Pass after CA",OR(TRIM(AA508)="",TRIM(AB508)&lt;&gt;"Closed")),"INVALID – corrective action not recorded/closed",""),IF(AND(AS508=1,Documents!$J$20&lt;&gt;"ON FILE"),"INVALID – GLD not on file (Documents sheet)",IF(AND(AS508=2,Documents!$O$20&lt;&gt;"ON FILE"),"INVALID – menu checklist not on file (Documents sheet)",IF(AND(AS508=3,NOT(ISNUMBER(Flights!$AX$20))),"INVALID – enter carrying flight KUL departure (Flights AX)",IF(AND(AS508=3,OR(Flights!$AX$20&gt;=Flights!$AA$20,Flights!$AX$20&lt;Flights!$AA$20-3)),"INVALID – Flights AX must be before this leg's STD (within 3 days)",IF(AG508&gt;AsOfUTC,"INVALID – completion time is in the future",IF(AND(ISNUMBER(S508),AG508&lt;S508),IF(H508="Physical uplift","INVALID – before uplift window (cannot confirm loading)","INVALID – before valid window"),IF(AG508&gt;Flights!$AA$20,"INVALID – completed after departure (cannot establish readiness)",IF(AND(H508="Physical uplift",AG508&gt;Q508),"INVALID – recorded after the loading flight departed",IF(AG508&gt;Q508,"COMPLETE – LATE","COMPLETE")))))))))))))))))),IF(TRIM(U508)="Fail","FAIL – DISCREPANCY",IF(AND(TRIM(U508)&lt;&gt;"",TRIM(U508)&lt;&gt;"Not started",TRIM(U508)&lt;&gt;"In progress"),"INVALID – unrecognised status (use the list)",IF(AsOfUTC&gt;Q508,"OVERDUE",IF(N508="Clarification required","OPEN – CLARIFICATION","OPEN")))))))</f>
        <v>N/A – RULE</v>
      </c>
      <c r="AI508" s="61" t="n">
        <f aca="false">IF(OR(AH508="N/A – RULE",AH508="N/A – JUSTIFIED"),0,1)</f>
        <v>0</v>
      </c>
      <c r="AJ508" s="61" t="n">
        <f aca="false">IF(LEFT(AH508,8)="COMPLETE",1,0)</f>
        <v>0</v>
      </c>
      <c r="AK508" s="61" t="n">
        <f aca="false">IF(AND(AI508=1,AJ508=0,AsOfUTC&gt;Q508),1,0)</f>
        <v>0</v>
      </c>
      <c r="AL508" s="61" t="n">
        <f aca="false">IF(AND(AI508=1,OR(TRIM(U508)="Fail",AND(TRIM(AB508)&lt;&gt;"",TRIM(AB508)&lt;&gt;"Closed"),AND(ISNUMBER(AF508),AF508&lt;&gt;0,TRIM(U508)&lt;&gt;"Pass after CA"))),1,0)</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row>
    <row r="509" customFormat="false" ht="39.75" hidden="false" customHeight="true" outlineLevel="0" collapsed="false">
      <c r="A509" s="57" t="s">
        <v>1126</v>
      </c>
      <c r="B509" s="57" t="s">
        <v>272</v>
      </c>
      <c r="C509" s="57" t="str">
        <f aca="false">Flights!$F$20</f>
        <v>MH0072</v>
      </c>
      <c r="D509" s="58" t="n">
        <f aca="false">Flights!$D$20</f>
        <v>46321</v>
      </c>
      <c r="E509" s="57" t="str">
        <f aca="false">Flights!$G$20&amp;"-"&amp;Flights!$H$20</f>
        <v>KUL-HKG</v>
      </c>
      <c r="F509" s="57" t="str">
        <f aca="false">Flights!$K$20</f>
        <v>EY</v>
      </c>
      <c r="G509" s="57" t="s">
        <v>76</v>
      </c>
      <c r="H509" s="57" t="s">
        <v>343</v>
      </c>
      <c r="I509" s="57" t="s">
        <v>359</v>
      </c>
      <c r="J509" s="57" t="s">
        <v>360</v>
      </c>
      <c r="K509" s="67" t="s">
        <v>361</v>
      </c>
      <c r="L509" s="67" t="s">
        <v>347</v>
      </c>
      <c r="M509" s="67"/>
      <c r="N509" s="67" t="s">
        <v>348</v>
      </c>
      <c r="O509" s="67"/>
      <c r="P509" s="57" t="s">
        <v>179</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59" t="n">
        <f aca="false">Q509-T7EarlyD*24/24</f>
        <v>46300.0486111111</v>
      </c>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IF(N509="N/A – rule","N/A – RULE",IF(TRIM(U509)="N/A",IF(AT509=0,"INVALID – N/A not permitted for this mandatory check",IF(AND(TRIM(AC509)&lt;&gt;"",TRIM(AE509)&lt;&gt;"",TRIM(T509)&lt;&gt;"",TRIM(AE509)&lt;&gt;TRIM(T509)),"N/A – JUSTIFIED","INVALID – N/A needs justification, PIC and a different verifier")),IF(OR(TRIM(U509)="Pass",TRIM(U509)="Pass after CA"),IF(NOT(ISNUMBER(AD509)),"INVALID – completion time missing",IF(TRIM(T509)="","INVALID – PIC missing",IF(TRIM(V509)="","INVALID – result / assessment missing",IF(TRIM(Z509)="","INVALID – evidence missing",IF(TRIM(AE509)="","INVALID – verifier missing",IF(TRIM(AE509)=TRIM(T509),"INVALID – verifier must be someone other than the PIC",IF(AND(AQ509=1,TRIM(W509)=""),"INVALID – batch ID missing",IF(AND(AR509=1,OR(NOT(ISNUMBER(X509)),NOT(ISNUMBER(Y509)))),"INVALID – expected/actual qty missing",IF(IF(AND(TRIM(U509)="Pass",ISNUMBER(AF509)),IF(AF509&lt;&gt;0,"INVALID – qty variance: use Fail or Pass after CA",""),"")&amp;IF(AND(TRIM(U509)="Pass",TRIM(AB509)&lt;&gt;"",TRIM(AB509)&lt;&gt;"Closed"),"INVALID – corrective action not closed: use Fail, then Pass after CA","")&amp;IF(AND(TRIM(AA509)&lt;&gt;"",TRIM(AB509)=""),"INVALID – CA status missing for the recorded corrective action","")&amp;IF(AND(TRIM(U509)="Pass after CA",OR(TRIM(AA509)="",TRIM(AB509)&lt;&gt;"Closed")),"INVALID – corrective action not recorded/closed","")&lt;&gt;"",IF(AND(TRIM(U509)="Pass",ISNUMBER(AF509)),IF(AF509&lt;&gt;0,"INVALID – qty variance: use Fail or Pass after CA",""),"")&amp;IF(AND(TRIM(U509)="Pass",TRIM(AB509)&lt;&gt;"",TRIM(AB509)&lt;&gt;"Closed"),"INVALID – corrective action not closed: use Fail, then Pass after CA","")&amp;IF(AND(TRIM(AA509)&lt;&gt;"",TRIM(AB509)=""),"INVALID – CA status missing for the recorded corrective action","")&amp;IF(AND(TRIM(U509)="Pass after CA",OR(TRIM(AA509)="",TRIM(AB509)&lt;&gt;"Closed")),"INVALID – corrective action not recorded/closed",""),IF(AND(AS509=1,Documents!$J$20&lt;&gt;"ON FILE"),"INVALID – GLD not on file (Documents sheet)",IF(AND(AS509=2,Documents!$O$20&lt;&gt;"ON FILE"),"INVALID – menu checklist not on file (Documents sheet)",IF(AND(AS509=3,NOT(ISNUMBER(Flights!$AX$20))),"INVALID – enter carrying flight KUL departure (Flights AX)",IF(AND(AS509=3,OR(Flights!$AX$20&gt;=Flights!$AA$20,Flights!$AX$20&lt;Flights!$AA$20-3)),"INVALID – Flights AX must be before this leg's STD (within 3 days)",IF(AG509&gt;AsOfUTC,"INVALID – completion time is in the future",IF(AND(ISNUMBER(S509),AG509&lt;S509),IF(H509="Physical uplift","INVALID – before uplift window (cannot confirm loading)","INVALID – before valid window"),IF(AG509&gt;Flights!$AA$20,"INVALID – completed after departure (cannot establish readiness)",IF(AND(H509="Physical uplift",AG509&gt;Q509),"INVALID – recorded after the loading flight departed",IF(AG509&gt;Q509,"COMPLETE – LATE","COMPLETE")))))))))))))))))),IF(TRIM(U509)="Fail","FAIL – DISCREPANCY",IF(AND(TRIM(U509)&lt;&gt;"",TRIM(U509)&lt;&gt;"Not started",TRIM(U509)&lt;&gt;"In progress"),"INVALID – unrecognised status (use the list)",IF(AsOfUTC&gt;Q509,"OVERDUE",IF(N509="Clarification required","OPEN – CLARIFICATION","OPEN")))))))</f>
        <v>OPEN</v>
      </c>
      <c r="AI509" s="61" t="n">
        <f aca="false">IF(OR(AH509="N/A – RULE",AH509="N/A – JUSTIFIED"),0,1)</f>
        <v>1</v>
      </c>
      <c r="AJ509" s="61" t="n">
        <f aca="false">IF(LEFT(AH509,8)="COMPLETE",1,0)</f>
        <v>0</v>
      </c>
      <c r="AK509" s="61" t="n">
        <f aca="false">IF(AND(AI509=1,AJ509=0,AsOfUTC&gt;Q509),1,0)</f>
        <v>0</v>
      </c>
      <c r="AL509" s="61" t="n">
        <f aca="false">IF(AND(AI509=1,OR(TRIM(U509)="Fail",AND(TRIM(AB509)&lt;&gt;"",TRIM(AB509)&lt;&gt;"Closed"),AND(ISNUMBER(AF509),AF509&lt;&gt;0,TRIM(U509)&lt;&gt;"Pass after CA"))),1,0)</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row>
    <row r="510" customFormat="false" ht="39.75" hidden="false" customHeight="true" outlineLevel="0" collapsed="false">
      <c r="A510" s="57" t="s">
        <v>1127</v>
      </c>
      <c r="B510" s="57" t="s">
        <v>272</v>
      </c>
      <c r="C510" s="57" t="str">
        <f aca="false">Flights!$F$20</f>
        <v>MH0072</v>
      </c>
      <c r="D510" s="58" t="n">
        <f aca="false">Flights!$D$20</f>
        <v>46321</v>
      </c>
      <c r="E510" s="57" t="str">
        <f aca="false">Flights!$G$20&amp;"-"&amp;Flights!$H$20</f>
        <v>KUL-HKG</v>
      </c>
      <c r="F510" s="57" t="str">
        <f aca="false">Flights!$K$20</f>
        <v>EY</v>
      </c>
      <c r="G510" s="57" t="s">
        <v>76</v>
      </c>
      <c r="H510" s="57" t="s">
        <v>343</v>
      </c>
      <c r="I510" s="57" t="s">
        <v>363</v>
      </c>
      <c r="J510" s="57" t="s">
        <v>364</v>
      </c>
      <c r="K510" s="67" t="s">
        <v>365</v>
      </c>
      <c r="L510" s="67" t="s">
        <v>347</v>
      </c>
      <c r="M510" s="67"/>
      <c r="N510" s="67" t="s">
        <v>348</v>
      </c>
      <c r="O510" s="67"/>
      <c r="P510" s="57" t="s">
        <v>179</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59" t="n">
        <f aca="false">Q510-T7EarlyD*24/24</f>
        <v>46300.0486111111</v>
      </c>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IF(N510="N/A – rule","N/A – RULE",IF(TRIM(U510)="N/A",IF(AT510=0,"INVALID – N/A not permitted for this mandatory check",IF(AND(TRIM(AC510)&lt;&gt;"",TRIM(AE510)&lt;&gt;"",TRIM(T510)&lt;&gt;"",TRIM(AE510)&lt;&gt;TRIM(T510)),"N/A – JUSTIFIED","INVALID – N/A needs justification, PIC and a different verifier")),IF(OR(TRIM(U510)="Pass",TRIM(U510)="Pass after CA"),IF(NOT(ISNUMBER(AD510)),"INVALID – completion time missing",IF(TRIM(T510)="","INVALID – PIC missing",IF(TRIM(V510)="","INVALID – result / assessment missing",IF(TRIM(Z510)="","INVALID – evidence missing",IF(TRIM(AE510)="","INVALID – verifier missing",IF(TRIM(AE510)=TRIM(T510),"INVALID – verifier must be someone other than the PIC",IF(AND(AQ510=1,TRIM(W510)=""),"INVALID – batch ID missing",IF(AND(AR510=1,OR(NOT(ISNUMBER(X510)),NOT(ISNUMBER(Y510)))),"INVALID – expected/actual qty missing",IF(IF(AND(TRIM(U510)="Pass",ISNUMBER(AF510)),IF(AF510&lt;&gt;0,"INVALID – qty variance: use Fail or Pass after CA",""),"")&amp;IF(AND(TRIM(U510)="Pass",TRIM(AB510)&lt;&gt;"",TRIM(AB510)&lt;&gt;"Closed"),"INVALID – corrective action not closed: use Fail, then Pass after CA","")&amp;IF(AND(TRIM(AA510)&lt;&gt;"",TRIM(AB510)=""),"INVALID – CA status missing for the recorded corrective action","")&amp;IF(AND(TRIM(U510)="Pass after CA",OR(TRIM(AA510)="",TRIM(AB510)&lt;&gt;"Closed")),"INVALID – corrective action not recorded/closed","")&lt;&gt;"",IF(AND(TRIM(U510)="Pass",ISNUMBER(AF510)),IF(AF510&lt;&gt;0,"INVALID – qty variance: use Fail or Pass after CA",""),"")&amp;IF(AND(TRIM(U510)="Pass",TRIM(AB510)&lt;&gt;"",TRIM(AB510)&lt;&gt;"Closed"),"INVALID – corrective action not closed: use Fail, then Pass after CA","")&amp;IF(AND(TRIM(AA510)&lt;&gt;"",TRIM(AB510)=""),"INVALID – CA status missing for the recorded corrective action","")&amp;IF(AND(TRIM(U510)="Pass after CA",OR(TRIM(AA510)="",TRIM(AB510)&lt;&gt;"Closed")),"INVALID – corrective action not recorded/closed",""),IF(AND(AS510=1,Documents!$J$20&lt;&gt;"ON FILE"),"INVALID – GLD not on file (Documents sheet)",IF(AND(AS510=2,Documents!$O$20&lt;&gt;"ON FILE"),"INVALID – menu checklist not on file (Documents sheet)",IF(AND(AS510=3,NOT(ISNUMBER(Flights!$AX$20))),"INVALID – enter carrying flight KUL departure (Flights AX)",IF(AND(AS510=3,OR(Flights!$AX$20&gt;=Flights!$AA$20,Flights!$AX$20&lt;Flights!$AA$20-3)),"INVALID – Flights AX must be before this leg's STD (within 3 days)",IF(AG510&gt;AsOfUTC,"INVALID – completion time is in the future",IF(AND(ISNUMBER(S510),AG510&lt;S510),IF(H510="Physical uplift","INVALID – before uplift window (cannot confirm loading)","INVALID – before valid window"),IF(AG510&gt;Flights!$AA$20,"INVALID – completed after departure (cannot establish readiness)",IF(AND(H510="Physical uplift",AG510&gt;Q510),"INVALID – recorded after the loading flight departed",IF(AG510&gt;Q510,"COMPLETE – LATE","COMPLETE")))))))))))))))))),IF(TRIM(U510)="Fail","FAIL – DISCREPANCY",IF(AND(TRIM(U510)&lt;&gt;"",TRIM(U510)&lt;&gt;"Not started",TRIM(U510)&lt;&gt;"In progress"),"INVALID – unrecognised status (use the list)",IF(AsOfUTC&gt;Q510,"OVERDUE",IF(N510="Clarification required","OPEN – CLARIFICATION","OPEN")))))))</f>
        <v>OPEN</v>
      </c>
      <c r="AI510" s="61" t="n">
        <f aca="false">IF(OR(AH510="N/A – RULE",AH510="N/A – JUSTIFIED"),0,1)</f>
        <v>1</v>
      </c>
      <c r="AJ510" s="61" t="n">
        <f aca="false">IF(LEFT(AH510,8)="COMPLETE",1,0)</f>
        <v>0</v>
      </c>
      <c r="AK510" s="61" t="n">
        <f aca="false">IF(AND(AI510=1,AJ510=0,AsOfUTC&gt;Q510),1,0)</f>
        <v>0</v>
      </c>
      <c r="AL510" s="61" t="n">
        <f aca="false">IF(AND(AI510=1,OR(TRIM(U510)="Fail",AND(TRIM(AB510)&lt;&gt;"",TRIM(AB510)&lt;&gt;"Closed"),AND(ISNUMBER(AF510),AF510&lt;&gt;0,TRIM(U510)&lt;&gt;"Pass after CA"))),1,0)</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row>
    <row r="511" customFormat="false" ht="39.75" hidden="false" customHeight="true" outlineLevel="0" collapsed="false">
      <c r="A511" s="57" t="s">
        <v>1128</v>
      </c>
      <c r="B511" s="57" t="s">
        <v>272</v>
      </c>
      <c r="C511" s="57" t="str">
        <f aca="false">Flights!$F$20</f>
        <v>MH0072</v>
      </c>
      <c r="D511" s="58" t="n">
        <f aca="false">Flights!$D$20</f>
        <v>46321</v>
      </c>
      <c r="E511" s="57" t="str">
        <f aca="false">Flights!$G$20&amp;"-"&amp;Flights!$H$20</f>
        <v>KUL-HKG</v>
      </c>
      <c r="F511" s="57" t="str">
        <f aca="false">Flights!$K$20</f>
        <v>EY</v>
      </c>
      <c r="G511" s="57" t="s">
        <v>76</v>
      </c>
      <c r="H511" s="57" t="s">
        <v>343</v>
      </c>
      <c r="I511" s="57" t="s">
        <v>363</v>
      </c>
      <c r="J511" s="57" t="s">
        <v>367</v>
      </c>
      <c r="K511" s="67" t="s">
        <v>368</v>
      </c>
      <c r="L511" s="67" t="s">
        <v>347</v>
      </c>
      <c r="M511" s="67"/>
      <c r="N511" s="67" t="s">
        <v>348</v>
      </c>
      <c r="O511" s="67"/>
      <c r="P511" s="57" t="s">
        <v>179</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59" t="n">
        <f aca="false">Q511-T7EarlyD*24/24</f>
        <v>46300.0486111111</v>
      </c>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IF(N511="N/A – rule","N/A – RULE",IF(TRIM(U511)="N/A",IF(AT511=0,"INVALID – N/A not permitted for this mandatory check",IF(AND(TRIM(AC511)&lt;&gt;"",TRIM(AE511)&lt;&gt;"",TRIM(T511)&lt;&gt;"",TRIM(AE511)&lt;&gt;TRIM(T511)),"N/A – JUSTIFIED","INVALID – N/A needs justification, PIC and a different verifier")),IF(OR(TRIM(U511)="Pass",TRIM(U511)="Pass after CA"),IF(NOT(ISNUMBER(AD511)),"INVALID – completion time missing",IF(TRIM(T511)="","INVALID – PIC missing",IF(TRIM(V511)="","INVALID – result / assessment missing",IF(TRIM(Z511)="","INVALID – evidence missing",IF(TRIM(AE511)="","INVALID – verifier missing",IF(TRIM(AE511)=TRIM(T511),"INVALID – verifier must be someone other than the PIC",IF(AND(AQ511=1,TRIM(W511)=""),"INVALID – batch ID missing",IF(AND(AR511=1,OR(NOT(ISNUMBER(X511)),NOT(ISNUMBER(Y511)))),"INVALID – expected/actual qty missing",IF(IF(AND(TRIM(U511)="Pass",ISNUMBER(AF511)),IF(AF511&lt;&gt;0,"INVALID – qty variance: use Fail or Pass after CA",""),"")&amp;IF(AND(TRIM(U511)="Pass",TRIM(AB511)&lt;&gt;"",TRIM(AB511)&lt;&gt;"Closed"),"INVALID – corrective action not closed: use Fail, then Pass after CA","")&amp;IF(AND(TRIM(AA511)&lt;&gt;"",TRIM(AB511)=""),"INVALID – CA status missing for the recorded corrective action","")&amp;IF(AND(TRIM(U511)="Pass after CA",OR(TRIM(AA511)="",TRIM(AB511)&lt;&gt;"Closed")),"INVALID – corrective action not recorded/closed","")&lt;&gt;"",IF(AND(TRIM(U511)="Pass",ISNUMBER(AF511)),IF(AF511&lt;&gt;0,"INVALID – qty variance: use Fail or Pass after CA",""),"")&amp;IF(AND(TRIM(U511)="Pass",TRIM(AB511)&lt;&gt;"",TRIM(AB511)&lt;&gt;"Closed"),"INVALID – corrective action not closed: use Fail, then Pass after CA","")&amp;IF(AND(TRIM(AA511)&lt;&gt;"",TRIM(AB511)=""),"INVALID – CA status missing for the recorded corrective action","")&amp;IF(AND(TRIM(U511)="Pass after CA",OR(TRIM(AA511)="",TRIM(AB511)&lt;&gt;"Closed")),"INVALID – corrective action not recorded/closed",""),IF(AND(AS511=1,Documents!$J$20&lt;&gt;"ON FILE"),"INVALID – GLD not on file (Documents sheet)",IF(AND(AS511=2,Documents!$O$20&lt;&gt;"ON FILE"),"INVALID – menu checklist not on file (Documents sheet)",IF(AND(AS511=3,NOT(ISNUMBER(Flights!$AX$20))),"INVALID – enter carrying flight KUL departure (Flights AX)",IF(AND(AS511=3,OR(Flights!$AX$20&gt;=Flights!$AA$20,Flights!$AX$20&lt;Flights!$AA$20-3)),"INVALID – Flights AX must be before this leg's STD (within 3 days)",IF(AG511&gt;AsOfUTC,"INVALID – completion time is in the future",IF(AND(ISNUMBER(S511),AG511&lt;S511),IF(H511="Physical uplift","INVALID – before uplift window (cannot confirm loading)","INVALID – before valid window"),IF(AG511&gt;Flights!$AA$20,"INVALID – completed after departure (cannot establish readiness)",IF(AND(H511="Physical uplift",AG511&gt;Q511),"INVALID – recorded after the loading flight departed",IF(AG511&gt;Q511,"COMPLETE – LATE","COMPLETE")))))))))))))))))),IF(TRIM(U511)="Fail","FAIL – DISCREPANCY",IF(AND(TRIM(U511)&lt;&gt;"",TRIM(U511)&lt;&gt;"Not started",TRIM(U511)&lt;&gt;"In progress"),"INVALID – unrecognised status (use the list)",IF(AsOfUTC&gt;Q511,"OVERDUE",IF(N511="Clarification required","OPEN – CLARIFICATION","OPEN")))))))</f>
        <v>OPEN</v>
      </c>
      <c r="AI511" s="61" t="n">
        <f aca="false">IF(OR(AH511="N/A – RULE",AH511="N/A – JUSTIFIED"),0,1)</f>
        <v>1</v>
      </c>
      <c r="AJ511" s="61" t="n">
        <f aca="false">IF(LEFT(AH511,8)="COMPLETE",1,0)</f>
        <v>0</v>
      </c>
      <c r="AK511" s="61" t="n">
        <f aca="false">IF(AND(AI511=1,AJ511=0,AsOfUTC&gt;Q511),1,0)</f>
        <v>0</v>
      </c>
      <c r="AL511" s="61" t="n">
        <f aca="false">IF(AND(AI511=1,OR(TRIM(U511)="Fail",AND(TRIM(AB511)&lt;&gt;"",TRIM(AB511)&lt;&gt;"Closed"),AND(ISNUMBER(AF511),AF511&lt;&gt;0,TRIM(U511)&lt;&gt;"Pass after CA"))),1,0)</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row>
    <row r="512" customFormat="false" ht="39.75" hidden="false" customHeight="true" outlineLevel="0" collapsed="false">
      <c r="A512" s="57" t="s">
        <v>1129</v>
      </c>
      <c r="B512" s="57" t="s">
        <v>272</v>
      </c>
      <c r="C512" s="57" t="str">
        <f aca="false">Flights!$F$20</f>
        <v>MH0072</v>
      </c>
      <c r="D512" s="58" t="n">
        <f aca="false">Flights!$D$20</f>
        <v>46321</v>
      </c>
      <c r="E512" s="57" t="str">
        <f aca="false">Flights!$G$20&amp;"-"&amp;Flights!$H$20</f>
        <v>KUL-HKG</v>
      </c>
      <c r="F512" s="57" t="str">
        <f aca="false">Flights!$K$20</f>
        <v>EY</v>
      </c>
      <c r="G512" s="57" t="s">
        <v>76</v>
      </c>
      <c r="H512" s="57" t="s">
        <v>343</v>
      </c>
      <c r="I512" s="57" t="s">
        <v>370</v>
      </c>
      <c r="J512" s="57" t="s">
        <v>371</v>
      </c>
      <c r="K512" s="67" t="s">
        <v>372</v>
      </c>
      <c r="L512" s="67" t="s">
        <v>347</v>
      </c>
      <c r="M512" s="67"/>
      <c r="N512" s="67" t="s">
        <v>348</v>
      </c>
      <c r="O512" s="67"/>
      <c r="P512" s="57" t="s">
        <v>179</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59" t="n">
        <f aca="false">Q512-T7EarlyD*24/24</f>
        <v>46300.0486111111</v>
      </c>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IF(N512="N/A – rule","N/A – RULE",IF(TRIM(U512)="N/A",IF(AT512=0,"INVALID – N/A not permitted for this mandatory check",IF(AND(TRIM(AC512)&lt;&gt;"",TRIM(AE512)&lt;&gt;"",TRIM(T512)&lt;&gt;"",TRIM(AE512)&lt;&gt;TRIM(T512)),"N/A – JUSTIFIED","INVALID – N/A needs justification, PIC and a different verifier")),IF(OR(TRIM(U512)="Pass",TRIM(U512)="Pass after CA"),IF(NOT(ISNUMBER(AD512)),"INVALID – completion time missing",IF(TRIM(T512)="","INVALID – PIC missing",IF(TRIM(V512)="","INVALID – result / assessment missing",IF(TRIM(Z512)="","INVALID – evidence missing",IF(TRIM(AE512)="","INVALID – verifier missing",IF(TRIM(AE512)=TRIM(T512),"INVALID – verifier must be someone other than the PIC",IF(AND(AQ512=1,TRIM(W512)=""),"INVALID – batch ID missing",IF(AND(AR512=1,OR(NOT(ISNUMBER(X512)),NOT(ISNUMBER(Y512)))),"INVALID – expected/actual qty missing",IF(IF(AND(TRIM(U512)="Pass",ISNUMBER(AF512)),IF(AF512&lt;&gt;0,"INVALID – qty variance: use Fail or Pass after CA",""),"")&amp;IF(AND(TRIM(U512)="Pass",TRIM(AB512)&lt;&gt;"",TRIM(AB512)&lt;&gt;"Closed"),"INVALID – corrective action not closed: use Fail, then Pass after CA","")&amp;IF(AND(TRIM(AA512)&lt;&gt;"",TRIM(AB512)=""),"INVALID – CA status missing for the recorded corrective action","")&amp;IF(AND(TRIM(U512)="Pass after CA",OR(TRIM(AA512)="",TRIM(AB512)&lt;&gt;"Closed")),"INVALID – corrective action not recorded/closed","")&lt;&gt;"",IF(AND(TRIM(U512)="Pass",ISNUMBER(AF512)),IF(AF512&lt;&gt;0,"INVALID – qty variance: use Fail or Pass after CA",""),"")&amp;IF(AND(TRIM(U512)="Pass",TRIM(AB512)&lt;&gt;"",TRIM(AB512)&lt;&gt;"Closed"),"INVALID – corrective action not closed: use Fail, then Pass after CA","")&amp;IF(AND(TRIM(AA512)&lt;&gt;"",TRIM(AB512)=""),"INVALID – CA status missing for the recorded corrective action","")&amp;IF(AND(TRIM(U512)="Pass after CA",OR(TRIM(AA512)="",TRIM(AB512)&lt;&gt;"Closed")),"INVALID – corrective action not recorded/closed",""),IF(AND(AS512=1,Documents!$J$20&lt;&gt;"ON FILE"),"INVALID – GLD not on file (Documents sheet)",IF(AND(AS512=2,Documents!$O$20&lt;&gt;"ON FILE"),"INVALID – menu checklist not on file (Documents sheet)",IF(AND(AS512=3,NOT(ISNUMBER(Flights!$AX$20))),"INVALID – enter carrying flight KUL departure (Flights AX)",IF(AND(AS512=3,OR(Flights!$AX$20&gt;=Flights!$AA$20,Flights!$AX$20&lt;Flights!$AA$20-3)),"INVALID – Flights AX must be before this leg's STD (within 3 days)",IF(AG512&gt;AsOfUTC,"INVALID – completion time is in the future",IF(AND(ISNUMBER(S512),AG512&lt;S512),IF(H512="Physical uplift","INVALID – before uplift window (cannot confirm loading)","INVALID – before valid window"),IF(AG512&gt;Flights!$AA$20,"INVALID – completed after departure (cannot establish readiness)",IF(AND(H512="Physical uplift",AG512&gt;Q512),"INVALID – recorded after the loading flight departed",IF(AG512&gt;Q512,"COMPLETE – LATE","COMPLETE")))))))))))))))))),IF(TRIM(U512)="Fail","FAIL – DISCREPANCY",IF(AND(TRIM(U512)&lt;&gt;"",TRIM(U512)&lt;&gt;"Not started",TRIM(U512)&lt;&gt;"In progress"),"INVALID – unrecognised status (use the list)",IF(AsOfUTC&gt;Q512,"OVERDUE",IF(N512="Clarification required","OPEN – CLARIFICATION","OPEN")))))))</f>
        <v>OPEN</v>
      </c>
      <c r="AI512" s="61" t="n">
        <f aca="false">IF(OR(AH512="N/A – RULE",AH512="N/A – JUSTIFIED"),0,1)</f>
        <v>1</v>
      </c>
      <c r="AJ512" s="61" t="n">
        <f aca="false">IF(LEFT(AH512,8)="COMPLETE",1,0)</f>
        <v>0</v>
      </c>
      <c r="AK512" s="61" t="n">
        <f aca="false">IF(AND(AI512=1,AJ512=0,AsOfUTC&gt;Q512),1,0)</f>
        <v>0</v>
      </c>
      <c r="AL512" s="61" t="n">
        <f aca="false">IF(AND(AI512=1,OR(TRIM(U512)="Fail",AND(TRIM(AB512)&lt;&gt;"",TRIM(AB512)&lt;&gt;"Closed"),AND(ISNUMBER(AF512),AF512&lt;&gt;0,TRIM(U512)&lt;&gt;"Pass after CA"))),1,0)</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row>
    <row r="513" customFormat="false" ht="39.75" hidden="false" customHeight="true" outlineLevel="0" collapsed="false">
      <c r="A513" s="57" t="s">
        <v>1130</v>
      </c>
      <c r="B513" s="57" t="s">
        <v>272</v>
      </c>
      <c r="C513" s="57" t="str">
        <f aca="false">Flights!$F$20</f>
        <v>MH0072</v>
      </c>
      <c r="D513" s="58" t="n">
        <f aca="false">Flights!$D$20</f>
        <v>46321</v>
      </c>
      <c r="E513" s="57" t="str">
        <f aca="false">Flights!$G$20&amp;"-"&amp;Flights!$H$20</f>
        <v>KUL-HKG</v>
      </c>
      <c r="F513" s="57" t="str">
        <f aca="false">Flights!$K$20</f>
        <v>EY</v>
      </c>
      <c r="G513" s="57" t="s">
        <v>76</v>
      </c>
      <c r="H513" s="57" t="s">
        <v>343</v>
      </c>
      <c r="I513" s="57" t="s">
        <v>370</v>
      </c>
      <c r="J513" s="57" t="s">
        <v>374</v>
      </c>
      <c r="K513" s="67" t="s">
        <v>372</v>
      </c>
      <c r="L513" s="67" t="s">
        <v>347</v>
      </c>
      <c r="M513" s="67"/>
      <c r="N513" s="67" t="s">
        <v>348</v>
      </c>
      <c r="O513" s="67"/>
      <c r="P513" s="57" t="s">
        <v>179</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59" t="n">
        <f aca="false">Q513-T7EarlyD*24/24</f>
        <v>46300.0486111111</v>
      </c>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IF(N513="N/A – rule","N/A – RULE",IF(TRIM(U513)="N/A",IF(AT513=0,"INVALID – N/A not permitted for this mandatory check",IF(AND(TRIM(AC513)&lt;&gt;"",TRIM(AE513)&lt;&gt;"",TRIM(T513)&lt;&gt;"",TRIM(AE513)&lt;&gt;TRIM(T513)),"N/A – JUSTIFIED","INVALID – N/A needs justification, PIC and a different verifier")),IF(OR(TRIM(U513)="Pass",TRIM(U513)="Pass after CA"),IF(NOT(ISNUMBER(AD513)),"INVALID – completion time missing",IF(TRIM(T513)="","INVALID – PIC missing",IF(TRIM(V513)="","INVALID – result / assessment missing",IF(TRIM(Z513)="","INVALID – evidence missing",IF(TRIM(AE513)="","INVALID – verifier missing",IF(TRIM(AE513)=TRIM(T513),"INVALID – verifier must be someone other than the PIC",IF(AND(AQ513=1,TRIM(W513)=""),"INVALID – batch ID missing",IF(AND(AR513=1,OR(NOT(ISNUMBER(X513)),NOT(ISNUMBER(Y513)))),"INVALID – expected/actual qty missing",IF(IF(AND(TRIM(U513)="Pass",ISNUMBER(AF513)),IF(AF513&lt;&gt;0,"INVALID – qty variance: use Fail or Pass after CA",""),"")&amp;IF(AND(TRIM(U513)="Pass",TRIM(AB513)&lt;&gt;"",TRIM(AB513)&lt;&gt;"Closed"),"INVALID – corrective action not closed: use Fail, then Pass after CA","")&amp;IF(AND(TRIM(AA513)&lt;&gt;"",TRIM(AB513)=""),"INVALID – CA status missing for the recorded corrective action","")&amp;IF(AND(TRIM(U513)="Pass after CA",OR(TRIM(AA513)="",TRIM(AB513)&lt;&gt;"Closed")),"INVALID – corrective action not recorded/closed","")&lt;&gt;"",IF(AND(TRIM(U513)="Pass",ISNUMBER(AF513)),IF(AF513&lt;&gt;0,"INVALID – qty variance: use Fail or Pass after CA",""),"")&amp;IF(AND(TRIM(U513)="Pass",TRIM(AB513)&lt;&gt;"",TRIM(AB513)&lt;&gt;"Closed"),"INVALID – corrective action not closed: use Fail, then Pass after CA","")&amp;IF(AND(TRIM(AA513)&lt;&gt;"",TRIM(AB513)=""),"INVALID – CA status missing for the recorded corrective action","")&amp;IF(AND(TRIM(U513)="Pass after CA",OR(TRIM(AA513)="",TRIM(AB513)&lt;&gt;"Closed")),"INVALID – corrective action not recorded/closed",""),IF(AND(AS513=1,Documents!$J$20&lt;&gt;"ON FILE"),"INVALID – GLD not on file (Documents sheet)",IF(AND(AS513=2,Documents!$O$20&lt;&gt;"ON FILE"),"INVALID – menu checklist not on file (Documents sheet)",IF(AND(AS513=3,NOT(ISNUMBER(Flights!$AX$20))),"INVALID – enter carrying flight KUL departure (Flights AX)",IF(AND(AS513=3,OR(Flights!$AX$20&gt;=Flights!$AA$20,Flights!$AX$20&lt;Flights!$AA$20-3)),"INVALID – Flights AX must be before this leg's STD (within 3 days)",IF(AG513&gt;AsOfUTC,"INVALID – completion time is in the future",IF(AND(ISNUMBER(S513),AG513&lt;S513),IF(H513="Physical uplift","INVALID – before uplift window (cannot confirm loading)","INVALID – before valid window"),IF(AG513&gt;Flights!$AA$20,"INVALID – completed after departure (cannot establish readiness)",IF(AND(H513="Physical uplift",AG513&gt;Q513),"INVALID – recorded after the loading flight departed",IF(AG513&gt;Q513,"COMPLETE – LATE","COMPLETE")))))))))))))))))),IF(TRIM(U513)="Fail","FAIL – DISCREPANCY",IF(AND(TRIM(U513)&lt;&gt;"",TRIM(U513)&lt;&gt;"Not started",TRIM(U513)&lt;&gt;"In progress"),"INVALID – unrecognised status (use the list)",IF(AsOfUTC&gt;Q513,"OVERDUE",IF(N513="Clarification required","OPEN – CLARIFICATION","OPEN")))))))</f>
        <v>OPEN</v>
      </c>
      <c r="AI513" s="61" t="n">
        <f aca="false">IF(OR(AH513="N/A – RULE",AH513="N/A – JUSTIFIED"),0,1)</f>
        <v>1</v>
      </c>
      <c r="AJ513" s="61" t="n">
        <f aca="false">IF(LEFT(AH513,8)="COMPLETE",1,0)</f>
        <v>0</v>
      </c>
      <c r="AK513" s="61" t="n">
        <f aca="false">IF(AND(AI513=1,AJ513=0,AsOfUTC&gt;Q513),1,0)</f>
        <v>0</v>
      </c>
      <c r="AL513" s="61" t="n">
        <f aca="false">IF(AND(AI513=1,OR(TRIM(U513)="Fail",AND(TRIM(AB513)&lt;&gt;"",TRIM(AB513)&lt;&gt;"Closed"),AND(ISNUMBER(AF513),AF513&lt;&gt;0,TRIM(U513)&lt;&gt;"Pass after CA"))),1,0)</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row>
    <row r="514" customFormat="false" ht="39.75" hidden="false" customHeight="true" outlineLevel="0" collapsed="false">
      <c r="A514" s="57" t="s">
        <v>1131</v>
      </c>
      <c r="B514" s="57" t="s">
        <v>272</v>
      </c>
      <c r="C514" s="57" t="str">
        <f aca="false">Flights!$F$20</f>
        <v>MH0072</v>
      </c>
      <c r="D514" s="58" t="n">
        <f aca="false">Flights!$D$20</f>
        <v>46321</v>
      </c>
      <c r="E514" s="57" t="str">
        <f aca="false">Flights!$G$20&amp;"-"&amp;Flights!$H$20</f>
        <v>KUL-HKG</v>
      </c>
      <c r="F514" s="57" t="str">
        <f aca="false">Flights!$K$20</f>
        <v>EY</v>
      </c>
      <c r="G514" s="57" t="s">
        <v>76</v>
      </c>
      <c r="H514" s="57" t="s">
        <v>343</v>
      </c>
      <c r="I514" s="57" t="s">
        <v>376</v>
      </c>
      <c r="J514" s="57" t="s">
        <v>377</v>
      </c>
      <c r="K514" s="67" t="s">
        <v>1132</v>
      </c>
      <c r="L514" s="67" t="s">
        <v>1133</v>
      </c>
      <c r="M514" s="67"/>
      <c r="N514" s="67" t="s">
        <v>348</v>
      </c>
      <c r="O514" s="67"/>
      <c r="P514" s="57" t="s">
        <v>179</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59" t="n">
        <f aca="false">Q514-T7EarlyD*24/24</f>
        <v>46300.0486111111</v>
      </c>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IF(N514="N/A – rule","N/A – RULE",IF(TRIM(U514)="N/A",IF(AT514=0,"INVALID – N/A not permitted for this mandatory check",IF(AND(TRIM(AC514)&lt;&gt;"",TRIM(AE514)&lt;&gt;"",TRIM(T514)&lt;&gt;"",TRIM(AE514)&lt;&gt;TRIM(T514)),"N/A – JUSTIFIED","INVALID – N/A needs justification, PIC and a different verifier")),IF(OR(TRIM(U514)="Pass",TRIM(U514)="Pass after CA"),IF(NOT(ISNUMBER(AD514)),"INVALID – completion time missing",IF(TRIM(T514)="","INVALID – PIC missing",IF(TRIM(V514)="","INVALID – result / assessment missing",IF(TRIM(Z514)="","INVALID – evidence missing",IF(TRIM(AE514)="","INVALID – verifier missing",IF(TRIM(AE514)=TRIM(T514),"INVALID – verifier must be someone other than the PIC",IF(AND(AQ514=1,TRIM(W514)=""),"INVALID – batch ID missing",IF(AND(AR514=1,OR(NOT(ISNUMBER(X514)),NOT(ISNUMBER(Y514)))),"INVALID – expected/actual qty missing",IF(IF(AND(TRIM(U514)="Pass",ISNUMBER(AF514)),IF(AF514&lt;&gt;0,"INVALID – qty variance: use Fail or Pass after CA",""),"")&amp;IF(AND(TRIM(U514)="Pass",TRIM(AB514)&lt;&gt;"",TRIM(AB514)&lt;&gt;"Closed"),"INVALID – corrective action not closed: use Fail, then Pass after CA","")&amp;IF(AND(TRIM(AA514)&lt;&gt;"",TRIM(AB514)=""),"INVALID – CA status missing for the recorded corrective action","")&amp;IF(AND(TRIM(U514)="Pass after CA",OR(TRIM(AA514)="",TRIM(AB514)&lt;&gt;"Closed")),"INVALID – corrective action not recorded/closed","")&lt;&gt;"",IF(AND(TRIM(U514)="Pass",ISNUMBER(AF514)),IF(AF514&lt;&gt;0,"INVALID – qty variance: use Fail or Pass after CA",""),"")&amp;IF(AND(TRIM(U514)="Pass",TRIM(AB514)&lt;&gt;"",TRIM(AB514)&lt;&gt;"Closed"),"INVALID – corrective action not closed: use Fail, then Pass after CA","")&amp;IF(AND(TRIM(AA514)&lt;&gt;"",TRIM(AB514)=""),"INVALID – CA status missing for the recorded corrective action","")&amp;IF(AND(TRIM(U514)="Pass after CA",OR(TRIM(AA514)="",TRIM(AB514)&lt;&gt;"Closed")),"INVALID – corrective action not recorded/closed",""),IF(AND(AS514=1,Documents!$J$20&lt;&gt;"ON FILE"),"INVALID – GLD not on file (Documents sheet)",IF(AND(AS514=2,Documents!$O$20&lt;&gt;"ON FILE"),"INVALID – menu checklist not on file (Documents sheet)",IF(AND(AS514=3,NOT(ISNUMBER(Flights!$AX$20))),"INVALID – enter carrying flight KUL departure (Flights AX)",IF(AND(AS514=3,OR(Flights!$AX$20&gt;=Flights!$AA$20,Flights!$AX$20&lt;Flights!$AA$20-3)),"INVALID – Flights AX must be before this leg's STD (within 3 days)",IF(AG514&gt;AsOfUTC,"INVALID – completion time is in the future",IF(AND(ISNUMBER(S514),AG514&lt;S514),IF(H514="Physical uplift","INVALID – before uplift window (cannot confirm loading)","INVALID – before valid window"),IF(AG514&gt;Flights!$AA$20,"INVALID – completed after departure (cannot establish readiness)",IF(AND(H514="Physical uplift",AG514&gt;Q514),"INVALID – recorded after the loading flight departed",IF(AG514&gt;Q514,"COMPLETE – LATE","COMPLETE")))))))))))))))))),IF(TRIM(U514)="Fail","FAIL – DISCREPANCY",IF(AND(TRIM(U514)&lt;&gt;"",TRIM(U514)&lt;&gt;"Not started",TRIM(U514)&lt;&gt;"In progress"),"INVALID – unrecognised status (use the list)",IF(AsOfUTC&gt;Q514,"OVERDUE",IF(N514="Clarification required","OPEN – CLARIFICATION","OPEN")))))))</f>
        <v>OPEN</v>
      </c>
      <c r="AI514" s="61" t="n">
        <f aca="false">IF(OR(AH514="N/A – RULE",AH514="N/A – JUSTIFIED"),0,1)</f>
        <v>1</v>
      </c>
      <c r="AJ514" s="61" t="n">
        <f aca="false">IF(LEFT(AH514,8)="COMPLETE",1,0)</f>
        <v>0</v>
      </c>
      <c r="AK514" s="61" t="n">
        <f aca="false">IF(AND(AI514=1,AJ514=0,AsOfUTC&gt;Q514),1,0)</f>
        <v>0</v>
      </c>
      <c r="AL514" s="61" t="n">
        <f aca="false">IF(AND(AI514=1,OR(TRIM(U514)="Fail",AND(TRIM(AB514)&lt;&gt;"",TRIM(AB514)&lt;&gt;"Closed"),AND(ISNUMBER(AF514),AF514&lt;&gt;0,TRIM(U514)&lt;&gt;"Pass after CA"))),1,0)</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row>
    <row r="515" customFormat="false" ht="39.75" hidden="false" customHeight="true" outlineLevel="0" collapsed="false">
      <c r="A515" s="57" t="s">
        <v>1134</v>
      </c>
      <c r="B515" s="57" t="s">
        <v>272</v>
      </c>
      <c r="C515" s="57" t="str">
        <f aca="false">Flights!$F$20</f>
        <v>MH0072</v>
      </c>
      <c r="D515" s="58" t="n">
        <f aca="false">Flights!$D$20</f>
        <v>46321</v>
      </c>
      <c r="E515" s="57" t="str">
        <f aca="false">Flights!$G$20&amp;"-"&amp;Flights!$H$20</f>
        <v>KUL-HKG</v>
      </c>
      <c r="F515" s="57" t="str">
        <f aca="false">Flights!$K$20</f>
        <v>EY</v>
      </c>
      <c r="G515" s="57" t="s">
        <v>78</v>
      </c>
      <c r="H515" s="57" t="s">
        <v>343</v>
      </c>
      <c r="I515" s="57" t="s">
        <v>344</v>
      </c>
      <c r="J515" s="57" t="s">
        <v>381</v>
      </c>
      <c r="K515" s="67" t="s">
        <v>382</v>
      </c>
      <c r="L515" s="67" t="s">
        <v>383</v>
      </c>
      <c r="M515" s="67"/>
      <c r="N515" s="67" t="s">
        <v>348</v>
      </c>
      <c r="O515" s="67"/>
      <c r="P515" s="57" t="s">
        <v>179</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59" t="n">
        <f aca="false">Q515-T24EarlyH/24</f>
        <v>46319.0486111111</v>
      </c>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IF(N515="N/A – rule","N/A – RULE",IF(TRIM(U515)="N/A",IF(AT515=0,"INVALID – N/A not permitted for this mandatory check",IF(AND(TRIM(AC515)&lt;&gt;"",TRIM(AE515)&lt;&gt;"",TRIM(T515)&lt;&gt;"",TRIM(AE515)&lt;&gt;TRIM(T515)),"N/A – JUSTIFIED","INVALID – N/A needs justification, PIC and a different verifier")),IF(OR(TRIM(U515)="Pass",TRIM(U515)="Pass after CA"),IF(NOT(ISNUMBER(AD515)),"INVALID – completion time missing",IF(TRIM(T515)="","INVALID – PIC missing",IF(TRIM(V515)="","INVALID – result / assessment missing",IF(TRIM(Z515)="","INVALID – evidence missing",IF(TRIM(AE515)="","INVALID – verifier missing",IF(TRIM(AE515)=TRIM(T515),"INVALID – verifier must be someone other than the PIC",IF(AND(AQ515=1,TRIM(W515)=""),"INVALID – batch ID missing",IF(AND(AR515=1,OR(NOT(ISNUMBER(X515)),NOT(ISNUMBER(Y515)))),"INVALID – expected/actual qty missing",IF(IF(AND(TRIM(U515)="Pass",ISNUMBER(AF515)),IF(AF515&lt;&gt;0,"INVALID – qty variance: use Fail or Pass after CA",""),"")&amp;IF(AND(TRIM(U515)="Pass",TRIM(AB515)&lt;&gt;"",TRIM(AB515)&lt;&gt;"Closed"),"INVALID – corrective action not closed: use Fail, then Pass after CA","")&amp;IF(AND(TRIM(AA515)&lt;&gt;"",TRIM(AB515)=""),"INVALID – CA status missing for the recorded corrective action","")&amp;IF(AND(TRIM(U515)="Pass after CA",OR(TRIM(AA515)="",TRIM(AB515)&lt;&gt;"Closed")),"INVALID – corrective action not recorded/closed","")&lt;&gt;"",IF(AND(TRIM(U515)="Pass",ISNUMBER(AF515)),IF(AF515&lt;&gt;0,"INVALID – qty variance: use Fail or Pass after CA",""),"")&amp;IF(AND(TRIM(U515)="Pass",TRIM(AB515)&lt;&gt;"",TRIM(AB515)&lt;&gt;"Closed"),"INVALID – corrective action not closed: use Fail, then Pass after CA","")&amp;IF(AND(TRIM(AA515)&lt;&gt;"",TRIM(AB515)=""),"INVALID – CA status missing for the recorded corrective action","")&amp;IF(AND(TRIM(U515)="Pass after CA",OR(TRIM(AA515)="",TRIM(AB515)&lt;&gt;"Closed")),"INVALID – corrective action not recorded/closed",""),IF(AND(AS515=1,Documents!$J$20&lt;&gt;"ON FILE"),"INVALID – GLD not on file (Documents sheet)",IF(AND(AS515=2,Documents!$O$20&lt;&gt;"ON FILE"),"INVALID – menu checklist not on file (Documents sheet)",IF(AND(AS515=3,NOT(ISNUMBER(Flights!$AX$20))),"INVALID – enter carrying flight KUL departure (Flights AX)",IF(AND(AS515=3,OR(Flights!$AX$20&gt;=Flights!$AA$20,Flights!$AX$20&lt;Flights!$AA$20-3)),"INVALID – Flights AX must be before this leg's STD (within 3 days)",IF(AG515&gt;AsOfUTC,"INVALID – completion time is in the future",IF(AND(ISNUMBER(S515),AG515&lt;S515),IF(H515="Physical uplift","INVALID – before uplift window (cannot confirm loading)","INVALID – before valid window"),IF(AG515&gt;Flights!$AA$20,"INVALID – completed after departure (cannot establish readiness)",IF(AND(H515="Physical uplift",AG515&gt;Q515),"INVALID – recorded after the loading flight departed",IF(AG515&gt;Q515,"COMPLETE – LATE","COMPLETE")))))))))))))))))),IF(TRIM(U515)="Fail","FAIL – DISCREPANCY",IF(AND(TRIM(U515)&lt;&gt;"",TRIM(U515)&lt;&gt;"Not started",TRIM(U515)&lt;&gt;"In progress"),"INVALID – unrecognised status (use the list)",IF(AsOfUTC&gt;Q515,"OVERDUE",IF(N515="Clarification required","OPEN – CLARIFICATION","OPEN")))))))</f>
        <v>OPEN</v>
      </c>
      <c r="AI515" s="61" t="n">
        <f aca="false">IF(OR(AH515="N/A – RULE",AH515="N/A – JUSTIFIED"),0,1)</f>
        <v>1</v>
      </c>
      <c r="AJ515" s="61" t="n">
        <f aca="false">IF(LEFT(AH515,8)="COMPLETE",1,0)</f>
        <v>0</v>
      </c>
      <c r="AK515" s="61" t="n">
        <f aca="false">IF(AND(AI515=1,AJ515=0,AsOfUTC&gt;Q515),1,0)</f>
        <v>0</v>
      </c>
      <c r="AL515" s="61" t="n">
        <f aca="false">IF(AND(AI515=1,OR(TRIM(U515)="Fail",AND(TRIM(AB515)&lt;&gt;"",TRIM(AB515)&lt;&gt;"Closed"),AND(ISNUMBER(AF515),AF515&lt;&gt;0,TRIM(U515)&lt;&gt;"Pass after CA"))),1,0)</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row>
    <row r="516" customFormat="false" ht="39.75" hidden="false" customHeight="true" outlineLevel="0" collapsed="false">
      <c r="A516" s="57" t="s">
        <v>1135</v>
      </c>
      <c r="B516" s="57" t="s">
        <v>272</v>
      </c>
      <c r="C516" s="57" t="str">
        <f aca="false">Flights!$F$20</f>
        <v>MH0072</v>
      </c>
      <c r="D516" s="58" t="n">
        <f aca="false">Flights!$D$20</f>
        <v>46321</v>
      </c>
      <c r="E516" s="57" t="str">
        <f aca="false">Flights!$G$20&amp;"-"&amp;Flights!$H$20</f>
        <v>KUL-HKG</v>
      </c>
      <c r="F516" s="57" t="str">
        <f aca="false">Flights!$K$20</f>
        <v>EY</v>
      </c>
      <c r="G516" s="57" t="s">
        <v>385</v>
      </c>
      <c r="H516" s="57" t="s">
        <v>343</v>
      </c>
      <c r="I516" s="57" t="s">
        <v>344</v>
      </c>
      <c r="J516" s="57" t="s">
        <v>386</v>
      </c>
      <c r="K516" s="67"/>
      <c r="L516" s="67" t="s">
        <v>387</v>
      </c>
      <c r="M516" s="67"/>
      <c r="N516" s="67" t="s">
        <v>348</v>
      </c>
      <c r="O516" s="67" t="s">
        <v>388</v>
      </c>
      <c r="P516" s="57" t="s">
        <v>179</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59" t="n">
        <f aca="false">Q516-T12EarlyH/24</f>
        <v>46320.0486111111</v>
      </c>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IF(N516="N/A – rule","N/A – RULE",IF(TRIM(U516)="N/A",IF(AT516=0,"INVALID – N/A not permitted for this mandatory check",IF(AND(TRIM(AC516)&lt;&gt;"",TRIM(AE516)&lt;&gt;"",TRIM(T516)&lt;&gt;"",TRIM(AE516)&lt;&gt;TRIM(T516)),"N/A – JUSTIFIED","INVALID – N/A needs justification, PIC and a different verifier")),IF(OR(TRIM(U516)="Pass",TRIM(U516)="Pass after CA"),IF(NOT(ISNUMBER(AD516)),"INVALID – completion time missing",IF(TRIM(T516)="","INVALID – PIC missing",IF(TRIM(V516)="","INVALID – result / assessment missing",IF(TRIM(Z516)="","INVALID – evidence missing",IF(TRIM(AE516)="","INVALID – verifier missing",IF(TRIM(AE516)=TRIM(T516),"INVALID – verifier must be someone other than the PIC",IF(AND(AQ516=1,TRIM(W516)=""),"INVALID – batch ID missing",IF(AND(AR516=1,OR(NOT(ISNUMBER(X516)),NOT(ISNUMBER(Y516)))),"INVALID – expected/actual qty missing",IF(IF(AND(TRIM(U516)="Pass",ISNUMBER(AF516)),IF(AF516&lt;&gt;0,"INVALID – qty variance: use Fail or Pass after CA",""),"")&amp;IF(AND(TRIM(U516)="Pass",TRIM(AB516)&lt;&gt;"",TRIM(AB516)&lt;&gt;"Closed"),"INVALID – corrective action not closed: use Fail, then Pass after CA","")&amp;IF(AND(TRIM(AA516)&lt;&gt;"",TRIM(AB516)=""),"INVALID – CA status missing for the recorded corrective action","")&amp;IF(AND(TRIM(U516)="Pass after CA",OR(TRIM(AA516)="",TRIM(AB516)&lt;&gt;"Closed")),"INVALID – corrective action not recorded/closed","")&lt;&gt;"",IF(AND(TRIM(U516)="Pass",ISNUMBER(AF516)),IF(AF516&lt;&gt;0,"INVALID – qty variance: use Fail or Pass after CA",""),"")&amp;IF(AND(TRIM(U516)="Pass",TRIM(AB516)&lt;&gt;"",TRIM(AB516)&lt;&gt;"Closed"),"INVALID – corrective action not closed: use Fail, then Pass after CA","")&amp;IF(AND(TRIM(AA516)&lt;&gt;"",TRIM(AB516)=""),"INVALID – CA status missing for the recorded corrective action","")&amp;IF(AND(TRIM(U516)="Pass after CA",OR(TRIM(AA516)="",TRIM(AB516)&lt;&gt;"Closed")),"INVALID – corrective action not recorded/closed",""),IF(AND(AS516=1,Documents!$J$20&lt;&gt;"ON FILE"),"INVALID – GLD not on file (Documents sheet)",IF(AND(AS516=2,Documents!$O$20&lt;&gt;"ON FILE"),"INVALID – menu checklist not on file (Documents sheet)",IF(AND(AS516=3,NOT(ISNUMBER(Flights!$AX$20))),"INVALID – enter carrying flight KUL departure (Flights AX)",IF(AND(AS516=3,OR(Flights!$AX$20&gt;=Flights!$AA$20,Flights!$AX$20&lt;Flights!$AA$20-3)),"INVALID – Flights AX must be before this leg's STD (within 3 days)",IF(AG516&gt;AsOfUTC,"INVALID – completion time is in the future",IF(AND(ISNUMBER(S516),AG516&lt;S516),IF(H516="Physical uplift","INVALID – before uplift window (cannot confirm loading)","INVALID – before valid window"),IF(AG516&gt;Flights!$AA$20,"INVALID – completed after departure (cannot establish readiness)",IF(AND(H516="Physical uplift",AG516&gt;Q516),"INVALID – recorded after the loading flight departed",IF(AG516&gt;Q516,"COMPLETE – LATE","COMPLETE")))))))))))))))))),IF(TRIM(U516)="Fail","FAIL – DISCREPANCY",IF(AND(TRIM(U516)&lt;&gt;"",TRIM(U516)&lt;&gt;"Not started",TRIM(U516)&lt;&gt;"In progress"),"INVALID – unrecognised status (use the list)",IF(AsOfUTC&gt;Q516,"OVERDUE",IF(N516="Clarification required","OPEN – CLARIFICATION","OPEN")))))))</f>
        <v>OPEN</v>
      </c>
      <c r="AI516" s="61" t="n">
        <f aca="false">IF(OR(AH516="N/A – RULE",AH516="N/A – JUSTIFIED"),0,1)</f>
        <v>1</v>
      </c>
      <c r="AJ516" s="61" t="n">
        <f aca="false">IF(LEFT(AH516,8)="COMPLETE",1,0)</f>
        <v>0</v>
      </c>
      <c r="AK516" s="61" t="n">
        <f aca="false">IF(AND(AI516=1,AJ516=0,AsOfUTC&gt;Q516),1,0)</f>
        <v>0</v>
      </c>
      <c r="AL516" s="61" t="n">
        <f aca="false">IF(AND(AI516=1,OR(TRIM(U516)="Fail",AND(TRIM(AB516)&lt;&gt;"",TRIM(AB516)&lt;&gt;"Closed"),AND(ISNUMBER(AF516),AF516&lt;&gt;0,TRIM(U516)&lt;&gt;"Pass after CA"))),1,0)</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row>
    <row r="517" customFormat="false" ht="39.75" hidden="false" customHeight="true" outlineLevel="0" collapsed="false">
      <c r="A517" s="57" t="s">
        <v>1136</v>
      </c>
      <c r="B517" s="57" t="s">
        <v>272</v>
      </c>
      <c r="C517" s="57" t="str">
        <f aca="false">Flights!$F$20</f>
        <v>MH0072</v>
      </c>
      <c r="D517" s="58" t="n">
        <f aca="false">Flights!$D$20</f>
        <v>46321</v>
      </c>
      <c r="E517" s="57" t="str">
        <f aca="false">Flights!$G$20&amp;"-"&amp;Flights!$H$20</f>
        <v>KUL-HKG</v>
      </c>
      <c r="F517" s="57" t="str">
        <f aca="false">Flights!$K$20</f>
        <v>EY</v>
      </c>
      <c r="G517" s="57" t="s">
        <v>385</v>
      </c>
      <c r="H517" s="57" t="s">
        <v>343</v>
      </c>
      <c r="I517" s="57" t="s">
        <v>344</v>
      </c>
      <c r="J517" s="57" t="s">
        <v>390</v>
      </c>
      <c r="K517" s="67" t="s">
        <v>391</v>
      </c>
      <c r="L517" s="67" t="s">
        <v>387</v>
      </c>
      <c r="M517" s="67"/>
      <c r="N517" s="67" t="s">
        <v>348</v>
      </c>
      <c r="O517" s="67" t="s">
        <v>388</v>
      </c>
      <c r="P517" s="57" t="s">
        <v>179</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59" t="n">
        <f aca="false">Q517-T12EarlyH/24</f>
        <v>46320.0486111111</v>
      </c>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IF(N517="N/A – rule","N/A – RULE",IF(TRIM(U517)="N/A",IF(AT517=0,"INVALID – N/A not permitted for this mandatory check",IF(AND(TRIM(AC517)&lt;&gt;"",TRIM(AE517)&lt;&gt;"",TRIM(T517)&lt;&gt;"",TRIM(AE517)&lt;&gt;TRIM(T517)),"N/A – JUSTIFIED","INVALID – N/A needs justification, PIC and a different verifier")),IF(OR(TRIM(U517)="Pass",TRIM(U517)="Pass after CA"),IF(NOT(ISNUMBER(AD517)),"INVALID – completion time missing",IF(TRIM(T517)="","INVALID – PIC missing",IF(TRIM(V517)="","INVALID – result / assessment missing",IF(TRIM(Z517)="","INVALID – evidence missing",IF(TRIM(AE517)="","INVALID – verifier missing",IF(TRIM(AE517)=TRIM(T517),"INVALID – verifier must be someone other than the PIC",IF(AND(AQ517=1,TRIM(W517)=""),"INVALID – batch ID missing",IF(AND(AR517=1,OR(NOT(ISNUMBER(X517)),NOT(ISNUMBER(Y517)))),"INVALID – expected/actual qty missing",IF(IF(AND(TRIM(U517)="Pass",ISNUMBER(AF517)),IF(AF517&lt;&gt;0,"INVALID – qty variance: use Fail or Pass after CA",""),"")&amp;IF(AND(TRIM(U517)="Pass",TRIM(AB517)&lt;&gt;"",TRIM(AB517)&lt;&gt;"Closed"),"INVALID – corrective action not closed: use Fail, then Pass after CA","")&amp;IF(AND(TRIM(AA517)&lt;&gt;"",TRIM(AB517)=""),"INVALID – CA status missing for the recorded corrective action","")&amp;IF(AND(TRIM(U517)="Pass after CA",OR(TRIM(AA517)="",TRIM(AB517)&lt;&gt;"Closed")),"INVALID – corrective action not recorded/closed","")&lt;&gt;"",IF(AND(TRIM(U517)="Pass",ISNUMBER(AF517)),IF(AF517&lt;&gt;0,"INVALID – qty variance: use Fail or Pass after CA",""),"")&amp;IF(AND(TRIM(U517)="Pass",TRIM(AB517)&lt;&gt;"",TRIM(AB517)&lt;&gt;"Closed"),"INVALID – corrective action not closed: use Fail, then Pass after CA","")&amp;IF(AND(TRIM(AA517)&lt;&gt;"",TRIM(AB517)=""),"INVALID – CA status missing for the recorded corrective action","")&amp;IF(AND(TRIM(U517)="Pass after CA",OR(TRIM(AA517)="",TRIM(AB517)&lt;&gt;"Closed")),"INVALID – corrective action not recorded/closed",""),IF(AND(AS517=1,Documents!$J$20&lt;&gt;"ON FILE"),"INVALID – GLD not on file (Documents sheet)",IF(AND(AS517=2,Documents!$O$20&lt;&gt;"ON FILE"),"INVALID – menu checklist not on file (Documents sheet)",IF(AND(AS517=3,NOT(ISNUMBER(Flights!$AX$20))),"INVALID – enter carrying flight KUL departure (Flights AX)",IF(AND(AS517=3,OR(Flights!$AX$20&gt;=Flights!$AA$20,Flights!$AX$20&lt;Flights!$AA$20-3)),"INVALID – Flights AX must be before this leg's STD (within 3 days)",IF(AG517&gt;AsOfUTC,"INVALID – completion time is in the future",IF(AND(ISNUMBER(S517),AG517&lt;S517),IF(H517="Physical uplift","INVALID – before uplift window (cannot confirm loading)","INVALID – before valid window"),IF(AG517&gt;Flights!$AA$20,"INVALID – completed after departure (cannot establish readiness)",IF(AND(H517="Physical uplift",AG517&gt;Q517),"INVALID – recorded after the loading flight departed",IF(AG517&gt;Q517,"COMPLETE – LATE","COMPLETE")))))))))))))))))),IF(TRIM(U517)="Fail","FAIL – DISCREPANCY",IF(AND(TRIM(U517)&lt;&gt;"",TRIM(U517)&lt;&gt;"Not started",TRIM(U517)&lt;&gt;"In progress"),"INVALID – unrecognised status (use the list)",IF(AsOfUTC&gt;Q517,"OVERDUE",IF(N517="Clarification required","OPEN – CLARIFICATION","OPEN")))))))</f>
        <v>OPEN</v>
      </c>
      <c r="AI517" s="61" t="n">
        <f aca="false">IF(OR(AH517="N/A – RULE",AH517="N/A – JUSTIFIED"),0,1)</f>
        <v>1</v>
      </c>
      <c r="AJ517" s="61" t="n">
        <f aca="false">IF(LEFT(AH517,8)="COMPLETE",1,0)</f>
        <v>0</v>
      </c>
      <c r="AK517" s="61" t="n">
        <f aca="false">IF(AND(AI517=1,AJ517=0,AsOfUTC&gt;Q517),1,0)</f>
        <v>0</v>
      </c>
      <c r="AL517" s="61" t="n">
        <f aca="false">IF(AND(AI517=1,OR(TRIM(U517)="Fail",AND(TRIM(AB517)&lt;&gt;"",TRIM(AB517)&lt;&gt;"Closed"),AND(ISNUMBER(AF517),AF517&lt;&gt;0,TRIM(U517)&lt;&gt;"Pass after CA"))),1,0)</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row>
    <row r="518" customFormat="false" ht="39.75" hidden="false" customHeight="true" outlineLevel="0" collapsed="false">
      <c r="A518" s="57" t="s">
        <v>1137</v>
      </c>
      <c r="B518" s="57" t="s">
        <v>272</v>
      </c>
      <c r="C518" s="57" t="str">
        <f aca="false">Flights!$F$20</f>
        <v>MH0072</v>
      </c>
      <c r="D518" s="58" t="n">
        <f aca="false">Flights!$D$20</f>
        <v>46321</v>
      </c>
      <c r="E518" s="57" t="str">
        <f aca="false">Flights!$G$20&amp;"-"&amp;Flights!$H$20</f>
        <v>KUL-HKG</v>
      </c>
      <c r="F518" s="57" t="str">
        <f aca="false">Flights!$K$20</f>
        <v>EY</v>
      </c>
      <c r="G518" s="57" t="s">
        <v>385</v>
      </c>
      <c r="H518" s="57" t="s">
        <v>343</v>
      </c>
      <c r="I518" s="57" t="s">
        <v>393</v>
      </c>
      <c r="J518" s="57" t="s">
        <v>394</v>
      </c>
      <c r="K518" s="67"/>
      <c r="L518" s="67" t="s">
        <v>387</v>
      </c>
      <c r="M518" s="67"/>
      <c r="N518" s="67" t="s">
        <v>348</v>
      </c>
      <c r="O518" s="67" t="s">
        <v>388</v>
      </c>
      <c r="P518" s="57" t="s">
        <v>179</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59" t="n">
        <f aca="false">Q518-T12EarlyH/24</f>
        <v>46320.0486111111</v>
      </c>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IF(N518="N/A – rule","N/A – RULE",IF(TRIM(U518)="N/A",IF(AT518=0,"INVALID – N/A not permitted for this mandatory check",IF(AND(TRIM(AC518)&lt;&gt;"",TRIM(AE518)&lt;&gt;"",TRIM(T518)&lt;&gt;"",TRIM(AE518)&lt;&gt;TRIM(T518)),"N/A – JUSTIFIED","INVALID – N/A needs justification, PIC and a different verifier")),IF(OR(TRIM(U518)="Pass",TRIM(U518)="Pass after CA"),IF(NOT(ISNUMBER(AD518)),"INVALID – completion time missing",IF(TRIM(T518)="","INVALID – PIC missing",IF(TRIM(V518)="","INVALID – result / assessment missing",IF(TRIM(Z518)="","INVALID – evidence missing",IF(TRIM(AE518)="","INVALID – verifier missing",IF(TRIM(AE518)=TRIM(T518),"INVALID – verifier must be someone other than the PIC",IF(AND(AQ518=1,TRIM(W518)=""),"INVALID – batch ID missing",IF(AND(AR518=1,OR(NOT(ISNUMBER(X518)),NOT(ISNUMBER(Y518)))),"INVALID – expected/actual qty missing",IF(IF(AND(TRIM(U518)="Pass",ISNUMBER(AF518)),IF(AF518&lt;&gt;0,"INVALID – qty variance: use Fail or Pass after CA",""),"")&amp;IF(AND(TRIM(U518)="Pass",TRIM(AB518)&lt;&gt;"",TRIM(AB518)&lt;&gt;"Closed"),"INVALID – corrective action not closed: use Fail, then Pass after CA","")&amp;IF(AND(TRIM(AA518)&lt;&gt;"",TRIM(AB518)=""),"INVALID – CA status missing for the recorded corrective action","")&amp;IF(AND(TRIM(U518)="Pass after CA",OR(TRIM(AA518)="",TRIM(AB518)&lt;&gt;"Closed")),"INVALID – corrective action not recorded/closed","")&lt;&gt;"",IF(AND(TRIM(U518)="Pass",ISNUMBER(AF518)),IF(AF518&lt;&gt;0,"INVALID – qty variance: use Fail or Pass after CA",""),"")&amp;IF(AND(TRIM(U518)="Pass",TRIM(AB518)&lt;&gt;"",TRIM(AB518)&lt;&gt;"Closed"),"INVALID – corrective action not closed: use Fail, then Pass after CA","")&amp;IF(AND(TRIM(AA518)&lt;&gt;"",TRIM(AB518)=""),"INVALID – CA status missing for the recorded corrective action","")&amp;IF(AND(TRIM(U518)="Pass after CA",OR(TRIM(AA518)="",TRIM(AB518)&lt;&gt;"Closed")),"INVALID – corrective action not recorded/closed",""),IF(AND(AS518=1,Documents!$J$20&lt;&gt;"ON FILE"),"INVALID – GLD not on file (Documents sheet)",IF(AND(AS518=2,Documents!$O$20&lt;&gt;"ON FILE"),"INVALID – menu checklist not on file (Documents sheet)",IF(AND(AS518=3,NOT(ISNUMBER(Flights!$AX$20))),"INVALID – enter carrying flight KUL departure (Flights AX)",IF(AND(AS518=3,OR(Flights!$AX$20&gt;=Flights!$AA$20,Flights!$AX$20&lt;Flights!$AA$20-3)),"INVALID – Flights AX must be before this leg's STD (within 3 days)",IF(AG518&gt;AsOfUTC,"INVALID – completion time is in the future",IF(AND(ISNUMBER(S518),AG518&lt;S518),IF(H518="Physical uplift","INVALID – before uplift window (cannot confirm loading)","INVALID – before valid window"),IF(AG518&gt;Flights!$AA$20,"INVALID – completed after departure (cannot establish readiness)",IF(AND(H518="Physical uplift",AG518&gt;Q518),"INVALID – recorded after the loading flight departed",IF(AG518&gt;Q518,"COMPLETE – LATE","COMPLETE")))))))))))))))))),IF(TRIM(U518)="Fail","FAIL – DISCREPANCY",IF(AND(TRIM(U518)&lt;&gt;"",TRIM(U518)&lt;&gt;"Not started",TRIM(U518)&lt;&gt;"In progress"),"INVALID – unrecognised status (use the list)",IF(AsOfUTC&gt;Q518,"OVERDUE",IF(N518="Clarification required","OPEN – CLARIFICATION","OPEN")))))))</f>
        <v>OPEN</v>
      </c>
      <c r="AI518" s="61" t="n">
        <f aca="false">IF(OR(AH518="N/A – RULE",AH518="N/A – JUSTIFIED"),0,1)</f>
        <v>1</v>
      </c>
      <c r="AJ518" s="61" t="n">
        <f aca="false">IF(LEFT(AH518,8)="COMPLETE",1,0)</f>
        <v>0</v>
      </c>
      <c r="AK518" s="61" t="n">
        <f aca="false">IF(AND(AI518=1,AJ518=0,AsOfUTC&gt;Q518),1,0)</f>
        <v>0</v>
      </c>
      <c r="AL518" s="61" t="n">
        <f aca="false">IF(AND(AI518=1,OR(TRIM(U518)="Fail",AND(TRIM(AB518)&lt;&gt;"",TRIM(AB518)&lt;&gt;"Closed"),AND(ISNUMBER(AF518),AF518&lt;&gt;0,TRIM(U518)&lt;&gt;"Pass after CA"))),1,0)</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row>
    <row r="519" customFormat="false" ht="39.75" hidden="false" customHeight="true" outlineLevel="0" collapsed="false">
      <c r="A519" s="57" t="s">
        <v>1138</v>
      </c>
      <c r="B519" s="57" t="s">
        <v>272</v>
      </c>
      <c r="C519" s="57" t="str">
        <f aca="false">Flights!$F$20</f>
        <v>MH0072</v>
      </c>
      <c r="D519" s="58" t="n">
        <f aca="false">Flights!$D$20</f>
        <v>46321</v>
      </c>
      <c r="E519" s="57" t="str">
        <f aca="false">Flights!$G$20&amp;"-"&amp;Flights!$H$20</f>
        <v>KUL-HKG</v>
      </c>
      <c r="F519" s="57" t="str">
        <f aca="false">Flights!$K$20</f>
        <v>EY</v>
      </c>
      <c r="G519" s="57" t="s">
        <v>385</v>
      </c>
      <c r="H519" s="57" t="s">
        <v>343</v>
      </c>
      <c r="I519" s="57" t="s">
        <v>393</v>
      </c>
      <c r="J519" s="57" t="s">
        <v>396</v>
      </c>
      <c r="K519" s="67"/>
      <c r="L519" s="67" t="s">
        <v>387</v>
      </c>
      <c r="M519" s="67"/>
      <c r="N519" s="67" t="s">
        <v>348</v>
      </c>
      <c r="O519" s="67" t="s">
        <v>388</v>
      </c>
      <c r="P519" s="57" t="s">
        <v>179</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59" t="n">
        <f aca="false">Q519-T12EarlyH/24</f>
        <v>46320.0486111111</v>
      </c>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IF(N519="N/A – rule","N/A – RULE",IF(TRIM(U519)="N/A",IF(AT519=0,"INVALID – N/A not permitted for this mandatory check",IF(AND(TRIM(AC519)&lt;&gt;"",TRIM(AE519)&lt;&gt;"",TRIM(T519)&lt;&gt;"",TRIM(AE519)&lt;&gt;TRIM(T519)),"N/A – JUSTIFIED","INVALID – N/A needs justification, PIC and a different verifier")),IF(OR(TRIM(U519)="Pass",TRIM(U519)="Pass after CA"),IF(NOT(ISNUMBER(AD519)),"INVALID – completion time missing",IF(TRIM(T519)="","INVALID – PIC missing",IF(TRIM(V519)="","INVALID – result / assessment missing",IF(TRIM(Z519)="","INVALID – evidence missing",IF(TRIM(AE519)="","INVALID – verifier missing",IF(TRIM(AE519)=TRIM(T519),"INVALID – verifier must be someone other than the PIC",IF(AND(AQ519=1,TRIM(W519)=""),"INVALID – batch ID missing",IF(AND(AR519=1,OR(NOT(ISNUMBER(X519)),NOT(ISNUMBER(Y519)))),"INVALID – expected/actual qty missing",IF(IF(AND(TRIM(U519)="Pass",ISNUMBER(AF519)),IF(AF519&lt;&gt;0,"INVALID – qty variance: use Fail or Pass after CA",""),"")&amp;IF(AND(TRIM(U519)="Pass",TRIM(AB519)&lt;&gt;"",TRIM(AB519)&lt;&gt;"Closed"),"INVALID – corrective action not closed: use Fail, then Pass after CA","")&amp;IF(AND(TRIM(AA519)&lt;&gt;"",TRIM(AB519)=""),"INVALID – CA status missing for the recorded corrective action","")&amp;IF(AND(TRIM(U519)="Pass after CA",OR(TRIM(AA519)="",TRIM(AB519)&lt;&gt;"Closed")),"INVALID – corrective action not recorded/closed","")&lt;&gt;"",IF(AND(TRIM(U519)="Pass",ISNUMBER(AF519)),IF(AF519&lt;&gt;0,"INVALID – qty variance: use Fail or Pass after CA",""),"")&amp;IF(AND(TRIM(U519)="Pass",TRIM(AB519)&lt;&gt;"",TRIM(AB519)&lt;&gt;"Closed"),"INVALID – corrective action not closed: use Fail, then Pass after CA","")&amp;IF(AND(TRIM(AA519)&lt;&gt;"",TRIM(AB519)=""),"INVALID – CA status missing for the recorded corrective action","")&amp;IF(AND(TRIM(U519)="Pass after CA",OR(TRIM(AA519)="",TRIM(AB519)&lt;&gt;"Closed")),"INVALID – corrective action not recorded/closed",""),IF(AND(AS519=1,Documents!$J$20&lt;&gt;"ON FILE"),"INVALID – GLD not on file (Documents sheet)",IF(AND(AS519=2,Documents!$O$20&lt;&gt;"ON FILE"),"INVALID – menu checklist not on file (Documents sheet)",IF(AND(AS519=3,NOT(ISNUMBER(Flights!$AX$20))),"INVALID – enter carrying flight KUL departure (Flights AX)",IF(AND(AS519=3,OR(Flights!$AX$20&gt;=Flights!$AA$20,Flights!$AX$20&lt;Flights!$AA$20-3)),"INVALID – Flights AX must be before this leg's STD (within 3 days)",IF(AG519&gt;AsOfUTC,"INVALID – completion time is in the future",IF(AND(ISNUMBER(S519),AG519&lt;S519),IF(H519="Physical uplift","INVALID – before uplift window (cannot confirm loading)","INVALID – before valid window"),IF(AG519&gt;Flights!$AA$20,"INVALID – completed after departure (cannot establish readiness)",IF(AND(H519="Physical uplift",AG519&gt;Q519),"INVALID – recorded after the loading flight departed",IF(AG519&gt;Q519,"COMPLETE – LATE","COMPLETE")))))))))))))))))),IF(TRIM(U519)="Fail","FAIL – DISCREPANCY",IF(AND(TRIM(U519)&lt;&gt;"",TRIM(U519)&lt;&gt;"Not started",TRIM(U519)&lt;&gt;"In progress"),"INVALID – unrecognised status (use the list)",IF(AsOfUTC&gt;Q519,"OVERDUE",IF(N519="Clarification required","OPEN – CLARIFICATION","OPEN")))))))</f>
        <v>OPEN</v>
      </c>
      <c r="AI519" s="61" t="n">
        <f aca="false">IF(OR(AH519="N/A – RULE",AH519="N/A – JUSTIFIED"),0,1)</f>
        <v>1</v>
      </c>
      <c r="AJ519" s="61" t="n">
        <f aca="false">IF(LEFT(AH519,8)="COMPLETE",1,0)</f>
        <v>0</v>
      </c>
      <c r="AK519" s="61" t="n">
        <f aca="false">IF(AND(AI519=1,AJ519=0,AsOfUTC&gt;Q519),1,0)</f>
        <v>0</v>
      </c>
      <c r="AL519" s="61" t="n">
        <f aca="false">IF(AND(AI519=1,OR(TRIM(U519)="Fail",AND(TRIM(AB519)&lt;&gt;"",TRIM(AB519)&lt;&gt;"Closed"),AND(ISNUMBER(AF519),AF519&lt;&gt;0,TRIM(U519)&lt;&gt;"Pass after CA"))),1,0)</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row>
    <row r="520" customFormat="false" ht="39.75" hidden="false" customHeight="true" outlineLevel="0" collapsed="false">
      <c r="A520" s="57" t="s">
        <v>1139</v>
      </c>
      <c r="B520" s="57" t="s">
        <v>272</v>
      </c>
      <c r="C520" s="57" t="str">
        <f aca="false">Flights!$F$20</f>
        <v>MH0072</v>
      </c>
      <c r="D520" s="58" t="n">
        <f aca="false">Flights!$D$20</f>
        <v>46321</v>
      </c>
      <c r="E520" s="57" t="str">
        <f aca="false">Flights!$G$20&amp;"-"&amp;Flights!$H$20</f>
        <v>KUL-HKG</v>
      </c>
      <c r="F520" s="57" t="str">
        <f aca="false">Flights!$K$20</f>
        <v>EY</v>
      </c>
      <c r="G520" s="57" t="s">
        <v>385</v>
      </c>
      <c r="H520" s="57" t="s">
        <v>343</v>
      </c>
      <c r="I520" s="57" t="s">
        <v>393</v>
      </c>
      <c r="J520" s="57" t="s">
        <v>398</v>
      </c>
      <c r="K520" s="67"/>
      <c r="L520" s="67" t="s">
        <v>387</v>
      </c>
      <c r="M520" s="67"/>
      <c r="N520" s="67" t="s">
        <v>348</v>
      </c>
      <c r="O520" s="67" t="s">
        <v>388</v>
      </c>
      <c r="P520" s="57" t="s">
        <v>179</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59" t="n">
        <f aca="false">Q520-T12EarlyH/24</f>
        <v>46320.0486111111</v>
      </c>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IF(N520="N/A – rule","N/A – RULE",IF(TRIM(U520)="N/A",IF(AT520=0,"INVALID – N/A not permitted for this mandatory check",IF(AND(TRIM(AC520)&lt;&gt;"",TRIM(AE520)&lt;&gt;"",TRIM(T520)&lt;&gt;"",TRIM(AE520)&lt;&gt;TRIM(T520)),"N/A – JUSTIFIED","INVALID – N/A needs justification, PIC and a different verifier")),IF(OR(TRIM(U520)="Pass",TRIM(U520)="Pass after CA"),IF(NOT(ISNUMBER(AD520)),"INVALID – completion time missing",IF(TRIM(T520)="","INVALID – PIC missing",IF(TRIM(V520)="","INVALID – result / assessment missing",IF(TRIM(Z520)="","INVALID – evidence missing",IF(TRIM(AE520)="","INVALID – verifier missing",IF(TRIM(AE520)=TRIM(T520),"INVALID – verifier must be someone other than the PIC",IF(AND(AQ520=1,TRIM(W520)=""),"INVALID – batch ID missing",IF(AND(AR520=1,OR(NOT(ISNUMBER(X520)),NOT(ISNUMBER(Y520)))),"INVALID – expected/actual qty missing",IF(IF(AND(TRIM(U520)="Pass",ISNUMBER(AF520)),IF(AF520&lt;&gt;0,"INVALID – qty variance: use Fail or Pass after CA",""),"")&amp;IF(AND(TRIM(U520)="Pass",TRIM(AB520)&lt;&gt;"",TRIM(AB520)&lt;&gt;"Closed"),"INVALID – corrective action not closed: use Fail, then Pass after CA","")&amp;IF(AND(TRIM(AA520)&lt;&gt;"",TRIM(AB520)=""),"INVALID – CA status missing for the recorded corrective action","")&amp;IF(AND(TRIM(U520)="Pass after CA",OR(TRIM(AA520)="",TRIM(AB520)&lt;&gt;"Closed")),"INVALID – corrective action not recorded/closed","")&lt;&gt;"",IF(AND(TRIM(U520)="Pass",ISNUMBER(AF520)),IF(AF520&lt;&gt;0,"INVALID – qty variance: use Fail or Pass after CA",""),"")&amp;IF(AND(TRIM(U520)="Pass",TRIM(AB520)&lt;&gt;"",TRIM(AB520)&lt;&gt;"Closed"),"INVALID – corrective action not closed: use Fail, then Pass after CA","")&amp;IF(AND(TRIM(AA520)&lt;&gt;"",TRIM(AB520)=""),"INVALID – CA status missing for the recorded corrective action","")&amp;IF(AND(TRIM(U520)="Pass after CA",OR(TRIM(AA520)="",TRIM(AB520)&lt;&gt;"Closed")),"INVALID – corrective action not recorded/closed",""),IF(AND(AS520=1,Documents!$J$20&lt;&gt;"ON FILE"),"INVALID – GLD not on file (Documents sheet)",IF(AND(AS520=2,Documents!$O$20&lt;&gt;"ON FILE"),"INVALID – menu checklist not on file (Documents sheet)",IF(AND(AS520=3,NOT(ISNUMBER(Flights!$AX$20))),"INVALID – enter carrying flight KUL departure (Flights AX)",IF(AND(AS520=3,OR(Flights!$AX$20&gt;=Flights!$AA$20,Flights!$AX$20&lt;Flights!$AA$20-3)),"INVALID – Flights AX must be before this leg's STD (within 3 days)",IF(AG520&gt;AsOfUTC,"INVALID – completion time is in the future",IF(AND(ISNUMBER(S520),AG520&lt;S520),IF(H520="Physical uplift","INVALID – before uplift window (cannot confirm loading)","INVALID – before valid window"),IF(AG520&gt;Flights!$AA$20,"INVALID – completed after departure (cannot establish readiness)",IF(AND(H520="Physical uplift",AG520&gt;Q520),"INVALID – recorded after the loading flight departed",IF(AG520&gt;Q520,"COMPLETE – LATE","COMPLETE")))))))))))))))))),IF(TRIM(U520)="Fail","FAIL – DISCREPANCY",IF(AND(TRIM(U520)&lt;&gt;"",TRIM(U520)&lt;&gt;"Not started",TRIM(U520)&lt;&gt;"In progress"),"INVALID – unrecognised status (use the list)",IF(AsOfUTC&gt;Q520,"OVERDUE",IF(N520="Clarification required","OPEN – CLARIFICATION","OPEN")))))))</f>
        <v>OPEN</v>
      </c>
      <c r="AI520" s="61" t="n">
        <f aca="false">IF(OR(AH520="N/A – RULE",AH520="N/A – JUSTIFIED"),0,1)</f>
        <v>1</v>
      </c>
      <c r="AJ520" s="61" t="n">
        <f aca="false">IF(LEFT(AH520,8)="COMPLETE",1,0)</f>
        <v>0</v>
      </c>
      <c r="AK520" s="61" t="n">
        <f aca="false">IF(AND(AI520=1,AJ520=0,AsOfUTC&gt;Q520),1,0)</f>
        <v>0</v>
      </c>
      <c r="AL520" s="61" t="n">
        <f aca="false">IF(AND(AI520=1,OR(TRIM(U520)="Fail",AND(TRIM(AB520)&lt;&gt;"",TRIM(AB520)&lt;&gt;"Closed"),AND(ISNUMBER(AF520),AF520&lt;&gt;0,TRIM(U520)&lt;&gt;"Pass after CA"))),1,0)</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row>
    <row r="521" customFormat="false" ht="78.75" hidden="false" customHeight="true" outlineLevel="0" collapsed="false">
      <c r="A521" s="57" t="s">
        <v>1140</v>
      </c>
      <c r="B521" s="57" t="s">
        <v>272</v>
      </c>
      <c r="C521" s="57" t="str">
        <f aca="false">Flights!$F$20</f>
        <v>MH0072</v>
      </c>
      <c r="D521" s="58" t="n">
        <f aca="false">Flights!$D$20</f>
        <v>46321</v>
      </c>
      <c r="E521" s="57" t="str">
        <f aca="false">Flights!$G$20&amp;"-"&amp;Flights!$H$20</f>
        <v>KUL-HKG</v>
      </c>
      <c r="F521" s="57" t="str">
        <f aca="false">Flights!$K$20</f>
        <v>EY</v>
      </c>
      <c r="G521" s="57" t="s">
        <v>385</v>
      </c>
      <c r="H521" s="57" t="s">
        <v>343</v>
      </c>
      <c r="I521" s="57" t="s">
        <v>393</v>
      </c>
      <c r="J521" s="57" t="s">
        <v>400</v>
      </c>
      <c r="K521" s="67" t="s">
        <v>456</v>
      </c>
      <c r="L521" s="67" t="s">
        <v>387</v>
      </c>
      <c r="M521" s="67"/>
      <c r="N521" s="67" t="s">
        <v>348</v>
      </c>
      <c r="O521" s="67" t="s">
        <v>388</v>
      </c>
      <c r="P521" s="57" t="s">
        <v>179</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59" t="n">
        <f aca="false">Q521-T12EarlyH/24</f>
        <v>46320.0486111111</v>
      </c>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IF(N521="N/A – rule","N/A – RULE",IF(TRIM(U521)="N/A",IF(AT521=0,"INVALID – N/A not permitted for this mandatory check",IF(AND(TRIM(AC521)&lt;&gt;"",TRIM(AE521)&lt;&gt;"",TRIM(T521)&lt;&gt;"",TRIM(AE521)&lt;&gt;TRIM(T521)),"N/A – JUSTIFIED","INVALID – N/A needs justification, PIC and a different verifier")),IF(OR(TRIM(U521)="Pass",TRIM(U521)="Pass after CA"),IF(NOT(ISNUMBER(AD521)),"INVALID – completion time missing",IF(TRIM(T521)="","INVALID – PIC missing",IF(TRIM(V521)="","INVALID – result / assessment missing",IF(TRIM(Z521)="","INVALID – evidence missing",IF(TRIM(AE521)="","INVALID – verifier missing",IF(TRIM(AE521)=TRIM(T521),"INVALID – verifier must be someone other than the PIC",IF(AND(AQ521=1,TRIM(W521)=""),"INVALID – batch ID missing",IF(AND(AR521=1,OR(NOT(ISNUMBER(X521)),NOT(ISNUMBER(Y521)))),"INVALID – expected/actual qty missing",IF(IF(AND(TRIM(U521)="Pass",ISNUMBER(AF521)),IF(AF521&lt;&gt;0,"INVALID – qty variance: use Fail or Pass after CA",""),"")&amp;IF(AND(TRIM(U521)="Pass",TRIM(AB521)&lt;&gt;"",TRIM(AB521)&lt;&gt;"Closed"),"INVALID – corrective action not closed: use Fail, then Pass after CA","")&amp;IF(AND(TRIM(AA521)&lt;&gt;"",TRIM(AB521)=""),"INVALID – CA status missing for the recorded corrective action","")&amp;IF(AND(TRIM(U521)="Pass after CA",OR(TRIM(AA521)="",TRIM(AB521)&lt;&gt;"Closed")),"INVALID – corrective action not recorded/closed","")&lt;&gt;"",IF(AND(TRIM(U521)="Pass",ISNUMBER(AF521)),IF(AF521&lt;&gt;0,"INVALID – qty variance: use Fail or Pass after CA",""),"")&amp;IF(AND(TRIM(U521)="Pass",TRIM(AB521)&lt;&gt;"",TRIM(AB521)&lt;&gt;"Closed"),"INVALID – corrective action not closed: use Fail, then Pass after CA","")&amp;IF(AND(TRIM(AA521)&lt;&gt;"",TRIM(AB521)=""),"INVALID – CA status missing for the recorded corrective action","")&amp;IF(AND(TRIM(U521)="Pass after CA",OR(TRIM(AA521)="",TRIM(AB521)&lt;&gt;"Closed")),"INVALID – corrective action not recorded/closed",""),IF(AND(AS521=1,Documents!$J$20&lt;&gt;"ON FILE"),"INVALID – GLD not on file (Documents sheet)",IF(AND(AS521=2,Documents!$O$20&lt;&gt;"ON FILE"),"INVALID – menu checklist not on file (Documents sheet)",IF(AND(AS521=3,NOT(ISNUMBER(Flights!$AX$20))),"INVALID – enter carrying flight KUL departure (Flights AX)",IF(AND(AS521=3,OR(Flights!$AX$20&gt;=Flights!$AA$20,Flights!$AX$20&lt;Flights!$AA$20-3)),"INVALID – Flights AX must be before this leg's STD (within 3 days)",IF(AG521&gt;AsOfUTC,"INVALID – completion time is in the future",IF(AND(ISNUMBER(S521),AG521&lt;S521),IF(H521="Physical uplift","INVALID – before uplift window (cannot confirm loading)","INVALID – before valid window"),IF(AG521&gt;Flights!$AA$20,"INVALID – completed after departure (cannot establish readiness)",IF(AND(H521="Physical uplift",AG521&gt;Q521),"INVALID – recorded after the loading flight departed",IF(AG521&gt;Q521,"COMPLETE – LATE","COMPLETE")))))))))))))))))),IF(TRIM(U521)="Fail","FAIL – DISCREPANCY",IF(AND(TRIM(U521)&lt;&gt;"",TRIM(U521)&lt;&gt;"Not started",TRIM(U521)&lt;&gt;"In progress"),"INVALID – unrecognised status (use the list)",IF(AsOfUTC&gt;Q521,"OVERDUE",IF(N521="Clarification required","OPEN – CLARIFICATION","OPEN")))))))</f>
        <v>OPEN</v>
      </c>
      <c r="AI521" s="61" t="n">
        <f aca="false">IF(OR(AH521="N/A – RULE",AH521="N/A – JUSTIFIED"),0,1)</f>
        <v>1</v>
      </c>
      <c r="AJ521" s="61" t="n">
        <f aca="false">IF(LEFT(AH521,8)="COMPLETE",1,0)</f>
        <v>0</v>
      </c>
      <c r="AK521" s="61" t="n">
        <f aca="false">IF(AND(AI521=1,AJ521=0,AsOfUTC&gt;Q521),1,0)</f>
        <v>0</v>
      </c>
      <c r="AL521" s="61" t="n">
        <f aca="false">IF(AND(AI521=1,OR(TRIM(U521)="Fail",AND(TRIM(AB521)&lt;&gt;"",TRIM(AB521)&lt;&gt;"Closed"),AND(ISNUMBER(AF521),AF521&lt;&gt;0,TRIM(U521)&lt;&gt;"Pass after CA"))),1,0)</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row>
    <row r="522" customFormat="false" ht="39.75" hidden="false" customHeight="true" outlineLevel="0" collapsed="false">
      <c r="A522" s="57" t="s">
        <v>1141</v>
      </c>
      <c r="B522" s="57" t="s">
        <v>272</v>
      </c>
      <c r="C522" s="57" t="str">
        <f aca="false">Flights!$F$20</f>
        <v>MH0072</v>
      </c>
      <c r="D522" s="58" t="n">
        <f aca="false">Flights!$D$20</f>
        <v>46321</v>
      </c>
      <c r="E522" s="57" t="str">
        <f aca="false">Flights!$G$20&amp;"-"&amp;Flights!$H$20</f>
        <v>KUL-HKG</v>
      </c>
      <c r="F522" s="57" t="str">
        <f aca="false">Flights!$K$20</f>
        <v>EY</v>
      </c>
      <c r="G522" s="57" t="s">
        <v>385</v>
      </c>
      <c r="H522" s="57" t="s">
        <v>343</v>
      </c>
      <c r="I522" s="57" t="s">
        <v>393</v>
      </c>
      <c r="J522" s="57" t="s">
        <v>403</v>
      </c>
      <c r="K522" s="67"/>
      <c r="L522" s="67" t="s">
        <v>387</v>
      </c>
      <c r="M522" s="67"/>
      <c r="N522" s="67" t="s">
        <v>348</v>
      </c>
      <c r="O522" s="67" t="s">
        <v>388</v>
      </c>
      <c r="P522" s="57" t="s">
        <v>179</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59" t="n">
        <f aca="false">Q522-T12EarlyH/24</f>
        <v>46320.0486111111</v>
      </c>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IF(N522="N/A – rule","N/A – RULE",IF(TRIM(U522)="N/A",IF(AT522=0,"INVALID – N/A not permitted for this mandatory check",IF(AND(TRIM(AC522)&lt;&gt;"",TRIM(AE522)&lt;&gt;"",TRIM(T522)&lt;&gt;"",TRIM(AE522)&lt;&gt;TRIM(T522)),"N/A – JUSTIFIED","INVALID – N/A needs justification, PIC and a different verifier")),IF(OR(TRIM(U522)="Pass",TRIM(U522)="Pass after CA"),IF(NOT(ISNUMBER(AD522)),"INVALID – completion time missing",IF(TRIM(T522)="","INVALID – PIC missing",IF(TRIM(V522)="","INVALID – result / assessment missing",IF(TRIM(Z522)="","INVALID – evidence missing",IF(TRIM(AE522)="","INVALID – verifier missing",IF(TRIM(AE522)=TRIM(T522),"INVALID – verifier must be someone other than the PIC",IF(AND(AQ522=1,TRIM(W522)=""),"INVALID – batch ID missing",IF(AND(AR522=1,OR(NOT(ISNUMBER(X522)),NOT(ISNUMBER(Y522)))),"INVALID – expected/actual qty missing",IF(IF(AND(TRIM(U522)="Pass",ISNUMBER(AF522)),IF(AF522&lt;&gt;0,"INVALID – qty variance: use Fail or Pass after CA",""),"")&amp;IF(AND(TRIM(U522)="Pass",TRIM(AB522)&lt;&gt;"",TRIM(AB522)&lt;&gt;"Closed"),"INVALID – corrective action not closed: use Fail, then Pass after CA","")&amp;IF(AND(TRIM(AA522)&lt;&gt;"",TRIM(AB522)=""),"INVALID – CA status missing for the recorded corrective action","")&amp;IF(AND(TRIM(U522)="Pass after CA",OR(TRIM(AA522)="",TRIM(AB522)&lt;&gt;"Closed")),"INVALID – corrective action not recorded/closed","")&lt;&gt;"",IF(AND(TRIM(U522)="Pass",ISNUMBER(AF522)),IF(AF522&lt;&gt;0,"INVALID – qty variance: use Fail or Pass after CA",""),"")&amp;IF(AND(TRIM(U522)="Pass",TRIM(AB522)&lt;&gt;"",TRIM(AB522)&lt;&gt;"Closed"),"INVALID – corrective action not closed: use Fail, then Pass after CA","")&amp;IF(AND(TRIM(AA522)&lt;&gt;"",TRIM(AB522)=""),"INVALID – CA status missing for the recorded corrective action","")&amp;IF(AND(TRIM(U522)="Pass after CA",OR(TRIM(AA522)="",TRIM(AB522)&lt;&gt;"Closed")),"INVALID – corrective action not recorded/closed",""),IF(AND(AS522=1,Documents!$J$20&lt;&gt;"ON FILE"),"INVALID – GLD not on file (Documents sheet)",IF(AND(AS522=2,Documents!$O$20&lt;&gt;"ON FILE"),"INVALID – menu checklist not on file (Documents sheet)",IF(AND(AS522=3,NOT(ISNUMBER(Flights!$AX$20))),"INVALID – enter carrying flight KUL departure (Flights AX)",IF(AND(AS522=3,OR(Flights!$AX$20&gt;=Flights!$AA$20,Flights!$AX$20&lt;Flights!$AA$20-3)),"INVALID – Flights AX must be before this leg's STD (within 3 days)",IF(AG522&gt;AsOfUTC,"INVALID – completion time is in the future",IF(AND(ISNUMBER(S522),AG522&lt;S522),IF(H522="Physical uplift","INVALID – before uplift window (cannot confirm loading)","INVALID – before valid window"),IF(AG522&gt;Flights!$AA$20,"INVALID – completed after departure (cannot establish readiness)",IF(AND(H522="Physical uplift",AG522&gt;Q522),"INVALID – recorded after the loading flight departed",IF(AG522&gt;Q522,"COMPLETE – LATE","COMPLETE")))))))))))))))))),IF(TRIM(U522)="Fail","FAIL – DISCREPANCY",IF(AND(TRIM(U522)&lt;&gt;"",TRIM(U522)&lt;&gt;"Not started",TRIM(U522)&lt;&gt;"In progress"),"INVALID – unrecognised status (use the list)",IF(AsOfUTC&gt;Q522,"OVERDUE",IF(N522="Clarification required","OPEN – CLARIFICATION","OPEN")))))))</f>
        <v>OPEN</v>
      </c>
      <c r="AI522" s="61" t="n">
        <f aca="false">IF(OR(AH522="N/A – RULE",AH522="N/A – JUSTIFIED"),0,1)</f>
        <v>1</v>
      </c>
      <c r="AJ522" s="61" t="n">
        <f aca="false">IF(LEFT(AH522,8)="COMPLETE",1,0)</f>
        <v>0</v>
      </c>
      <c r="AK522" s="61" t="n">
        <f aca="false">IF(AND(AI522=1,AJ522=0,AsOfUTC&gt;Q522),1,0)</f>
        <v>0</v>
      </c>
      <c r="AL522" s="61" t="n">
        <f aca="false">IF(AND(AI522=1,OR(TRIM(U522)="Fail",AND(TRIM(AB522)&lt;&gt;"",TRIM(AB522)&lt;&gt;"Closed"),AND(ISNUMBER(AF522),AF522&lt;&gt;0,TRIM(U522)&lt;&gt;"Pass after CA"))),1,0)</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row>
    <row r="523" customFormat="false" ht="41.25" hidden="false" customHeight="true" outlineLevel="0" collapsed="false">
      <c r="A523" s="57" t="s">
        <v>1142</v>
      </c>
      <c r="B523" s="57" t="s">
        <v>272</v>
      </c>
      <c r="C523" s="57" t="str">
        <f aca="false">Flights!$F$20</f>
        <v>MH0072</v>
      </c>
      <c r="D523" s="58" t="n">
        <f aca="false">Flights!$D$20</f>
        <v>46321</v>
      </c>
      <c r="E523" s="57" t="str">
        <f aca="false">Flights!$G$20&amp;"-"&amp;Flights!$H$20</f>
        <v>KUL-HKG</v>
      </c>
      <c r="F523" s="57" t="str">
        <f aca="false">Flights!$K$20</f>
        <v>EY</v>
      </c>
      <c r="G523" s="57" t="s">
        <v>385</v>
      </c>
      <c r="H523" s="57" t="s">
        <v>343</v>
      </c>
      <c r="I523" s="57" t="s">
        <v>412</v>
      </c>
      <c r="J523" s="57" t="s">
        <v>413</v>
      </c>
      <c r="K523" s="67" t="s">
        <v>414</v>
      </c>
      <c r="L523" s="67" t="s">
        <v>1143</v>
      </c>
      <c r="M523" s="67" t="s">
        <v>416</v>
      </c>
      <c r="N523" s="67" t="s">
        <v>348</v>
      </c>
      <c r="O523" s="67" t="s">
        <v>468</v>
      </c>
      <c r="P523" s="57" t="s">
        <v>179</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59" t="n">
        <f aca="false">Q523-T12EarlyH/24</f>
        <v>46320.0486111111</v>
      </c>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IF(N523="N/A – rule","N/A – RULE",IF(TRIM(U523)="N/A",IF(AT523=0,"INVALID – N/A not permitted for this mandatory check",IF(AND(TRIM(AC523)&lt;&gt;"",TRIM(AE523)&lt;&gt;"",TRIM(T523)&lt;&gt;"",TRIM(AE523)&lt;&gt;TRIM(T523)),"N/A – JUSTIFIED","INVALID – N/A needs justification, PIC and a different verifier")),IF(OR(TRIM(U523)="Pass",TRIM(U523)="Pass after CA"),IF(NOT(ISNUMBER(AD523)),"INVALID – completion time missing",IF(TRIM(T523)="","INVALID – PIC missing",IF(TRIM(V523)="","INVALID – result / assessment missing",IF(TRIM(Z523)="","INVALID – evidence missing",IF(TRIM(AE523)="","INVALID – verifier missing",IF(TRIM(AE523)=TRIM(T523),"INVALID – verifier must be someone other than the PIC",IF(AND(AQ523=1,TRIM(W523)=""),"INVALID – batch ID missing",IF(AND(AR523=1,OR(NOT(ISNUMBER(X523)),NOT(ISNUMBER(Y523)))),"INVALID – expected/actual qty missing",IF(IF(AND(TRIM(U523)="Pass",ISNUMBER(AF523)),IF(AF523&lt;&gt;0,"INVALID – qty variance: use Fail or Pass after CA",""),"")&amp;IF(AND(TRIM(U523)="Pass",TRIM(AB523)&lt;&gt;"",TRIM(AB523)&lt;&gt;"Closed"),"INVALID – corrective action not closed: use Fail, then Pass after CA","")&amp;IF(AND(TRIM(AA523)&lt;&gt;"",TRIM(AB523)=""),"INVALID – CA status missing for the recorded corrective action","")&amp;IF(AND(TRIM(U523)="Pass after CA",OR(TRIM(AA523)="",TRIM(AB523)&lt;&gt;"Closed")),"INVALID – corrective action not recorded/closed","")&lt;&gt;"",IF(AND(TRIM(U523)="Pass",ISNUMBER(AF523)),IF(AF523&lt;&gt;0,"INVALID – qty variance: use Fail or Pass after CA",""),"")&amp;IF(AND(TRIM(U523)="Pass",TRIM(AB523)&lt;&gt;"",TRIM(AB523)&lt;&gt;"Closed"),"INVALID – corrective action not closed: use Fail, then Pass after CA","")&amp;IF(AND(TRIM(AA523)&lt;&gt;"",TRIM(AB523)=""),"INVALID – CA status missing for the recorded corrective action","")&amp;IF(AND(TRIM(U523)="Pass after CA",OR(TRIM(AA523)="",TRIM(AB523)&lt;&gt;"Closed")),"INVALID – corrective action not recorded/closed",""),IF(AND(AS523=1,Documents!$J$20&lt;&gt;"ON FILE"),"INVALID – GLD not on file (Documents sheet)",IF(AND(AS523=2,Documents!$O$20&lt;&gt;"ON FILE"),"INVALID – menu checklist not on file (Documents sheet)",IF(AND(AS523=3,NOT(ISNUMBER(Flights!$AX$20))),"INVALID – enter carrying flight KUL departure (Flights AX)",IF(AND(AS523=3,OR(Flights!$AX$20&gt;=Flights!$AA$20,Flights!$AX$20&lt;Flights!$AA$20-3)),"INVALID – Flights AX must be before this leg's STD (within 3 days)",IF(AG523&gt;AsOfUTC,"INVALID – completion time is in the future",IF(AND(ISNUMBER(S523),AG523&lt;S523),IF(H523="Physical uplift","INVALID – before uplift window (cannot confirm loading)","INVALID – before valid window"),IF(AG523&gt;Flights!$AA$20,"INVALID – completed after departure (cannot establish readiness)",IF(AND(H523="Physical uplift",AG523&gt;Q523),"INVALID – recorded after the loading flight departed",IF(AG523&gt;Q523,"COMPLETE – LATE","COMPLETE")))))))))))))))))),IF(TRIM(U523)="Fail","FAIL – DISCREPANCY",IF(AND(TRIM(U523)&lt;&gt;"",TRIM(U523)&lt;&gt;"Not started",TRIM(U523)&lt;&gt;"In progress"),"INVALID – unrecognised status (use the list)",IF(AsOfUTC&gt;Q523,"OVERDUE",IF(N523="Clarification required","OPEN – CLARIFICATION","OPEN")))))))</f>
        <v>OPEN</v>
      </c>
      <c r="AI523" s="61" t="n">
        <f aca="false">IF(OR(AH523="N/A – RULE",AH523="N/A – JUSTIFIED"),0,1)</f>
        <v>1</v>
      </c>
      <c r="AJ523" s="61" t="n">
        <f aca="false">IF(LEFT(AH523,8)="COMPLETE",1,0)</f>
        <v>0</v>
      </c>
      <c r="AK523" s="61" t="n">
        <f aca="false">IF(AND(AI523=1,AJ523=0,AsOfUTC&gt;Q523),1,0)</f>
        <v>0</v>
      </c>
      <c r="AL523" s="61" t="n">
        <f aca="false">IF(AND(AI523=1,OR(TRIM(U523)="Fail",AND(TRIM(AB523)&lt;&gt;"",TRIM(AB523)&lt;&gt;"Closed"),AND(ISNUMBER(AF523),AF523&lt;&gt;0,TRIM(U523)&lt;&gt;"Pass after CA"))),1,0)</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8" t="b">
        <f aca="false">TRUE()</f>
        <v>1</v>
      </c>
    </row>
    <row r="524" customFormat="false" ht="116.25" hidden="false" customHeight="true" outlineLevel="0" collapsed="false">
      <c r="A524" s="57" t="s">
        <v>1144</v>
      </c>
      <c r="B524" s="57" t="s">
        <v>272</v>
      </c>
      <c r="C524" s="57" t="str">
        <f aca="false">Flights!$F$20</f>
        <v>MH0072</v>
      </c>
      <c r="D524" s="58" t="n">
        <f aca="false">Flights!$D$20</f>
        <v>46321</v>
      </c>
      <c r="E524" s="57" t="str">
        <f aca="false">Flights!$G$20&amp;"-"&amp;Flights!$H$20</f>
        <v>KUL-HKG</v>
      </c>
      <c r="F524" s="57" t="str">
        <f aca="false">Flights!$K$20</f>
        <v>EY</v>
      </c>
      <c r="G524" s="57" t="s">
        <v>385</v>
      </c>
      <c r="H524" s="57" t="s">
        <v>343</v>
      </c>
      <c r="I524" s="57" t="s">
        <v>412</v>
      </c>
      <c r="J524" s="57" t="s">
        <v>419</v>
      </c>
      <c r="K524" s="67" t="s">
        <v>414</v>
      </c>
      <c r="L524" s="67" t="s">
        <v>1145</v>
      </c>
      <c r="M524" s="67" t="s">
        <v>416</v>
      </c>
      <c r="N524" s="67" t="s">
        <v>409</v>
      </c>
      <c r="O524" s="67" t="s">
        <v>1146</v>
      </c>
      <c r="P524" s="57" t="s">
        <v>179</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59" t="n">
        <f aca="false">Q524-T12EarlyH/24</f>
        <v>46320.0486111111</v>
      </c>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IF(N524="N/A – rule","N/A – RULE",IF(TRIM(U524)="N/A",IF(AT524=0,"INVALID – N/A not permitted for this mandatory check",IF(AND(TRIM(AC524)&lt;&gt;"",TRIM(AE524)&lt;&gt;"",TRIM(T524)&lt;&gt;"",TRIM(AE524)&lt;&gt;TRIM(T524)),"N/A – JUSTIFIED","INVALID – N/A needs justification, PIC and a different verifier")),IF(OR(TRIM(U524)="Pass",TRIM(U524)="Pass after CA"),IF(NOT(ISNUMBER(AD524)),"INVALID – completion time missing",IF(TRIM(T524)="","INVALID – PIC missing",IF(TRIM(V524)="","INVALID – result / assessment missing",IF(TRIM(Z524)="","INVALID – evidence missing",IF(TRIM(AE524)="","INVALID – verifier missing",IF(TRIM(AE524)=TRIM(T524),"INVALID – verifier must be someone other than the PIC",IF(AND(AQ524=1,TRIM(W524)=""),"INVALID – batch ID missing",IF(AND(AR524=1,OR(NOT(ISNUMBER(X524)),NOT(ISNUMBER(Y524)))),"INVALID – expected/actual qty missing",IF(IF(AND(TRIM(U524)="Pass",ISNUMBER(AF524)),IF(AF524&lt;&gt;0,"INVALID – qty variance: use Fail or Pass after CA",""),"")&amp;IF(AND(TRIM(U524)="Pass",TRIM(AB524)&lt;&gt;"",TRIM(AB524)&lt;&gt;"Closed"),"INVALID – corrective action not closed: use Fail, then Pass after CA","")&amp;IF(AND(TRIM(AA524)&lt;&gt;"",TRIM(AB524)=""),"INVALID – CA status missing for the recorded corrective action","")&amp;IF(AND(TRIM(U524)="Pass after CA",OR(TRIM(AA524)="",TRIM(AB524)&lt;&gt;"Closed")),"INVALID – corrective action not recorded/closed","")&lt;&gt;"",IF(AND(TRIM(U524)="Pass",ISNUMBER(AF524)),IF(AF524&lt;&gt;0,"INVALID – qty variance: use Fail or Pass after CA",""),"")&amp;IF(AND(TRIM(U524)="Pass",TRIM(AB524)&lt;&gt;"",TRIM(AB524)&lt;&gt;"Closed"),"INVALID – corrective action not closed: use Fail, then Pass after CA","")&amp;IF(AND(TRIM(AA524)&lt;&gt;"",TRIM(AB524)=""),"INVALID – CA status missing for the recorded corrective action","")&amp;IF(AND(TRIM(U524)="Pass after CA",OR(TRIM(AA524)="",TRIM(AB524)&lt;&gt;"Closed")),"INVALID – corrective action not recorded/closed",""),IF(AND(AS524=1,Documents!$J$20&lt;&gt;"ON FILE"),"INVALID – GLD not on file (Documents sheet)",IF(AND(AS524=2,Documents!$O$20&lt;&gt;"ON FILE"),"INVALID – menu checklist not on file (Documents sheet)",IF(AND(AS524=3,NOT(ISNUMBER(Flights!$AX$20))),"INVALID – enter carrying flight KUL departure (Flights AX)",IF(AND(AS524=3,OR(Flights!$AX$20&gt;=Flights!$AA$20,Flights!$AX$20&lt;Flights!$AA$20-3)),"INVALID – Flights AX must be before this leg's STD (within 3 days)",IF(AG524&gt;AsOfUTC,"INVALID – completion time is in the future",IF(AND(ISNUMBER(S524),AG524&lt;S524),IF(H524="Physical uplift","INVALID – before uplift window (cannot confirm loading)","INVALID – before valid window"),IF(AG524&gt;Flights!$AA$20,"INVALID – completed after departure (cannot establish readiness)",IF(AND(H524="Physical uplift",AG524&gt;Q524),"INVALID – recorded after the loading flight departed",IF(AG524&gt;Q524,"COMPLETE – LATE","COMPLETE")))))))))))))))))),IF(TRIM(U524)="Fail","FAIL – DISCREPANCY",IF(AND(TRIM(U524)&lt;&gt;"",TRIM(U524)&lt;&gt;"Not started",TRIM(U524)&lt;&gt;"In progress"),"INVALID – unrecognised status (use the list)",IF(AsOfUTC&gt;Q524,"OVERDUE",IF(N524="Clarification required","OPEN – CLARIFICATION","OPEN")))))))</f>
        <v>OPEN – CLARIFICATION</v>
      </c>
      <c r="AI524" s="61" t="n">
        <f aca="false">IF(OR(AH524="N/A – RULE",AH524="N/A – JUSTIFIED"),0,1)</f>
        <v>1</v>
      </c>
      <c r="AJ524" s="61" t="n">
        <f aca="false">IF(LEFT(AH524,8)="COMPLETE",1,0)</f>
        <v>0</v>
      </c>
      <c r="AK524" s="61" t="n">
        <f aca="false">IF(AND(AI524=1,AJ524=0,AsOfUTC&gt;Q524),1,0)</f>
        <v>0</v>
      </c>
      <c r="AL524" s="61" t="n">
        <f aca="false">IF(AND(AI524=1,OR(TRIM(U524)="Fail",AND(TRIM(AB524)&lt;&gt;"",TRIM(AB524)&lt;&gt;"Closed"),AND(ISNUMBER(AF524),AF524&lt;&gt;0,TRIM(U524)&lt;&gt;"Pass after CA"))),1,0)</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8" t="b">
        <f aca="false">TRUE()</f>
        <v>1</v>
      </c>
    </row>
    <row r="525" customFormat="false" ht="54" hidden="false" customHeight="true" outlineLevel="0" collapsed="false">
      <c r="A525" s="57" t="s">
        <v>1147</v>
      </c>
      <c r="B525" s="57" t="s">
        <v>272</v>
      </c>
      <c r="C525" s="57" t="str">
        <f aca="false">Flights!$F$20</f>
        <v>MH0072</v>
      </c>
      <c r="D525" s="58" t="n">
        <f aca="false">Flights!$D$20</f>
        <v>46321</v>
      </c>
      <c r="E525" s="57" t="str">
        <f aca="false">Flights!$G$20&amp;"-"&amp;Flights!$H$20</f>
        <v>KUL-HKG</v>
      </c>
      <c r="F525" s="57" t="str">
        <f aca="false">Flights!$K$20</f>
        <v>EY</v>
      </c>
      <c r="G525" s="57" t="s">
        <v>385</v>
      </c>
      <c r="H525" s="57" t="s">
        <v>343</v>
      </c>
      <c r="I525" s="57" t="s">
        <v>599</v>
      </c>
      <c r="J525" s="57" t="s">
        <v>1148</v>
      </c>
      <c r="K525" s="67" t="s">
        <v>1149</v>
      </c>
      <c r="L525" s="67" t="s">
        <v>1150</v>
      </c>
      <c r="M525" s="67" t="s">
        <v>416</v>
      </c>
      <c r="N525" s="67" t="s">
        <v>348</v>
      </c>
      <c r="O525" s="67" t="s">
        <v>1151</v>
      </c>
      <c r="P525" s="57" t="s">
        <v>179</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59" t="n">
        <f aca="false">Q525-T12EarlyH/24</f>
        <v>46320.0486111111</v>
      </c>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IF(N525="N/A – rule","N/A – RULE",IF(TRIM(U525)="N/A",IF(AT525=0,"INVALID – N/A not permitted for this mandatory check",IF(AND(TRIM(AC525)&lt;&gt;"",TRIM(AE525)&lt;&gt;"",TRIM(T525)&lt;&gt;"",TRIM(AE525)&lt;&gt;TRIM(T525)),"N/A – JUSTIFIED","INVALID – N/A needs justification, PIC and a different verifier")),IF(OR(TRIM(U525)="Pass",TRIM(U525)="Pass after CA"),IF(NOT(ISNUMBER(AD525)),"INVALID – completion time missing",IF(TRIM(T525)="","INVALID – PIC missing",IF(TRIM(V525)="","INVALID – result / assessment missing",IF(TRIM(Z525)="","INVALID – evidence missing",IF(TRIM(AE525)="","INVALID – verifier missing",IF(TRIM(AE525)=TRIM(T525),"INVALID – verifier must be someone other than the PIC",IF(AND(AQ525=1,TRIM(W525)=""),"INVALID – batch ID missing",IF(AND(AR525=1,OR(NOT(ISNUMBER(X525)),NOT(ISNUMBER(Y525)))),"INVALID – expected/actual qty missing",IF(IF(AND(TRIM(U525)="Pass",ISNUMBER(AF525)),IF(AF525&lt;&gt;0,"INVALID – qty variance: use Fail or Pass after CA",""),"")&amp;IF(AND(TRIM(U525)="Pass",TRIM(AB525)&lt;&gt;"",TRIM(AB525)&lt;&gt;"Closed"),"INVALID – corrective action not closed: use Fail, then Pass after CA","")&amp;IF(AND(TRIM(AA525)&lt;&gt;"",TRIM(AB525)=""),"INVALID – CA status missing for the recorded corrective action","")&amp;IF(AND(TRIM(U525)="Pass after CA",OR(TRIM(AA525)="",TRIM(AB525)&lt;&gt;"Closed")),"INVALID – corrective action not recorded/closed","")&lt;&gt;"",IF(AND(TRIM(U525)="Pass",ISNUMBER(AF525)),IF(AF525&lt;&gt;0,"INVALID – qty variance: use Fail or Pass after CA",""),"")&amp;IF(AND(TRIM(U525)="Pass",TRIM(AB525)&lt;&gt;"",TRIM(AB525)&lt;&gt;"Closed"),"INVALID – corrective action not closed: use Fail, then Pass after CA","")&amp;IF(AND(TRIM(AA525)&lt;&gt;"",TRIM(AB525)=""),"INVALID – CA status missing for the recorded corrective action","")&amp;IF(AND(TRIM(U525)="Pass after CA",OR(TRIM(AA525)="",TRIM(AB525)&lt;&gt;"Closed")),"INVALID – corrective action not recorded/closed",""),IF(AND(AS525=1,Documents!$J$20&lt;&gt;"ON FILE"),"INVALID – GLD not on file (Documents sheet)",IF(AND(AS525=2,Documents!$O$20&lt;&gt;"ON FILE"),"INVALID – menu checklist not on file (Documents sheet)",IF(AND(AS525=3,NOT(ISNUMBER(Flights!$AX$20))),"INVALID – enter carrying flight KUL departure (Flights AX)",IF(AND(AS525=3,OR(Flights!$AX$20&gt;=Flights!$AA$20,Flights!$AX$20&lt;Flights!$AA$20-3)),"INVALID – Flights AX must be before this leg's STD (within 3 days)",IF(AG525&gt;AsOfUTC,"INVALID – completion time is in the future",IF(AND(ISNUMBER(S525),AG525&lt;S525),IF(H525="Physical uplift","INVALID – before uplift window (cannot confirm loading)","INVALID – before valid window"),IF(AG525&gt;Flights!$AA$20,"INVALID – completed after departure (cannot establish readiness)",IF(AND(H525="Physical uplift",AG525&gt;Q525),"INVALID – recorded after the loading flight departed",IF(AG525&gt;Q525,"COMPLETE – LATE","COMPLETE")))))))))))))))))),IF(TRIM(U525)="Fail","FAIL – DISCREPANCY",IF(AND(TRIM(U525)&lt;&gt;"",TRIM(U525)&lt;&gt;"Not started",TRIM(U525)&lt;&gt;"In progress"),"INVALID – unrecognised status (use the list)",IF(AsOfUTC&gt;Q525,"OVERDUE",IF(N525="Clarification required","OPEN – CLARIFICATION","OPEN")))))))</f>
        <v>OPEN</v>
      </c>
      <c r="AI525" s="61" t="n">
        <f aca="false">IF(OR(AH525="N/A – RULE",AH525="N/A – JUSTIFIED"),0,1)</f>
        <v>1</v>
      </c>
      <c r="AJ525" s="61" t="n">
        <f aca="false">IF(LEFT(AH525,8)="COMPLETE",1,0)</f>
        <v>0</v>
      </c>
      <c r="AK525" s="61" t="n">
        <f aca="false">IF(AND(AI525=1,AJ525=0,AsOfUTC&gt;Q525),1,0)</f>
        <v>0</v>
      </c>
      <c r="AL525" s="61" t="n">
        <f aca="false">IF(AND(AI525=1,OR(TRIM(U525)="Fail",AND(TRIM(AB525)&lt;&gt;"",TRIM(AB525)&lt;&gt;"Closed"),AND(ISNUMBER(AF525),AF525&lt;&gt;0,TRIM(U525)&lt;&gt;"Pass after CA"))),1,0)</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8" t="b">
        <f aca="false">TRUE()</f>
        <v>1</v>
      </c>
    </row>
    <row r="526" customFormat="false" ht="39.75" hidden="false" customHeight="true" outlineLevel="0" collapsed="false">
      <c r="A526" s="57" t="s">
        <v>1152</v>
      </c>
      <c r="B526" s="57" t="s">
        <v>272</v>
      </c>
      <c r="C526" s="57" t="str">
        <f aca="false">Flights!$F$20</f>
        <v>MH0072</v>
      </c>
      <c r="D526" s="58" t="n">
        <f aca="false">Flights!$D$20</f>
        <v>46321</v>
      </c>
      <c r="E526" s="57" t="str">
        <f aca="false">Flights!$G$20&amp;"-"&amp;Flights!$H$20</f>
        <v>KUL-HKG</v>
      </c>
      <c r="F526" s="57" t="str">
        <f aca="false">Flights!$K$20</f>
        <v>EY</v>
      </c>
      <c r="G526" s="57" t="s">
        <v>424</v>
      </c>
      <c r="H526" s="57" t="s">
        <v>425</v>
      </c>
      <c r="I526" s="57" t="s">
        <v>344</v>
      </c>
      <c r="J526" s="57" t="s">
        <v>426</v>
      </c>
      <c r="K526" s="67" t="s">
        <v>391</v>
      </c>
      <c r="L526" s="67" t="s">
        <v>427</v>
      </c>
      <c r="M526" s="67"/>
      <c r="N526" s="67" t="s">
        <v>348</v>
      </c>
      <c r="O526" s="67" t="s">
        <v>428</v>
      </c>
      <c r="P526" s="57" t="s">
        <v>179</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59" t="n">
        <f aca="false">IF(ISNUMBER(Flights!$AY$20),MAX(Q526-UpliftWindowH/24,Flights!$AY$20+UpliftWindowH/24),Q526-UpliftWindowH/24)</f>
        <v>46320.7986111111</v>
      </c>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IF(N526="N/A – rule","N/A – RULE",IF(TRIM(U526)="N/A",IF(AT526=0,"INVALID – N/A not permitted for this mandatory check",IF(AND(TRIM(AC526)&lt;&gt;"",TRIM(AE526)&lt;&gt;"",TRIM(T526)&lt;&gt;"",TRIM(AE526)&lt;&gt;TRIM(T526)),"N/A – JUSTIFIED","INVALID – N/A needs justification, PIC and a different verifier")),IF(OR(TRIM(U526)="Pass",TRIM(U526)="Pass after CA"),IF(NOT(ISNUMBER(AD526)),"INVALID – completion time missing",IF(TRIM(T526)="","INVALID – PIC missing",IF(TRIM(V526)="","INVALID – result / assessment missing",IF(TRIM(Z526)="","INVALID – evidence missing",IF(TRIM(AE526)="","INVALID – verifier missing",IF(TRIM(AE526)=TRIM(T526),"INVALID – verifier must be someone other than the PIC",IF(AND(AQ526=1,TRIM(W526)=""),"INVALID – batch ID missing",IF(AND(AR526=1,OR(NOT(ISNUMBER(X526)),NOT(ISNUMBER(Y526)))),"INVALID – expected/actual qty missing",IF(IF(AND(TRIM(U526)="Pass",ISNUMBER(AF526)),IF(AF526&lt;&gt;0,"INVALID – qty variance: use Fail or Pass after CA",""),"")&amp;IF(AND(TRIM(U526)="Pass",TRIM(AB526)&lt;&gt;"",TRIM(AB526)&lt;&gt;"Closed"),"INVALID – corrective action not closed: use Fail, then Pass after CA","")&amp;IF(AND(TRIM(AA526)&lt;&gt;"",TRIM(AB526)=""),"INVALID – CA status missing for the recorded corrective action","")&amp;IF(AND(TRIM(U526)="Pass after CA",OR(TRIM(AA526)="",TRIM(AB526)&lt;&gt;"Closed")),"INVALID – corrective action not recorded/closed","")&lt;&gt;"",IF(AND(TRIM(U526)="Pass",ISNUMBER(AF526)),IF(AF526&lt;&gt;0,"INVALID – qty variance: use Fail or Pass after CA",""),"")&amp;IF(AND(TRIM(U526)="Pass",TRIM(AB526)&lt;&gt;"",TRIM(AB526)&lt;&gt;"Closed"),"INVALID – corrective action not closed: use Fail, then Pass after CA","")&amp;IF(AND(TRIM(AA526)&lt;&gt;"",TRIM(AB526)=""),"INVALID – CA status missing for the recorded corrective action","")&amp;IF(AND(TRIM(U526)="Pass after CA",OR(TRIM(AA526)="",TRIM(AB526)&lt;&gt;"Closed")),"INVALID – corrective action not recorded/closed",""),IF(AND(AS526=1,Documents!$J$20&lt;&gt;"ON FILE"),"INVALID – GLD not on file (Documents sheet)",IF(AND(AS526=2,Documents!$O$20&lt;&gt;"ON FILE"),"INVALID – menu checklist not on file (Documents sheet)",IF(AND(AS526=3,NOT(ISNUMBER(Flights!$AX$20))),"INVALID – enter carrying flight KUL departure (Flights AX)",IF(AND(AS526=3,OR(Flights!$AX$20&gt;=Flights!$AA$20,Flights!$AX$20&lt;Flights!$AA$20-3)),"INVALID – Flights AX must be before this leg's STD (within 3 days)",IF(AG526&gt;AsOfUTC,"INVALID – completion time is in the future",IF(AND(ISNUMBER(S526),AG526&lt;S526),IF(H526="Physical uplift","INVALID – before uplift window (cannot confirm loading)","INVALID – before valid window"),IF(AG526&gt;Flights!$AA$20,"INVALID – completed after departure (cannot establish readiness)",IF(AND(H526="Physical uplift",AG526&gt;Q526),"INVALID – recorded after the loading flight departed",IF(AG526&gt;Q526,"COMPLETE – LATE","COMPLETE")))))))))))))))))),IF(TRIM(U526)="Fail","FAIL – DISCREPANCY",IF(AND(TRIM(U526)&lt;&gt;"",TRIM(U526)&lt;&gt;"Not started",TRIM(U526)&lt;&gt;"In progress"),"INVALID – unrecognised status (use the list)",IF(AsOfUTC&gt;Q526,"OVERDUE",IF(N526="Clarification required","OPEN – CLARIFICATION","OPEN")))))))</f>
        <v>OPEN</v>
      </c>
      <c r="AI526" s="61" t="n">
        <f aca="false">IF(OR(AH526="N/A – RULE",AH526="N/A – JUSTIFIED"),0,1)</f>
        <v>1</v>
      </c>
      <c r="AJ526" s="61" t="n">
        <f aca="false">IF(LEFT(AH526,8)="COMPLETE",1,0)</f>
        <v>0</v>
      </c>
      <c r="AK526" s="61" t="n">
        <f aca="false">IF(AND(AI526=1,AJ526=0,AsOfUTC&gt;Q526),1,0)</f>
        <v>0</v>
      </c>
      <c r="AL526" s="61" t="n">
        <f aca="false">IF(AND(AI526=1,OR(TRIM(U526)="Fail",AND(TRIM(AB526)&lt;&gt;"",TRIM(AB526)&lt;&gt;"Closed"),AND(ISNUMBER(AF526),AF526&lt;&gt;0,TRIM(U526)&lt;&gt;"Pass after CA"))),1,0)</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row>
    <row r="527" customFormat="false" ht="39.75" hidden="false" customHeight="true" outlineLevel="0" collapsed="false">
      <c r="A527" s="57" t="s">
        <v>1153</v>
      </c>
      <c r="B527" s="57" t="s">
        <v>272</v>
      </c>
      <c r="C527" s="57" t="str">
        <f aca="false">Flights!$F$20</f>
        <v>MH0072</v>
      </c>
      <c r="D527" s="58" t="n">
        <f aca="false">Flights!$D$20</f>
        <v>46321</v>
      </c>
      <c r="E527" s="57" t="str">
        <f aca="false">Flights!$G$20&amp;"-"&amp;Flights!$H$20</f>
        <v>KUL-HKG</v>
      </c>
      <c r="F527" s="57" t="str">
        <f aca="false">Flights!$K$20</f>
        <v>EY</v>
      </c>
      <c r="G527" s="57" t="s">
        <v>424</v>
      </c>
      <c r="H527" s="57" t="s">
        <v>425</v>
      </c>
      <c r="I527" s="57" t="s">
        <v>393</v>
      </c>
      <c r="J527" s="57" t="s">
        <v>430</v>
      </c>
      <c r="K527" s="67" t="s">
        <v>391</v>
      </c>
      <c r="L527" s="67" t="s">
        <v>427</v>
      </c>
      <c r="M527" s="67"/>
      <c r="N527" s="67" t="s">
        <v>348</v>
      </c>
      <c r="O527" s="67" t="s">
        <v>428</v>
      </c>
      <c r="P527" s="57" t="s">
        <v>179</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59" t="n">
        <f aca="false">IF(ISNUMBER(Flights!$AY$20),MAX(Q527-UpliftWindowH/24,Flights!$AY$20+UpliftWindowH/24),Q527-UpliftWindowH/24)</f>
        <v>46320.7986111111</v>
      </c>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IF(N527="N/A – rule","N/A – RULE",IF(TRIM(U527)="N/A",IF(AT527=0,"INVALID – N/A not permitted for this mandatory check",IF(AND(TRIM(AC527)&lt;&gt;"",TRIM(AE527)&lt;&gt;"",TRIM(T527)&lt;&gt;"",TRIM(AE527)&lt;&gt;TRIM(T527)),"N/A – JUSTIFIED","INVALID – N/A needs justification, PIC and a different verifier")),IF(OR(TRIM(U527)="Pass",TRIM(U527)="Pass after CA"),IF(NOT(ISNUMBER(AD527)),"INVALID – completion time missing",IF(TRIM(T527)="","INVALID – PIC missing",IF(TRIM(V527)="","INVALID – result / assessment missing",IF(TRIM(Z527)="","INVALID – evidence missing",IF(TRIM(AE527)="","INVALID – verifier missing",IF(TRIM(AE527)=TRIM(T527),"INVALID – verifier must be someone other than the PIC",IF(AND(AQ527=1,TRIM(W527)=""),"INVALID – batch ID missing",IF(AND(AR527=1,OR(NOT(ISNUMBER(X527)),NOT(ISNUMBER(Y527)))),"INVALID – expected/actual qty missing",IF(IF(AND(TRIM(U527)="Pass",ISNUMBER(AF527)),IF(AF527&lt;&gt;0,"INVALID – qty variance: use Fail or Pass after CA",""),"")&amp;IF(AND(TRIM(U527)="Pass",TRIM(AB527)&lt;&gt;"",TRIM(AB527)&lt;&gt;"Closed"),"INVALID – corrective action not closed: use Fail, then Pass after CA","")&amp;IF(AND(TRIM(AA527)&lt;&gt;"",TRIM(AB527)=""),"INVALID – CA status missing for the recorded corrective action","")&amp;IF(AND(TRIM(U527)="Pass after CA",OR(TRIM(AA527)="",TRIM(AB527)&lt;&gt;"Closed")),"INVALID – corrective action not recorded/closed","")&lt;&gt;"",IF(AND(TRIM(U527)="Pass",ISNUMBER(AF527)),IF(AF527&lt;&gt;0,"INVALID – qty variance: use Fail or Pass after CA",""),"")&amp;IF(AND(TRIM(U527)="Pass",TRIM(AB527)&lt;&gt;"",TRIM(AB527)&lt;&gt;"Closed"),"INVALID – corrective action not closed: use Fail, then Pass after CA","")&amp;IF(AND(TRIM(AA527)&lt;&gt;"",TRIM(AB527)=""),"INVALID – CA status missing for the recorded corrective action","")&amp;IF(AND(TRIM(U527)="Pass after CA",OR(TRIM(AA527)="",TRIM(AB527)&lt;&gt;"Closed")),"INVALID – corrective action not recorded/closed",""),IF(AND(AS527=1,Documents!$J$20&lt;&gt;"ON FILE"),"INVALID – GLD not on file (Documents sheet)",IF(AND(AS527=2,Documents!$O$20&lt;&gt;"ON FILE"),"INVALID – menu checklist not on file (Documents sheet)",IF(AND(AS527=3,NOT(ISNUMBER(Flights!$AX$20))),"INVALID – enter carrying flight KUL departure (Flights AX)",IF(AND(AS527=3,OR(Flights!$AX$20&gt;=Flights!$AA$20,Flights!$AX$20&lt;Flights!$AA$20-3)),"INVALID – Flights AX must be before this leg's STD (within 3 days)",IF(AG527&gt;AsOfUTC,"INVALID – completion time is in the future",IF(AND(ISNUMBER(S527),AG527&lt;S527),IF(H527="Physical uplift","INVALID – before uplift window (cannot confirm loading)","INVALID – before valid window"),IF(AG527&gt;Flights!$AA$20,"INVALID – completed after departure (cannot establish readiness)",IF(AND(H527="Physical uplift",AG527&gt;Q527),"INVALID – recorded after the loading flight departed",IF(AG527&gt;Q527,"COMPLETE – LATE","COMPLETE")))))))))))))))))),IF(TRIM(U527)="Fail","FAIL – DISCREPANCY",IF(AND(TRIM(U527)&lt;&gt;"",TRIM(U527)&lt;&gt;"Not started",TRIM(U527)&lt;&gt;"In progress"),"INVALID – unrecognised status (use the list)",IF(AsOfUTC&gt;Q527,"OVERDUE",IF(N527="Clarification required","OPEN – CLARIFICATION","OPEN")))))))</f>
        <v>OPEN</v>
      </c>
      <c r="AI527" s="61" t="n">
        <f aca="false">IF(OR(AH527="N/A – RULE",AH527="N/A – JUSTIFIED"),0,1)</f>
        <v>1</v>
      </c>
      <c r="AJ527" s="61" t="n">
        <f aca="false">IF(LEFT(AH527,8)="COMPLETE",1,0)</f>
        <v>0</v>
      </c>
      <c r="AK527" s="61" t="n">
        <f aca="false">IF(AND(AI527=1,AJ527=0,AsOfUTC&gt;Q527),1,0)</f>
        <v>0</v>
      </c>
      <c r="AL527" s="61" t="n">
        <f aca="false">IF(AND(AI527=1,OR(TRIM(U527)="Fail",AND(TRIM(AB527)&lt;&gt;"",TRIM(AB527)&lt;&gt;"Closed"),AND(ISNUMBER(AF527),AF527&lt;&gt;0,TRIM(U527)&lt;&gt;"Pass after CA"))),1,0)</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row>
    <row r="528" customFormat="false" ht="39.75" hidden="false" customHeight="true" outlineLevel="0" collapsed="false">
      <c r="A528" s="57" t="s">
        <v>1154</v>
      </c>
      <c r="B528" s="57" t="s">
        <v>272</v>
      </c>
      <c r="C528" s="57" t="str">
        <f aca="false">Flights!$F$20</f>
        <v>MH0072</v>
      </c>
      <c r="D528" s="58" t="n">
        <f aca="false">Flights!$D$20</f>
        <v>46321</v>
      </c>
      <c r="E528" s="57" t="str">
        <f aca="false">Flights!$G$20&amp;"-"&amp;Flights!$H$20</f>
        <v>KUL-HKG</v>
      </c>
      <c r="F528" s="57" t="str">
        <f aca="false">Flights!$K$20</f>
        <v>EY</v>
      </c>
      <c r="G528" s="57" t="s">
        <v>424</v>
      </c>
      <c r="H528" s="57" t="s">
        <v>425</v>
      </c>
      <c r="I528" s="57" t="s">
        <v>412</v>
      </c>
      <c r="J528" s="57" t="s">
        <v>434</v>
      </c>
      <c r="K528" s="67" t="s">
        <v>414</v>
      </c>
      <c r="L528" s="67" t="s">
        <v>1143</v>
      </c>
      <c r="M528" s="67" t="s">
        <v>416</v>
      </c>
      <c r="N528" s="67" t="s">
        <v>348</v>
      </c>
      <c r="O528" s="67"/>
      <c r="P528" s="57" t="s">
        <v>179</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59" t="n">
        <f aca="false">IF(ISNUMBER(Flights!$AY$20),MAX(Q528-UpliftWindowH/24,Flights!$AY$20+UpliftWindowH/24),Q528-UpliftWindowH/24)</f>
        <v>46320.7986111111</v>
      </c>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IF(N528="N/A – rule","N/A – RULE",IF(TRIM(U528)="N/A",IF(AT528=0,"INVALID – N/A not permitted for this mandatory check",IF(AND(TRIM(AC528)&lt;&gt;"",TRIM(AE528)&lt;&gt;"",TRIM(T528)&lt;&gt;"",TRIM(AE528)&lt;&gt;TRIM(T528)),"N/A – JUSTIFIED","INVALID – N/A needs justification, PIC and a different verifier")),IF(OR(TRIM(U528)="Pass",TRIM(U528)="Pass after CA"),IF(NOT(ISNUMBER(AD528)),"INVALID – completion time missing",IF(TRIM(T528)="","INVALID – PIC missing",IF(TRIM(V528)="","INVALID – result / assessment missing",IF(TRIM(Z528)="","INVALID – evidence missing",IF(TRIM(AE528)="","INVALID – verifier missing",IF(TRIM(AE528)=TRIM(T528),"INVALID – verifier must be someone other than the PIC",IF(AND(AQ528=1,TRIM(W528)=""),"INVALID – batch ID missing",IF(AND(AR528=1,OR(NOT(ISNUMBER(X528)),NOT(ISNUMBER(Y528)))),"INVALID – expected/actual qty missing",IF(IF(AND(TRIM(U528)="Pass",ISNUMBER(AF528)),IF(AF528&lt;&gt;0,"INVALID – qty variance: use Fail or Pass after CA",""),"")&amp;IF(AND(TRIM(U528)="Pass",TRIM(AB528)&lt;&gt;"",TRIM(AB528)&lt;&gt;"Closed"),"INVALID – corrective action not closed: use Fail, then Pass after CA","")&amp;IF(AND(TRIM(AA528)&lt;&gt;"",TRIM(AB528)=""),"INVALID – CA status missing for the recorded corrective action","")&amp;IF(AND(TRIM(U528)="Pass after CA",OR(TRIM(AA528)="",TRIM(AB528)&lt;&gt;"Closed")),"INVALID – corrective action not recorded/closed","")&lt;&gt;"",IF(AND(TRIM(U528)="Pass",ISNUMBER(AF528)),IF(AF528&lt;&gt;0,"INVALID – qty variance: use Fail or Pass after CA",""),"")&amp;IF(AND(TRIM(U528)="Pass",TRIM(AB528)&lt;&gt;"",TRIM(AB528)&lt;&gt;"Closed"),"INVALID – corrective action not closed: use Fail, then Pass after CA","")&amp;IF(AND(TRIM(AA528)&lt;&gt;"",TRIM(AB528)=""),"INVALID – CA status missing for the recorded corrective action","")&amp;IF(AND(TRIM(U528)="Pass after CA",OR(TRIM(AA528)="",TRIM(AB528)&lt;&gt;"Closed")),"INVALID – corrective action not recorded/closed",""),IF(AND(AS528=1,Documents!$J$20&lt;&gt;"ON FILE"),"INVALID – GLD not on file (Documents sheet)",IF(AND(AS528=2,Documents!$O$20&lt;&gt;"ON FILE"),"INVALID – menu checklist not on file (Documents sheet)",IF(AND(AS528=3,NOT(ISNUMBER(Flights!$AX$20))),"INVALID – enter carrying flight KUL departure (Flights AX)",IF(AND(AS528=3,OR(Flights!$AX$20&gt;=Flights!$AA$20,Flights!$AX$20&lt;Flights!$AA$20-3)),"INVALID – Flights AX must be before this leg's STD (within 3 days)",IF(AG528&gt;AsOfUTC,"INVALID – completion time is in the future",IF(AND(ISNUMBER(S528),AG528&lt;S528),IF(H528="Physical uplift","INVALID – before uplift window (cannot confirm loading)","INVALID – before valid window"),IF(AG528&gt;Flights!$AA$20,"INVALID – completed after departure (cannot establish readiness)",IF(AND(H528="Physical uplift",AG528&gt;Q528),"INVALID – recorded after the loading flight departed",IF(AG528&gt;Q528,"COMPLETE – LATE","COMPLETE")))))))))))))))))),IF(TRIM(U528)="Fail","FAIL – DISCREPANCY",IF(AND(TRIM(U528)&lt;&gt;"",TRIM(U528)&lt;&gt;"Not started",TRIM(U528)&lt;&gt;"In progress"),"INVALID – unrecognised status (use the list)",IF(AsOfUTC&gt;Q528,"OVERDUE",IF(N528="Clarification required","OPEN – CLARIFICATION","OPEN")))))))</f>
        <v>OPEN</v>
      </c>
      <c r="AI528" s="61" t="n">
        <f aca="false">IF(OR(AH528="N/A – RULE",AH528="N/A – JUSTIFIED"),0,1)</f>
        <v>1</v>
      </c>
      <c r="AJ528" s="61" t="n">
        <f aca="false">IF(LEFT(AH528,8)="COMPLETE",1,0)</f>
        <v>0</v>
      </c>
      <c r="AK528" s="61" t="n">
        <f aca="false">IF(AND(AI528=1,AJ528=0,AsOfUTC&gt;Q528),1,0)</f>
        <v>0</v>
      </c>
      <c r="AL528" s="61" t="n">
        <f aca="false">IF(AND(AI528=1,OR(TRIM(U528)="Fail",AND(TRIM(AB528)&lt;&gt;"",TRIM(AB528)&lt;&gt;"Closed"),AND(ISNUMBER(AF528),AF528&lt;&gt;0,TRIM(U528)&lt;&gt;"Pass after CA"))),1,0)</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8" t="b">
        <f aca="false">TRUE()</f>
        <v>1</v>
      </c>
    </row>
    <row r="529" customFormat="false" ht="91.5" hidden="false" customHeight="true" outlineLevel="0" collapsed="false">
      <c r="A529" s="57" t="s">
        <v>1155</v>
      </c>
      <c r="B529" s="57" t="s">
        <v>272</v>
      </c>
      <c r="C529" s="57" t="str">
        <f aca="false">Flights!$F$20</f>
        <v>MH0072</v>
      </c>
      <c r="D529" s="58" t="n">
        <f aca="false">Flights!$D$20</f>
        <v>46321</v>
      </c>
      <c r="E529" s="57" t="str">
        <f aca="false">Flights!$G$20&amp;"-"&amp;Flights!$H$20</f>
        <v>KUL-HKG</v>
      </c>
      <c r="F529" s="57" t="str">
        <f aca="false">Flights!$K$20</f>
        <v>EY</v>
      </c>
      <c r="G529" s="57" t="s">
        <v>424</v>
      </c>
      <c r="H529" s="57" t="s">
        <v>425</v>
      </c>
      <c r="I529" s="57" t="s">
        <v>412</v>
      </c>
      <c r="J529" s="57" t="s">
        <v>436</v>
      </c>
      <c r="K529" s="67" t="s">
        <v>414</v>
      </c>
      <c r="L529" s="67" t="s">
        <v>1145</v>
      </c>
      <c r="M529" s="67" t="s">
        <v>416</v>
      </c>
      <c r="N529" s="67" t="s">
        <v>409</v>
      </c>
      <c r="O529" s="67" t="s">
        <v>1156</v>
      </c>
      <c r="P529" s="57" t="s">
        <v>179</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59" t="n">
        <f aca="false">IF(ISNUMBER(Flights!$AY$20),MAX(Q529-UpliftWindowH/24,Flights!$AY$20+UpliftWindowH/24),Q529-UpliftWindowH/24)</f>
        <v>46320.7986111111</v>
      </c>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IF(N529="N/A – rule","N/A – RULE",IF(TRIM(U529)="N/A",IF(AT529=0,"INVALID – N/A not permitted for this mandatory check",IF(AND(TRIM(AC529)&lt;&gt;"",TRIM(AE529)&lt;&gt;"",TRIM(T529)&lt;&gt;"",TRIM(AE529)&lt;&gt;TRIM(T529)),"N/A – JUSTIFIED","INVALID – N/A needs justification, PIC and a different verifier")),IF(OR(TRIM(U529)="Pass",TRIM(U529)="Pass after CA"),IF(NOT(ISNUMBER(AD529)),"INVALID – completion time missing",IF(TRIM(T529)="","INVALID – PIC missing",IF(TRIM(V529)="","INVALID – result / assessment missing",IF(TRIM(Z529)="","INVALID – evidence missing",IF(TRIM(AE529)="","INVALID – verifier missing",IF(TRIM(AE529)=TRIM(T529),"INVALID – verifier must be someone other than the PIC",IF(AND(AQ529=1,TRIM(W529)=""),"INVALID – batch ID missing",IF(AND(AR529=1,OR(NOT(ISNUMBER(X529)),NOT(ISNUMBER(Y529)))),"INVALID – expected/actual qty missing",IF(IF(AND(TRIM(U529)="Pass",ISNUMBER(AF529)),IF(AF529&lt;&gt;0,"INVALID – qty variance: use Fail or Pass after CA",""),"")&amp;IF(AND(TRIM(U529)="Pass",TRIM(AB529)&lt;&gt;"",TRIM(AB529)&lt;&gt;"Closed"),"INVALID – corrective action not closed: use Fail, then Pass after CA","")&amp;IF(AND(TRIM(AA529)&lt;&gt;"",TRIM(AB529)=""),"INVALID – CA status missing for the recorded corrective action","")&amp;IF(AND(TRIM(U529)="Pass after CA",OR(TRIM(AA529)="",TRIM(AB529)&lt;&gt;"Closed")),"INVALID – corrective action not recorded/closed","")&lt;&gt;"",IF(AND(TRIM(U529)="Pass",ISNUMBER(AF529)),IF(AF529&lt;&gt;0,"INVALID – qty variance: use Fail or Pass after CA",""),"")&amp;IF(AND(TRIM(U529)="Pass",TRIM(AB529)&lt;&gt;"",TRIM(AB529)&lt;&gt;"Closed"),"INVALID – corrective action not closed: use Fail, then Pass after CA","")&amp;IF(AND(TRIM(AA529)&lt;&gt;"",TRIM(AB529)=""),"INVALID – CA status missing for the recorded corrective action","")&amp;IF(AND(TRIM(U529)="Pass after CA",OR(TRIM(AA529)="",TRIM(AB529)&lt;&gt;"Closed")),"INVALID – corrective action not recorded/closed",""),IF(AND(AS529=1,Documents!$J$20&lt;&gt;"ON FILE"),"INVALID – GLD not on file (Documents sheet)",IF(AND(AS529=2,Documents!$O$20&lt;&gt;"ON FILE"),"INVALID – menu checklist not on file (Documents sheet)",IF(AND(AS529=3,NOT(ISNUMBER(Flights!$AX$20))),"INVALID – enter carrying flight KUL departure (Flights AX)",IF(AND(AS529=3,OR(Flights!$AX$20&gt;=Flights!$AA$20,Flights!$AX$20&lt;Flights!$AA$20-3)),"INVALID – Flights AX must be before this leg's STD (within 3 days)",IF(AG529&gt;AsOfUTC,"INVALID – completion time is in the future",IF(AND(ISNUMBER(S529),AG529&lt;S529),IF(H529="Physical uplift","INVALID – before uplift window (cannot confirm loading)","INVALID – before valid window"),IF(AG529&gt;Flights!$AA$20,"INVALID – completed after departure (cannot establish readiness)",IF(AND(H529="Physical uplift",AG529&gt;Q529),"INVALID – recorded after the loading flight departed",IF(AG529&gt;Q529,"COMPLETE – LATE","COMPLETE")))))))))))))))))),IF(TRIM(U529)="Fail","FAIL – DISCREPANCY",IF(AND(TRIM(U529)&lt;&gt;"",TRIM(U529)&lt;&gt;"Not started",TRIM(U529)&lt;&gt;"In progress"),"INVALID – unrecognised status (use the list)",IF(AsOfUTC&gt;Q529,"OVERDUE",IF(N529="Clarification required","OPEN – CLARIFICATION","OPEN")))))))</f>
        <v>OPEN – CLARIFICATION</v>
      </c>
      <c r="AI529" s="61" t="n">
        <f aca="false">IF(OR(AH529="N/A – RULE",AH529="N/A – JUSTIFIED"),0,1)</f>
        <v>1</v>
      </c>
      <c r="AJ529" s="61" t="n">
        <f aca="false">IF(LEFT(AH529,8)="COMPLETE",1,0)</f>
        <v>0</v>
      </c>
      <c r="AK529" s="61" t="n">
        <f aca="false">IF(AND(AI529=1,AJ529=0,AsOfUTC&gt;Q529),1,0)</f>
        <v>0</v>
      </c>
      <c r="AL529" s="61" t="n">
        <f aca="false">IF(AND(AI529=1,OR(TRIM(U529)="Fail",AND(TRIM(AB529)&lt;&gt;"",TRIM(AB529)&lt;&gt;"Closed"),AND(ISNUMBER(AF529),AF529&lt;&gt;0,TRIM(U529)&lt;&gt;"Pass after CA"))),1,0)</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8" t="b">
        <f aca="false">TRUE()</f>
        <v>1</v>
      </c>
    </row>
    <row r="530" customFormat="false" ht="41.25" hidden="false" customHeight="true" outlineLevel="0" collapsed="false">
      <c r="A530" s="57" t="s">
        <v>1157</v>
      </c>
      <c r="B530" s="57" t="s">
        <v>272</v>
      </c>
      <c r="C530" s="57" t="str">
        <f aca="false">Flights!$F$20</f>
        <v>MH0072</v>
      </c>
      <c r="D530" s="58" t="n">
        <f aca="false">Flights!$D$20</f>
        <v>46321</v>
      </c>
      <c r="E530" s="57" t="str">
        <f aca="false">Flights!$G$20&amp;"-"&amp;Flights!$H$20</f>
        <v>KUL-HKG</v>
      </c>
      <c r="F530" s="57" t="str">
        <f aca="false">Flights!$K$20</f>
        <v>EY</v>
      </c>
      <c r="G530" s="57" t="s">
        <v>424</v>
      </c>
      <c r="H530" s="57" t="s">
        <v>425</v>
      </c>
      <c r="I530" s="57" t="s">
        <v>599</v>
      </c>
      <c r="J530" s="57" t="s">
        <v>1158</v>
      </c>
      <c r="K530" s="67" t="s">
        <v>1149</v>
      </c>
      <c r="L530" s="67" t="s">
        <v>1150</v>
      </c>
      <c r="M530" s="67" t="s">
        <v>416</v>
      </c>
      <c r="N530" s="67" t="s">
        <v>348</v>
      </c>
      <c r="O530" s="67" t="s">
        <v>1159</v>
      </c>
      <c r="P530" s="57" t="s">
        <v>179</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59" t="n">
        <f aca="false">IF(ISNUMBER(Flights!$AY$20),MAX(Q530-UpliftWindowH/24,Flights!$AY$20+UpliftWindowH/24),Q530-UpliftWindowH/24)</f>
        <v>46320.7986111111</v>
      </c>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IF(N530="N/A – rule","N/A – RULE",IF(TRIM(U530)="N/A",IF(AT530=0,"INVALID – N/A not permitted for this mandatory check",IF(AND(TRIM(AC530)&lt;&gt;"",TRIM(AE530)&lt;&gt;"",TRIM(T530)&lt;&gt;"",TRIM(AE530)&lt;&gt;TRIM(T530)),"N/A – JUSTIFIED","INVALID – N/A needs justification, PIC and a different verifier")),IF(OR(TRIM(U530)="Pass",TRIM(U530)="Pass after CA"),IF(NOT(ISNUMBER(AD530)),"INVALID – completion time missing",IF(TRIM(T530)="","INVALID – PIC missing",IF(TRIM(V530)="","INVALID – result / assessment missing",IF(TRIM(Z530)="","INVALID – evidence missing",IF(TRIM(AE530)="","INVALID – verifier missing",IF(TRIM(AE530)=TRIM(T530),"INVALID – verifier must be someone other than the PIC",IF(AND(AQ530=1,TRIM(W530)=""),"INVALID – batch ID missing",IF(AND(AR530=1,OR(NOT(ISNUMBER(X530)),NOT(ISNUMBER(Y530)))),"INVALID – expected/actual qty missing",IF(IF(AND(TRIM(U530)="Pass",ISNUMBER(AF530)),IF(AF530&lt;&gt;0,"INVALID – qty variance: use Fail or Pass after CA",""),"")&amp;IF(AND(TRIM(U530)="Pass",TRIM(AB530)&lt;&gt;"",TRIM(AB530)&lt;&gt;"Closed"),"INVALID – corrective action not closed: use Fail, then Pass after CA","")&amp;IF(AND(TRIM(AA530)&lt;&gt;"",TRIM(AB530)=""),"INVALID – CA status missing for the recorded corrective action","")&amp;IF(AND(TRIM(U530)="Pass after CA",OR(TRIM(AA530)="",TRIM(AB530)&lt;&gt;"Closed")),"INVALID – corrective action not recorded/closed","")&lt;&gt;"",IF(AND(TRIM(U530)="Pass",ISNUMBER(AF530)),IF(AF530&lt;&gt;0,"INVALID – qty variance: use Fail or Pass after CA",""),"")&amp;IF(AND(TRIM(U530)="Pass",TRIM(AB530)&lt;&gt;"",TRIM(AB530)&lt;&gt;"Closed"),"INVALID – corrective action not closed: use Fail, then Pass after CA","")&amp;IF(AND(TRIM(AA530)&lt;&gt;"",TRIM(AB530)=""),"INVALID – CA status missing for the recorded corrective action","")&amp;IF(AND(TRIM(U530)="Pass after CA",OR(TRIM(AA530)="",TRIM(AB530)&lt;&gt;"Closed")),"INVALID – corrective action not recorded/closed",""),IF(AND(AS530=1,Documents!$J$20&lt;&gt;"ON FILE"),"INVALID – GLD not on file (Documents sheet)",IF(AND(AS530=2,Documents!$O$20&lt;&gt;"ON FILE"),"INVALID – menu checklist not on file (Documents sheet)",IF(AND(AS530=3,NOT(ISNUMBER(Flights!$AX$20))),"INVALID – enter carrying flight KUL departure (Flights AX)",IF(AND(AS530=3,OR(Flights!$AX$20&gt;=Flights!$AA$20,Flights!$AX$20&lt;Flights!$AA$20-3)),"INVALID – Flights AX must be before this leg's STD (within 3 days)",IF(AG530&gt;AsOfUTC,"INVALID – completion time is in the future",IF(AND(ISNUMBER(S530),AG530&lt;S530),IF(H530="Physical uplift","INVALID – before uplift window (cannot confirm loading)","INVALID – before valid window"),IF(AG530&gt;Flights!$AA$20,"INVALID – completed after departure (cannot establish readiness)",IF(AND(H530="Physical uplift",AG530&gt;Q530),"INVALID – recorded after the loading flight departed",IF(AG530&gt;Q530,"COMPLETE – LATE","COMPLETE")))))))))))))))))),IF(TRIM(U530)="Fail","FAIL – DISCREPANCY",IF(AND(TRIM(U530)&lt;&gt;"",TRIM(U530)&lt;&gt;"Not started",TRIM(U530)&lt;&gt;"In progress"),"INVALID – unrecognised status (use the list)",IF(AsOfUTC&gt;Q530,"OVERDUE",IF(N530="Clarification required","OPEN – CLARIFICATION","OPEN")))))))</f>
        <v>OPEN</v>
      </c>
      <c r="AI530" s="61" t="n">
        <f aca="false">IF(OR(AH530="N/A – RULE",AH530="N/A – JUSTIFIED"),0,1)</f>
        <v>1</v>
      </c>
      <c r="AJ530" s="61" t="n">
        <f aca="false">IF(LEFT(AH530,8)="COMPLETE",1,0)</f>
        <v>0</v>
      </c>
      <c r="AK530" s="61" t="n">
        <f aca="false">IF(AND(AI530=1,AJ530=0,AsOfUTC&gt;Q530),1,0)</f>
        <v>0</v>
      </c>
      <c r="AL530" s="61" t="n">
        <f aca="false">IF(AND(AI530=1,OR(TRIM(U530)="Fail",AND(TRIM(AB530)&lt;&gt;"",TRIM(AB530)&lt;&gt;"Closed"),AND(ISNUMBER(AF530),AF530&lt;&gt;0,TRIM(U530)&lt;&gt;"Pass after CA"))),1,0)</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8" t="b">
        <f aca="false">TRUE()</f>
        <v>1</v>
      </c>
    </row>
    <row r="531" customFormat="false" ht="39.75" hidden="false" customHeight="true" outlineLevel="0" collapsed="false">
      <c r="A531" s="57" t="s">
        <v>1160</v>
      </c>
      <c r="B531" s="57" t="s">
        <v>282</v>
      </c>
      <c r="C531" s="57" t="str">
        <f aca="false">Flights!$F$21</f>
        <v>MH0073</v>
      </c>
      <c r="D531" s="58" t="n">
        <f aca="false">Flights!$D$21</f>
        <v>46322</v>
      </c>
      <c r="E531" s="57" t="str">
        <f aca="false">Flights!$G$21&amp;"-"&amp;Flights!$H$21</f>
        <v>HKG-KUL</v>
      </c>
      <c r="F531" s="57" t="str">
        <f aca="false">Flights!$K$21</f>
        <v>BC</v>
      </c>
      <c r="G531" s="57" t="s">
        <v>76</v>
      </c>
      <c r="H531" s="57" t="s">
        <v>343</v>
      </c>
      <c r="I531" s="57" t="s">
        <v>344</v>
      </c>
      <c r="J531" s="57" t="s">
        <v>345</v>
      </c>
      <c r="K531" s="67" t="s">
        <v>346</v>
      </c>
      <c r="L531" s="67" t="s">
        <v>347</v>
      </c>
      <c r="M531" s="67"/>
      <c r="N531" s="67" t="s">
        <v>348</v>
      </c>
      <c r="O531" s="67"/>
      <c r="P531" s="57" t="s">
        <v>274</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59" t="n">
        <f aca="false">Q531-T7EarlyD*24/24</f>
        <v>46301.2847222222</v>
      </c>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IF(N531="N/A – rule","N/A – RULE",IF(TRIM(U531)="N/A",IF(AT531=0,"INVALID – N/A not permitted for this mandatory check",IF(AND(TRIM(AC531)&lt;&gt;"",TRIM(AE531)&lt;&gt;"",TRIM(T531)&lt;&gt;"",TRIM(AE531)&lt;&gt;TRIM(T531)),"N/A – JUSTIFIED","INVALID – N/A needs justification, PIC and a different verifier")),IF(OR(TRIM(U531)="Pass",TRIM(U531)="Pass after CA"),IF(NOT(ISNUMBER(AD531)),"INVALID – completion time missing",IF(TRIM(T531)="","INVALID – PIC missing",IF(TRIM(V531)="","INVALID – result / assessment missing",IF(TRIM(Z531)="","INVALID – evidence missing",IF(TRIM(AE531)="","INVALID – verifier missing",IF(TRIM(AE531)=TRIM(T531),"INVALID – verifier must be someone other than the PIC",IF(AND(AQ531=1,TRIM(W531)=""),"INVALID – batch ID missing",IF(AND(AR531=1,OR(NOT(ISNUMBER(X531)),NOT(ISNUMBER(Y531)))),"INVALID – expected/actual qty missing",IF(IF(AND(TRIM(U531)="Pass",ISNUMBER(AF531)),IF(AF531&lt;&gt;0,"INVALID – qty variance: use Fail or Pass after CA",""),"")&amp;IF(AND(TRIM(U531)="Pass",TRIM(AB531)&lt;&gt;"",TRIM(AB531)&lt;&gt;"Closed"),"INVALID – corrective action not closed: use Fail, then Pass after CA","")&amp;IF(AND(TRIM(AA531)&lt;&gt;"",TRIM(AB531)=""),"INVALID – CA status missing for the recorded corrective action","")&amp;IF(AND(TRIM(U531)="Pass after CA",OR(TRIM(AA531)="",TRIM(AB531)&lt;&gt;"Closed")),"INVALID – corrective action not recorded/closed","")&lt;&gt;"",IF(AND(TRIM(U531)="Pass",ISNUMBER(AF531)),IF(AF531&lt;&gt;0,"INVALID – qty variance: use Fail or Pass after CA",""),"")&amp;IF(AND(TRIM(U531)="Pass",TRIM(AB531)&lt;&gt;"",TRIM(AB531)&lt;&gt;"Closed"),"INVALID – corrective action not closed: use Fail, then Pass after CA","")&amp;IF(AND(TRIM(AA531)&lt;&gt;"",TRIM(AB531)=""),"INVALID – CA status missing for the recorded corrective action","")&amp;IF(AND(TRIM(U531)="Pass after CA",OR(TRIM(AA531)="",TRIM(AB531)&lt;&gt;"Closed")),"INVALID – corrective action not recorded/closed",""),IF(AND(AS531=1,Documents!$J$21&lt;&gt;"ON FILE"),"INVALID – GLD not on file (Documents sheet)",IF(AND(AS531=2,Documents!$O$21&lt;&gt;"ON FILE"),"INVALID – menu checklist not on file (Documents sheet)",IF(AND(AS531=3,NOT(ISNUMBER(Flights!$AX$21))),"INVALID – enter carrying flight KUL departure (Flights AX)",IF(AND(AS531=3,OR(Flights!$AX$21&gt;=Flights!$AA$21,Flights!$AX$21&lt;Flights!$AA$21-3)),"INVALID – Flights AX must be before this leg's STD (within 3 days)",IF(AG531&gt;AsOfUTC,"INVALID – completion time is in the future",IF(AND(ISNUMBER(S531),AG531&lt;S531),IF(H531="Physical uplift","INVALID – before uplift window (cannot confirm loading)","INVALID – before valid window"),IF(AG531&gt;Flights!$AA$21,"INVALID – completed after departure (cannot establish readiness)",IF(AND(H531="Physical uplift",AG531&gt;Q531),"INVALID – recorded after the loading flight departed",IF(AG531&gt;Q531,"COMPLETE – LATE","COMPLETE")))))))))))))))))),IF(TRIM(U531)="Fail","FAIL – DISCREPANCY",IF(AND(TRIM(U531)&lt;&gt;"",TRIM(U531)&lt;&gt;"Not started",TRIM(U531)&lt;&gt;"In progress"),"INVALID – unrecognised status (use the list)",IF(AsOfUTC&gt;Q531,"OVERDUE",IF(N531="Clarification required","OPEN – CLARIFICATION","OPEN")))))))</f>
        <v>OPEN</v>
      </c>
      <c r="AI531" s="61" t="n">
        <f aca="false">IF(OR(AH531="N/A – RULE",AH531="N/A – JUSTIFIED"),0,1)</f>
        <v>1</v>
      </c>
      <c r="AJ531" s="61" t="n">
        <f aca="false">IF(LEFT(AH531,8)="COMPLETE",1,0)</f>
        <v>0</v>
      </c>
      <c r="AK531" s="61" t="n">
        <f aca="false">IF(AND(AI531=1,AJ531=0,AsOfUTC&gt;Q531),1,0)</f>
        <v>0</v>
      </c>
      <c r="AL531" s="61" t="n">
        <f aca="false">IF(AND(AI531=1,OR(TRIM(U531)="Fail",AND(TRIM(AB531)&lt;&gt;"",TRIM(AB531)&lt;&gt;"Closed"),AND(ISNUMBER(AF531),AF531&lt;&gt;0,TRIM(U531)&lt;&gt;"Pass after CA"))),1,0)</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row>
    <row r="532" customFormat="false" ht="39.75" hidden="false" customHeight="true" outlineLevel="0" collapsed="false">
      <c r="A532" s="57" t="s">
        <v>1161</v>
      </c>
      <c r="B532" s="57" t="s">
        <v>282</v>
      </c>
      <c r="C532" s="57" t="str">
        <f aca="false">Flights!$F$21</f>
        <v>MH0073</v>
      </c>
      <c r="D532" s="58" t="n">
        <f aca="false">Flights!$D$21</f>
        <v>46322</v>
      </c>
      <c r="E532" s="57" t="str">
        <f aca="false">Flights!$G$21&amp;"-"&amp;Flights!$H$21</f>
        <v>HKG-KUL</v>
      </c>
      <c r="F532" s="57" t="str">
        <f aca="false">Flights!$K$21</f>
        <v>BC</v>
      </c>
      <c r="G532" s="57" t="s">
        <v>76</v>
      </c>
      <c r="H532" s="57" t="s">
        <v>343</v>
      </c>
      <c r="I532" s="57" t="s">
        <v>350</v>
      </c>
      <c r="J532" s="57" t="s">
        <v>351</v>
      </c>
      <c r="K532" s="67" t="s">
        <v>352</v>
      </c>
      <c r="L532" s="67" t="s">
        <v>347</v>
      </c>
      <c r="M532" s="67"/>
      <c r="N532" s="67" t="s">
        <v>348</v>
      </c>
      <c r="O532" s="67"/>
      <c r="P532" s="57" t="s">
        <v>274</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59" t="n">
        <f aca="false">Q532-T7EarlyD*24/24</f>
        <v>46301.2847222222</v>
      </c>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IF(N532="N/A – rule","N/A – RULE",IF(TRIM(U532)="N/A",IF(AT532=0,"INVALID – N/A not permitted for this mandatory check",IF(AND(TRIM(AC532)&lt;&gt;"",TRIM(AE532)&lt;&gt;"",TRIM(T532)&lt;&gt;"",TRIM(AE532)&lt;&gt;TRIM(T532)),"N/A – JUSTIFIED","INVALID – N/A needs justification, PIC and a different verifier")),IF(OR(TRIM(U532)="Pass",TRIM(U532)="Pass after CA"),IF(NOT(ISNUMBER(AD532)),"INVALID – completion time missing",IF(TRIM(T532)="","INVALID – PIC missing",IF(TRIM(V532)="","INVALID – result / assessment missing",IF(TRIM(Z532)="","INVALID – evidence missing",IF(TRIM(AE532)="","INVALID – verifier missing",IF(TRIM(AE532)=TRIM(T532),"INVALID – verifier must be someone other than the PIC",IF(AND(AQ532=1,TRIM(W532)=""),"INVALID – batch ID missing",IF(AND(AR532=1,OR(NOT(ISNUMBER(X532)),NOT(ISNUMBER(Y532)))),"INVALID – expected/actual qty missing",IF(IF(AND(TRIM(U532)="Pass",ISNUMBER(AF532)),IF(AF532&lt;&gt;0,"INVALID – qty variance: use Fail or Pass after CA",""),"")&amp;IF(AND(TRIM(U532)="Pass",TRIM(AB532)&lt;&gt;"",TRIM(AB532)&lt;&gt;"Closed"),"INVALID – corrective action not closed: use Fail, then Pass after CA","")&amp;IF(AND(TRIM(AA532)&lt;&gt;"",TRIM(AB532)=""),"INVALID – CA status missing for the recorded corrective action","")&amp;IF(AND(TRIM(U532)="Pass after CA",OR(TRIM(AA532)="",TRIM(AB532)&lt;&gt;"Closed")),"INVALID – corrective action not recorded/closed","")&lt;&gt;"",IF(AND(TRIM(U532)="Pass",ISNUMBER(AF532)),IF(AF532&lt;&gt;0,"INVALID – qty variance: use Fail or Pass after CA",""),"")&amp;IF(AND(TRIM(U532)="Pass",TRIM(AB532)&lt;&gt;"",TRIM(AB532)&lt;&gt;"Closed"),"INVALID – corrective action not closed: use Fail, then Pass after CA","")&amp;IF(AND(TRIM(AA532)&lt;&gt;"",TRIM(AB532)=""),"INVALID – CA status missing for the recorded corrective action","")&amp;IF(AND(TRIM(U532)="Pass after CA",OR(TRIM(AA532)="",TRIM(AB532)&lt;&gt;"Closed")),"INVALID – corrective action not recorded/closed",""),IF(AND(AS532=1,Documents!$J$21&lt;&gt;"ON FILE"),"INVALID – GLD not on file (Documents sheet)",IF(AND(AS532=2,Documents!$O$21&lt;&gt;"ON FILE"),"INVALID – menu checklist not on file (Documents sheet)",IF(AND(AS532=3,NOT(ISNUMBER(Flights!$AX$21))),"INVALID – enter carrying flight KUL departure (Flights AX)",IF(AND(AS532=3,OR(Flights!$AX$21&gt;=Flights!$AA$21,Flights!$AX$21&lt;Flights!$AA$21-3)),"INVALID – Flights AX must be before this leg's STD (within 3 days)",IF(AG532&gt;AsOfUTC,"INVALID – completion time is in the future",IF(AND(ISNUMBER(S532),AG532&lt;S532),IF(H532="Physical uplift","INVALID – before uplift window (cannot confirm loading)","INVALID – before valid window"),IF(AG532&gt;Flights!$AA$21,"INVALID – completed after departure (cannot establish readiness)",IF(AND(H532="Physical uplift",AG532&gt;Q532),"INVALID – recorded after the loading flight departed",IF(AG532&gt;Q532,"COMPLETE – LATE","COMPLETE")))))))))))))))))),IF(TRIM(U532)="Fail","FAIL – DISCREPANCY",IF(AND(TRIM(U532)&lt;&gt;"",TRIM(U532)&lt;&gt;"Not started",TRIM(U532)&lt;&gt;"In progress"),"INVALID – unrecognised status (use the list)",IF(AsOfUTC&gt;Q532,"OVERDUE",IF(N532="Clarification required","OPEN – CLARIFICATION","OPEN")))))))</f>
        <v>OPEN</v>
      </c>
      <c r="AI532" s="61" t="n">
        <f aca="false">IF(OR(AH532="N/A – RULE",AH532="N/A – JUSTIFIED"),0,1)</f>
        <v>1</v>
      </c>
      <c r="AJ532" s="61" t="n">
        <f aca="false">IF(LEFT(AH532,8)="COMPLETE",1,0)</f>
        <v>0</v>
      </c>
      <c r="AK532" s="61" t="n">
        <f aca="false">IF(AND(AI532=1,AJ532=0,AsOfUTC&gt;Q532),1,0)</f>
        <v>0</v>
      </c>
      <c r="AL532" s="61" t="n">
        <f aca="false">IF(AND(AI532=1,OR(TRIM(U532)="Fail",AND(TRIM(AB532)&lt;&gt;"",TRIM(AB532)&lt;&gt;"Closed"),AND(ISNUMBER(AF532),AF532&lt;&gt;0,TRIM(U532)&lt;&gt;"Pass after CA"))),1,0)</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8" t="b">
        <f aca="false">TRUE()</f>
        <v>1</v>
      </c>
    </row>
    <row r="533" customFormat="false" ht="41.25" hidden="false" customHeight="true" outlineLevel="0" collapsed="false">
      <c r="A533" s="57" t="s">
        <v>1162</v>
      </c>
      <c r="B533" s="57" t="s">
        <v>282</v>
      </c>
      <c r="C533" s="57" t="str">
        <f aca="false">Flights!$F$21</f>
        <v>MH0073</v>
      </c>
      <c r="D533" s="58" t="n">
        <f aca="false">Flights!$D$21</f>
        <v>46322</v>
      </c>
      <c r="E533" s="57" t="str">
        <f aca="false">Flights!$G$21&amp;"-"&amp;Flights!$H$21</f>
        <v>HKG-KUL</v>
      </c>
      <c r="F533" s="57" t="str">
        <f aca="false">Flights!$K$21</f>
        <v>BC</v>
      </c>
      <c r="G533" s="57" t="s">
        <v>76</v>
      </c>
      <c r="H533" s="57" t="s">
        <v>343</v>
      </c>
      <c r="I533" s="57" t="s">
        <v>354</v>
      </c>
      <c r="J533" s="57" t="s">
        <v>355</v>
      </c>
      <c r="K533" s="67" t="s">
        <v>356</v>
      </c>
      <c r="L533" s="67" t="s">
        <v>347</v>
      </c>
      <c r="M533" s="67"/>
      <c r="N533" s="67" t="str">
        <f aca="false">IF(TRIM(Flights!$L$21)="A339","Required","N/A – rule")</f>
        <v>N/A – rule</v>
      </c>
      <c r="O533" s="67" t="s">
        <v>357</v>
      </c>
      <c r="P533" s="57" t="s">
        <v>274</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59" t="n">
        <f aca="false">Q533-T7EarlyD*24/24</f>
        <v>46301.2847222222</v>
      </c>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IF(N533="N/A – rule","N/A – RULE",IF(TRIM(U533)="N/A",IF(AT533=0,"INVALID – N/A not permitted for this mandatory check",IF(AND(TRIM(AC533)&lt;&gt;"",TRIM(AE533)&lt;&gt;"",TRIM(T533)&lt;&gt;"",TRIM(AE533)&lt;&gt;TRIM(T533)),"N/A – JUSTIFIED","INVALID – N/A needs justification, PIC and a different verifier")),IF(OR(TRIM(U533)="Pass",TRIM(U533)="Pass after CA"),IF(NOT(ISNUMBER(AD533)),"INVALID – completion time missing",IF(TRIM(T533)="","INVALID – PIC missing",IF(TRIM(V533)="","INVALID – result / assessment missing",IF(TRIM(Z533)="","INVALID – evidence missing",IF(TRIM(AE533)="","INVALID – verifier missing",IF(TRIM(AE533)=TRIM(T533),"INVALID – verifier must be someone other than the PIC",IF(AND(AQ533=1,TRIM(W533)=""),"INVALID – batch ID missing",IF(AND(AR533=1,OR(NOT(ISNUMBER(X533)),NOT(ISNUMBER(Y533)))),"INVALID – expected/actual qty missing",IF(IF(AND(TRIM(U533)="Pass",ISNUMBER(AF533)),IF(AF533&lt;&gt;0,"INVALID – qty variance: use Fail or Pass after CA",""),"")&amp;IF(AND(TRIM(U533)="Pass",TRIM(AB533)&lt;&gt;"",TRIM(AB533)&lt;&gt;"Closed"),"INVALID – corrective action not closed: use Fail, then Pass after CA","")&amp;IF(AND(TRIM(AA533)&lt;&gt;"",TRIM(AB533)=""),"INVALID – CA status missing for the recorded corrective action","")&amp;IF(AND(TRIM(U533)="Pass after CA",OR(TRIM(AA533)="",TRIM(AB533)&lt;&gt;"Closed")),"INVALID – corrective action not recorded/closed","")&lt;&gt;"",IF(AND(TRIM(U533)="Pass",ISNUMBER(AF533)),IF(AF533&lt;&gt;0,"INVALID – qty variance: use Fail or Pass after CA",""),"")&amp;IF(AND(TRIM(U533)="Pass",TRIM(AB533)&lt;&gt;"",TRIM(AB533)&lt;&gt;"Closed"),"INVALID – corrective action not closed: use Fail, then Pass after CA","")&amp;IF(AND(TRIM(AA533)&lt;&gt;"",TRIM(AB533)=""),"INVALID – CA status missing for the recorded corrective action","")&amp;IF(AND(TRIM(U533)="Pass after CA",OR(TRIM(AA533)="",TRIM(AB533)&lt;&gt;"Closed")),"INVALID – corrective action not recorded/closed",""),IF(AND(AS533=1,Documents!$J$21&lt;&gt;"ON FILE"),"INVALID – GLD not on file (Documents sheet)",IF(AND(AS533=2,Documents!$O$21&lt;&gt;"ON FILE"),"INVALID – menu checklist not on file (Documents sheet)",IF(AND(AS533=3,NOT(ISNUMBER(Flights!$AX$21))),"INVALID – enter carrying flight KUL departure (Flights AX)",IF(AND(AS533=3,OR(Flights!$AX$21&gt;=Flights!$AA$21,Flights!$AX$21&lt;Flights!$AA$21-3)),"INVALID – Flights AX must be before this leg's STD (within 3 days)",IF(AG533&gt;AsOfUTC,"INVALID – completion time is in the future",IF(AND(ISNUMBER(S533),AG533&lt;S533),IF(H533="Physical uplift","INVALID – before uplift window (cannot confirm loading)","INVALID – before valid window"),IF(AG533&gt;Flights!$AA$21,"INVALID – completed after departure (cannot establish readiness)",IF(AND(H533="Physical uplift",AG533&gt;Q533),"INVALID – recorded after the loading flight departed",IF(AG533&gt;Q533,"COMPLETE – LATE","COMPLETE")))))))))))))))))),IF(TRIM(U533)="Fail","FAIL – DISCREPANCY",IF(AND(TRIM(U533)&lt;&gt;"",TRIM(U533)&lt;&gt;"Not started",TRIM(U533)&lt;&gt;"In progress"),"INVALID – unrecognised status (use the list)",IF(AsOfUTC&gt;Q533,"OVERDUE",IF(N533="Clarification required","OPEN – CLARIFICATION","OPEN")))))))</f>
        <v>N/A – RULE</v>
      </c>
      <c r="AI533" s="61" t="n">
        <f aca="false">IF(OR(AH533="N/A – RULE",AH533="N/A – JUSTIFIED"),0,1)</f>
        <v>0</v>
      </c>
      <c r="AJ533" s="61" t="n">
        <f aca="false">IF(LEFT(AH533,8)="COMPLETE",1,0)</f>
        <v>0</v>
      </c>
      <c r="AK533" s="61" t="n">
        <f aca="false">IF(AND(AI533=1,AJ533=0,AsOfUTC&gt;Q533),1,0)</f>
        <v>0</v>
      </c>
      <c r="AL533" s="61" t="n">
        <f aca="false">IF(AND(AI533=1,OR(TRIM(U533)="Fail",AND(TRIM(AB533)&lt;&gt;"",TRIM(AB533)&lt;&gt;"Closed"),AND(ISNUMBER(AF533),AF533&lt;&gt;0,TRIM(U533)&lt;&gt;"Pass after CA"))),1,0)</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row>
    <row r="534" customFormat="false" ht="39.75" hidden="false" customHeight="true" outlineLevel="0" collapsed="false">
      <c r="A534" s="57" t="s">
        <v>1163</v>
      </c>
      <c r="B534" s="57" t="s">
        <v>282</v>
      </c>
      <c r="C534" s="57" t="str">
        <f aca="false">Flights!$F$21</f>
        <v>MH0073</v>
      </c>
      <c r="D534" s="58" t="n">
        <f aca="false">Flights!$D$21</f>
        <v>46322</v>
      </c>
      <c r="E534" s="57" t="str">
        <f aca="false">Flights!$G$21&amp;"-"&amp;Flights!$H$21</f>
        <v>HKG-KUL</v>
      </c>
      <c r="F534" s="57" t="str">
        <f aca="false">Flights!$K$21</f>
        <v>BC</v>
      </c>
      <c r="G534" s="57" t="s">
        <v>76</v>
      </c>
      <c r="H534" s="57" t="s">
        <v>343</v>
      </c>
      <c r="I534" s="57" t="s">
        <v>359</v>
      </c>
      <c r="J534" s="57" t="s">
        <v>360</v>
      </c>
      <c r="K534" s="67" t="s">
        <v>361</v>
      </c>
      <c r="L534" s="67" t="s">
        <v>347</v>
      </c>
      <c r="M534" s="67"/>
      <c r="N534" s="67" t="s">
        <v>348</v>
      </c>
      <c r="O534" s="67"/>
      <c r="P534" s="57" t="s">
        <v>274</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59" t="n">
        <f aca="false">Q534-T7EarlyD*24/24</f>
        <v>46301.2847222222</v>
      </c>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IF(N534="N/A – rule","N/A – RULE",IF(TRIM(U534)="N/A",IF(AT534=0,"INVALID – N/A not permitted for this mandatory check",IF(AND(TRIM(AC534)&lt;&gt;"",TRIM(AE534)&lt;&gt;"",TRIM(T534)&lt;&gt;"",TRIM(AE534)&lt;&gt;TRIM(T534)),"N/A – JUSTIFIED","INVALID – N/A needs justification, PIC and a different verifier")),IF(OR(TRIM(U534)="Pass",TRIM(U534)="Pass after CA"),IF(NOT(ISNUMBER(AD534)),"INVALID – completion time missing",IF(TRIM(T534)="","INVALID – PIC missing",IF(TRIM(V534)="","INVALID – result / assessment missing",IF(TRIM(Z534)="","INVALID – evidence missing",IF(TRIM(AE534)="","INVALID – verifier missing",IF(TRIM(AE534)=TRIM(T534),"INVALID – verifier must be someone other than the PIC",IF(AND(AQ534=1,TRIM(W534)=""),"INVALID – batch ID missing",IF(AND(AR534=1,OR(NOT(ISNUMBER(X534)),NOT(ISNUMBER(Y534)))),"INVALID – expected/actual qty missing",IF(IF(AND(TRIM(U534)="Pass",ISNUMBER(AF534)),IF(AF534&lt;&gt;0,"INVALID – qty variance: use Fail or Pass after CA",""),"")&amp;IF(AND(TRIM(U534)="Pass",TRIM(AB534)&lt;&gt;"",TRIM(AB534)&lt;&gt;"Closed"),"INVALID – corrective action not closed: use Fail, then Pass after CA","")&amp;IF(AND(TRIM(AA534)&lt;&gt;"",TRIM(AB534)=""),"INVALID – CA status missing for the recorded corrective action","")&amp;IF(AND(TRIM(U534)="Pass after CA",OR(TRIM(AA534)="",TRIM(AB534)&lt;&gt;"Closed")),"INVALID – corrective action not recorded/closed","")&lt;&gt;"",IF(AND(TRIM(U534)="Pass",ISNUMBER(AF534)),IF(AF534&lt;&gt;0,"INVALID – qty variance: use Fail or Pass after CA",""),"")&amp;IF(AND(TRIM(U534)="Pass",TRIM(AB534)&lt;&gt;"",TRIM(AB534)&lt;&gt;"Closed"),"INVALID – corrective action not closed: use Fail, then Pass after CA","")&amp;IF(AND(TRIM(AA534)&lt;&gt;"",TRIM(AB534)=""),"INVALID – CA status missing for the recorded corrective action","")&amp;IF(AND(TRIM(U534)="Pass after CA",OR(TRIM(AA534)="",TRIM(AB534)&lt;&gt;"Closed")),"INVALID – corrective action not recorded/closed",""),IF(AND(AS534=1,Documents!$J$21&lt;&gt;"ON FILE"),"INVALID – GLD not on file (Documents sheet)",IF(AND(AS534=2,Documents!$O$21&lt;&gt;"ON FILE"),"INVALID – menu checklist not on file (Documents sheet)",IF(AND(AS534=3,NOT(ISNUMBER(Flights!$AX$21))),"INVALID – enter carrying flight KUL departure (Flights AX)",IF(AND(AS534=3,OR(Flights!$AX$21&gt;=Flights!$AA$21,Flights!$AX$21&lt;Flights!$AA$21-3)),"INVALID – Flights AX must be before this leg's STD (within 3 days)",IF(AG534&gt;AsOfUTC,"INVALID – completion time is in the future",IF(AND(ISNUMBER(S534),AG534&lt;S534),IF(H534="Physical uplift","INVALID – before uplift window (cannot confirm loading)","INVALID – before valid window"),IF(AG534&gt;Flights!$AA$21,"INVALID – completed after departure (cannot establish readiness)",IF(AND(H534="Physical uplift",AG534&gt;Q534),"INVALID – recorded after the loading flight departed",IF(AG534&gt;Q534,"COMPLETE – LATE","COMPLETE")))))))))))))))))),IF(TRIM(U534)="Fail","FAIL – DISCREPANCY",IF(AND(TRIM(U534)&lt;&gt;"",TRIM(U534)&lt;&gt;"Not started",TRIM(U534)&lt;&gt;"In progress"),"INVALID – unrecognised status (use the list)",IF(AsOfUTC&gt;Q534,"OVERDUE",IF(N534="Clarification required","OPEN – CLARIFICATION","OPEN")))))))</f>
        <v>OPEN</v>
      </c>
      <c r="AI534" s="61" t="n">
        <f aca="false">IF(OR(AH534="N/A – RULE",AH534="N/A – JUSTIFIED"),0,1)</f>
        <v>1</v>
      </c>
      <c r="AJ534" s="61" t="n">
        <f aca="false">IF(LEFT(AH534,8)="COMPLETE",1,0)</f>
        <v>0</v>
      </c>
      <c r="AK534" s="61" t="n">
        <f aca="false">IF(AND(AI534=1,AJ534=0,AsOfUTC&gt;Q534),1,0)</f>
        <v>0</v>
      </c>
      <c r="AL534" s="61" t="n">
        <f aca="false">IF(AND(AI534=1,OR(TRIM(U534)="Fail",AND(TRIM(AB534)&lt;&gt;"",TRIM(AB534)&lt;&gt;"Closed"),AND(ISNUMBER(AF534),AF534&lt;&gt;0,TRIM(U534)&lt;&gt;"Pass after CA"))),1,0)</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row>
    <row r="535" customFormat="false" ht="39.75" hidden="false" customHeight="true" outlineLevel="0" collapsed="false">
      <c r="A535" s="57" t="s">
        <v>1164</v>
      </c>
      <c r="B535" s="57" t="s">
        <v>282</v>
      </c>
      <c r="C535" s="57" t="str">
        <f aca="false">Flights!$F$21</f>
        <v>MH0073</v>
      </c>
      <c r="D535" s="58" t="n">
        <f aca="false">Flights!$D$21</f>
        <v>46322</v>
      </c>
      <c r="E535" s="57" t="str">
        <f aca="false">Flights!$G$21&amp;"-"&amp;Flights!$H$21</f>
        <v>HKG-KUL</v>
      </c>
      <c r="F535" s="57" t="str">
        <f aca="false">Flights!$K$21</f>
        <v>BC</v>
      </c>
      <c r="G535" s="57" t="s">
        <v>76</v>
      </c>
      <c r="H535" s="57" t="s">
        <v>343</v>
      </c>
      <c r="I535" s="57" t="s">
        <v>363</v>
      </c>
      <c r="J535" s="57" t="s">
        <v>364</v>
      </c>
      <c r="K535" s="67" t="s">
        <v>365</v>
      </c>
      <c r="L535" s="67" t="s">
        <v>347</v>
      </c>
      <c r="M535" s="67"/>
      <c r="N535" s="67" t="s">
        <v>348</v>
      </c>
      <c r="O535" s="67"/>
      <c r="P535" s="57" t="s">
        <v>274</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59" t="n">
        <f aca="false">Q535-T7EarlyD*24/24</f>
        <v>46301.2847222222</v>
      </c>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IF(N535="N/A – rule","N/A – RULE",IF(TRIM(U535)="N/A",IF(AT535=0,"INVALID – N/A not permitted for this mandatory check",IF(AND(TRIM(AC535)&lt;&gt;"",TRIM(AE535)&lt;&gt;"",TRIM(T535)&lt;&gt;"",TRIM(AE535)&lt;&gt;TRIM(T535)),"N/A – JUSTIFIED","INVALID – N/A needs justification, PIC and a different verifier")),IF(OR(TRIM(U535)="Pass",TRIM(U535)="Pass after CA"),IF(NOT(ISNUMBER(AD535)),"INVALID – completion time missing",IF(TRIM(T535)="","INVALID – PIC missing",IF(TRIM(V535)="","INVALID – result / assessment missing",IF(TRIM(Z535)="","INVALID – evidence missing",IF(TRIM(AE535)="","INVALID – verifier missing",IF(TRIM(AE535)=TRIM(T535),"INVALID – verifier must be someone other than the PIC",IF(AND(AQ535=1,TRIM(W535)=""),"INVALID – batch ID missing",IF(AND(AR535=1,OR(NOT(ISNUMBER(X535)),NOT(ISNUMBER(Y535)))),"INVALID – expected/actual qty missing",IF(IF(AND(TRIM(U535)="Pass",ISNUMBER(AF535)),IF(AF535&lt;&gt;0,"INVALID – qty variance: use Fail or Pass after CA",""),"")&amp;IF(AND(TRIM(U535)="Pass",TRIM(AB535)&lt;&gt;"",TRIM(AB535)&lt;&gt;"Closed"),"INVALID – corrective action not closed: use Fail, then Pass after CA","")&amp;IF(AND(TRIM(AA535)&lt;&gt;"",TRIM(AB535)=""),"INVALID – CA status missing for the recorded corrective action","")&amp;IF(AND(TRIM(U535)="Pass after CA",OR(TRIM(AA535)="",TRIM(AB535)&lt;&gt;"Closed")),"INVALID – corrective action not recorded/closed","")&lt;&gt;"",IF(AND(TRIM(U535)="Pass",ISNUMBER(AF535)),IF(AF535&lt;&gt;0,"INVALID – qty variance: use Fail or Pass after CA",""),"")&amp;IF(AND(TRIM(U535)="Pass",TRIM(AB535)&lt;&gt;"",TRIM(AB535)&lt;&gt;"Closed"),"INVALID – corrective action not closed: use Fail, then Pass after CA","")&amp;IF(AND(TRIM(AA535)&lt;&gt;"",TRIM(AB535)=""),"INVALID – CA status missing for the recorded corrective action","")&amp;IF(AND(TRIM(U535)="Pass after CA",OR(TRIM(AA535)="",TRIM(AB535)&lt;&gt;"Closed")),"INVALID – corrective action not recorded/closed",""),IF(AND(AS535=1,Documents!$J$21&lt;&gt;"ON FILE"),"INVALID – GLD not on file (Documents sheet)",IF(AND(AS535=2,Documents!$O$21&lt;&gt;"ON FILE"),"INVALID – menu checklist not on file (Documents sheet)",IF(AND(AS535=3,NOT(ISNUMBER(Flights!$AX$21))),"INVALID – enter carrying flight KUL departure (Flights AX)",IF(AND(AS535=3,OR(Flights!$AX$21&gt;=Flights!$AA$21,Flights!$AX$21&lt;Flights!$AA$21-3)),"INVALID – Flights AX must be before this leg's STD (within 3 days)",IF(AG535&gt;AsOfUTC,"INVALID – completion time is in the future",IF(AND(ISNUMBER(S535),AG535&lt;S535),IF(H535="Physical uplift","INVALID – before uplift window (cannot confirm loading)","INVALID – before valid window"),IF(AG535&gt;Flights!$AA$21,"INVALID – completed after departure (cannot establish readiness)",IF(AND(H535="Physical uplift",AG535&gt;Q535),"INVALID – recorded after the loading flight departed",IF(AG535&gt;Q535,"COMPLETE – LATE","COMPLETE")))))))))))))))))),IF(TRIM(U535)="Fail","FAIL – DISCREPANCY",IF(AND(TRIM(U535)&lt;&gt;"",TRIM(U535)&lt;&gt;"Not started",TRIM(U535)&lt;&gt;"In progress"),"INVALID – unrecognised status (use the list)",IF(AsOfUTC&gt;Q535,"OVERDUE",IF(N535="Clarification required","OPEN – CLARIFICATION","OPEN")))))))</f>
        <v>OPEN</v>
      </c>
      <c r="AI535" s="61" t="n">
        <f aca="false">IF(OR(AH535="N/A – RULE",AH535="N/A – JUSTIFIED"),0,1)</f>
        <v>1</v>
      </c>
      <c r="AJ535" s="61" t="n">
        <f aca="false">IF(LEFT(AH535,8)="COMPLETE",1,0)</f>
        <v>0</v>
      </c>
      <c r="AK535" s="61" t="n">
        <f aca="false">IF(AND(AI535=1,AJ535=0,AsOfUTC&gt;Q535),1,0)</f>
        <v>0</v>
      </c>
      <c r="AL535" s="61" t="n">
        <f aca="false">IF(AND(AI535=1,OR(TRIM(U535)="Fail",AND(TRIM(AB535)&lt;&gt;"",TRIM(AB535)&lt;&gt;"Closed"),AND(ISNUMBER(AF535),AF535&lt;&gt;0,TRIM(U535)&lt;&gt;"Pass after CA"))),1,0)</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row>
    <row r="536" customFormat="false" ht="39.75" hidden="false" customHeight="true" outlineLevel="0" collapsed="false">
      <c r="A536" s="57" t="s">
        <v>1165</v>
      </c>
      <c r="B536" s="57" t="s">
        <v>282</v>
      </c>
      <c r="C536" s="57" t="str">
        <f aca="false">Flights!$F$21</f>
        <v>MH0073</v>
      </c>
      <c r="D536" s="58" t="n">
        <f aca="false">Flights!$D$21</f>
        <v>46322</v>
      </c>
      <c r="E536" s="57" t="str">
        <f aca="false">Flights!$G$21&amp;"-"&amp;Flights!$H$21</f>
        <v>HKG-KUL</v>
      </c>
      <c r="F536" s="57" t="str">
        <f aca="false">Flights!$K$21</f>
        <v>BC</v>
      </c>
      <c r="G536" s="57" t="s">
        <v>76</v>
      </c>
      <c r="H536" s="57" t="s">
        <v>343</v>
      </c>
      <c r="I536" s="57" t="s">
        <v>363</v>
      </c>
      <c r="J536" s="57" t="s">
        <v>367</v>
      </c>
      <c r="K536" s="67" t="s">
        <v>368</v>
      </c>
      <c r="L536" s="67" t="s">
        <v>347</v>
      </c>
      <c r="M536" s="67"/>
      <c r="N536" s="67" t="s">
        <v>348</v>
      </c>
      <c r="O536" s="67"/>
      <c r="P536" s="57" t="s">
        <v>274</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59" t="n">
        <f aca="false">Q536-T7EarlyD*24/24</f>
        <v>46301.2847222222</v>
      </c>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IF(N536="N/A – rule","N/A – RULE",IF(TRIM(U536)="N/A",IF(AT536=0,"INVALID – N/A not permitted for this mandatory check",IF(AND(TRIM(AC536)&lt;&gt;"",TRIM(AE536)&lt;&gt;"",TRIM(T536)&lt;&gt;"",TRIM(AE536)&lt;&gt;TRIM(T536)),"N/A – JUSTIFIED","INVALID – N/A needs justification, PIC and a different verifier")),IF(OR(TRIM(U536)="Pass",TRIM(U536)="Pass after CA"),IF(NOT(ISNUMBER(AD536)),"INVALID – completion time missing",IF(TRIM(T536)="","INVALID – PIC missing",IF(TRIM(V536)="","INVALID – result / assessment missing",IF(TRIM(Z536)="","INVALID – evidence missing",IF(TRIM(AE536)="","INVALID – verifier missing",IF(TRIM(AE536)=TRIM(T536),"INVALID – verifier must be someone other than the PIC",IF(AND(AQ536=1,TRIM(W536)=""),"INVALID – batch ID missing",IF(AND(AR536=1,OR(NOT(ISNUMBER(X536)),NOT(ISNUMBER(Y536)))),"INVALID – expected/actual qty missing",IF(IF(AND(TRIM(U536)="Pass",ISNUMBER(AF536)),IF(AF536&lt;&gt;0,"INVALID – qty variance: use Fail or Pass after CA",""),"")&amp;IF(AND(TRIM(U536)="Pass",TRIM(AB536)&lt;&gt;"",TRIM(AB536)&lt;&gt;"Closed"),"INVALID – corrective action not closed: use Fail, then Pass after CA","")&amp;IF(AND(TRIM(AA536)&lt;&gt;"",TRIM(AB536)=""),"INVALID – CA status missing for the recorded corrective action","")&amp;IF(AND(TRIM(U536)="Pass after CA",OR(TRIM(AA536)="",TRIM(AB536)&lt;&gt;"Closed")),"INVALID – corrective action not recorded/closed","")&lt;&gt;"",IF(AND(TRIM(U536)="Pass",ISNUMBER(AF536)),IF(AF536&lt;&gt;0,"INVALID – qty variance: use Fail or Pass after CA",""),"")&amp;IF(AND(TRIM(U536)="Pass",TRIM(AB536)&lt;&gt;"",TRIM(AB536)&lt;&gt;"Closed"),"INVALID – corrective action not closed: use Fail, then Pass after CA","")&amp;IF(AND(TRIM(AA536)&lt;&gt;"",TRIM(AB536)=""),"INVALID – CA status missing for the recorded corrective action","")&amp;IF(AND(TRIM(U536)="Pass after CA",OR(TRIM(AA536)="",TRIM(AB536)&lt;&gt;"Closed")),"INVALID – corrective action not recorded/closed",""),IF(AND(AS536=1,Documents!$J$21&lt;&gt;"ON FILE"),"INVALID – GLD not on file (Documents sheet)",IF(AND(AS536=2,Documents!$O$21&lt;&gt;"ON FILE"),"INVALID – menu checklist not on file (Documents sheet)",IF(AND(AS536=3,NOT(ISNUMBER(Flights!$AX$21))),"INVALID – enter carrying flight KUL departure (Flights AX)",IF(AND(AS536=3,OR(Flights!$AX$21&gt;=Flights!$AA$21,Flights!$AX$21&lt;Flights!$AA$21-3)),"INVALID – Flights AX must be before this leg's STD (within 3 days)",IF(AG536&gt;AsOfUTC,"INVALID – completion time is in the future",IF(AND(ISNUMBER(S536),AG536&lt;S536),IF(H536="Physical uplift","INVALID – before uplift window (cannot confirm loading)","INVALID – before valid window"),IF(AG536&gt;Flights!$AA$21,"INVALID – completed after departure (cannot establish readiness)",IF(AND(H536="Physical uplift",AG536&gt;Q536),"INVALID – recorded after the loading flight departed",IF(AG536&gt;Q536,"COMPLETE – LATE","COMPLETE")))))))))))))))))),IF(TRIM(U536)="Fail","FAIL – DISCREPANCY",IF(AND(TRIM(U536)&lt;&gt;"",TRIM(U536)&lt;&gt;"Not started",TRIM(U536)&lt;&gt;"In progress"),"INVALID – unrecognised status (use the list)",IF(AsOfUTC&gt;Q536,"OVERDUE",IF(N536="Clarification required","OPEN – CLARIFICATION","OPEN")))))))</f>
        <v>OPEN</v>
      </c>
      <c r="AI536" s="61" t="n">
        <f aca="false">IF(OR(AH536="N/A – RULE",AH536="N/A – JUSTIFIED"),0,1)</f>
        <v>1</v>
      </c>
      <c r="AJ536" s="61" t="n">
        <f aca="false">IF(LEFT(AH536,8)="COMPLETE",1,0)</f>
        <v>0</v>
      </c>
      <c r="AK536" s="61" t="n">
        <f aca="false">IF(AND(AI536=1,AJ536=0,AsOfUTC&gt;Q536),1,0)</f>
        <v>0</v>
      </c>
      <c r="AL536" s="61" t="n">
        <f aca="false">IF(AND(AI536=1,OR(TRIM(U536)="Fail",AND(TRIM(AB536)&lt;&gt;"",TRIM(AB536)&lt;&gt;"Closed"),AND(ISNUMBER(AF536),AF536&lt;&gt;0,TRIM(U536)&lt;&gt;"Pass after CA"))),1,0)</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row>
    <row r="537" customFormat="false" ht="39.75" hidden="false" customHeight="true" outlineLevel="0" collapsed="false">
      <c r="A537" s="57" t="s">
        <v>1166</v>
      </c>
      <c r="B537" s="57" t="s">
        <v>282</v>
      </c>
      <c r="C537" s="57" t="str">
        <f aca="false">Flights!$F$21</f>
        <v>MH0073</v>
      </c>
      <c r="D537" s="58" t="n">
        <f aca="false">Flights!$D$21</f>
        <v>46322</v>
      </c>
      <c r="E537" s="57" t="str">
        <f aca="false">Flights!$G$21&amp;"-"&amp;Flights!$H$21</f>
        <v>HKG-KUL</v>
      </c>
      <c r="F537" s="57" t="str">
        <f aca="false">Flights!$K$21</f>
        <v>BC</v>
      </c>
      <c r="G537" s="57" t="s">
        <v>76</v>
      </c>
      <c r="H537" s="57" t="s">
        <v>343</v>
      </c>
      <c r="I537" s="57" t="s">
        <v>370</v>
      </c>
      <c r="J537" s="57" t="s">
        <v>371</v>
      </c>
      <c r="K537" s="67" t="s">
        <v>372</v>
      </c>
      <c r="L537" s="67" t="s">
        <v>347</v>
      </c>
      <c r="M537" s="67"/>
      <c r="N537" s="67" t="s">
        <v>348</v>
      </c>
      <c r="O537" s="67"/>
      <c r="P537" s="57" t="s">
        <v>274</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59" t="n">
        <f aca="false">Q537-T7EarlyD*24/24</f>
        <v>46301.2847222222</v>
      </c>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IF(N537="N/A – rule","N/A – RULE",IF(TRIM(U537)="N/A",IF(AT537=0,"INVALID – N/A not permitted for this mandatory check",IF(AND(TRIM(AC537)&lt;&gt;"",TRIM(AE537)&lt;&gt;"",TRIM(T537)&lt;&gt;"",TRIM(AE537)&lt;&gt;TRIM(T537)),"N/A – JUSTIFIED","INVALID – N/A needs justification, PIC and a different verifier")),IF(OR(TRIM(U537)="Pass",TRIM(U537)="Pass after CA"),IF(NOT(ISNUMBER(AD537)),"INVALID – completion time missing",IF(TRIM(T537)="","INVALID – PIC missing",IF(TRIM(V537)="","INVALID – result / assessment missing",IF(TRIM(Z537)="","INVALID – evidence missing",IF(TRIM(AE537)="","INVALID – verifier missing",IF(TRIM(AE537)=TRIM(T537),"INVALID – verifier must be someone other than the PIC",IF(AND(AQ537=1,TRIM(W537)=""),"INVALID – batch ID missing",IF(AND(AR537=1,OR(NOT(ISNUMBER(X537)),NOT(ISNUMBER(Y537)))),"INVALID – expected/actual qty missing",IF(IF(AND(TRIM(U537)="Pass",ISNUMBER(AF537)),IF(AF537&lt;&gt;0,"INVALID – qty variance: use Fail or Pass after CA",""),"")&amp;IF(AND(TRIM(U537)="Pass",TRIM(AB537)&lt;&gt;"",TRIM(AB537)&lt;&gt;"Closed"),"INVALID – corrective action not closed: use Fail, then Pass after CA","")&amp;IF(AND(TRIM(AA537)&lt;&gt;"",TRIM(AB537)=""),"INVALID – CA status missing for the recorded corrective action","")&amp;IF(AND(TRIM(U537)="Pass after CA",OR(TRIM(AA537)="",TRIM(AB537)&lt;&gt;"Closed")),"INVALID – corrective action not recorded/closed","")&lt;&gt;"",IF(AND(TRIM(U537)="Pass",ISNUMBER(AF537)),IF(AF537&lt;&gt;0,"INVALID – qty variance: use Fail or Pass after CA",""),"")&amp;IF(AND(TRIM(U537)="Pass",TRIM(AB537)&lt;&gt;"",TRIM(AB537)&lt;&gt;"Closed"),"INVALID – corrective action not closed: use Fail, then Pass after CA","")&amp;IF(AND(TRIM(AA537)&lt;&gt;"",TRIM(AB537)=""),"INVALID – CA status missing for the recorded corrective action","")&amp;IF(AND(TRIM(U537)="Pass after CA",OR(TRIM(AA537)="",TRIM(AB537)&lt;&gt;"Closed")),"INVALID – corrective action not recorded/closed",""),IF(AND(AS537=1,Documents!$J$21&lt;&gt;"ON FILE"),"INVALID – GLD not on file (Documents sheet)",IF(AND(AS537=2,Documents!$O$21&lt;&gt;"ON FILE"),"INVALID – menu checklist not on file (Documents sheet)",IF(AND(AS537=3,NOT(ISNUMBER(Flights!$AX$21))),"INVALID – enter carrying flight KUL departure (Flights AX)",IF(AND(AS537=3,OR(Flights!$AX$21&gt;=Flights!$AA$21,Flights!$AX$21&lt;Flights!$AA$21-3)),"INVALID – Flights AX must be before this leg's STD (within 3 days)",IF(AG537&gt;AsOfUTC,"INVALID – completion time is in the future",IF(AND(ISNUMBER(S537),AG537&lt;S537),IF(H537="Physical uplift","INVALID – before uplift window (cannot confirm loading)","INVALID – before valid window"),IF(AG537&gt;Flights!$AA$21,"INVALID – completed after departure (cannot establish readiness)",IF(AND(H537="Physical uplift",AG537&gt;Q537),"INVALID – recorded after the loading flight departed",IF(AG537&gt;Q537,"COMPLETE – LATE","COMPLETE")))))))))))))))))),IF(TRIM(U537)="Fail","FAIL – DISCREPANCY",IF(AND(TRIM(U537)&lt;&gt;"",TRIM(U537)&lt;&gt;"Not started",TRIM(U537)&lt;&gt;"In progress"),"INVALID – unrecognised status (use the list)",IF(AsOfUTC&gt;Q537,"OVERDUE",IF(N537="Clarification required","OPEN – CLARIFICATION","OPEN")))))))</f>
        <v>OPEN</v>
      </c>
      <c r="AI537" s="61" t="n">
        <f aca="false">IF(OR(AH537="N/A – RULE",AH537="N/A – JUSTIFIED"),0,1)</f>
        <v>1</v>
      </c>
      <c r="AJ537" s="61" t="n">
        <f aca="false">IF(LEFT(AH537,8)="COMPLETE",1,0)</f>
        <v>0</v>
      </c>
      <c r="AK537" s="61" t="n">
        <f aca="false">IF(AND(AI537=1,AJ537=0,AsOfUTC&gt;Q537),1,0)</f>
        <v>0</v>
      </c>
      <c r="AL537" s="61" t="n">
        <f aca="false">IF(AND(AI537=1,OR(TRIM(U537)="Fail",AND(TRIM(AB537)&lt;&gt;"",TRIM(AB537)&lt;&gt;"Closed"),AND(ISNUMBER(AF537),AF537&lt;&gt;0,TRIM(U537)&lt;&gt;"Pass after CA"))),1,0)</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row>
    <row r="538" customFormat="false" ht="39.75" hidden="false" customHeight="true" outlineLevel="0" collapsed="false">
      <c r="A538" s="57" t="s">
        <v>1167</v>
      </c>
      <c r="B538" s="57" t="s">
        <v>282</v>
      </c>
      <c r="C538" s="57" t="str">
        <f aca="false">Flights!$F$21</f>
        <v>MH0073</v>
      </c>
      <c r="D538" s="58" t="n">
        <f aca="false">Flights!$D$21</f>
        <v>46322</v>
      </c>
      <c r="E538" s="57" t="str">
        <f aca="false">Flights!$G$21&amp;"-"&amp;Flights!$H$21</f>
        <v>HKG-KUL</v>
      </c>
      <c r="F538" s="57" t="str">
        <f aca="false">Flights!$K$21</f>
        <v>BC</v>
      </c>
      <c r="G538" s="57" t="s">
        <v>76</v>
      </c>
      <c r="H538" s="57" t="s">
        <v>343</v>
      </c>
      <c r="I538" s="57" t="s">
        <v>370</v>
      </c>
      <c r="J538" s="57" t="s">
        <v>374</v>
      </c>
      <c r="K538" s="67" t="s">
        <v>372</v>
      </c>
      <c r="L538" s="67" t="s">
        <v>347</v>
      </c>
      <c r="M538" s="67"/>
      <c r="N538" s="67" t="s">
        <v>348</v>
      </c>
      <c r="O538" s="67"/>
      <c r="P538" s="57" t="s">
        <v>274</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59" t="n">
        <f aca="false">Q538-T7EarlyD*24/24</f>
        <v>46301.2847222222</v>
      </c>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IF(N538="N/A – rule","N/A – RULE",IF(TRIM(U538)="N/A",IF(AT538=0,"INVALID – N/A not permitted for this mandatory check",IF(AND(TRIM(AC538)&lt;&gt;"",TRIM(AE538)&lt;&gt;"",TRIM(T538)&lt;&gt;"",TRIM(AE538)&lt;&gt;TRIM(T538)),"N/A – JUSTIFIED","INVALID – N/A needs justification, PIC and a different verifier")),IF(OR(TRIM(U538)="Pass",TRIM(U538)="Pass after CA"),IF(NOT(ISNUMBER(AD538)),"INVALID – completion time missing",IF(TRIM(T538)="","INVALID – PIC missing",IF(TRIM(V538)="","INVALID – result / assessment missing",IF(TRIM(Z538)="","INVALID – evidence missing",IF(TRIM(AE538)="","INVALID – verifier missing",IF(TRIM(AE538)=TRIM(T538),"INVALID – verifier must be someone other than the PIC",IF(AND(AQ538=1,TRIM(W538)=""),"INVALID – batch ID missing",IF(AND(AR538=1,OR(NOT(ISNUMBER(X538)),NOT(ISNUMBER(Y538)))),"INVALID – expected/actual qty missing",IF(IF(AND(TRIM(U538)="Pass",ISNUMBER(AF538)),IF(AF538&lt;&gt;0,"INVALID – qty variance: use Fail or Pass after CA",""),"")&amp;IF(AND(TRIM(U538)="Pass",TRIM(AB538)&lt;&gt;"",TRIM(AB538)&lt;&gt;"Closed"),"INVALID – corrective action not closed: use Fail, then Pass after CA","")&amp;IF(AND(TRIM(AA538)&lt;&gt;"",TRIM(AB538)=""),"INVALID – CA status missing for the recorded corrective action","")&amp;IF(AND(TRIM(U538)="Pass after CA",OR(TRIM(AA538)="",TRIM(AB538)&lt;&gt;"Closed")),"INVALID – corrective action not recorded/closed","")&lt;&gt;"",IF(AND(TRIM(U538)="Pass",ISNUMBER(AF538)),IF(AF538&lt;&gt;0,"INVALID – qty variance: use Fail or Pass after CA",""),"")&amp;IF(AND(TRIM(U538)="Pass",TRIM(AB538)&lt;&gt;"",TRIM(AB538)&lt;&gt;"Closed"),"INVALID – corrective action not closed: use Fail, then Pass after CA","")&amp;IF(AND(TRIM(AA538)&lt;&gt;"",TRIM(AB538)=""),"INVALID – CA status missing for the recorded corrective action","")&amp;IF(AND(TRIM(U538)="Pass after CA",OR(TRIM(AA538)="",TRIM(AB538)&lt;&gt;"Closed")),"INVALID – corrective action not recorded/closed",""),IF(AND(AS538=1,Documents!$J$21&lt;&gt;"ON FILE"),"INVALID – GLD not on file (Documents sheet)",IF(AND(AS538=2,Documents!$O$21&lt;&gt;"ON FILE"),"INVALID – menu checklist not on file (Documents sheet)",IF(AND(AS538=3,NOT(ISNUMBER(Flights!$AX$21))),"INVALID – enter carrying flight KUL departure (Flights AX)",IF(AND(AS538=3,OR(Flights!$AX$21&gt;=Flights!$AA$21,Flights!$AX$21&lt;Flights!$AA$21-3)),"INVALID – Flights AX must be before this leg's STD (within 3 days)",IF(AG538&gt;AsOfUTC,"INVALID – completion time is in the future",IF(AND(ISNUMBER(S538),AG538&lt;S538),IF(H538="Physical uplift","INVALID – before uplift window (cannot confirm loading)","INVALID – before valid window"),IF(AG538&gt;Flights!$AA$21,"INVALID – completed after departure (cannot establish readiness)",IF(AND(H538="Physical uplift",AG538&gt;Q538),"INVALID – recorded after the loading flight departed",IF(AG538&gt;Q538,"COMPLETE – LATE","COMPLETE")))))))))))))))))),IF(TRIM(U538)="Fail","FAIL – DISCREPANCY",IF(AND(TRIM(U538)&lt;&gt;"",TRIM(U538)&lt;&gt;"Not started",TRIM(U538)&lt;&gt;"In progress"),"INVALID – unrecognised status (use the list)",IF(AsOfUTC&gt;Q538,"OVERDUE",IF(N538="Clarification required","OPEN – CLARIFICATION","OPEN")))))))</f>
        <v>OPEN</v>
      </c>
      <c r="AI538" s="61" t="n">
        <f aca="false">IF(OR(AH538="N/A – RULE",AH538="N/A – JUSTIFIED"),0,1)</f>
        <v>1</v>
      </c>
      <c r="AJ538" s="61" t="n">
        <f aca="false">IF(LEFT(AH538,8)="COMPLETE",1,0)</f>
        <v>0</v>
      </c>
      <c r="AK538" s="61" t="n">
        <f aca="false">IF(AND(AI538=1,AJ538=0,AsOfUTC&gt;Q538),1,0)</f>
        <v>0</v>
      </c>
      <c r="AL538" s="61" t="n">
        <f aca="false">IF(AND(AI538=1,OR(TRIM(U538)="Fail",AND(TRIM(AB538)&lt;&gt;"",TRIM(AB538)&lt;&gt;"Closed"),AND(ISNUMBER(AF538),AF538&lt;&gt;0,TRIM(U538)&lt;&gt;"Pass after CA"))),1,0)</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row>
    <row r="539" customFormat="false" ht="39.75" hidden="false" customHeight="true" outlineLevel="0" collapsed="false">
      <c r="A539" s="57" t="s">
        <v>1168</v>
      </c>
      <c r="B539" s="57" t="s">
        <v>282</v>
      </c>
      <c r="C539" s="57" t="str">
        <f aca="false">Flights!$F$21</f>
        <v>MH0073</v>
      </c>
      <c r="D539" s="58" t="n">
        <f aca="false">Flights!$D$21</f>
        <v>46322</v>
      </c>
      <c r="E539" s="57" t="str">
        <f aca="false">Flights!$G$21&amp;"-"&amp;Flights!$H$21</f>
        <v>HKG-KUL</v>
      </c>
      <c r="F539" s="57" t="str">
        <f aca="false">Flights!$K$21</f>
        <v>BC</v>
      </c>
      <c r="G539" s="57" t="s">
        <v>76</v>
      </c>
      <c r="H539" s="57" t="s">
        <v>343</v>
      </c>
      <c r="I539" s="57" t="s">
        <v>376</v>
      </c>
      <c r="J539" s="57" t="s">
        <v>377</v>
      </c>
      <c r="K539" s="67" t="s">
        <v>1169</v>
      </c>
      <c r="L539" s="67" t="s">
        <v>1133</v>
      </c>
      <c r="M539" s="67"/>
      <c r="N539" s="67" t="s">
        <v>348</v>
      </c>
      <c r="O539" s="67"/>
      <c r="P539" s="57" t="s">
        <v>274</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59" t="n">
        <f aca="false">Q539-T7EarlyD*24/24</f>
        <v>46301.2847222222</v>
      </c>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IF(N539="N/A – rule","N/A – RULE",IF(TRIM(U539)="N/A",IF(AT539=0,"INVALID – N/A not permitted for this mandatory check",IF(AND(TRIM(AC539)&lt;&gt;"",TRIM(AE539)&lt;&gt;"",TRIM(T539)&lt;&gt;"",TRIM(AE539)&lt;&gt;TRIM(T539)),"N/A – JUSTIFIED","INVALID – N/A needs justification, PIC and a different verifier")),IF(OR(TRIM(U539)="Pass",TRIM(U539)="Pass after CA"),IF(NOT(ISNUMBER(AD539)),"INVALID – completion time missing",IF(TRIM(T539)="","INVALID – PIC missing",IF(TRIM(V539)="","INVALID – result / assessment missing",IF(TRIM(Z539)="","INVALID – evidence missing",IF(TRIM(AE539)="","INVALID – verifier missing",IF(TRIM(AE539)=TRIM(T539),"INVALID – verifier must be someone other than the PIC",IF(AND(AQ539=1,TRIM(W539)=""),"INVALID – batch ID missing",IF(AND(AR539=1,OR(NOT(ISNUMBER(X539)),NOT(ISNUMBER(Y539)))),"INVALID – expected/actual qty missing",IF(IF(AND(TRIM(U539)="Pass",ISNUMBER(AF539)),IF(AF539&lt;&gt;0,"INVALID – qty variance: use Fail or Pass after CA",""),"")&amp;IF(AND(TRIM(U539)="Pass",TRIM(AB539)&lt;&gt;"",TRIM(AB539)&lt;&gt;"Closed"),"INVALID – corrective action not closed: use Fail, then Pass after CA","")&amp;IF(AND(TRIM(AA539)&lt;&gt;"",TRIM(AB539)=""),"INVALID – CA status missing for the recorded corrective action","")&amp;IF(AND(TRIM(U539)="Pass after CA",OR(TRIM(AA539)="",TRIM(AB539)&lt;&gt;"Closed")),"INVALID – corrective action not recorded/closed","")&lt;&gt;"",IF(AND(TRIM(U539)="Pass",ISNUMBER(AF539)),IF(AF539&lt;&gt;0,"INVALID – qty variance: use Fail or Pass after CA",""),"")&amp;IF(AND(TRIM(U539)="Pass",TRIM(AB539)&lt;&gt;"",TRIM(AB539)&lt;&gt;"Closed"),"INVALID – corrective action not closed: use Fail, then Pass after CA","")&amp;IF(AND(TRIM(AA539)&lt;&gt;"",TRIM(AB539)=""),"INVALID – CA status missing for the recorded corrective action","")&amp;IF(AND(TRIM(U539)="Pass after CA",OR(TRIM(AA539)="",TRIM(AB539)&lt;&gt;"Closed")),"INVALID – corrective action not recorded/closed",""),IF(AND(AS539=1,Documents!$J$21&lt;&gt;"ON FILE"),"INVALID – GLD not on file (Documents sheet)",IF(AND(AS539=2,Documents!$O$21&lt;&gt;"ON FILE"),"INVALID – menu checklist not on file (Documents sheet)",IF(AND(AS539=3,NOT(ISNUMBER(Flights!$AX$21))),"INVALID – enter carrying flight KUL departure (Flights AX)",IF(AND(AS539=3,OR(Flights!$AX$21&gt;=Flights!$AA$21,Flights!$AX$21&lt;Flights!$AA$21-3)),"INVALID – Flights AX must be before this leg's STD (within 3 days)",IF(AG539&gt;AsOfUTC,"INVALID – completion time is in the future",IF(AND(ISNUMBER(S539),AG539&lt;S539),IF(H539="Physical uplift","INVALID – before uplift window (cannot confirm loading)","INVALID – before valid window"),IF(AG539&gt;Flights!$AA$21,"INVALID – completed after departure (cannot establish readiness)",IF(AND(H539="Physical uplift",AG539&gt;Q539),"INVALID – recorded after the loading flight departed",IF(AG539&gt;Q539,"COMPLETE – LATE","COMPLETE")))))))))))))))))),IF(TRIM(U539)="Fail","FAIL – DISCREPANCY",IF(AND(TRIM(U539)&lt;&gt;"",TRIM(U539)&lt;&gt;"Not started",TRIM(U539)&lt;&gt;"In progress"),"INVALID – unrecognised status (use the list)",IF(AsOfUTC&gt;Q539,"OVERDUE",IF(N539="Clarification required","OPEN – CLARIFICATION","OPEN")))))))</f>
        <v>OPEN</v>
      </c>
      <c r="AI539" s="61" t="n">
        <f aca="false">IF(OR(AH539="N/A – RULE",AH539="N/A – JUSTIFIED"),0,1)</f>
        <v>1</v>
      </c>
      <c r="AJ539" s="61" t="n">
        <f aca="false">IF(LEFT(AH539,8)="COMPLETE",1,0)</f>
        <v>0</v>
      </c>
      <c r="AK539" s="61" t="n">
        <f aca="false">IF(AND(AI539=1,AJ539=0,AsOfUTC&gt;Q539),1,0)</f>
        <v>0</v>
      </c>
      <c r="AL539" s="61" t="n">
        <f aca="false">IF(AND(AI539=1,OR(TRIM(U539)="Fail",AND(TRIM(AB539)&lt;&gt;"",TRIM(AB539)&lt;&gt;"Closed"),AND(ISNUMBER(AF539),AF539&lt;&gt;0,TRIM(U539)&lt;&gt;"Pass after CA"))),1,0)</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row>
    <row r="540" customFormat="false" ht="91.5" hidden="false" customHeight="true" outlineLevel="0" collapsed="false">
      <c r="A540" s="57" t="s">
        <v>1170</v>
      </c>
      <c r="B540" s="57" t="s">
        <v>282</v>
      </c>
      <c r="C540" s="57" t="str">
        <f aca="false">Flights!$F$21</f>
        <v>MH0073</v>
      </c>
      <c r="D540" s="58" t="n">
        <f aca="false">Flights!$D$21</f>
        <v>46322</v>
      </c>
      <c r="E540" s="57" t="str">
        <f aca="false">Flights!$G$21&amp;"-"&amp;Flights!$H$21</f>
        <v>HKG-KUL</v>
      </c>
      <c r="F540" s="57" t="str">
        <f aca="false">Flights!$K$21</f>
        <v>BC</v>
      </c>
      <c r="G540" s="57" t="s">
        <v>76</v>
      </c>
      <c r="H540" s="57" t="s">
        <v>343</v>
      </c>
      <c r="I540" s="57" t="s">
        <v>376</v>
      </c>
      <c r="J540" s="57" t="s">
        <v>1171</v>
      </c>
      <c r="K540" s="67" t="s">
        <v>1172</v>
      </c>
      <c r="L540" s="67" t="s">
        <v>639</v>
      </c>
      <c r="M540" s="67"/>
      <c r="N540" s="67" t="s">
        <v>409</v>
      </c>
      <c r="O540" s="67" t="s">
        <v>1173</v>
      </c>
      <c r="P540" s="57" t="s">
        <v>179</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59" t="n">
        <f aca="false">Q540-T7EarlyD*24/24</f>
        <v>46301.2847222222</v>
      </c>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IF(N540="N/A – rule","N/A – RULE",IF(TRIM(U540)="N/A",IF(AT540=0,"INVALID – N/A not permitted for this mandatory check",IF(AND(TRIM(AC540)&lt;&gt;"",TRIM(AE540)&lt;&gt;"",TRIM(T540)&lt;&gt;"",TRIM(AE540)&lt;&gt;TRIM(T540)),"N/A – JUSTIFIED","INVALID – N/A needs justification, PIC and a different verifier")),IF(OR(TRIM(U540)="Pass",TRIM(U540)="Pass after CA"),IF(NOT(ISNUMBER(AD540)),"INVALID – completion time missing",IF(TRIM(T540)="","INVALID – PIC missing",IF(TRIM(V540)="","INVALID – result / assessment missing",IF(TRIM(Z540)="","INVALID – evidence missing",IF(TRIM(AE540)="","INVALID – verifier missing",IF(TRIM(AE540)=TRIM(T540),"INVALID – verifier must be someone other than the PIC",IF(AND(AQ540=1,TRIM(W540)=""),"INVALID – batch ID missing",IF(AND(AR540=1,OR(NOT(ISNUMBER(X540)),NOT(ISNUMBER(Y540)))),"INVALID – expected/actual qty missing",IF(IF(AND(TRIM(U540)="Pass",ISNUMBER(AF540)),IF(AF540&lt;&gt;0,"INVALID – qty variance: use Fail or Pass after CA",""),"")&amp;IF(AND(TRIM(U540)="Pass",TRIM(AB540)&lt;&gt;"",TRIM(AB540)&lt;&gt;"Closed"),"INVALID – corrective action not closed: use Fail, then Pass after CA","")&amp;IF(AND(TRIM(AA540)&lt;&gt;"",TRIM(AB540)=""),"INVALID – CA status missing for the recorded corrective action","")&amp;IF(AND(TRIM(U540)="Pass after CA",OR(TRIM(AA540)="",TRIM(AB540)&lt;&gt;"Closed")),"INVALID – corrective action not recorded/closed","")&lt;&gt;"",IF(AND(TRIM(U540)="Pass",ISNUMBER(AF540)),IF(AF540&lt;&gt;0,"INVALID – qty variance: use Fail or Pass after CA",""),"")&amp;IF(AND(TRIM(U540)="Pass",TRIM(AB540)&lt;&gt;"",TRIM(AB540)&lt;&gt;"Closed"),"INVALID – corrective action not closed: use Fail, then Pass after CA","")&amp;IF(AND(TRIM(AA540)&lt;&gt;"",TRIM(AB540)=""),"INVALID – CA status missing for the recorded corrective action","")&amp;IF(AND(TRIM(U540)="Pass after CA",OR(TRIM(AA540)="",TRIM(AB540)&lt;&gt;"Closed")),"INVALID – corrective action not recorded/closed",""),IF(AND(AS540=1,Documents!$J$21&lt;&gt;"ON FILE"),"INVALID – GLD not on file (Documents sheet)",IF(AND(AS540=2,Documents!$O$21&lt;&gt;"ON FILE"),"INVALID – menu checklist not on file (Documents sheet)",IF(AND(AS540=3,NOT(ISNUMBER(Flights!$AX$21))),"INVALID – enter carrying flight KUL departure (Flights AX)",IF(AND(AS540=3,OR(Flights!$AX$21&gt;=Flights!$AA$21,Flights!$AX$21&lt;Flights!$AA$21-3)),"INVALID – Flights AX must be before this leg's STD (within 3 days)",IF(AG540&gt;AsOfUTC,"INVALID – completion time is in the future",IF(AND(ISNUMBER(S540),AG540&lt;S540),IF(H540="Physical uplift","INVALID – before uplift window (cannot confirm loading)","INVALID – before valid window"),IF(AG540&gt;Flights!$AA$21,"INVALID – completed after departure (cannot establish readiness)",IF(AND(H540="Physical uplift",AG540&gt;Q540),"INVALID – recorded after the loading flight departed",IF(AG540&gt;Q540,"COMPLETE – LATE","COMPLETE")))))))))))))))))),IF(TRIM(U540)="Fail","FAIL – DISCREPANCY",IF(AND(TRIM(U540)&lt;&gt;"",TRIM(U540)&lt;&gt;"Not started",TRIM(U540)&lt;&gt;"In progress"),"INVALID – unrecognised status (use the list)",IF(AsOfUTC&gt;Q540,"OVERDUE",IF(N540="Clarification required","OPEN – CLARIFICATION","OPEN")))))))</f>
        <v>OPEN – CLARIFICATION</v>
      </c>
      <c r="AI540" s="61" t="n">
        <f aca="false">IF(OR(AH540="N/A – RULE",AH540="N/A – JUSTIFIED"),0,1)</f>
        <v>1</v>
      </c>
      <c r="AJ540" s="61" t="n">
        <f aca="false">IF(LEFT(AH540,8)="COMPLETE",1,0)</f>
        <v>0</v>
      </c>
      <c r="AK540" s="61" t="n">
        <f aca="false">IF(AND(AI540=1,AJ540=0,AsOfUTC&gt;Q540),1,0)</f>
        <v>0</v>
      </c>
      <c r="AL540" s="61" t="n">
        <f aca="false">IF(AND(AI540=1,OR(TRIM(U540)="Fail",AND(TRIM(AB540)&lt;&gt;"",TRIM(AB540)&lt;&gt;"Closed"),AND(ISNUMBER(AF540),AF540&lt;&gt;0,TRIM(U540)&lt;&gt;"Pass after CA"))),1,0)</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8" t="b">
        <f aca="false">FALSE()</f>
        <v>0</v>
      </c>
    </row>
    <row r="541" customFormat="false" ht="39.75" hidden="false" customHeight="true" outlineLevel="0" collapsed="false">
      <c r="A541" s="57" t="s">
        <v>1174</v>
      </c>
      <c r="B541" s="57" t="s">
        <v>282</v>
      </c>
      <c r="C541" s="57" t="str">
        <f aca="false">Flights!$F$21</f>
        <v>MH0073</v>
      </c>
      <c r="D541" s="58" t="n">
        <f aca="false">Flights!$D$21</f>
        <v>46322</v>
      </c>
      <c r="E541" s="57" t="str">
        <f aca="false">Flights!$G$21&amp;"-"&amp;Flights!$H$21</f>
        <v>HKG-KUL</v>
      </c>
      <c r="F541" s="57" t="str">
        <f aca="false">Flights!$K$21</f>
        <v>BC</v>
      </c>
      <c r="G541" s="57" t="s">
        <v>78</v>
      </c>
      <c r="H541" s="57" t="s">
        <v>343</v>
      </c>
      <c r="I541" s="57" t="s">
        <v>344</v>
      </c>
      <c r="J541" s="57" t="s">
        <v>381</v>
      </c>
      <c r="K541" s="67" t="s">
        <v>382</v>
      </c>
      <c r="L541" s="67" t="s">
        <v>383</v>
      </c>
      <c r="M541" s="67"/>
      <c r="N541" s="67" t="s">
        <v>348</v>
      </c>
      <c r="O541" s="67"/>
      <c r="P541" s="57" t="s">
        <v>274</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59" t="n">
        <f aca="false">Q541-T24EarlyH/24</f>
        <v>46320.2847222222</v>
      </c>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IF(N541="N/A – rule","N/A – RULE",IF(TRIM(U541)="N/A",IF(AT541=0,"INVALID – N/A not permitted for this mandatory check",IF(AND(TRIM(AC541)&lt;&gt;"",TRIM(AE541)&lt;&gt;"",TRIM(T541)&lt;&gt;"",TRIM(AE541)&lt;&gt;TRIM(T541)),"N/A – JUSTIFIED","INVALID – N/A needs justification, PIC and a different verifier")),IF(OR(TRIM(U541)="Pass",TRIM(U541)="Pass after CA"),IF(NOT(ISNUMBER(AD541)),"INVALID – completion time missing",IF(TRIM(T541)="","INVALID – PIC missing",IF(TRIM(V541)="","INVALID – result / assessment missing",IF(TRIM(Z541)="","INVALID – evidence missing",IF(TRIM(AE541)="","INVALID – verifier missing",IF(TRIM(AE541)=TRIM(T541),"INVALID – verifier must be someone other than the PIC",IF(AND(AQ541=1,TRIM(W541)=""),"INVALID – batch ID missing",IF(AND(AR541=1,OR(NOT(ISNUMBER(X541)),NOT(ISNUMBER(Y541)))),"INVALID – expected/actual qty missing",IF(IF(AND(TRIM(U541)="Pass",ISNUMBER(AF541)),IF(AF541&lt;&gt;0,"INVALID – qty variance: use Fail or Pass after CA",""),"")&amp;IF(AND(TRIM(U541)="Pass",TRIM(AB541)&lt;&gt;"",TRIM(AB541)&lt;&gt;"Closed"),"INVALID – corrective action not closed: use Fail, then Pass after CA","")&amp;IF(AND(TRIM(AA541)&lt;&gt;"",TRIM(AB541)=""),"INVALID – CA status missing for the recorded corrective action","")&amp;IF(AND(TRIM(U541)="Pass after CA",OR(TRIM(AA541)="",TRIM(AB541)&lt;&gt;"Closed")),"INVALID – corrective action not recorded/closed","")&lt;&gt;"",IF(AND(TRIM(U541)="Pass",ISNUMBER(AF541)),IF(AF541&lt;&gt;0,"INVALID – qty variance: use Fail or Pass after CA",""),"")&amp;IF(AND(TRIM(U541)="Pass",TRIM(AB541)&lt;&gt;"",TRIM(AB541)&lt;&gt;"Closed"),"INVALID – corrective action not closed: use Fail, then Pass after CA","")&amp;IF(AND(TRIM(AA541)&lt;&gt;"",TRIM(AB541)=""),"INVALID – CA status missing for the recorded corrective action","")&amp;IF(AND(TRIM(U541)="Pass after CA",OR(TRIM(AA541)="",TRIM(AB541)&lt;&gt;"Closed")),"INVALID – corrective action not recorded/closed",""),IF(AND(AS541=1,Documents!$J$21&lt;&gt;"ON FILE"),"INVALID – GLD not on file (Documents sheet)",IF(AND(AS541=2,Documents!$O$21&lt;&gt;"ON FILE"),"INVALID – menu checklist not on file (Documents sheet)",IF(AND(AS541=3,NOT(ISNUMBER(Flights!$AX$21))),"INVALID – enter carrying flight KUL departure (Flights AX)",IF(AND(AS541=3,OR(Flights!$AX$21&gt;=Flights!$AA$21,Flights!$AX$21&lt;Flights!$AA$21-3)),"INVALID – Flights AX must be before this leg's STD (within 3 days)",IF(AG541&gt;AsOfUTC,"INVALID – completion time is in the future",IF(AND(ISNUMBER(S541),AG541&lt;S541),IF(H541="Physical uplift","INVALID – before uplift window (cannot confirm loading)","INVALID – before valid window"),IF(AG541&gt;Flights!$AA$21,"INVALID – completed after departure (cannot establish readiness)",IF(AND(H541="Physical uplift",AG541&gt;Q541),"INVALID – recorded after the loading flight departed",IF(AG541&gt;Q541,"COMPLETE – LATE","COMPLETE")))))))))))))))))),IF(TRIM(U541)="Fail","FAIL – DISCREPANCY",IF(AND(TRIM(U541)&lt;&gt;"",TRIM(U541)&lt;&gt;"Not started",TRIM(U541)&lt;&gt;"In progress"),"INVALID – unrecognised status (use the list)",IF(AsOfUTC&gt;Q541,"OVERDUE",IF(N541="Clarification required","OPEN – CLARIFICATION","OPEN")))))))</f>
        <v>OPEN</v>
      </c>
      <c r="AI541" s="61" t="n">
        <f aca="false">IF(OR(AH541="N/A – RULE",AH541="N/A – JUSTIFIED"),0,1)</f>
        <v>1</v>
      </c>
      <c r="AJ541" s="61" t="n">
        <f aca="false">IF(LEFT(AH541,8)="COMPLETE",1,0)</f>
        <v>0</v>
      </c>
      <c r="AK541" s="61" t="n">
        <f aca="false">IF(AND(AI541=1,AJ541=0,AsOfUTC&gt;Q541),1,0)</f>
        <v>0</v>
      </c>
      <c r="AL541" s="61" t="n">
        <f aca="false">IF(AND(AI541=1,OR(TRIM(U541)="Fail",AND(TRIM(AB541)&lt;&gt;"",TRIM(AB541)&lt;&gt;"Closed"),AND(ISNUMBER(AF541),AF541&lt;&gt;0,TRIM(U541)&lt;&gt;"Pass after CA"))),1,0)</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row>
    <row r="542" customFormat="false" ht="39.75" hidden="false" customHeight="true" outlineLevel="0" collapsed="false">
      <c r="A542" s="57" t="s">
        <v>1175</v>
      </c>
      <c r="B542" s="57" t="s">
        <v>282</v>
      </c>
      <c r="C542" s="57" t="str">
        <f aca="false">Flights!$F$21</f>
        <v>MH0073</v>
      </c>
      <c r="D542" s="58" t="n">
        <f aca="false">Flights!$D$21</f>
        <v>46322</v>
      </c>
      <c r="E542" s="57" t="str">
        <f aca="false">Flights!$G$21&amp;"-"&amp;Flights!$H$21</f>
        <v>HKG-KUL</v>
      </c>
      <c r="F542" s="57" t="str">
        <f aca="false">Flights!$K$21</f>
        <v>BC</v>
      </c>
      <c r="G542" s="57" t="s">
        <v>385</v>
      </c>
      <c r="H542" s="57" t="s">
        <v>343</v>
      </c>
      <c r="I542" s="57" t="s">
        <v>344</v>
      </c>
      <c r="J542" s="57" t="s">
        <v>386</v>
      </c>
      <c r="K542" s="67"/>
      <c r="L542" s="67" t="s">
        <v>387</v>
      </c>
      <c r="M542" s="67"/>
      <c r="N542" s="67" t="s">
        <v>348</v>
      </c>
      <c r="O542" s="67" t="s">
        <v>388</v>
      </c>
      <c r="P542" s="57" t="s">
        <v>274</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59" t="n">
        <f aca="false">Q542-T12EarlyH/24</f>
        <v>46321.2847222222</v>
      </c>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IF(N542="N/A – rule","N/A – RULE",IF(TRIM(U542)="N/A",IF(AT542=0,"INVALID – N/A not permitted for this mandatory check",IF(AND(TRIM(AC542)&lt;&gt;"",TRIM(AE542)&lt;&gt;"",TRIM(T542)&lt;&gt;"",TRIM(AE542)&lt;&gt;TRIM(T542)),"N/A – JUSTIFIED","INVALID – N/A needs justification, PIC and a different verifier")),IF(OR(TRIM(U542)="Pass",TRIM(U542)="Pass after CA"),IF(NOT(ISNUMBER(AD542)),"INVALID – completion time missing",IF(TRIM(T542)="","INVALID – PIC missing",IF(TRIM(V542)="","INVALID – result / assessment missing",IF(TRIM(Z542)="","INVALID – evidence missing",IF(TRIM(AE542)="","INVALID – verifier missing",IF(TRIM(AE542)=TRIM(T542),"INVALID – verifier must be someone other than the PIC",IF(AND(AQ542=1,TRIM(W542)=""),"INVALID – batch ID missing",IF(AND(AR542=1,OR(NOT(ISNUMBER(X542)),NOT(ISNUMBER(Y542)))),"INVALID – expected/actual qty missing",IF(IF(AND(TRIM(U542)="Pass",ISNUMBER(AF542)),IF(AF542&lt;&gt;0,"INVALID – qty variance: use Fail or Pass after CA",""),"")&amp;IF(AND(TRIM(U542)="Pass",TRIM(AB542)&lt;&gt;"",TRIM(AB542)&lt;&gt;"Closed"),"INVALID – corrective action not closed: use Fail, then Pass after CA","")&amp;IF(AND(TRIM(AA542)&lt;&gt;"",TRIM(AB542)=""),"INVALID – CA status missing for the recorded corrective action","")&amp;IF(AND(TRIM(U542)="Pass after CA",OR(TRIM(AA542)="",TRIM(AB542)&lt;&gt;"Closed")),"INVALID – corrective action not recorded/closed","")&lt;&gt;"",IF(AND(TRIM(U542)="Pass",ISNUMBER(AF542)),IF(AF542&lt;&gt;0,"INVALID – qty variance: use Fail or Pass after CA",""),"")&amp;IF(AND(TRIM(U542)="Pass",TRIM(AB542)&lt;&gt;"",TRIM(AB542)&lt;&gt;"Closed"),"INVALID – corrective action not closed: use Fail, then Pass after CA","")&amp;IF(AND(TRIM(AA542)&lt;&gt;"",TRIM(AB542)=""),"INVALID – CA status missing for the recorded corrective action","")&amp;IF(AND(TRIM(U542)="Pass after CA",OR(TRIM(AA542)="",TRIM(AB542)&lt;&gt;"Closed")),"INVALID – corrective action not recorded/closed",""),IF(AND(AS542=1,Documents!$J$21&lt;&gt;"ON FILE"),"INVALID – GLD not on file (Documents sheet)",IF(AND(AS542=2,Documents!$O$21&lt;&gt;"ON FILE"),"INVALID – menu checklist not on file (Documents sheet)",IF(AND(AS542=3,NOT(ISNUMBER(Flights!$AX$21))),"INVALID – enter carrying flight KUL departure (Flights AX)",IF(AND(AS542=3,OR(Flights!$AX$21&gt;=Flights!$AA$21,Flights!$AX$21&lt;Flights!$AA$21-3)),"INVALID – Flights AX must be before this leg's STD (within 3 days)",IF(AG542&gt;AsOfUTC,"INVALID – completion time is in the future",IF(AND(ISNUMBER(S542),AG542&lt;S542),IF(H542="Physical uplift","INVALID – before uplift window (cannot confirm loading)","INVALID – before valid window"),IF(AG542&gt;Flights!$AA$21,"INVALID – completed after departure (cannot establish readiness)",IF(AND(H542="Physical uplift",AG542&gt;Q542),"INVALID – recorded after the loading flight departed",IF(AG542&gt;Q542,"COMPLETE – LATE","COMPLETE")))))))))))))))))),IF(TRIM(U542)="Fail","FAIL – DISCREPANCY",IF(AND(TRIM(U542)&lt;&gt;"",TRIM(U542)&lt;&gt;"Not started",TRIM(U542)&lt;&gt;"In progress"),"INVALID – unrecognised status (use the list)",IF(AsOfUTC&gt;Q542,"OVERDUE",IF(N542="Clarification required","OPEN – CLARIFICATION","OPEN")))))))</f>
        <v>OPEN</v>
      </c>
      <c r="AI542" s="61" t="n">
        <f aca="false">IF(OR(AH542="N/A – RULE",AH542="N/A – JUSTIFIED"),0,1)</f>
        <v>1</v>
      </c>
      <c r="AJ542" s="61" t="n">
        <f aca="false">IF(LEFT(AH542,8)="COMPLETE",1,0)</f>
        <v>0</v>
      </c>
      <c r="AK542" s="61" t="n">
        <f aca="false">IF(AND(AI542=1,AJ542=0,AsOfUTC&gt;Q542),1,0)</f>
        <v>0</v>
      </c>
      <c r="AL542" s="61" t="n">
        <f aca="false">IF(AND(AI542=1,OR(TRIM(U542)="Fail",AND(TRIM(AB542)&lt;&gt;"",TRIM(AB542)&lt;&gt;"Closed"),AND(ISNUMBER(AF542),AF542&lt;&gt;0,TRIM(U542)&lt;&gt;"Pass after CA"))),1,0)</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row>
    <row r="543" customFormat="false" ht="39.75" hidden="false" customHeight="true" outlineLevel="0" collapsed="false">
      <c r="A543" s="57" t="s">
        <v>1176</v>
      </c>
      <c r="B543" s="57" t="s">
        <v>282</v>
      </c>
      <c r="C543" s="57" t="str">
        <f aca="false">Flights!$F$21</f>
        <v>MH0073</v>
      </c>
      <c r="D543" s="58" t="n">
        <f aca="false">Flights!$D$21</f>
        <v>46322</v>
      </c>
      <c r="E543" s="57" t="str">
        <f aca="false">Flights!$G$21&amp;"-"&amp;Flights!$H$21</f>
        <v>HKG-KUL</v>
      </c>
      <c r="F543" s="57" t="str">
        <f aca="false">Flights!$K$21</f>
        <v>BC</v>
      </c>
      <c r="G543" s="57" t="s">
        <v>385</v>
      </c>
      <c r="H543" s="57" t="s">
        <v>343</v>
      </c>
      <c r="I543" s="57" t="s">
        <v>344</v>
      </c>
      <c r="J543" s="57" t="s">
        <v>390</v>
      </c>
      <c r="K543" s="67" t="s">
        <v>391</v>
      </c>
      <c r="L543" s="67" t="s">
        <v>387</v>
      </c>
      <c r="M543" s="67"/>
      <c r="N543" s="67" t="s">
        <v>348</v>
      </c>
      <c r="O543" s="67" t="s">
        <v>388</v>
      </c>
      <c r="P543" s="57" t="s">
        <v>274</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59" t="n">
        <f aca="false">Q543-T12EarlyH/24</f>
        <v>46321.2847222222</v>
      </c>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IF(N543="N/A – rule","N/A – RULE",IF(TRIM(U543)="N/A",IF(AT543=0,"INVALID – N/A not permitted for this mandatory check",IF(AND(TRIM(AC543)&lt;&gt;"",TRIM(AE543)&lt;&gt;"",TRIM(T543)&lt;&gt;"",TRIM(AE543)&lt;&gt;TRIM(T543)),"N/A – JUSTIFIED","INVALID – N/A needs justification, PIC and a different verifier")),IF(OR(TRIM(U543)="Pass",TRIM(U543)="Pass after CA"),IF(NOT(ISNUMBER(AD543)),"INVALID – completion time missing",IF(TRIM(T543)="","INVALID – PIC missing",IF(TRIM(V543)="","INVALID – result / assessment missing",IF(TRIM(Z543)="","INVALID – evidence missing",IF(TRIM(AE543)="","INVALID – verifier missing",IF(TRIM(AE543)=TRIM(T543),"INVALID – verifier must be someone other than the PIC",IF(AND(AQ543=1,TRIM(W543)=""),"INVALID – batch ID missing",IF(AND(AR543=1,OR(NOT(ISNUMBER(X543)),NOT(ISNUMBER(Y543)))),"INVALID – expected/actual qty missing",IF(IF(AND(TRIM(U543)="Pass",ISNUMBER(AF543)),IF(AF543&lt;&gt;0,"INVALID – qty variance: use Fail or Pass after CA",""),"")&amp;IF(AND(TRIM(U543)="Pass",TRIM(AB543)&lt;&gt;"",TRIM(AB543)&lt;&gt;"Closed"),"INVALID – corrective action not closed: use Fail, then Pass after CA","")&amp;IF(AND(TRIM(AA543)&lt;&gt;"",TRIM(AB543)=""),"INVALID – CA status missing for the recorded corrective action","")&amp;IF(AND(TRIM(U543)="Pass after CA",OR(TRIM(AA543)="",TRIM(AB543)&lt;&gt;"Closed")),"INVALID – corrective action not recorded/closed","")&lt;&gt;"",IF(AND(TRIM(U543)="Pass",ISNUMBER(AF543)),IF(AF543&lt;&gt;0,"INVALID – qty variance: use Fail or Pass after CA",""),"")&amp;IF(AND(TRIM(U543)="Pass",TRIM(AB543)&lt;&gt;"",TRIM(AB543)&lt;&gt;"Closed"),"INVALID – corrective action not closed: use Fail, then Pass after CA","")&amp;IF(AND(TRIM(AA543)&lt;&gt;"",TRIM(AB543)=""),"INVALID – CA status missing for the recorded corrective action","")&amp;IF(AND(TRIM(U543)="Pass after CA",OR(TRIM(AA543)="",TRIM(AB543)&lt;&gt;"Closed")),"INVALID – corrective action not recorded/closed",""),IF(AND(AS543=1,Documents!$J$21&lt;&gt;"ON FILE"),"INVALID – GLD not on file (Documents sheet)",IF(AND(AS543=2,Documents!$O$21&lt;&gt;"ON FILE"),"INVALID – menu checklist not on file (Documents sheet)",IF(AND(AS543=3,NOT(ISNUMBER(Flights!$AX$21))),"INVALID – enter carrying flight KUL departure (Flights AX)",IF(AND(AS543=3,OR(Flights!$AX$21&gt;=Flights!$AA$21,Flights!$AX$21&lt;Flights!$AA$21-3)),"INVALID – Flights AX must be before this leg's STD (within 3 days)",IF(AG543&gt;AsOfUTC,"INVALID – completion time is in the future",IF(AND(ISNUMBER(S543),AG543&lt;S543),IF(H543="Physical uplift","INVALID – before uplift window (cannot confirm loading)","INVALID – before valid window"),IF(AG543&gt;Flights!$AA$21,"INVALID – completed after departure (cannot establish readiness)",IF(AND(H543="Physical uplift",AG543&gt;Q543),"INVALID – recorded after the loading flight departed",IF(AG543&gt;Q543,"COMPLETE – LATE","COMPLETE")))))))))))))))))),IF(TRIM(U543)="Fail","FAIL – DISCREPANCY",IF(AND(TRIM(U543)&lt;&gt;"",TRIM(U543)&lt;&gt;"Not started",TRIM(U543)&lt;&gt;"In progress"),"INVALID – unrecognised status (use the list)",IF(AsOfUTC&gt;Q543,"OVERDUE",IF(N543="Clarification required","OPEN – CLARIFICATION","OPEN")))))))</f>
        <v>OPEN</v>
      </c>
      <c r="AI543" s="61" t="n">
        <f aca="false">IF(OR(AH543="N/A – RULE",AH543="N/A – JUSTIFIED"),0,1)</f>
        <v>1</v>
      </c>
      <c r="AJ543" s="61" t="n">
        <f aca="false">IF(LEFT(AH543,8)="COMPLETE",1,0)</f>
        <v>0</v>
      </c>
      <c r="AK543" s="61" t="n">
        <f aca="false">IF(AND(AI543=1,AJ543=0,AsOfUTC&gt;Q543),1,0)</f>
        <v>0</v>
      </c>
      <c r="AL543" s="61" t="n">
        <f aca="false">IF(AND(AI543=1,OR(TRIM(U543)="Fail",AND(TRIM(AB543)&lt;&gt;"",TRIM(AB543)&lt;&gt;"Closed"),AND(ISNUMBER(AF543),AF543&lt;&gt;0,TRIM(U543)&lt;&gt;"Pass after CA"))),1,0)</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row>
    <row r="544" customFormat="false" ht="39.75" hidden="false" customHeight="true" outlineLevel="0" collapsed="false">
      <c r="A544" s="57" t="s">
        <v>1177</v>
      </c>
      <c r="B544" s="57" t="s">
        <v>282</v>
      </c>
      <c r="C544" s="57" t="str">
        <f aca="false">Flights!$F$21</f>
        <v>MH0073</v>
      </c>
      <c r="D544" s="58" t="n">
        <f aca="false">Flights!$D$21</f>
        <v>46322</v>
      </c>
      <c r="E544" s="57" t="str">
        <f aca="false">Flights!$G$21&amp;"-"&amp;Flights!$H$21</f>
        <v>HKG-KUL</v>
      </c>
      <c r="F544" s="57" t="str">
        <f aca="false">Flights!$K$21</f>
        <v>BC</v>
      </c>
      <c r="G544" s="57" t="s">
        <v>385</v>
      </c>
      <c r="H544" s="57" t="s">
        <v>343</v>
      </c>
      <c r="I544" s="57" t="s">
        <v>393</v>
      </c>
      <c r="J544" s="57" t="s">
        <v>394</v>
      </c>
      <c r="K544" s="67"/>
      <c r="L544" s="67" t="s">
        <v>387</v>
      </c>
      <c r="M544" s="67"/>
      <c r="N544" s="67" t="s">
        <v>348</v>
      </c>
      <c r="O544" s="67" t="s">
        <v>388</v>
      </c>
      <c r="P544" s="57" t="s">
        <v>274</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59" t="n">
        <f aca="false">Q544-T12EarlyH/24</f>
        <v>46321.2847222222</v>
      </c>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IF(N544="N/A – rule","N/A – RULE",IF(TRIM(U544)="N/A",IF(AT544=0,"INVALID – N/A not permitted for this mandatory check",IF(AND(TRIM(AC544)&lt;&gt;"",TRIM(AE544)&lt;&gt;"",TRIM(T544)&lt;&gt;"",TRIM(AE544)&lt;&gt;TRIM(T544)),"N/A – JUSTIFIED","INVALID – N/A needs justification, PIC and a different verifier")),IF(OR(TRIM(U544)="Pass",TRIM(U544)="Pass after CA"),IF(NOT(ISNUMBER(AD544)),"INVALID – completion time missing",IF(TRIM(T544)="","INVALID – PIC missing",IF(TRIM(V544)="","INVALID – result / assessment missing",IF(TRIM(Z544)="","INVALID – evidence missing",IF(TRIM(AE544)="","INVALID – verifier missing",IF(TRIM(AE544)=TRIM(T544),"INVALID – verifier must be someone other than the PIC",IF(AND(AQ544=1,TRIM(W544)=""),"INVALID – batch ID missing",IF(AND(AR544=1,OR(NOT(ISNUMBER(X544)),NOT(ISNUMBER(Y544)))),"INVALID – expected/actual qty missing",IF(IF(AND(TRIM(U544)="Pass",ISNUMBER(AF544)),IF(AF544&lt;&gt;0,"INVALID – qty variance: use Fail or Pass after CA",""),"")&amp;IF(AND(TRIM(U544)="Pass",TRIM(AB544)&lt;&gt;"",TRIM(AB544)&lt;&gt;"Closed"),"INVALID – corrective action not closed: use Fail, then Pass after CA","")&amp;IF(AND(TRIM(AA544)&lt;&gt;"",TRIM(AB544)=""),"INVALID – CA status missing for the recorded corrective action","")&amp;IF(AND(TRIM(U544)="Pass after CA",OR(TRIM(AA544)="",TRIM(AB544)&lt;&gt;"Closed")),"INVALID – corrective action not recorded/closed","")&lt;&gt;"",IF(AND(TRIM(U544)="Pass",ISNUMBER(AF544)),IF(AF544&lt;&gt;0,"INVALID – qty variance: use Fail or Pass after CA",""),"")&amp;IF(AND(TRIM(U544)="Pass",TRIM(AB544)&lt;&gt;"",TRIM(AB544)&lt;&gt;"Closed"),"INVALID – corrective action not closed: use Fail, then Pass after CA","")&amp;IF(AND(TRIM(AA544)&lt;&gt;"",TRIM(AB544)=""),"INVALID – CA status missing for the recorded corrective action","")&amp;IF(AND(TRIM(U544)="Pass after CA",OR(TRIM(AA544)="",TRIM(AB544)&lt;&gt;"Closed")),"INVALID – corrective action not recorded/closed",""),IF(AND(AS544=1,Documents!$J$21&lt;&gt;"ON FILE"),"INVALID – GLD not on file (Documents sheet)",IF(AND(AS544=2,Documents!$O$21&lt;&gt;"ON FILE"),"INVALID – menu checklist not on file (Documents sheet)",IF(AND(AS544=3,NOT(ISNUMBER(Flights!$AX$21))),"INVALID – enter carrying flight KUL departure (Flights AX)",IF(AND(AS544=3,OR(Flights!$AX$21&gt;=Flights!$AA$21,Flights!$AX$21&lt;Flights!$AA$21-3)),"INVALID – Flights AX must be before this leg's STD (within 3 days)",IF(AG544&gt;AsOfUTC,"INVALID – completion time is in the future",IF(AND(ISNUMBER(S544),AG544&lt;S544),IF(H544="Physical uplift","INVALID – before uplift window (cannot confirm loading)","INVALID – before valid window"),IF(AG544&gt;Flights!$AA$21,"INVALID – completed after departure (cannot establish readiness)",IF(AND(H544="Physical uplift",AG544&gt;Q544),"INVALID – recorded after the loading flight departed",IF(AG544&gt;Q544,"COMPLETE – LATE","COMPLETE")))))))))))))))))),IF(TRIM(U544)="Fail","FAIL – DISCREPANCY",IF(AND(TRIM(U544)&lt;&gt;"",TRIM(U544)&lt;&gt;"Not started",TRIM(U544)&lt;&gt;"In progress"),"INVALID – unrecognised status (use the list)",IF(AsOfUTC&gt;Q544,"OVERDUE",IF(N544="Clarification required","OPEN – CLARIFICATION","OPEN")))))))</f>
        <v>OPEN</v>
      </c>
      <c r="AI544" s="61" t="n">
        <f aca="false">IF(OR(AH544="N/A – RULE",AH544="N/A – JUSTIFIED"),0,1)</f>
        <v>1</v>
      </c>
      <c r="AJ544" s="61" t="n">
        <f aca="false">IF(LEFT(AH544,8)="COMPLETE",1,0)</f>
        <v>0</v>
      </c>
      <c r="AK544" s="61" t="n">
        <f aca="false">IF(AND(AI544=1,AJ544=0,AsOfUTC&gt;Q544),1,0)</f>
        <v>0</v>
      </c>
      <c r="AL544" s="61" t="n">
        <f aca="false">IF(AND(AI544=1,OR(TRIM(U544)="Fail",AND(TRIM(AB544)&lt;&gt;"",TRIM(AB544)&lt;&gt;"Closed"),AND(ISNUMBER(AF544),AF544&lt;&gt;0,TRIM(U544)&lt;&gt;"Pass after CA"))),1,0)</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row>
    <row r="545" customFormat="false" ht="39.75" hidden="false" customHeight="true" outlineLevel="0" collapsed="false">
      <c r="A545" s="57" t="s">
        <v>1178</v>
      </c>
      <c r="B545" s="57" t="s">
        <v>282</v>
      </c>
      <c r="C545" s="57" t="str">
        <f aca="false">Flights!$F$21</f>
        <v>MH0073</v>
      </c>
      <c r="D545" s="58" t="n">
        <f aca="false">Flights!$D$21</f>
        <v>46322</v>
      </c>
      <c r="E545" s="57" t="str">
        <f aca="false">Flights!$G$21&amp;"-"&amp;Flights!$H$21</f>
        <v>HKG-KUL</v>
      </c>
      <c r="F545" s="57" t="str">
        <f aca="false">Flights!$K$21</f>
        <v>BC</v>
      </c>
      <c r="G545" s="57" t="s">
        <v>385</v>
      </c>
      <c r="H545" s="57" t="s">
        <v>343</v>
      </c>
      <c r="I545" s="57" t="s">
        <v>393</v>
      </c>
      <c r="J545" s="57" t="s">
        <v>396</v>
      </c>
      <c r="K545" s="67"/>
      <c r="L545" s="67" t="s">
        <v>387</v>
      </c>
      <c r="M545" s="67"/>
      <c r="N545" s="67" t="s">
        <v>348</v>
      </c>
      <c r="O545" s="67" t="s">
        <v>388</v>
      </c>
      <c r="P545" s="57" t="s">
        <v>274</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59" t="n">
        <f aca="false">Q545-T12EarlyH/24</f>
        <v>46321.2847222222</v>
      </c>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IF(N545="N/A – rule","N/A – RULE",IF(TRIM(U545)="N/A",IF(AT545=0,"INVALID – N/A not permitted for this mandatory check",IF(AND(TRIM(AC545)&lt;&gt;"",TRIM(AE545)&lt;&gt;"",TRIM(T545)&lt;&gt;"",TRIM(AE545)&lt;&gt;TRIM(T545)),"N/A – JUSTIFIED","INVALID – N/A needs justification, PIC and a different verifier")),IF(OR(TRIM(U545)="Pass",TRIM(U545)="Pass after CA"),IF(NOT(ISNUMBER(AD545)),"INVALID – completion time missing",IF(TRIM(T545)="","INVALID – PIC missing",IF(TRIM(V545)="","INVALID – result / assessment missing",IF(TRIM(Z545)="","INVALID – evidence missing",IF(TRIM(AE545)="","INVALID – verifier missing",IF(TRIM(AE545)=TRIM(T545),"INVALID – verifier must be someone other than the PIC",IF(AND(AQ545=1,TRIM(W545)=""),"INVALID – batch ID missing",IF(AND(AR545=1,OR(NOT(ISNUMBER(X545)),NOT(ISNUMBER(Y545)))),"INVALID – expected/actual qty missing",IF(IF(AND(TRIM(U545)="Pass",ISNUMBER(AF545)),IF(AF545&lt;&gt;0,"INVALID – qty variance: use Fail or Pass after CA",""),"")&amp;IF(AND(TRIM(U545)="Pass",TRIM(AB545)&lt;&gt;"",TRIM(AB545)&lt;&gt;"Closed"),"INVALID – corrective action not closed: use Fail, then Pass after CA","")&amp;IF(AND(TRIM(AA545)&lt;&gt;"",TRIM(AB545)=""),"INVALID – CA status missing for the recorded corrective action","")&amp;IF(AND(TRIM(U545)="Pass after CA",OR(TRIM(AA545)="",TRIM(AB545)&lt;&gt;"Closed")),"INVALID – corrective action not recorded/closed","")&lt;&gt;"",IF(AND(TRIM(U545)="Pass",ISNUMBER(AF545)),IF(AF545&lt;&gt;0,"INVALID – qty variance: use Fail or Pass after CA",""),"")&amp;IF(AND(TRIM(U545)="Pass",TRIM(AB545)&lt;&gt;"",TRIM(AB545)&lt;&gt;"Closed"),"INVALID – corrective action not closed: use Fail, then Pass after CA","")&amp;IF(AND(TRIM(AA545)&lt;&gt;"",TRIM(AB545)=""),"INVALID – CA status missing for the recorded corrective action","")&amp;IF(AND(TRIM(U545)="Pass after CA",OR(TRIM(AA545)="",TRIM(AB545)&lt;&gt;"Closed")),"INVALID – corrective action not recorded/closed",""),IF(AND(AS545=1,Documents!$J$21&lt;&gt;"ON FILE"),"INVALID – GLD not on file (Documents sheet)",IF(AND(AS545=2,Documents!$O$21&lt;&gt;"ON FILE"),"INVALID – menu checklist not on file (Documents sheet)",IF(AND(AS545=3,NOT(ISNUMBER(Flights!$AX$21))),"INVALID – enter carrying flight KUL departure (Flights AX)",IF(AND(AS545=3,OR(Flights!$AX$21&gt;=Flights!$AA$21,Flights!$AX$21&lt;Flights!$AA$21-3)),"INVALID – Flights AX must be before this leg's STD (within 3 days)",IF(AG545&gt;AsOfUTC,"INVALID – completion time is in the future",IF(AND(ISNUMBER(S545),AG545&lt;S545),IF(H545="Physical uplift","INVALID – before uplift window (cannot confirm loading)","INVALID – before valid window"),IF(AG545&gt;Flights!$AA$21,"INVALID – completed after departure (cannot establish readiness)",IF(AND(H545="Physical uplift",AG545&gt;Q545),"INVALID – recorded after the loading flight departed",IF(AG545&gt;Q545,"COMPLETE – LATE","COMPLETE")))))))))))))))))),IF(TRIM(U545)="Fail","FAIL – DISCREPANCY",IF(AND(TRIM(U545)&lt;&gt;"",TRIM(U545)&lt;&gt;"Not started",TRIM(U545)&lt;&gt;"In progress"),"INVALID – unrecognised status (use the list)",IF(AsOfUTC&gt;Q545,"OVERDUE",IF(N545="Clarification required","OPEN – CLARIFICATION","OPEN")))))))</f>
        <v>OPEN</v>
      </c>
      <c r="AI545" s="61" t="n">
        <f aca="false">IF(OR(AH545="N/A – RULE",AH545="N/A – JUSTIFIED"),0,1)</f>
        <v>1</v>
      </c>
      <c r="AJ545" s="61" t="n">
        <f aca="false">IF(LEFT(AH545,8)="COMPLETE",1,0)</f>
        <v>0</v>
      </c>
      <c r="AK545" s="61" t="n">
        <f aca="false">IF(AND(AI545=1,AJ545=0,AsOfUTC&gt;Q545),1,0)</f>
        <v>0</v>
      </c>
      <c r="AL545" s="61" t="n">
        <f aca="false">IF(AND(AI545=1,OR(TRIM(U545)="Fail",AND(TRIM(AB545)&lt;&gt;"",TRIM(AB545)&lt;&gt;"Closed"),AND(ISNUMBER(AF545),AF545&lt;&gt;0,TRIM(U545)&lt;&gt;"Pass after CA"))),1,0)</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row>
    <row r="546" customFormat="false" ht="39.75" hidden="false" customHeight="true" outlineLevel="0" collapsed="false">
      <c r="A546" s="57" t="s">
        <v>1179</v>
      </c>
      <c r="B546" s="57" t="s">
        <v>282</v>
      </c>
      <c r="C546" s="57" t="str">
        <f aca="false">Flights!$F$21</f>
        <v>MH0073</v>
      </c>
      <c r="D546" s="58" t="n">
        <f aca="false">Flights!$D$21</f>
        <v>46322</v>
      </c>
      <c r="E546" s="57" t="str">
        <f aca="false">Flights!$G$21&amp;"-"&amp;Flights!$H$21</f>
        <v>HKG-KUL</v>
      </c>
      <c r="F546" s="57" t="str">
        <f aca="false">Flights!$K$21</f>
        <v>BC</v>
      </c>
      <c r="G546" s="57" t="s">
        <v>385</v>
      </c>
      <c r="H546" s="57" t="s">
        <v>343</v>
      </c>
      <c r="I546" s="57" t="s">
        <v>393</v>
      </c>
      <c r="J546" s="57" t="s">
        <v>398</v>
      </c>
      <c r="K546" s="67"/>
      <c r="L546" s="67" t="s">
        <v>387</v>
      </c>
      <c r="M546" s="67"/>
      <c r="N546" s="67" t="s">
        <v>348</v>
      </c>
      <c r="O546" s="67" t="s">
        <v>388</v>
      </c>
      <c r="P546" s="57" t="s">
        <v>274</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59" t="n">
        <f aca="false">Q546-T12EarlyH/24</f>
        <v>46321.2847222222</v>
      </c>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IF(N546="N/A – rule","N/A – RULE",IF(TRIM(U546)="N/A",IF(AT546=0,"INVALID – N/A not permitted for this mandatory check",IF(AND(TRIM(AC546)&lt;&gt;"",TRIM(AE546)&lt;&gt;"",TRIM(T546)&lt;&gt;"",TRIM(AE546)&lt;&gt;TRIM(T546)),"N/A – JUSTIFIED","INVALID – N/A needs justification, PIC and a different verifier")),IF(OR(TRIM(U546)="Pass",TRIM(U546)="Pass after CA"),IF(NOT(ISNUMBER(AD546)),"INVALID – completion time missing",IF(TRIM(T546)="","INVALID – PIC missing",IF(TRIM(V546)="","INVALID – result / assessment missing",IF(TRIM(Z546)="","INVALID – evidence missing",IF(TRIM(AE546)="","INVALID – verifier missing",IF(TRIM(AE546)=TRIM(T546),"INVALID – verifier must be someone other than the PIC",IF(AND(AQ546=1,TRIM(W546)=""),"INVALID – batch ID missing",IF(AND(AR546=1,OR(NOT(ISNUMBER(X546)),NOT(ISNUMBER(Y546)))),"INVALID – expected/actual qty missing",IF(IF(AND(TRIM(U546)="Pass",ISNUMBER(AF546)),IF(AF546&lt;&gt;0,"INVALID – qty variance: use Fail or Pass after CA",""),"")&amp;IF(AND(TRIM(U546)="Pass",TRIM(AB546)&lt;&gt;"",TRIM(AB546)&lt;&gt;"Closed"),"INVALID – corrective action not closed: use Fail, then Pass after CA","")&amp;IF(AND(TRIM(AA546)&lt;&gt;"",TRIM(AB546)=""),"INVALID – CA status missing for the recorded corrective action","")&amp;IF(AND(TRIM(U546)="Pass after CA",OR(TRIM(AA546)="",TRIM(AB546)&lt;&gt;"Closed")),"INVALID – corrective action not recorded/closed","")&lt;&gt;"",IF(AND(TRIM(U546)="Pass",ISNUMBER(AF546)),IF(AF546&lt;&gt;0,"INVALID – qty variance: use Fail or Pass after CA",""),"")&amp;IF(AND(TRIM(U546)="Pass",TRIM(AB546)&lt;&gt;"",TRIM(AB546)&lt;&gt;"Closed"),"INVALID – corrective action not closed: use Fail, then Pass after CA","")&amp;IF(AND(TRIM(AA546)&lt;&gt;"",TRIM(AB546)=""),"INVALID – CA status missing for the recorded corrective action","")&amp;IF(AND(TRIM(U546)="Pass after CA",OR(TRIM(AA546)="",TRIM(AB546)&lt;&gt;"Closed")),"INVALID – corrective action not recorded/closed",""),IF(AND(AS546=1,Documents!$J$21&lt;&gt;"ON FILE"),"INVALID – GLD not on file (Documents sheet)",IF(AND(AS546=2,Documents!$O$21&lt;&gt;"ON FILE"),"INVALID – menu checklist not on file (Documents sheet)",IF(AND(AS546=3,NOT(ISNUMBER(Flights!$AX$21))),"INVALID – enter carrying flight KUL departure (Flights AX)",IF(AND(AS546=3,OR(Flights!$AX$21&gt;=Flights!$AA$21,Flights!$AX$21&lt;Flights!$AA$21-3)),"INVALID – Flights AX must be before this leg's STD (within 3 days)",IF(AG546&gt;AsOfUTC,"INVALID – completion time is in the future",IF(AND(ISNUMBER(S546),AG546&lt;S546),IF(H546="Physical uplift","INVALID – before uplift window (cannot confirm loading)","INVALID – before valid window"),IF(AG546&gt;Flights!$AA$21,"INVALID – completed after departure (cannot establish readiness)",IF(AND(H546="Physical uplift",AG546&gt;Q546),"INVALID – recorded after the loading flight departed",IF(AG546&gt;Q546,"COMPLETE – LATE","COMPLETE")))))))))))))))))),IF(TRIM(U546)="Fail","FAIL – DISCREPANCY",IF(AND(TRIM(U546)&lt;&gt;"",TRIM(U546)&lt;&gt;"Not started",TRIM(U546)&lt;&gt;"In progress"),"INVALID – unrecognised status (use the list)",IF(AsOfUTC&gt;Q546,"OVERDUE",IF(N546="Clarification required","OPEN – CLARIFICATION","OPEN")))))))</f>
        <v>OPEN</v>
      </c>
      <c r="AI546" s="61" t="n">
        <f aca="false">IF(OR(AH546="N/A – RULE",AH546="N/A – JUSTIFIED"),0,1)</f>
        <v>1</v>
      </c>
      <c r="AJ546" s="61" t="n">
        <f aca="false">IF(LEFT(AH546,8)="COMPLETE",1,0)</f>
        <v>0</v>
      </c>
      <c r="AK546" s="61" t="n">
        <f aca="false">IF(AND(AI546=1,AJ546=0,AsOfUTC&gt;Q546),1,0)</f>
        <v>0</v>
      </c>
      <c r="AL546" s="61" t="n">
        <f aca="false">IF(AND(AI546=1,OR(TRIM(U546)="Fail",AND(TRIM(AB546)&lt;&gt;"",TRIM(AB546)&lt;&gt;"Closed"),AND(ISNUMBER(AF546),AF546&lt;&gt;0,TRIM(U546)&lt;&gt;"Pass after CA"))),1,0)</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row>
    <row r="547" customFormat="false" ht="78.75" hidden="false" customHeight="true" outlineLevel="0" collapsed="false">
      <c r="A547" s="57" t="s">
        <v>1180</v>
      </c>
      <c r="B547" s="57" t="s">
        <v>282</v>
      </c>
      <c r="C547" s="57" t="str">
        <f aca="false">Flights!$F$21</f>
        <v>MH0073</v>
      </c>
      <c r="D547" s="58" t="n">
        <f aca="false">Flights!$D$21</f>
        <v>46322</v>
      </c>
      <c r="E547" s="57" t="str">
        <f aca="false">Flights!$G$21&amp;"-"&amp;Flights!$H$21</f>
        <v>HKG-KUL</v>
      </c>
      <c r="F547" s="57" t="str">
        <f aca="false">Flights!$K$21</f>
        <v>BC</v>
      </c>
      <c r="G547" s="57" t="s">
        <v>385</v>
      </c>
      <c r="H547" s="57" t="s">
        <v>343</v>
      </c>
      <c r="I547" s="57" t="s">
        <v>393</v>
      </c>
      <c r="J547" s="57" t="s">
        <v>400</v>
      </c>
      <c r="K547" s="67" t="s">
        <v>456</v>
      </c>
      <c r="L547" s="67" t="s">
        <v>387</v>
      </c>
      <c r="M547" s="67"/>
      <c r="N547" s="67" t="s">
        <v>348</v>
      </c>
      <c r="O547" s="67" t="s">
        <v>388</v>
      </c>
      <c r="P547" s="57" t="s">
        <v>274</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59" t="n">
        <f aca="false">Q547-T12EarlyH/24</f>
        <v>46321.2847222222</v>
      </c>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IF(N547="N/A – rule","N/A – RULE",IF(TRIM(U547)="N/A",IF(AT547=0,"INVALID – N/A not permitted for this mandatory check",IF(AND(TRIM(AC547)&lt;&gt;"",TRIM(AE547)&lt;&gt;"",TRIM(T547)&lt;&gt;"",TRIM(AE547)&lt;&gt;TRIM(T547)),"N/A – JUSTIFIED","INVALID – N/A needs justification, PIC and a different verifier")),IF(OR(TRIM(U547)="Pass",TRIM(U547)="Pass after CA"),IF(NOT(ISNUMBER(AD547)),"INVALID – completion time missing",IF(TRIM(T547)="","INVALID – PIC missing",IF(TRIM(V547)="","INVALID – result / assessment missing",IF(TRIM(Z547)="","INVALID – evidence missing",IF(TRIM(AE547)="","INVALID – verifier missing",IF(TRIM(AE547)=TRIM(T547),"INVALID – verifier must be someone other than the PIC",IF(AND(AQ547=1,TRIM(W547)=""),"INVALID – batch ID missing",IF(AND(AR547=1,OR(NOT(ISNUMBER(X547)),NOT(ISNUMBER(Y547)))),"INVALID – expected/actual qty missing",IF(IF(AND(TRIM(U547)="Pass",ISNUMBER(AF547)),IF(AF547&lt;&gt;0,"INVALID – qty variance: use Fail or Pass after CA",""),"")&amp;IF(AND(TRIM(U547)="Pass",TRIM(AB547)&lt;&gt;"",TRIM(AB547)&lt;&gt;"Closed"),"INVALID – corrective action not closed: use Fail, then Pass after CA","")&amp;IF(AND(TRIM(AA547)&lt;&gt;"",TRIM(AB547)=""),"INVALID – CA status missing for the recorded corrective action","")&amp;IF(AND(TRIM(U547)="Pass after CA",OR(TRIM(AA547)="",TRIM(AB547)&lt;&gt;"Closed")),"INVALID – corrective action not recorded/closed","")&lt;&gt;"",IF(AND(TRIM(U547)="Pass",ISNUMBER(AF547)),IF(AF547&lt;&gt;0,"INVALID – qty variance: use Fail or Pass after CA",""),"")&amp;IF(AND(TRIM(U547)="Pass",TRIM(AB547)&lt;&gt;"",TRIM(AB547)&lt;&gt;"Closed"),"INVALID – corrective action not closed: use Fail, then Pass after CA","")&amp;IF(AND(TRIM(AA547)&lt;&gt;"",TRIM(AB547)=""),"INVALID – CA status missing for the recorded corrective action","")&amp;IF(AND(TRIM(U547)="Pass after CA",OR(TRIM(AA547)="",TRIM(AB547)&lt;&gt;"Closed")),"INVALID – corrective action not recorded/closed",""),IF(AND(AS547=1,Documents!$J$21&lt;&gt;"ON FILE"),"INVALID – GLD not on file (Documents sheet)",IF(AND(AS547=2,Documents!$O$21&lt;&gt;"ON FILE"),"INVALID – menu checklist not on file (Documents sheet)",IF(AND(AS547=3,NOT(ISNUMBER(Flights!$AX$21))),"INVALID – enter carrying flight KUL departure (Flights AX)",IF(AND(AS547=3,OR(Flights!$AX$21&gt;=Flights!$AA$21,Flights!$AX$21&lt;Flights!$AA$21-3)),"INVALID – Flights AX must be before this leg's STD (within 3 days)",IF(AG547&gt;AsOfUTC,"INVALID – completion time is in the future",IF(AND(ISNUMBER(S547),AG547&lt;S547),IF(H547="Physical uplift","INVALID – before uplift window (cannot confirm loading)","INVALID – before valid window"),IF(AG547&gt;Flights!$AA$21,"INVALID – completed after departure (cannot establish readiness)",IF(AND(H547="Physical uplift",AG547&gt;Q547),"INVALID – recorded after the loading flight departed",IF(AG547&gt;Q547,"COMPLETE – LATE","COMPLETE")))))))))))))))))),IF(TRIM(U547)="Fail","FAIL – DISCREPANCY",IF(AND(TRIM(U547)&lt;&gt;"",TRIM(U547)&lt;&gt;"Not started",TRIM(U547)&lt;&gt;"In progress"),"INVALID – unrecognised status (use the list)",IF(AsOfUTC&gt;Q547,"OVERDUE",IF(N547="Clarification required","OPEN – CLARIFICATION","OPEN")))))))</f>
        <v>OPEN</v>
      </c>
      <c r="AI547" s="61" t="n">
        <f aca="false">IF(OR(AH547="N/A – RULE",AH547="N/A – JUSTIFIED"),0,1)</f>
        <v>1</v>
      </c>
      <c r="AJ547" s="61" t="n">
        <f aca="false">IF(LEFT(AH547,8)="COMPLETE",1,0)</f>
        <v>0</v>
      </c>
      <c r="AK547" s="61" t="n">
        <f aca="false">IF(AND(AI547=1,AJ547=0,AsOfUTC&gt;Q547),1,0)</f>
        <v>0</v>
      </c>
      <c r="AL547" s="61" t="n">
        <f aca="false">IF(AND(AI547=1,OR(TRIM(U547)="Fail",AND(TRIM(AB547)&lt;&gt;"",TRIM(AB547)&lt;&gt;"Closed"),AND(ISNUMBER(AF547),AF547&lt;&gt;0,TRIM(U547)&lt;&gt;"Pass after CA"))),1,0)</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row>
    <row r="548" customFormat="false" ht="39.75" hidden="false" customHeight="true" outlineLevel="0" collapsed="false">
      <c r="A548" s="57" t="s">
        <v>1181</v>
      </c>
      <c r="B548" s="57" t="s">
        <v>282</v>
      </c>
      <c r="C548" s="57" t="str">
        <f aca="false">Flights!$F$21</f>
        <v>MH0073</v>
      </c>
      <c r="D548" s="58" t="n">
        <f aca="false">Flights!$D$21</f>
        <v>46322</v>
      </c>
      <c r="E548" s="57" t="str">
        <f aca="false">Flights!$G$21&amp;"-"&amp;Flights!$H$21</f>
        <v>HKG-KUL</v>
      </c>
      <c r="F548" s="57" t="str">
        <f aca="false">Flights!$K$21</f>
        <v>BC</v>
      </c>
      <c r="G548" s="57" t="s">
        <v>385</v>
      </c>
      <c r="H548" s="57" t="s">
        <v>343</v>
      </c>
      <c r="I548" s="57" t="s">
        <v>393</v>
      </c>
      <c r="J548" s="57" t="s">
        <v>403</v>
      </c>
      <c r="K548" s="67"/>
      <c r="L548" s="67" t="s">
        <v>387</v>
      </c>
      <c r="M548" s="67"/>
      <c r="N548" s="67" t="s">
        <v>348</v>
      </c>
      <c r="O548" s="67" t="s">
        <v>388</v>
      </c>
      <c r="P548" s="57" t="s">
        <v>274</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59" t="n">
        <f aca="false">Q548-T12EarlyH/24</f>
        <v>46321.2847222222</v>
      </c>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IF(N548="N/A – rule","N/A – RULE",IF(TRIM(U548)="N/A",IF(AT548=0,"INVALID – N/A not permitted for this mandatory check",IF(AND(TRIM(AC548)&lt;&gt;"",TRIM(AE548)&lt;&gt;"",TRIM(T548)&lt;&gt;"",TRIM(AE548)&lt;&gt;TRIM(T548)),"N/A – JUSTIFIED","INVALID – N/A needs justification, PIC and a different verifier")),IF(OR(TRIM(U548)="Pass",TRIM(U548)="Pass after CA"),IF(NOT(ISNUMBER(AD548)),"INVALID – completion time missing",IF(TRIM(T548)="","INVALID – PIC missing",IF(TRIM(V548)="","INVALID – result / assessment missing",IF(TRIM(Z548)="","INVALID – evidence missing",IF(TRIM(AE548)="","INVALID – verifier missing",IF(TRIM(AE548)=TRIM(T548),"INVALID – verifier must be someone other than the PIC",IF(AND(AQ548=1,TRIM(W548)=""),"INVALID – batch ID missing",IF(AND(AR548=1,OR(NOT(ISNUMBER(X548)),NOT(ISNUMBER(Y548)))),"INVALID – expected/actual qty missing",IF(IF(AND(TRIM(U548)="Pass",ISNUMBER(AF548)),IF(AF548&lt;&gt;0,"INVALID – qty variance: use Fail or Pass after CA",""),"")&amp;IF(AND(TRIM(U548)="Pass",TRIM(AB548)&lt;&gt;"",TRIM(AB548)&lt;&gt;"Closed"),"INVALID – corrective action not closed: use Fail, then Pass after CA","")&amp;IF(AND(TRIM(AA548)&lt;&gt;"",TRIM(AB548)=""),"INVALID – CA status missing for the recorded corrective action","")&amp;IF(AND(TRIM(U548)="Pass after CA",OR(TRIM(AA548)="",TRIM(AB548)&lt;&gt;"Closed")),"INVALID – corrective action not recorded/closed","")&lt;&gt;"",IF(AND(TRIM(U548)="Pass",ISNUMBER(AF548)),IF(AF548&lt;&gt;0,"INVALID – qty variance: use Fail or Pass after CA",""),"")&amp;IF(AND(TRIM(U548)="Pass",TRIM(AB548)&lt;&gt;"",TRIM(AB548)&lt;&gt;"Closed"),"INVALID – corrective action not closed: use Fail, then Pass after CA","")&amp;IF(AND(TRIM(AA548)&lt;&gt;"",TRIM(AB548)=""),"INVALID – CA status missing for the recorded corrective action","")&amp;IF(AND(TRIM(U548)="Pass after CA",OR(TRIM(AA548)="",TRIM(AB548)&lt;&gt;"Closed")),"INVALID – corrective action not recorded/closed",""),IF(AND(AS548=1,Documents!$J$21&lt;&gt;"ON FILE"),"INVALID – GLD not on file (Documents sheet)",IF(AND(AS548=2,Documents!$O$21&lt;&gt;"ON FILE"),"INVALID – menu checklist not on file (Documents sheet)",IF(AND(AS548=3,NOT(ISNUMBER(Flights!$AX$21))),"INVALID – enter carrying flight KUL departure (Flights AX)",IF(AND(AS548=3,OR(Flights!$AX$21&gt;=Flights!$AA$21,Flights!$AX$21&lt;Flights!$AA$21-3)),"INVALID – Flights AX must be before this leg's STD (within 3 days)",IF(AG548&gt;AsOfUTC,"INVALID – completion time is in the future",IF(AND(ISNUMBER(S548),AG548&lt;S548),IF(H548="Physical uplift","INVALID – before uplift window (cannot confirm loading)","INVALID – before valid window"),IF(AG548&gt;Flights!$AA$21,"INVALID – completed after departure (cannot establish readiness)",IF(AND(H548="Physical uplift",AG548&gt;Q548),"INVALID – recorded after the loading flight departed",IF(AG548&gt;Q548,"COMPLETE – LATE","COMPLETE")))))))))))))))))),IF(TRIM(U548)="Fail","FAIL – DISCREPANCY",IF(AND(TRIM(U548)&lt;&gt;"",TRIM(U548)&lt;&gt;"Not started",TRIM(U548)&lt;&gt;"In progress"),"INVALID – unrecognised status (use the list)",IF(AsOfUTC&gt;Q548,"OVERDUE",IF(N548="Clarification required","OPEN – CLARIFICATION","OPEN")))))))</f>
        <v>OPEN</v>
      </c>
      <c r="AI548" s="61" t="n">
        <f aca="false">IF(OR(AH548="N/A – RULE",AH548="N/A – JUSTIFIED"),0,1)</f>
        <v>1</v>
      </c>
      <c r="AJ548" s="61" t="n">
        <f aca="false">IF(LEFT(AH548,8)="COMPLETE",1,0)</f>
        <v>0</v>
      </c>
      <c r="AK548" s="61" t="n">
        <f aca="false">IF(AND(AI548=1,AJ548=0,AsOfUTC&gt;Q548),1,0)</f>
        <v>0</v>
      </c>
      <c r="AL548" s="61" t="n">
        <f aca="false">IF(AND(AI548=1,OR(TRIM(U548)="Fail",AND(TRIM(AB548)&lt;&gt;"",TRIM(AB548)&lt;&gt;"Closed"),AND(ISNUMBER(AF548),AF548&lt;&gt;0,TRIM(U548)&lt;&gt;"Pass after CA"))),1,0)</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row>
    <row r="549" customFormat="false" ht="41.25" hidden="false" customHeight="true" outlineLevel="0" collapsed="false">
      <c r="A549" s="57" t="s">
        <v>1182</v>
      </c>
      <c r="B549" s="57" t="s">
        <v>282</v>
      </c>
      <c r="C549" s="57" t="str">
        <f aca="false">Flights!$F$21</f>
        <v>MH0073</v>
      </c>
      <c r="D549" s="58" t="n">
        <f aca="false">Flights!$D$21</f>
        <v>46322</v>
      </c>
      <c r="E549" s="57" t="str">
        <f aca="false">Flights!$G$21&amp;"-"&amp;Flights!$H$21</f>
        <v>HKG-KUL</v>
      </c>
      <c r="F549" s="57" t="str">
        <f aca="false">Flights!$K$21</f>
        <v>BC</v>
      </c>
      <c r="G549" s="57" t="s">
        <v>385</v>
      </c>
      <c r="H549" s="57" t="s">
        <v>343</v>
      </c>
      <c r="I549" s="57" t="s">
        <v>405</v>
      </c>
      <c r="J549" s="57" t="s">
        <v>1183</v>
      </c>
      <c r="K549" s="67" t="s">
        <v>466</v>
      </c>
      <c r="L549" s="67" t="s">
        <v>1184</v>
      </c>
      <c r="M549" s="67" t="s">
        <v>179</v>
      </c>
      <c r="N549" s="67" t="s">
        <v>348</v>
      </c>
      <c r="O549" s="67" t="s">
        <v>1185</v>
      </c>
      <c r="P549" s="57" t="s">
        <v>179</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59" t="n">
        <f aca="false">Q549-T12EarlyH/24</f>
        <v>46320.2986111111</v>
      </c>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IF(N549="N/A – rule","N/A – RULE",IF(TRIM(U549)="N/A",IF(AT549=0,"INVALID – N/A not permitted for this mandatory check",IF(AND(TRIM(AC549)&lt;&gt;"",TRIM(AE549)&lt;&gt;"",TRIM(T549)&lt;&gt;"",TRIM(AE549)&lt;&gt;TRIM(T549)),"N/A – JUSTIFIED","INVALID – N/A needs justification, PIC and a different verifier")),IF(OR(TRIM(U549)="Pass",TRIM(U549)="Pass after CA"),IF(NOT(ISNUMBER(AD549)),"INVALID – completion time missing",IF(TRIM(T549)="","INVALID – PIC missing",IF(TRIM(V549)="","INVALID – result / assessment missing",IF(TRIM(Z549)="","INVALID – evidence missing",IF(TRIM(AE549)="","INVALID – verifier missing",IF(TRIM(AE549)=TRIM(T549),"INVALID – verifier must be someone other than the PIC",IF(AND(AQ549=1,TRIM(W549)=""),"INVALID – batch ID missing",IF(AND(AR549=1,OR(NOT(ISNUMBER(X549)),NOT(ISNUMBER(Y549)))),"INVALID – expected/actual qty missing",IF(IF(AND(TRIM(U549)="Pass",ISNUMBER(AF549)),IF(AF549&lt;&gt;0,"INVALID – qty variance: use Fail or Pass after CA",""),"")&amp;IF(AND(TRIM(U549)="Pass",TRIM(AB549)&lt;&gt;"",TRIM(AB549)&lt;&gt;"Closed"),"INVALID – corrective action not closed: use Fail, then Pass after CA","")&amp;IF(AND(TRIM(AA549)&lt;&gt;"",TRIM(AB549)=""),"INVALID – CA status missing for the recorded corrective action","")&amp;IF(AND(TRIM(U549)="Pass after CA",OR(TRIM(AA549)="",TRIM(AB549)&lt;&gt;"Closed")),"INVALID – corrective action not recorded/closed","")&lt;&gt;"",IF(AND(TRIM(U549)="Pass",ISNUMBER(AF549)),IF(AF549&lt;&gt;0,"INVALID – qty variance: use Fail or Pass after CA",""),"")&amp;IF(AND(TRIM(U549)="Pass",TRIM(AB549)&lt;&gt;"",TRIM(AB549)&lt;&gt;"Closed"),"INVALID – corrective action not closed: use Fail, then Pass after CA","")&amp;IF(AND(TRIM(AA549)&lt;&gt;"",TRIM(AB549)=""),"INVALID – CA status missing for the recorded corrective action","")&amp;IF(AND(TRIM(U549)="Pass after CA",OR(TRIM(AA549)="",TRIM(AB549)&lt;&gt;"Closed")),"INVALID – corrective action not recorded/closed",""),IF(AND(AS549=1,Documents!$J$21&lt;&gt;"ON FILE"),"INVALID – GLD not on file (Documents sheet)",IF(AND(AS549=2,Documents!$O$21&lt;&gt;"ON FILE"),"INVALID – menu checklist not on file (Documents sheet)",IF(AND(AS549=3,NOT(ISNUMBER(Flights!$AX$21))),"INVALID – enter carrying flight KUL departure (Flights AX)",IF(AND(AS549=3,OR(Flights!$AX$21&gt;=Flights!$AA$21,Flights!$AX$21&lt;Flights!$AA$21-3)),"INVALID – Flights AX must be before this leg's STD (within 3 days)",IF(AG549&gt;AsOfUTC,"INVALID – completion time is in the future",IF(AND(ISNUMBER(S549),AG549&lt;S549),IF(H549="Physical uplift","INVALID – before uplift window (cannot confirm loading)","INVALID – before valid window"),IF(AG549&gt;Flights!$AA$21,"INVALID – completed after departure (cannot establish readiness)",IF(AND(H549="Physical uplift",AG549&gt;Q549),"INVALID – recorded after the loading flight departed",IF(AG549&gt;Q549,"COMPLETE – LATE","COMPLETE")))))))))))))))))),IF(TRIM(U549)="Fail","FAIL – DISCREPANCY",IF(AND(TRIM(U549)&lt;&gt;"",TRIM(U549)&lt;&gt;"Not started",TRIM(U549)&lt;&gt;"In progress"),"INVALID – unrecognised status (use the list)",IF(AsOfUTC&gt;Q549,"OVERDUE",IF(N549="Clarification required","OPEN – CLARIFICATION","OPEN")))))))</f>
        <v>OPEN</v>
      </c>
      <c r="AI549" s="61" t="n">
        <f aca="false">IF(OR(AH549="N/A – RULE",AH549="N/A – JUSTIFIED"),0,1)</f>
        <v>1</v>
      </c>
      <c r="AJ549" s="61" t="n">
        <f aca="false">IF(LEFT(AH549,8)="COMPLETE",1,0)</f>
        <v>0</v>
      </c>
      <c r="AK549" s="61" t="n">
        <f aca="false">IF(AND(AI549=1,AJ549=0,AsOfUTC&gt;Q549),1,0)</f>
        <v>0</v>
      </c>
      <c r="AL549" s="61" t="n">
        <f aca="false">IF(AND(AI549=1,OR(TRIM(U549)="Fail",AND(TRIM(AB549)&lt;&gt;"",TRIM(AB549)&lt;&gt;"Closed"),AND(ISNUMBER(AF549),AF549&lt;&gt;0,TRIM(U549)&lt;&gt;"Pass after CA"))),1,0)</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8" t="b">
        <f aca="false">TRUE()</f>
        <v>1</v>
      </c>
    </row>
    <row r="550" customFormat="false" ht="41.25" hidden="false" customHeight="true" outlineLevel="0" collapsed="false">
      <c r="A550" s="57" t="s">
        <v>1186</v>
      </c>
      <c r="B550" s="57" t="s">
        <v>282</v>
      </c>
      <c r="C550" s="57" t="str">
        <f aca="false">Flights!$F$21</f>
        <v>MH0073</v>
      </c>
      <c r="D550" s="58" t="n">
        <f aca="false">Flights!$D$21</f>
        <v>46322</v>
      </c>
      <c r="E550" s="57" t="str">
        <f aca="false">Flights!$G$21&amp;"-"&amp;Flights!$H$21</f>
        <v>HKG-KUL</v>
      </c>
      <c r="F550" s="57" t="str">
        <f aca="false">Flights!$K$21</f>
        <v>BC</v>
      </c>
      <c r="G550" s="57" t="s">
        <v>385</v>
      </c>
      <c r="H550" s="57" t="s">
        <v>343</v>
      </c>
      <c r="I550" s="57" t="s">
        <v>464</v>
      </c>
      <c r="J550" s="57" t="s">
        <v>465</v>
      </c>
      <c r="K550" s="67" t="s">
        <v>466</v>
      </c>
      <c r="L550" s="67" t="s">
        <v>1187</v>
      </c>
      <c r="M550" s="67" t="s">
        <v>416</v>
      </c>
      <c r="N550" s="67" t="s">
        <v>348</v>
      </c>
      <c r="O550" s="67" t="s">
        <v>1188</v>
      </c>
      <c r="P550" s="57" t="s">
        <v>274</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59" t="n">
        <f aca="false">Q550-T12EarlyH/24</f>
        <v>46321.2847222222</v>
      </c>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IF(N550="N/A – rule","N/A – RULE",IF(TRIM(U550)="N/A",IF(AT550=0,"INVALID – N/A not permitted for this mandatory check",IF(AND(TRIM(AC550)&lt;&gt;"",TRIM(AE550)&lt;&gt;"",TRIM(T550)&lt;&gt;"",TRIM(AE550)&lt;&gt;TRIM(T550)),"N/A – JUSTIFIED","INVALID – N/A needs justification, PIC and a different verifier")),IF(OR(TRIM(U550)="Pass",TRIM(U550)="Pass after CA"),IF(NOT(ISNUMBER(AD550)),"INVALID – completion time missing",IF(TRIM(T550)="","INVALID – PIC missing",IF(TRIM(V550)="","INVALID – result / assessment missing",IF(TRIM(Z550)="","INVALID – evidence missing",IF(TRIM(AE550)="","INVALID – verifier missing",IF(TRIM(AE550)=TRIM(T550),"INVALID – verifier must be someone other than the PIC",IF(AND(AQ550=1,TRIM(W550)=""),"INVALID – batch ID missing",IF(AND(AR550=1,OR(NOT(ISNUMBER(X550)),NOT(ISNUMBER(Y550)))),"INVALID – expected/actual qty missing",IF(IF(AND(TRIM(U550)="Pass",ISNUMBER(AF550)),IF(AF550&lt;&gt;0,"INVALID – qty variance: use Fail or Pass after CA",""),"")&amp;IF(AND(TRIM(U550)="Pass",TRIM(AB550)&lt;&gt;"",TRIM(AB550)&lt;&gt;"Closed"),"INVALID – corrective action not closed: use Fail, then Pass after CA","")&amp;IF(AND(TRIM(AA550)&lt;&gt;"",TRIM(AB550)=""),"INVALID – CA status missing for the recorded corrective action","")&amp;IF(AND(TRIM(U550)="Pass after CA",OR(TRIM(AA550)="",TRIM(AB550)&lt;&gt;"Closed")),"INVALID – corrective action not recorded/closed","")&lt;&gt;"",IF(AND(TRIM(U550)="Pass",ISNUMBER(AF550)),IF(AF550&lt;&gt;0,"INVALID – qty variance: use Fail or Pass after CA",""),"")&amp;IF(AND(TRIM(U550)="Pass",TRIM(AB550)&lt;&gt;"",TRIM(AB550)&lt;&gt;"Closed"),"INVALID – corrective action not closed: use Fail, then Pass after CA","")&amp;IF(AND(TRIM(AA550)&lt;&gt;"",TRIM(AB550)=""),"INVALID – CA status missing for the recorded corrective action","")&amp;IF(AND(TRIM(U550)="Pass after CA",OR(TRIM(AA550)="",TRIM(AB550)&lt;&gt;"Closed")),"INVALID – corrective action not recorded/closed",""),IF(AND(AS550=1,Documents!$J$21&lt;&gt;"ON FILE"),"INVALID – GLD not on file (Documents sheet)",IF(AND(AS550=2,Documents!$O$21&lt;&gt;"ON FILE"),"INVALID – menu checklist not on file (Documents sheet)",IF(AND(AS550=3,NOT(ISNUMBER(Flights!$AX$21))),"INVALID – enter carrying flight KUL departure (Flights AX)",IF(AND(AS550=3,OR(Flights!$AX$21&gt;=Flights!$AA$21,Flights!$AX$21&lt;Flights!$AA$21-3)),"INVALID – Flights AX must be before this leg's STD (within 3 days)",IF(AG550&gt;AsOfUTC,"INVALID – completion time is in the future",IF(AND(ISNUMBER(S550),AG550&lt;S550),IF(H550="Physical uplift","INVALID – before uplift window (cannot confirm loading)","INVALID – before valid window"),IF(AG550&gt;Flights!$AA$21,"INVALID – completed after departure (cannot establish readiness)",IF(AND(H550="Physical uplift",AG550&gt;Q550),"INVALID – recorded after the loading flight departed",IF(AG550&gt;Q550,"COMPLETE – LATE","COMPLETE")))))))))))))))))),IF(TRIM(U550)="Fail","FAIL – DISCREPANCY",IF(AND(TRIM(U550)&lt;&gt;"",TRIM(U550)&lt;&gt;"Not started",TRIM(U550)&lt;&gt;"In progress"),"INVALID – unrecognised status (use the list)",IF(AsOfUTC&gt;Q550,"OVERDUE",IF(N550="Clarification required","OPEN – CLARIFICATION","OPEN")))))))</f>
        <v>OPEN</v>
      </c>
      <c r="AI550" s="61" t="n">
        <f aca="false">IF(OR(AH550="N/A – RULE",AH550="N/A – JUSTIFIED"),0,1)</f>
        <v>1</v>
      </c>
      <c r="AJ550" s="61" t="n">
        <f aca="false">IF(LEFT(AH550,8)="COMPLETE",1,0)</f>
        <v>0</v>
      </c>
      <c r="AK550" s="61" t="n">
        <f aca="false">IF(AND(AI550=1,AJ550=0,AsOfUTC&gt;Q550),1,0)</f>
        <v>0</v>
      </c>
      <c r="AL550" s="61" t="n">
        <f aca="false">IF(AND(AI550=1,OR(TRIM(U550)="Fail",AND(TRIM(AB550)&lt;&gt;"",TRIM(AB550)&lt;&gt;"Closed"),AND(ISNUMBER(AF550),AF550&lt;&gt;0,TRIM(U550)&lt;&gt;"Pass after CA"))),1,0)</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8" t="b">
        <f aca="false">TRUE()</f>
        <v>1</v>
      </c>
    </row>
    <row r="551" customFormat="false" ht="41.25" hidden="false" customHeight="true" outlineLevel="0" collapsed="false">
      <c r="A551" s="57" t="s">
        <v>1189</v>
      </c>
      <c r="B551" s="57" t="s">
        <v>282</v>
      </c>
      <c r="C551" s="57" t="str">
        <f aca="false">Flights!$F$21</f>
        <v>MH0073</v>
      </c>
      <c r="D551" s="58" t="n">
        <f aca="false">Flights!$D$21</f>
        <v>46322</v>
      </c>
      <c r="E551" s="57" t="str">
        <f aca="false">Flights!$G$21&amp;"-"&amp;Flights!$H$21</f>
        <v>HKG-KUL</v>
      </c>
      <c r="F551" s="57" t="str">
        <f aca="false">Flights!$K$21</f>
        <v>BC</v>
      </c>
      <c r="G551" s="57" t="s">
        <v>385</v>
      </c>
      <c r="H551" s="57" t="s">
        <v>343</v>
      </c>
      <c r="I551" s="57" t="s">
        <v>464</v>
      </c>
      <c r="J551" s="57" t="s">
        <v>470</v>
      </c>
      <c r="K551" s="67" t="s">
        <v>466</v>
      </c>
      <c r="L551" s="67" t="s">
        <v>1190</v>
      </c>
      <c r="M551" s="67" t="s">
        <v>416</v>
      </c>
      <c r="N551" s="67" t="s">
        <v>348</v>
      </c>
      <c r="O551" s="67" t="s">
        <v>1188</v>
      </c>
      <c r="P551" s="57" t="s">
        <v>274</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59" t="n">
        <f aca="false">Q551-T12EarlyH/24</f>
        <v>46321.2847222222</v>
      </c>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IF(N551="N/A – rule","N/A – RULE",IF(TRIM(U551)="N/A",IF(AT551=0,"INVALID – N/A not permitted for this mandatory check",IF(AND(TRIM(AC551)&lt;&gt;"",TRIM(AE551)&lt;&gt;"",TRIM(T551)&lt;&gt;"",TRIM(AE551)&lt;&gt;TRIM(T551)),"N/A – JUSTIFIED","INVALID – N/A needs justification, PIC and a different verifier")),IF(OR(TRIM(U551)="Pass",TRIM(U551)="Pass after CA"),IF(NOT(ISNUMBER(AD551)),"INVALID – completion time missing",IF(TRIM(T551)="","INVALID – PIC missing",IF(TRIM(V551)="","INVALID – result / assessment missing",IF(TRIM(Z551)="","INVALID – evidence missing",IF(TRIM(AE551)="","INVALID – verifier missing",IF(TRIM(AE551)=TRIM(T551),"INVALID – verifier must be someone other than the PIC",IF(AND(AQ551=1,TRIM(W551)=""),"INVALID – batch ID missing",IF(AND(AR551=1,OR(NOT(ISNUMBER(X551)),NOT(ISNUMBER(Y551)))),"INVALID – expected/actual qty missing",IF(IF(AND(TRIM(U551)="Pass",ISNUMBER(AF551)),IF(AF551&lt;&gt;0,"INVALID – qty variance: use Fail or Pass after CA",""),"")&amp;IF(AND(TRIM(U551)="Pass",TRIM(AB551)&lt;&gt;"",TRIM(AB551)&lt;&gt;"Closed"),"INVALID – corrective action not closed: use Fail, then Pass after CA","")&amp;IF(AND(TRIM(AA551)&lt;&gt;"",TRIM(AB551)=""),"INVALID – CA status missing for the recorded corrective action","")&amp;IF(AND(TRIM(U551)="Pass after CA",OR(TRIM(AA551)="",TRIM(AB551)&lt;&gt;"Closed")),"INVALID – corrective action not recorded/closed","")&lt;&gt;"",IF(AND(TRIM(U551)="Pass",ISNUMBER(AF551)),IF(AF551&lt;&gt;0,"INVALID – qty variance: use Fail or Pass after CA",""),"")&amp;IF(AND(TRIM(U551)="Pass",TRIM(AB551)&lt;&gt;"",TRIM(AB551)&lt;&gt;"Closed"),"INVALID – corrective action not closed: use Fail, then Pass after CA","")&amp;IF(AND(TRIM(AA551)&lt;&gt;"",TRIM(AB551)=""),"INVALID – CA status missing for the recorded corrective action","")&amp;IF(AND(TRIM(U551)="Pass after CA",OR(TRIM(AA551)="",TRIM(AB551)&lt;&gt;"Closed")),"INVALID – corrective action not recorded/closed",""),IF(AND(AS551=1,Documents!$J$21&lt;&gt;"ON FILE"),"INVALID – GLD not on file (Documents sheet)",IF(AND(AS551=2,Documents!$O$21&lt;&gt;"ON FILE"),"INVALID – menu checklist not on file (Documents sheet)",IF(AND(AS551=3,NOT(ISNUMBER(Flights!$AX$21))),"INVALID – enter carrying flight KUL departure (Flights AX)",IF(AND(AS551=3,OR(Flights!$AX$21&gt;=Flights!$AA$21,Flights!$AX$21&lt;Flights!$AA$21-3)),"INVALID – Flights AX must be before this leg's STD (within 3 days)",IF(AG551&gt;AsOfUTC,"INVALID – completion time is in the future",IF(AND(ISNUMBER(S551),AG551&lt;S551),IF(H551="Physical uplift","INVALID – before uplift window (cannot confirm loading)","INVALID – before valid window"),IF(AG551&gt;Flights!$AA$21,"INVALID – completed after departure (cannot establish readiness)",IF(AND(H551="Physical uplift",AG551&gt;Q551),"INVALID – recorded after the loading flight departed",IF(AG551&gt;Q551,"COMPLETE – LATE","COMPLETE")))))))))))))))))),IF(TRIM(U551)="Fail","FAIL – DISCREPANCY",IF(AND(TRIM(U551)&lt;&gt;"",TRIM(U551)&lt;&gt;"Not started",TRIM(U551)&lt;&gt;"In progress"),"INVALID – unrecognised status (use the list)",IF(AsOfUTC&gt;Q551,"OVERDUE",IF(N551="Clarification required","OPEN – CLARIFICATION","OPEN")))))))</f>
        <v>OPEN</v>
      </c>
      <c r="AI551" s="61" t="n">
        <f aca="false">IF(OR(AH551="N/A – RULE",AH551="N/A – JUSTIFIED"),0,1)</f>
        <v>1</v>
      </c>
      <c r="AJ551" s="61" t="n">
        <f aca="false">IF(LEFT(AH551,8)="COMPLETE",1,0)</f>
        <v>0</v>
      </c>
      <c r="AK551" s="61" t="n">
        <f aca="false">IF(AND(AI551=1,AJ551=0,AsOfUTC&gt;Q551),1,0)</f>
        <v>0</v>
      </c>
      <c r="AL551" s="61" t="n">
        <f aca="false">IF(AND(AI551=1,OR(TRIM(U551)="Fail",AND(TRIM(AB551)&lt;&gt;"",TRIM(AB551)&lt;&gt;"Closed"),AND(ISNUMBER(AF551),AF551&lt;&gt;0,TRIM(U551)&lt;&gt;"Pass after CA"))),1,0)</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8" t="b">
        <f aca="false">TRUE()</f>
        <v>1</v>
      </c>
    </row>
    <row r="552" customFormat="false" ht="41.25" hidden="false" customHeight="true" outlineLevel="0" collapsed="false">
      <c r="A552" s="57" t="s">
        <v>1191</v>
      </c>
      <c r="B552" s="57" t="s">
        <v>282</v>
      </c>
      <c r="C552" s="57" t="str">
        <f aca="false">Flights!$F$21</f>
        <v>MH0073</v>
      </c>
      <c r="D552" s="58" t="n">
        <f aca="false">Flights!$D$21</f>
        <v>46322</v>
      </c>
      <c r="E552" s="57" t="str">
        <f aca="false">Flights!$G$21&amp;"-"&amp;Flights!$H$21</f>
        <v>HKG-KUL</v>
      </c>
      <c r="F552" s="57" t="str">
        <f aca="false">Flights!$K$21</f>
        <v>BC</v>
      </c>
      <c r="G552" s="57" t="s">
        <v>385</v>
      </c>
      <c r="H552" s="57" t="s">
        <v>343</v>
      </c>
      <c r="I552" s="57" t="s">
        <v>464</v>
      </c>
      <c r="J552" s="57" t="s">
        <v>473</v>
      </c>
      <c r="K552" s="67" t="s">
        <v>466</v>
      </c>
      <c r="L552" s="67" t="s">
        <v>1192</v>
      </c>
      <c r="M552" s="67" t="s">
        <v>416</v>
      </c>
      <c r="N552" s="67" t="s">
        <v>348</v>
      </c>
      <c r="O552" s="67" t="s">
        <v>1188</v>
      </c>
      <c r="P552" s="57" t="s">
        <v>274</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59" t="n">
        <f aca="false">Q552-T12EarlyH/24</f>
        <v>46321.2847222222</v>
      </c>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IF(N552="N/A – rule","N/A – RULE",IF(TRIM(U552)="N/A",IF(AT552=0,"INVALID – N/A not permitted for this mandatory check",IF(AND(TRIM(AC552)&lt;&gt;"",TRIM(AE552)&lt;&gt;"",TRIM(T552)&lt;&gt;"",TRIM(AE552)&lt;&gt;TRIM(T552)),"N/A – JUSTIFIED","INVALID – N/A needs justification, PIC and a different verifier")),IF(OR(TRIM(U552)="Pass",TRIM(U552)="Pass after CA"),IF(NOT(ISNUMBER(AD552)),"INVALID – completion time missing",IF(TRIM(T552)="","INVALID – PIC missing",IF(TRIM(V552)="","INVALID – result / assessment missing",IF(TRIM(Z552)="","INVALID – evidence missing",IF(TRIM(AE552)="","INVALID – verifier missing",IF(TRIM(AE552)=TRIM(T552),"INVALID – verifier must be someone other than the PIC",IF(AND(AQ552=1,TRIM(W552)=""),"INVALID – batch ID missing",IF(AND(AR552=1,OR(NOT(ISNUMBER(X552)),NOT(ISNUMBER(Y552)))),"INVALID – expected/actual qty missing",IF(IF(AND(TRIM(U552)="Pass",ISNUMBER(AF552)),IF(AF552&lt;&gt;0,"INVALID – qty variance: use Fail or Pass after CA",""),"")&amp;IF(AND(TRIM(U552)="Pass",TRIM(AB552)&lt;&gt;"",TRIM(AB552)&lt;&gt;"Closed"),"INVALID – corrective action not closed: use Fail, then Pass after CA","")&amp;IF(AND(TRIM(AA552)&lt;&gt;"",TRIM(AB552)=""),"INVALID – CA status missing for the recorded corrective action","")&amp;IF(AND(TRIM(U552)="Pass after CA",OR(TRIM(AA552)="",TRIM(AB552)&lt;&gt;"Closed")),"INVALID – corrective action not recorded/closed","")&lt;&gt;"",IF(AND(TRIM(U552)="Pass",ISNUMBER(AF552)),IF(AF552&lt;&gt;0,"INVALID – qty variance: use Fail or Pass after CA",""),"")&amp;IF(AND(TRIM(U552)="Pass",TRIM(AB552)&lt;&gt;"",TRIM(AB552)&lt;&gt;"Closed"),"INVALID – corrective action not closed: use Fail, then Pass after CA","")&amp;IF(AND(TRIM(AA552)&lt;&gt;"",TRIM(AB552)=""),"INVALID – CA status missing for the recorded corrective action","")&amp;IF(AND(TRIM(U552)="Pass after CA",OR(TRIM(AA552)="",TRIM(AB552)&lt;&gt;"Closed")),"INVALID – corrective action not recorded/closed",""),IF(AND(AS552=1,Documents!$J$21&lt;&gt;"ON FILE"),"INVALID – GLD not on file (Documents sheet)",IF(AND(AS552=2,Documents!$O$21&lt;&gt;"ON FILE"),"INVALID – menu checklist not on file (Documents sheet)",IF(AND(AS552=3,NOT(ISNUMBER(Flights!$AX$21))),"INVALID – enter carrying flight KUL departure (Flights AX)",IF(AND(AS552=3,OR(Flights!$AX$21&gt;=Flights!$AA$21,Flights!$AX$21&lt;Flights!$AA$21-3)),"INVALID – Flights AX must be before this leg's STD (within 3 days)",IF(AG552&gt;AsOfUTC,"INVALID – completion time is in the future",IF(AND(ISNUMBER(S552),AG552&lt;S552),IF(H552="Physical uplift","INVALID – before uplift window (cannot confirm loading)","INVALID – before valid window"),IF(AG552&gt;Flights!$AA$21,"INVALID – completed after departure (cannot establish readiness)",IF(AND(H552="Physical uplift",AG552&gt;Q552),"INVALID – recorded after the loading flight departed",IF(AG552&gt;Q552,"COMPLETE – LATE","COMPLETE")))))))))))))))))),IF(TRIM(U552)="Fail","FAIL – DISCREPANCY",IF(AND(TRIM(U552)&lt;&gt;"",TRIM(U552)&lt;&gt;"Not started",TRIM(U552)&lt;&gt;"In progress"),"INVALID – unrecognised status (use the list)",IF(AsOfUTC&gt;Q552,"OVERDUE",IF(N552="Clarification required","OPEN – CLARIFICATION","OPEN")))))))</f>
        <v>OPEN</v>
      </c>
      <c r="AI552" s="61" t="n">
        <f aca="false">IF(OR(AH552="N/A – RULE",AH552="N/A – JUSTIFIED"),0,1)</f>
        <v>1</v>
      </c>
      <c r="AJ552" s="61" t="n">
        <f aca="false">IF(LEFT(AH552,8)="COMPLETE",1,0)</f>
        <v>0</v>
      </c>
      <c r="AK552" s="61" t="n">
        <f aca="false">IF(AND(AI552=1,AJ552=0,AsOfUTC&gt;Q552),1,0)</f>
        <v>0</v>
      </c>
      <c r="AL552" s="61" t="n">
        <f aca="false">IF(AND(AI552=1,OR(TRIM(U552)="Fail",AND(TRIM(AB552)&lt;&gt;"",TRIM(AB552)&lt;&gt;"Closed"),AND(ISNUMBER(AF552),AF552&lt;&gt;0,TRIM(U552)&lt;&gt;"Pass after CA"))),1,0)</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8" t="b">
        <f aca="false">TRUE()</f>
        <v>1</v>
      </c>
    </row>
    <row r="553" customFormat="false" ht="116.25" hidden="false" customHeight="true" outlineLevel="0" collapsed="false">
      <c r="A553" s="57" t="s">
        <v>1193</v>
      </c>
      <c r="B553" s="57" t="s">
        <v>282</v>
      </c>
      <c r="C553" s="57" t="str">
        <f aca="false">Flights!$F$21</f>
        <v>MH0073</v>
      </c>
      <c r="D553" s="58" t="n">
        <f aca="false">Flights!$D$21</f>
        <v>46322</v>
      </c>
      <c r="E553" s="57" t="str">
        <f aca="false">Flights!$G$21&amp;"-"&amp;Flights!$H$21</f>
        <v>HKG-KUL</v>
      </c>
      <c r="F553" s="57" t="str">
        <f aca="false">Flights!$K$21</f>
        <v>BC</v>
      </c>
      <c r="G553" s="57" t="s">
        <v>385</v>
      </c>
      <c r="H553" s="57" t="s">
        <v>343</v>
      </c>
      <c r="I553" s="57" t="s">
        <v>464</v>
      </c>
      <c r="J553" s="57" t="s">
        <v>476</v>
      </c>
      <c r="K553" s="67" t="s">
        <v>466</v>
      </c>
      <c r="L553" s="67" t="s">
        <v>1194</v>
      </c>
      <c r="M553" s="67" t="s">
        <v>416</v>
      </c>
      <c r="N553" s="67" t="s">
        <v>409</v>
      </c>
      <c r="O553" s="67" t="s">
        <v>1195</v>
      </c>
      <c r="P553" s="57" t="s">
        <v>274</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59" t="n">
        <f aca="false">Q553-T12EarlyH/24</f>
        <v>46321.2847222222</v>
      </c>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IF(N553="N/A – rule","N/A – RULE",IF(TRIM(U553)="N/A",IF(AT553=0,"INVALID – N/A not permitted for this mandatory check",IF(AND(TRIM(AC553)&lt;&gt;"",TRIM(AE553)&lt;&gt;"",TRIM(T553)&lt;&gt;"",TRIM(AE553)&lt;&gt;TRIM(T553)),"N/A – JUSTIFIED","INVALID – N/A needs justification, PIC and a different verifier")),IF(OR(TRIM(U553)="Pass",TRIM(U553)="Pass after CA"),IF(NOT(ISNUMBER(AD553)),"INVALID – completion time missing",IF(TRIM(T553)="","INVALID – PIC missing",IF(TRIM(V553)="","INVALID – result / assessment missing",IF(TRIM(Z553)="","INVALID – evidence missing",IF(TRIM(AE553)="","INVALID – verifier missing",IF(TRIM(AE553)=TRIM(T553),"INVALID – verifier must be someone other than the PIC",IF(AND(AQ553=1,TRIM(W553)=""),"INVALID – batch ID missing",IF(AND(AR553=1,OR(NOT(ISNUMBER(X553)),NOT(ISNUMBER(Y553)))),"INVALID – expected/actual qty missing",IF(IF(AND(TRIM(U553)="Pass",ISNUMBER(AF553)),IF(AF553&lt;&gt;0,"INVALID – qty variance: use Fail or Pass after CA",""),"")&amp;IF(AND(TRIM(U553)="Pass",TRIM(AB553)&lt;&gt;"",TRIM(AB553)&lt;&gt;"Closed"),"INVALID – corrective action not closed: use Fail, then Pass after CA","")&amp;IF(AND(TRIM(AA553)&lt;&gt;"",TRIM(AB553)=""),"INVALID – CA status missing for the recorded corrective action","")&amp;IF(AND(TRIM(U553)="Pass after CA",OR(TRIM(AA553)="",TRIM(AB553)&lt;&gt;"Closed")),"INVALID – corrective action not recorded/closed","")&lt;&gt;"",IF(AND(TRIM(U553)="Pass",ISNUMBER(AF553)),IF(AF553&lt;&gt;0,"INVALID – qty variance: use Fail or Pass after CA",""),"")&amp;IF(AND(TRIM(U553)="Pass",TRIM(AB553)&lt;&gt;"",TRIM(AB553)&lt;&gt;"Closed"),"INVALID – corrective action not closed: use Fail, then Pass after CA","")&amp;IF(AND(TRIM(AA553)&lt;&gt;"",TRIM(AB553)=""),"INVALID – CA status missing for the recorded corrective action","")&amp;IF(AND(TRIM(U553)="Pass after CA",OR(TRIM(AA553)="",TRIM(AB553)&lt;&gt;"Closed")),"INVALID – corrective action not recorded/closed",""),IF(AND(AS553=1,Documents!$J$21&lt;&gt;"ON FILE"),"INVALID – GLD not on file (Documents sheet)",IF(AND(AS553=2,Documents!$O$21&lt;&gt;"ON FILE"),"INVALID – menu checklist not on file (Documents sheet)",IF(AND(AS553=3,NOT(ISNUMBER(Flights!$AX$21))),"INVALID – enter carrying flight KUL departure (Flights AX)",IF(AND(AS553=3,OR(Flights!$AX$21&gt;=Flights!$AA$21,Flights!$AX$21&lt;Flights!$AA$21-3)),"INVALID – Flights AX must be before this leg's STD (within 3 days)",IF(AG553&gt;AsOfUTC,"INVALID – completion time is in the future",IF(AND(ISNUMBER(S553),AG553&lt;S553),IF(H553="Physical uplift","INVALID – before uplift window (cannot confirm loading)","INVALID – before valid window"),IF(AG553&gt;Flights!$AA$21,"INVALID – completed after departure (cannot establish readiness)",IF(AND(H553="Physical uplift",AG553&gt;Q553),"INVALID – recorded after the loading flight departed",IF(AG553&gt;Q553,"COMPLETE – LATE","COMPLETE")))))))))))))))))),IF(TRIM(U553)="Fail","FAIL – DISCREPANCY",IF(AND(TRIM(U553)&lt;&gt;"",TRIM(U553)&lt;&gt;"Not started",TRIM(U553)&lt;&gt;"In progress"),"INVALID – unrecognised status (use the list)",IF(AsOfUTC&gt;Q553,"OVERDUE",IF(N553="Clarification required","OPEN – CLARIFICATION","OPEN")))))))</f>
        <v>OPEN – CLARIFICATION</v>
      </c>
      <c r="AI553" s="61" t="n">
        <f aca="false">IF(OR(AH553="N/A – RULE",AH553="N/A – JUSTIFIED"),0,1)</f>
        <v>1</v>
      </c>
      <c r="AJ553" s="61" t="n">
        <f aca="false">IF(LEFT(AH553,8)="COMPLETE",1,0)</f>
        <v>0</v>
      </c>
      <c r="AK553" s="61" t="n">
        <f aca="false">IF(AND(AI553=1,AJ553=0,AsOfUTC&gt;Q553),1,0)</f>
        <v>0</v>
      </c>
      <c r="AL553" s="61" t="n">
        <f aca="false">IF(AND(AI553=1,OR(TRIM(U553)="Fail",AND(TRIM(AB553)&lt;&gt;"",TRIM(AB553)&lt;&gt;"Closed"),AND(ISNUMBER(AF553),AF553&lt;&gt;0,TRIM(U553)&lt;&gt;"Pass after CA"))),1,0)</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8" t="b">
        <f aca="false">TRUE()</f>
        <v>1</v>
      </c>
    </row>
    <row r="554" customFormat="false" ht="116.25" hidden="false" customHeight="true" outlineLevel="0" collapsed="false">
      <c r="A554" s="57" t="s">
        <v>1196</v>
      </c>
      <c r="B554" s="57" t="s">
        <v>282</v>
      </c>
      <c r="C554" s="57" t="str">
        <f aca="false">Flights!$F$21</f>
        <v>MH0073</v>
      </c>
      <c r="D554" s="58" t="n">
        <f aca="false">Flights!$D$21</f>
        <v>46322</v>
      </c>
      <c r="E554" s="57" t="str">
        <f aca="false">Flights!$G$21&amp;"-"&amp;Flights!$H$21</f>
        <v>HKG-KUL</v>
      </c>
      <c r="F554" s="57" t="str">
        <f aca="false">Flights!$K$21</f>
        <v>BC</v>
      </c>
      <c r="G554" s="57" t="s">
        <v>385</v>
      </c>
      <c r="H554" s="57" t="s">
        <v>343</v>
      </c>
      <c r="I554" s="57" t="s">
        <v>464</v>
      </c>
      <c r="J554" s="57" t="s">
        <v>480</v>
      </c>
      <c r="K554" s="67" t="s">
        <v>466</v>
      </c>
      <c r="L554" s="67" t="s">
        <v>1197</v>
      </c>
      <c r="M554" s="67" t="s">
        <v>416</v>
      </c>
      <c r="N554" s="67" t="s">
        <v>409</v>
      </c>
      <c r="O554" s="67" t="s">
        <v>1195</v>
      </c>
      <c r="P554" s="57" t="s">
        <v>274</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59" t="n">
        <f aca="false">Q554-T12EarlyH/24</f>
        <v>46321.2847222222</v>
      </c>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IF(N554="N/A – rule","N/A – RULE",IF(TRIM(U554)="N/A",IF(AT554=0,"INVALID – N/A not permitted for this mandatory check",IF(AND(TRIM(AC554)&lt;&gt;"",TRIM(AE554)&lt;&gt;"",TRIM(T554)&lt;&gt;"",TRIM(AE554)&lt;&gt;TRIM(T554)),"N/A – JUSTIFIED","INVALID – N/A needs justification, PIC and a different verifier")),IF(OR(TRIM(U554)="Pass",TRIM(U554)="Pass after CA"),IF(NOT(ISNUMBER(AD554)),"INVALID – completion time missing",IF(TRIM(T554)="","INVALID – PIC missing",IF(TRIM(V554)="","INVALID – result / assessment missing",IF(TRIM(Z554)="","INVALID – evidence missing",IF(TRIM(AE554)="","INVALID – verifier missing",IF(TRIM(AE554)=TRIM(T554),"INVALID – verifier must be someone other than the PIC",IF(AND(AQ554=1,TRIM(W554)=""),"INVALID – batch ID missing",IF(AND(AR554=1,OR(NOT(ISNUMBER(X554)),NOT(ISNUMBER(Y554)))),"INVALID – expected/actual qty missing",IF(IF(AND(TRIM(U554)="Pass",ISNUMBER(AF554)),IF(AF554&lt;&gt;0,"INVALID – qty variance: use Fail or Pass after CA",""),"")&amp;IF(AND(TRIM(U554)="Pass",TRIM(AB554)&lt;&gt;"",TRIM(AB554)&lt;&gt;"Closed"),"INVALID – corrective action not closed: use Fail, then Pass after CA","")&amp;IF(AND(TRIM(AA554)&lt;&gt;"",TRIM(AB554)=""),"INVALID – CA status missing for the recorded corrective action","")&amp;IF(AND(TRIM(U554)="Pass after CA",OR(TRIM(AA554)="",TRIM(AB554)&lt;&gt;"Closed")),"INVALID – corrective action not recorded/closed","")&lt;&gt;"",IF(AND(TRIM(U554)="Pass",ISNUMBER(AF554)),IF(AF554&lt;&gt;0,"INVALID – qty variance: use Fail or Pass after CA",""),"")&amp;IF(AND(TRIM(U554)="Pass",TRIM(AB554)&lt;&gt;"",TRIM(AB554)&lt;&gt;"Closed"),"INVALID – corrective action not closed: use Fail, then Pass after CA","")&amp;IF(AND(TRIM(AA554)&lt;&gt;"",TRIM(AB554)=""),"INVALID – CA status missing for the recorded corrective action","")&amp;IF(AND(TRIM(U554)="Pass after CA",OR(TRIM(AA554)="",TRIM(AB554)&lt;&gt;"Closed")),"INVALID – corrective action not recorded/closed",""),IF(AND(AS554=1,Documents!$J$21&lt;&gt;"ON FILE"),"INVALID – GLD not on file (Documents sheet)",IF(AND(AS554=2,Documents!$O$21&lt;&gt;"ON FILE"),"INVALID – menu checklist not on file (Documents sheet)",IF(AND(AS554=3,NOT(ISNUMBER(Flights!$AX$21))),"INVALID – enter carrying flight KUL departure (Flights AX)",IF(AND(AS554=3,OR(Flights!$AX$21&gt;=Flights!$AA$21,Flights!$AX$21&lt;Flights!$AA$21-3)),"INVALID – Flights AX must be before this leg's STD (within 3 days)",IF(AG554&gt;AsOfUTC,"INVALID – completion time is in the future",IF(AND(ISNUMBER(S554),AG554&lt;S554),IF(H554="Physical uplift","INVALID – before uplift window (cannot confirm loading)","INVALID – before valid window"),IF(AG554&gt;Flights!$AA$21,"INVALID – completed after departure (cannot establish readiness)",IF(AND(H554="Physical uplift",AG554&gt;Q554),"INVALID – recorded after the loading flight departed",IF(AG554&gt;Q554,"COMPLETE – LATE","COMPLETE")))))))))))))))))),IF(TRIM(U554)="Fail","FAIL – DISCREPANCY",IF(AND(TRIM(U554)&lt;&gt;"",TRIM(U554)&lt;&gt;"Not started",TRIM(U554)&lt;&gt;"In progress"),"INVALID – unrecognised status (use the list)",IF(AsOfUTC&gt;Q554,"OVERDUE",IF(N554="Clarification required","OPEN – CLARIFICATION","OPEN")))))))</f>
        <v>OPEN – CLARIFICATION</v>
      </c>
      <c r="AI554" s="61" t="n">
        <f aca="false">IF(OR(AH554="N/A – RULE",AH554="N/A – JUSTIFIED"),0,1)</f>
        <v>1</v>
      </c>
      <c r="AJ554" s="61" t="n">
        <f aca="false">IF(LEFT(AH554,8)="COMPLETE",1,0)</f>
        <v>0</v>
      </c>
      <c r="AK554" s="61" t="n">
        <f aca="false">IF(AND(AI554=1,AJ554=0,AsOfUTC&gt;Q554),1,0)</f>
        <v>0</v>
      </c>
      <c r="AL554" s="61" t="n">
        <f aca="false">IF(AND(AI554=1,OR(TRIM(U554)="Fail",AND(TRIM(AB554)&lt;&gt;"",TRIM(AB554)&lt;&gt;"Closed"),AND(ISNUMBER(AF554),AF554&lt;&gt;0,TRIM(U554)&lt;&gt;"Pass after CA"))),1,0)</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8" t="b">
        <f aca="false">TRUE()</f>
        <v>1</v>
      </c>
    </row>
    <row r="555" customFormat="false" ht="54" hidden="false" customHeight="true" outlineLevel="0" collapsed="false">
      <c r="A555" s="57" t="s">
        <v>1198</v>
      </c>
      <c r="B555" s="57" t="s">
        <v>282</v>
      </c>
      <c r="C555" s="57" t="str">
        <f aca="false">Flights!$F$21</f>
        <v>MH0073</v>
      </c>
      <c r="D555" s="58" t="n">
        <f aca="false">Flights!$D$21</f>
        <v>46322</v>
      </c>
      <c r="E555" s="57" t="str">
        <f aca="false">Flights!$G$21&amp;"-"&amp;Flights!$H$21</f>
        <v>HKG-KUL</v>
      </c>
      <c r="F555" s="57" t="str">
        <f aca="false">Flights!$K$21</f>
        <v>BC</v>
      </c>
      <c r="G555" s="57" t="s">
        <v>385</v>
      </c>
      <c r="H555" s="57" t="s">
        <v>343</v>
      </c>
      <c r="I555" s="57" t="s">
        <v>464</v>
      </c>
      <c r="J555" s="57" t="s">
        <v>483</v>
      </c>
      <c r="K555" s="67" t="s">
        <v>484</v>
      </c>
      <c r="L555" s="67" t="s">
        <v>1199</v>
      </c>
      <c r="M555" s="67" t="s">
        <v>416</v>
      </c>
      <c r="N555" s="67" t="s">
        <v>348</v>
      </c>
      <c r="O555" s="67" t="s">
        <v>1200</v>
      </c>
      <c r="P555" s="57" t="s">
        <v>274</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59" t="n">
        <f aca="false">Q555-T12EarlyH/24</f>
        <v>46321.2847222222</v>
      </c>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IF(N555="N/A – rule","N/A – RULE",IF(TRIM(U555)="N/A",IF(AT555=0,"INVALID – N/A not permitted for this mandatory check",IF(AND(TRIM(AC555)&lt;&gt;"",TRIM(AE555)&lt;&gt;"",TRIM(T555)&lt;&gt;"",TRIM(AE555)&lt;&gt;TRIM(T555)),"N/A – JUSTIFIED","INVALID – N/A needs justification, PIC and a different verifier")),IF(OR(TRIM(U555)="Pass",TRIM(U555)="Pass after CA"),IF(NOT(ISNUMBER(AD555)),"INVALID – completion time missing",IF(TRIM(T555)="","INVALID – PIC missing",IF(TRIM(V555)="","INVALID – result / assessment missing",IF(TRIM(Z555)="","INVALID – evidence missing",IF(TRIM(AE555)="","INVALID – verifier missing",IF(TRIM(AE555)=TRIM(T555),"INVALID – verifier must be someone other than the PIC",IF(AND(AQ555=1,TRIM(W555)=""),"INVALID – batch ID missing",IF(AND(AR555=1,OR(NOT(ISNUMBER(X555)),NOT(ISNUMBER(Y555)))),"INVALID – expected/actual qty missing",IF(IF(AND(TRIM(U555)="Pass",ISNUMBER(AF555)),IF(AF555&lt;&gt;0,"INVALID – qty variance: use Fail or Pass after CA",""),"")&amp;IF(AND(TRIM(U555)="Pass",TRIM(AB555)&lt;&gt;"",TRIM(AB555)&lt;&gt;"Closed"),"INVALID – corrective action not closed: use Fail, then Pass after CA","")&amp;IF(AND(TRIM(AA555)&lt;&gt;"",TRIM(AB555)=""),"INVALID – CA status missing for the recorded corrective action","")&amp;IF(AND(TRIM(U555)="Pass after CA",OR(TRIM(AA555)="",TRIM(AB555)&lt;&gt;"Closed")),"INVALID – corrective action not recorded/closed","")&lt;&gt;"",IF(AND(TRIM(U555)="Pass",ISNUMBER(AF555)),IF(AF555&lt;&gt;0,"INVALID – qty variance: use Fail or Pass after CA",""),"")&amp;IF(AND(TRIM(U555)="Pass",TRIM(AB555)&lt;&gt;"",TRIM(AB555)&lt;&gt;"Closed"),"INVALID – corrective action not closed: use Fail, then Pass after CA","")&amp;IF(AND(TRIM(AA555)&lt;&gt;"",TRIM(AB555)=""),"INVALID – CA status missing for the recorded corrective action","")&amp;IF(AND(TRIM(U555)="Pass after CA",OR(TRIM(AA555)="",TRIM(AB555)&lt;&gt;"Closed")),"INVALID – corrective action not recorded/closed",""),IF(AND(AS555=1,Documents!$J$21&lt;&gt;"ON FILE"),"INVALID – GLD not on file (Documents sheet)",IF(AND(AS555=2,Documents!$O$21&lt;&gt;"ON FILE"),"INVALID – menu checklist not on file (Documents sheet)",IF(AND(AS555=3,NOT(ISNUMBER(Flights!$AX$21))),"INVALID – enter carrying flight KUL departure (Flights AX)",IF(AND(AS555=3,OR(Flights!$AX$21&gt;=Flights!$AA$21,Flights!$AX$21&lt;Flights!$AA$21-3)),"INVALID – Flights AX must be before this leg's STD (within 3 days)",IF(AG555&gt;AsOfUTC,"INVALID – completion time is in the future",IF(AND(ISNUMBER(S555),AG555&lt;S555),IF(H555="Physical uplift","INVALID – before uplift window (cannot confirm loading)","INVALID – before valid window"),IF(AG555&gt;Flights!$AA$21,"INVALID – completed after departure (cannot establish readiness)",IF(AND(H555="Physical uplift",AG555&gt;Q555),"INVALID – recorded after the loading flight departed",IF(AG555&gt;Q555,"COMPLETE – LATE","COMPLETE")))))))))))))))))),IF(TRIM(U555)="Fail","FAIL – DISCREPANCY",IF(AND(TRIM(U555)&lt;&gt;"",TRIM(U555)&lt;&gt;"Not started",TRIM(U555)&lt;&gt;"In progress"),"INVALID – unrecognised status (use the list)",IF(AsOfUTC&gt;Q555,"OVERDUE",IF(N555="Clarification required","OPEN – CLARIFICATION","OPEN")))))))</f>
        <v>OPEN</v>
      </c>
      <c r="AI555" s="61" t="n">
        <f aca="false">IF(OR(AH555="N/A – RULE",AH555="N/A – JUSTIFIED"),0,1)</f>
        <v>1</v>
      </c>
      <c r="AJ555" s="61" t="n">
        <f aca="false">IF(LEFT(AH555,8)="COMPLETE",1,0)</f>
        <v>0</v>
      </c>
      <c r="AK555" s="61" t="n">
        <f aca="false">IF(AND(AI555=1,AJ555=0,AsOfUTC&gt;Q555),1,0)</f>
        <v>0</v>
      </c>
      <c r="AL555" s="61" t="n">
        <f aca="false">IF(AND(AI555=1,OR(TRIM(U555)="Fail",AND(TRIM(AB555)&lt;&gt;"",TRIM(AB555)&lt;&gt;"Closed"),AND(ISNUMBER(AF555),AF555&lt;&gt;0,TRIM(U555)&lt;&gt;"Pass after CA"))),1,0)</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8" t="b">
        <f aca="false">TRUE()</f>
        <v>1</v>
      </c>
    </row>
    <row r="556" customFormat="false" ht="41.25" hidden="false" customHeight="true" outlineLevel="0" collapsed="false">
      <c r="A556" s="57" t="s">
        <v>1201</v>
      </c>
      <c r="B556" s="57" t="s">
        <v>282</v>
      </c>
      <c r="C556" s="57" t="str">
        <f aca="false">Flights!$F$21</f>
        <v>MH0073</v>
      </c>
      <c r="D556" s="58" t="n">
        <f aca="false">Flights!$D$21</f>
        <v>46322</v>
      </c>
      <c r="E556" s="57" t="str">
        <f aca="false">Flights!$G$21&amp;"-"&amp;Flights!$H$21</f>
        <v>HKG-KUL</v>
      </c>
      <c r="F556" s="57" t="str">
        <f aca="false">Flights!$K$21</f>
        <v>BC</v>
      </c>
      <c r="G556" s="57" t="s">
        <v>385</v>
      </c>
      <c r="H556" s="57" t="s">
        <v>343</v>
      </c>
      <c r="I556" s="57" t="s">
        <v>464</v>
      </c>
      <c r="J556" s="57" t="s">
        <v>488</v>
      </c>
      <c r="K556" s="67" t="s">
        <v>466</v>
      </c>
      <c r="L556" s="67" t="s">
        <v>1202</v>
      </c>
      <c r="M556" s="67" t="s">
        <v>416</v>
      </c>
      <c r="N556" s="67" t="s">
        <v>348</v>
      </c>
      <c r="O556" s="67" t="s">
        <v>1188</v>
      </c>
      <c r="P556" s="57" t="s">
        <v>274</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59" t="n">
        <f aca="false">Q556-T12EarlyH/24</f>
        <v>46321.2847222222</v>
      </c>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IF(N556="N/A – rule","N/A – RULE",IF(TRIM(U556)="N/A",IF(AT556=0,"INVALID – N/A not permitted for this mandatory check",IF(AND(TRIM(AC556)&lt;&gt;"",TRIM(AE556)&lt;&gt;"",TRIM(T556)&lt;&gt;"",TRIM(AE556)&lt;&gt;TRIM(T556)),"N/A – JUSTIFIED","INVALID – N/A needs justification, PIC and a different verifier")),IF(OR(TRIM(U556)="Pass",TRIM(U556)="Pass after CA"),IF(NOT(ISNUMBER(AD556)),"INVALID – completion time missing",IF(TRIM(T556)="","INVALID – PIC missing",IF(TRIM(V556)="","INVALID – result / assessment missing",IF(TRIM(Z556)="","INVALID – evidence missing",IF(TRIM(AE556)="","INVALID – verifier missing",IF(TRIM(AE556)=TRIM(T556),"INVALID – verifier must be someone other than the PIC",IF(AND(AQ556=1,TRIM(W556)=""),"INVALID – batch ID missing",IF(AND(AR556=1,OR(NOT(ISNUMBER(X556)),NOT(ISNUMBER(Y556)))),"INVALID – expected/actual qty missing",IF(IF(AND(TRIM(U556)="Pass",ISNUMBER(AF556)),IF(AF556&lt;&gt;0,"INVALID – qty variance: use Fail or Pass after CA",""),"")&amp;IF(AND(TRIM(U556)="Pass",TRIM(AB556)&lt;&gt;"",TRIM(AB556)&lt;&gt;"Closed"),"INVALID – corrective action not closed: use Fail, then Pass after CA","")&amp;IF(AND(TRIM(AA556)&lt;&gt;"",TRIM(AB556)=""),"INVALID – CA status missing for the recorded corrective action","")&amp;IF(AND(TRIM(U556)="Pass after CA",OR(TRIM(AA556)="",TRIM(AB556)&lt;&gt;"Closed")),"INVALID – corrective action not recorded/closed","")&lt;&gt;"",IF(AND(TRIM(U556)="Pass",ISNUMBER(AF556)),IF(AF556&lt;&gt;0,"INVALID – qty variance: use Fail or Pass after CA",""),"")&amp;IF(AND(TRIM(U556)="Pass",TRIM(AB556)&lt;&gt;"",TRIM(AB556)&lt;&gt;"Closed"),"INVALID – corrective action not closed: use Fail, then Pass after CA","")&amp;IF(AND(TRIM(AA556)&lt;&gt;"",TRIM(AB556)=""),"INVALID – CA status missing for the recorded corrective action","")&amp;IF(AND(TRIM(U556)="Pass after CA",OR(TRIM(AA556)="",TRIM(AB556)&lt;&gt;"Closed")),"INVALID – corrective action not recorded/closed",""),IF(AND(AS556=1,Documents!$J$21&lt;&gt;"ON FILE"),"INVALID – GLD not on file (Documents sheet)",IF(AND(AS556=2,Documents!$O$21&lt;&gt;"ON FILE"),"INVALID – menu checklist not on file (Documents sheet)",IF(AND(AS556=3,NOT(ISNUMBER(Flights!$AX$21))),"INVALID – enter carrying flight KUL departure (Flights AX)",IF(AND(AS556=3,OR(Flights!$AX$21&gt;=Flights!$AA$21,Flights!$AX$21&lt;Flights!$AA$21-3)),"INVALID – Flights AX must be before this leg's STD (within 3 days)",IF(AG556&gt;AsOfUTC,"INVALID – completion time is in the future",IF(AND(ISNUMBER(S556),AG556&lt;S556),IF(H556="Physical uplift","INVALID – before uplift window (cannot confirm loading)","INVALID – before valid window"),IF(AG556&gt;Flights!$AA$21,"INVALID – completed after departure (cannot establish readiness)",IF(AND(H556="Physical uplift",AG556&gt;Q556),"INVALID – recorded after the loading flight departed",IF(AG556&gt;Q556,"COMPLETE – LATE","COMPLETE")))))))))))))))))),IF(TRIM(U556)="Fail","FAIL – DISCREPANCY",IF(AND(TRIM(U556)&lt;&gt;"",TRIM(U556)&lt;&gt;"Not started",TRIM(U556)&lt;&gt;"In progress"),"INVALID – unrecognised status (use the list)",IF(AsOfUTC&gt;Q556,"OVERDUE",IF(N556="Clarification required","OPEN – CLARIFICATION","OPEN")))))))</f>
        <v>OPEN</v>
      </c>
      <c r="AI556" s="61" t="n">
        <f aca="false">IF(OR(AH556="N/A – RULE",AH556="N/A – JUSTIFIED"),0,1)</f>
        <v>1</v>
      </c>
      <c r="AJ556" s="61" t="n">
        <f aca="false">IF(LEFT(AH556,8)="COMPLETE",1,0)</f>
        <v>0</v>
      </c>
      <c r="AK556" s="61" t="n">
        <f aca="false">IF(AND(AI556=1,AJ556=0,AsOfUTC&gt;Q556),1,0)</f>
        <v>0</v>
      </c>
      <c r="AL556" s="61" t="n">
        <f aca="false">IF(AND(AI556=1,OR(TRIM(U556)="Fail",AND(TRIM(AB556)&lt;&gt;"",TRIM(AB556)&lt;&gt;"Closed"),AND(ISNUMBER(AF556),AF556&lt;&gt;0,TRIM(U556)&lt;&gt;"Pass after CA"))),1,0)</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8" t="b">
        <f aca="false">TRUE()</f>
        <v>1</v>
      </c>
    </row>
    <row r="557" customFormat="false" ht="41.25" hidden="false" customHeight="true" outlineLevel="0" collapsed="false">
      <c r="A557" s="57" t="s">
        <v>1203</v>
      </c>
      <c r="B557" s="57" t="s">
        <v>282</v>
      </c>
      <c r="C557" s="57" t="str">
        <f aca="false">Flights!$F$21</f>
        <v>MH0073</v>
      </c>
      <c r="D557" s="58" t="n">
        <f aca="false">Flights!$D$21</f>
        <v>46322</v>
      </c>
      <c r="E557" s="57" t="str">
        <f aca="false">Flights!$G$21&amp;"-"&amp;Flights!$H$21</f>
        <v>HKG-KUL</v>
      </c>
      <c r="F557" s="57" t="str">
        <f aca="false">Flights!$K$21</f>
        <v>BC</v>
      </c>
      <c r="G557" s="57" t="s">
        <v>385</v>
      </c>
      <c r="H557" s="57" t="s">
        <v>343</v>
      </c>
      <c r="I557" s="57" t="s">
        <v>412</v>
      </c>
      <c r="J557" s="57" t="s">
        <v>491</v>
      </c>
      <c r="K557" s="67" t="s">
        <v>414</v>
      </c>
      <c r="L557" s="67" t="s">
        <v>1204</v>
      </c>
      <c r="M557" s="67" t="s">
        <v>416</v>
      </c>
      <c r="N557" s="67" t="s">
        <v>348</v>
      </c>
      <c r="O557" s="67" t="s">
        <v>1188</v>
      </c>
      <c r="P557" s="57" t="s">
        <v>274</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59" t="n">
        <f aca="false">Q557-T12EarlyH/24</f>
        <v>46321.2847222222</v>
      </c>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IF(N557="N/A – rule","N/A – RULE",IF(TRIM(U557)="N/A",IF(AT557=0,"INVALID – N/A not permitted for this mandatory check",IF(AND(TRIM(AC557)&lt;&gt;"",TRIM(AE557)&lt;&gt;"",TRIM(T557)&lt;&gt;"",TRIM(AE557)&lt;&gt;TRIM(T557)),"N/A – JUSTIFIED","INVALID – N/A needs justification, PIC and a different verifier")),IF(OR(TRIM(U557)="Pass",TRIM(U557)="Pass after CA"),IF(NOT(ISNUMBER(AD557)),"INVALID – completion time missing",IF(TRIM(T557)="","INVALID – PIC missing",IF(TRIM(V557)="","INVALID – result / assessment missing",IF(TRIM(Z557)="","INVALID – evidence missing",IF(TRIM(AE557)="","INVALID – verifier missing",IF(TRIM(AE557)=TRIM(T557),"INVALID – verifier must be someone other than the PIC",IF(AND(AQ557=1,TRIM(W557)=""),"INVALID – batch ID missing",IF(AND(AR557=1,OR(NOT(ISNUMBER(X557)),NOT(ISNUMBER(Y557)))),"INVALID – expected/actual qty missing",IF(IF(AND(TRIM(U557)="Pass",ISNUMBER(AF557)),IF(AF557&lt;&gt;0,"INVALID – qty variance: use Fail or Pass after CA",""),"")&amp;IF(AND(TRIM(U557)="Pass",TRIM(AB557)&lt;&gt;"",TRIM(AB557)&lt;&gt;"Closed"),"INVALID – corrective action not closed: use Fail, then Pass after CA","")&amp;IF(AND(TRIM(AA557)&lt;&gt;"",TRIM(AB557)=""),"INVALID – CA status missing for the recorded corrective action","")&amp;IF(AND(TRIM(U557)="Pass after CA",OR(TRIM(AA557)="",TRIM(AB557)&lt;&gt;"Closed")),"INVALID – corrective action not recorded/closed","")&lt;&gt;"",IF(AND(TRIM(U557)="Pass",ISNUMBER(AF557)),IF(AF557&lt;&gt;0,"INVALID – qty variance: use Fail or Pass after CA",""),"")&amp;IF(AND(TRIM(U557)="Pass",TRIM(AB557)&lt;&gt;"",TRIM(AB557)&lt;&gt;"Closed"),"INVALID – corrective action not closed: use Fail, then Pass after CA","")&amp;IF(AND(TRIM(AA557)&lt;&gt;"",TRIM(AB557)=""),"INVALID – CA status missing for the recorded corrective action","")&amp;IF(AND(TRIM(U557)="Pass after CA",OR(TRIM(AA557)="",TRIM(AB557)&lt;&gt;"Closed")),"INVALID – corrective action not recorded/closed",""),IF(AND(AS557=1,Documents!$J$21&lt;&gt;"ON FILE"),"INVALID – GLD not on file (Documents sheet)",IF(AND(AS557=2,Documents!$O$21&lt;&gt;"ON FILE"),"INVALID – menu checklist not on file (Documents sheet)",IF(AND(AS557=3,NOT(ISNUMBER(Flights!$AX$21))),"INVALID – enter carrying flight KUL departure (Flights AX)",IF(AND(AS557=3,OR(Flights!$AX$21&gt;=Flights!$AA$21,Flights!$AX$21&lt;Flights!$AA$21-3)),"INVALID – Flights AX must be before this leg's STD (within 3 days)",IF(AG557&gt;AsOfUTC,"INVALID – completion time is in the future",IF(AND(ISNUMBER(S557),AG557&lt;S557),IF(H557="Physical uplift","INVALID – before uplift window (cannot confirm loading)","INVALID – before valid window"),IF(AG557&gt;Flights!$AA$21,"INVALID – completed after departure (cannot establish readiness)",IF(AND(H557="Physical uplift",AG557&gt;Q557),"INVALID – recorded after the loading flight departed",IF(AG557&gt;Q557,"COMPLETE – LATE","COMPLETE")))))))))))))))))),IF(TRIM(U557)="Fail","FAIL – DISCREPANCY",IF(AND(TRIM(U557)&lt;&gt;"",TRIM(U557)&lt;&gt;"Not started",TRIM(U557)&lt;&gt;"In progress"),"INVALID – unrecognised status (use the list)",IF(AsOfUTC&gt;Q557,"OVERDUE",IF(N557="Clarification required","OPEN – CLARIFICATION","OPEN")))))))</f>
        <v>OPEN</v>
      </c>
      <c r="AI557" s="61" t="n">
        <f aca="false">IF(OR(AH557="N/A – RULE",AH557="N/A – JUSTIFIED"),0,1)</f>
        <v>1</v>
      </c>
      <c r="AJ557" s="61" t="n">
        <f aca="false">IF(LEFT(AH557,8)="COMPLETE",1,0)</f>
        <v>0</v>
      </c>
      <c r="AK557" s="61" t="n">
        <f aca="false">IF(AND(AI557=1,AJ557=0,AsOfUTC&gt;Q557),1,0)</f>
        <v>0</v>
      </c>
      <c r="AL557" s="61" t="n">
        <f aca="false">IF(AND(AI557=1,OR(TRIM(U557)="Fail",AND(TRIM(AB557)&lt;&gt;"",TRIM(AB557)&lt;&gt;"Closed"),AND(ISNUMBER(AF557),AF557&lt;&gt;0,TRIM(U557)&lt;&gt;"Pass after CA"))),1,0)</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8" t="b">
        <f aca="false">TRUE()</f>
        <v>1</v>
      </c>
    </row>
    <row r="558" customFormat="false" ht="41.25" hidden="false" customHeight="true" outlineLevel="0" collapsed="false">
      <c r="A558" s="57" t="s">
        <v>1205</v>
      </c>
      <c r="B558" s="57" t="s">
        <v>282</v>
      </c>
      <c r="C558" s="57" t="str">
        <f aca="false">Flights!$F$21</f>
        <v>MH0073</v>
      </c>
      <c r="D558" s="58" t="n">
        <f aca="false">Flights!$D$21</f>
        <v>46322</v>
      </c>
      <c r="E558" s="57" t="str">
        <f aca="false">Flights!$G$21&amp;"-"&amp;Flights!$H$21</f>
        <v>HKG-KUL</v>
      </c>
      <c r="F558" s="57" t="str">
        <f aca="false">Flights!$K$21</f>
        <v>BC</v>
      </c>
      <c r="G558" s="57" t="s">
        <v>385</v>
      </c>
      <c r="H558" s="57" t="s">
        <v>343</v>
      </c>
      <c r="I558" s="57" t="s">
        <v>412</v>
      </c>
      <c r="J558" s="57" t="s">
        <v>494</v>
      </c>
      <c r="K558" s="67" t="s">
        <v>414</v>
      </c>
      <c r="L558" s="67" t="s">
        <v>1206</v>
      </c>
      <c r="M558" s="67" t="s">
        <v>416</v>
      </c>
      <c r="N558" s="67" t="s">
        <v>348</v>
      </c>
      <c r="O558" s="67" t="s">
        <v>1188</v>
      </c>
      <c r="P558" s="57" t="s">
        <v>274</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59" t="n">
        <f aca="false">Q558-T12EarlyH/24</f>
        <v>46321.2847222222</v>
      </c>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IF(N558="N/A – rule","N/A – RULE",IF(TRIM(U558)="N/A",IF(AT558=0,"INVALID – N/A not permitted for this mandatory check",IF(AND(TRIM(AC558)&lt;&gt;"",TRIM(AE558)&lt;&gt;"",TRIM(T558)&lt;&gt;"",TRIM(AE558)&lt;&gt;TRIM(T558)),"N/A – JUSTIFIED","INVALID – N/A needs justification, PIC and a different verifier")),IF(OR(TRIM(U558)="Pass",TRIM(U558)="Pass after CA"),IF(NOT(ISNUMBER(AD558)),"INVALID – completion time missing",IF(TRIM(T558)="","INVALID – PIC missing",IF(TRIM(V558)="","INVALID – result / assessment missing",IF(TRIM(Z558)="","INVALID – evidence missing",IF(TRIM(AE558)="","INVALID – verifier missing",IF(TRIM(AE558)=TRIM(T558),"INVALID – verifier must be someone other than the PIC",IF(AND(AQ558=1,TRIM(W558)=""),"INVALID – batch ID missing",IF(AND(AR558=1,OR(NOT(ISNUMBER(X558)),NOT(ISNUMBER(Y558)))),"INVALID – expected/actual qty missing",IF(IF(AND(TRIM(U558)="Pass",ISNUMBER(AF558)),IF(AF558&lt;&gt;0,"INVALID – qty variance: use Fail or Pass after CA",""),"")&amp;IF(AND(TRIM(U558)="Pass",TRIM(AB558)&lt;&gt;"",TRIM(AB558)&lt;&gt;"Closed"),"INVALID – corrective action not closed: use Fail, then Pass after CA","")&amp;IF(AND(TRIM(AA558)&lt;&gt;"",TRIM(AB558)=""),"INVALID – CA status missing for the recorded corrective action","")&amp;IF(AND(TRIM(U558)="Pass after CA",OR(TRIM(AA558)="",TRIM(AB558)&lt;&gt;"Closed")),"INVALID – corrective action not recorded/closed","")&lt;&gt;"",IF(AND(TRIM(U558)="Pass",ISNUMBER(AF558)),IF(AF558&lt;&gt;0,"INVALID – qty variance: use Fail or Pass after CA",""),"")&amp;IF(AND(TRIM(U558)="Pass",TRIM(AB558)&lt;&gt;"",TRIM(AB558)&lt;&gt;"Closed"),"INVALID – corrective action not closed: use Fail, then Pass after CA","")&amp;IF(AND(TRIM(AA558)&lt;&gt;"",TRIM(AB558)=""),"INVALID – CA status missing for the recorded corrective action","")&amp;IF(AND(TRIM(U558)="Pass after CA",OR(TRIM(AA558)="",TRIM(AB558)&lt;&gt;"Closed")),"INVALID – corrective action not recorded/closed",""),IF(AND(AS558=1,Documents!$J$21&lt;&gt;"ON FILE"),"INVALID – GLD not on file (Documents sheet)",IF(AND(AS558=2,Documents!$O$21&lt;&gt;"ON FILE"),"INVALID – menu checklist not on file (Documents sheet)",IF(AND(AS558=3,NOT(ISNUMBER(Flights!$AX$21))),"INVALID – enter carrying flight KUL departure (Flights AX)",IF(AND(AS558=3,OR(Flights!$AX$21&gt;=Flights!$AA$21,Flights!$AX$21&lt;Flights!$AA$21-3)),"INVALID – Flights AX must be before this leg's STD (within 3 days)",IF(AG558&gt;AsOfUTC,"INVALID – completion time is in the future",IF(AND(ISNUMBER(S558),AG558&lt;S558),IF(H558="Physical uplift","INVALID – before uplift window (cannot confirm loading)","INVALID – before valid window"),IF(AG558&gt;Flights!$AA$21,"INVALID – completed after departure (cannot establish readiness)",IF(AND(H558="Physical uplift",AG558&gt;Q558),"INVALID – recorded after the loading flight departed",IF(AG558&gt;Q558,"COMPLETE – LATE","COMPLETE")))))))))))))))))),IF(TRIM(U558)="Fail","FAIL – DISCREPANCY",IF(AND(TRIM(U558)&lt;&gt;"",TRIM(U558)&lt;&gt;"Not started",TRIM(U558)&lt;&gt;"In progress"),"INVALID – unrecognised status (use the list)",IF(AsOfUTC&gt;Q558,"OVERDUE",IF(N558="Clarification required","OPEN – CLARIFICATION","OPEN")))))))</f>
        <v>OPEN</v>
      </c>
      <c r="AI558" s="61" t="n">
        <f aca="false">IF(OR(AH558="N/A – RULE",AH558="N/A – JUSTIFIED"),0,1)</f>
        <v>1</v>
      </c>
      <c r="AJ558" s="61" t="n">
        <f aca="false">IF(LEFT(AH558,8)="COMPLETE",1,0)</f>
        <v>0</v>
      </c>
      <c r="AK558" s="61" t="n">
        <f aca="false">IF(AND(AI558=1,AJ558=0,AsOfUTC&gt;Q558),1,0)</f>
        <v>0</v>
      </c>
      <c r="AL558" s="61" t="n">
        <f aca="false">IF(AND(AI558=1,OR(TRIM(U558)="Fail",AND(TRIM(AB558)&lt;&gt;"",TRIM(AB558)&lt;&gt;"Closed"),AND(ISNUMBER(AF558),AF558&lt;&gt;0,TRIM(U558)&lt;&gt;"Pass after CA"))),1,0)</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8" t="b">
        <f aca="false">TRUE()</f>
        <v>1</v>
      </c>
    </row>
    <row r="559" customFormat="false" ht="91.5" hidden="false" customHeight="true" outlineLevel="0" collapsed="false">
      <c r="A559" s="57" t="s">
        <v>1207</v>
      </c>
      <c r="B559" s="57" t="s">
        <v>282</v>
      </c>
      <c r="C559" s="57" t="str">
        <f aca="false">Flights!$F$21</f>
        <v>MH0073</v>
      </c>
      <c r="D559" s="58" t="n">
        <f aca="false">Flights!$D$21</f>
        <v>46322</v>
      </c>
      <c r="E559" s="57" t="str">
        <f aca="false">Flights!$G$21&amp;"-"&amp;Flights!$H$21</f>
        <v>HKG-KUL</v>
      </c>
      <c r="F559" s="57" t="str">
        <f aca="false">Flights!$K$21</f>
        <v>BC</v>
      </c>
      <c r="G559" s="57" t="s">
        <v>385</v>
      </c>
      <c r="H559" s="57" t="s">
        <v>343</v>
      </c>
      <c r="I559" s="57" t="s">
        <v>599</v>
      </c>
      <c r="J559" s="57" t="s">
        <v>1148</v>
      </c>
      <c r="K559" s="67" t="s">
        <v>1149</v>
      </c>
      <c r="L559" s="67" t="s">
        <v>1150</v>
      </c>
      <c r="M559" s="67" t="s">
        <v>416</v>
      </c>
      <c r="N559" s="67" t="s">
        <v>409</v>
      </c>
      <c r="O559" s="67" t="s">
        <v>1208</v>
      </c>
      <c r="P559" s="57" t="s">
        <v>274</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59" t="n">
        <f aca="false">Q559-T12EarlyH/24</f>
        <v>46321.2847222222</v>
      </c>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IF(N559="N/A – rule","N/A – RULE",IF(TRIM(U559)="N/A",IF(AT559=0,"INVALID – N/A not permitted for this mandatory check",IF(AND(TRIM(AC559)&lt;&gt;"",TRIM(AE559)&lt;&gt;"",TRIM(T559)&lt;&gt;"",TRIM(AE559)&lt;&gt;TRIM(T559)),"N/A – JUSTIFIED","INVALID – N/A needs justification, PIC and a different verifier")),IF(OR(TRIM(U559)="Pass",TRIM(U559)="Pass after CA"),IF(NOT(ISNUMBER(AD559)),"INVALID – completion time missing",IF(TRIM(T559)="","INVALID – PIC missing",IF(TRIM(V559)="","INVALID – result / assessment missing",IF(TRIM(Z559)="","INVALID – evidence missing",IF(TRIM(AE559)="","INVALID – verifier missing",IF(TRIM(AE559)=TRIM(T559),"INVALID – verifier must be someone other than the PIC",IF(AND(AQ559=1,TRIM(W559)=""),"INVALID – batch ID missing",IF(AND(AR559=1,OR(NOT(ISNUMBER(X559)),NOT(ISNUMBER(Y559)))),"INVALID – expected/actual qty missing",IF(IF(AND(TRIM(U559)="Pass",ISNUMBER(AF559)),IF(AF559&lt;&gt;0,"INVALID – qty variance: use Fail or Pass after CA",""),"")&amp;IF(AND(TRIM(U559)="Pass",TRIM(AB559)&lt;&gt;"",TRIM(AB559)&lt;&gt;"Closed"),"INVALID – corrective action not closed: use Fail, then Pass after CA","")&amp;IF(AND(TRIM(AA559)&lt;&gt;"",TRIM(AB559)=""),"INVALID – CA status missing for the recorded corrective action","")&amp;IF(AND(TRIM(U559)="Pass after CA",OR(TRIM(AA559)="",TRIM(AB559)&lt;&gt;"Closed")),"INVALID – corrective action not recorded/closed","")&lt;&gt;"",IF(AND(TRIM(U559)="Pass",ISNUMBER(AF559)),IF(AF559&lt;&gt;0,"INVALID – qty variance: use Fail or Pass after CA",""),"")&amp;IF(AND(TRIM(U559)="Pass",TRIM(AB559)&lt;&gt;"",TRIM(AB559)&lt;&gt;"Closed"),"INVALID – corrective action not closed: use Fail, then Pass after CA","")&amp;IF(AND(TRIM(AA559)&lt;&gt;"",TRIM(AB559)=""),"INVALID – CA status missing for the recorded corrective action","")&amp;IF(AND(TRIM(U559)="Pass after CA",OR(TRIM(AA559)="",TRIM(AB559)&lt;&gt;"Closed")),"INVALID – corrective action not recorded/closed",""),IF(AND(AS559=1,Documents!$J$21&lt;&gt;"ON FILE"),"INVALID – GLD not on file (Documents sheet)",IF(AND(AS559=2,Documents!$O$21&lt;&gt;"ON FILE"),"INVALID – menu checklist not on file (Documents sheet)",IF(AND(AS559=3,NOT(ISNUMBER(Flights!$AX$21))),"INVALID – enter carrying flight KUL departure (Flights AX)",IF(AND(AS559=3,OR(Flights!$AX$21&gt;=Flights!$AA$21,Flights!$AX$21&lt;Flights!$AA$21-3)),"INVALID – Flights AX must be before this leg's STD (within 3 days)",IF(AG559&gt;AsOfUTC,"INVALID – completion time is in the future",IF(AND(ISNUMBER(S559),AG559&lt;S559),IF(H559="Physical uplift","INVALID – before uplift window (cannot confirm loading)","INVALID – before valid window"),IF(AG559&gt;Flights!$AA$21,"INVALID – completed after departure (cannot establish readiness)",IF(AND(H559="Physical uplift",AG559&gt;Q559),"INVALID – recorded after the loading flight departed",IF(AG559&gt;Q559,"COMPLETE – LATE","COMPLETE")))))))))))))))))),IF(TRIM(U559)="Fail","FAIL – DISCREPANCY",IF(AND(TRIM(U559)&lt;&gt;"",TRIM(U559)&lt;&gt;"Not started",TRIM(U559)&lt;&gt;"In progress"),"INVALID – unrecognised status (use the list)",IF(AsOfUTC&gt;Q559,"OVERDUE",IF(N559="Clarification required","OPEN – CLARIFICATION","OPEN")))))))</f>
        <v>OPEN – CLARIFICATION</v>
      </c>
      <c r="AI559" s="61" t="n">
        <f aca="false">IF(OR(AH559="N/A – RULE",AH559="N/A – JUSTIFIED"),0,1)</f>
        <v>1</v>
      </c>
      <c r="AJ559" s="61" t="n">
        <f aca="false">IF(LEFT(AH559,8)="COMPLETE",1,0)</f>
        <v>0</v>
      </c>
      <c r="AK559" s="61" t="n">
        <f aca="false">IF(AND(AI559=1,AJ559=0,AsOfUTC&gt;Q559),1,0)</f>
        <v>0</v>
      </c>
      <c r="AL559" s="61" t="n">
        <f aca="false">IF(AND(AI559=1,OR(TRIM(U559)="Fail",AND(TRIM(AB559)&lt;&gt;"",TRIM(AB559)&lt;&gt;"Closed"),AND(ISNUMBER(AF559),AF559&lt;&gt;0,TRIM(U559)&lt;&gt;"Pass after CA"))),1,0)</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8" t="b">
        <f aca="false">TRUE()</f>
        <v>1</v>
      </c>
    </row>
    <row r="560" customFormat="false" ht="39.75" hidden="false" customHeight="true" outlineLevel="0" collapsed="false">
      <c r="A560" s="57" t="s">
        <v>1209</v>
      </c>
      <c r="B560" s="57" t="s">
        <v>282</v>
      </c>
      <c r="C560" s="57" t="str">
        <f aca="false">Flights!$F$21</f>
        <v>MH0073</v>
      </c>
      <c r="D560" s="58" t="n">
        <f aca="false">Flights!$D$21</f>
        <v>46322</v>
      </c>
      <c r="E560" s="57" t="str">
        <f aca="false">Flights!$G$21&amp;"-"&amp;Flights!$H$21</f>
        <v>HKG-KUL</v>
      </c>
      <c r="F560" s="57" t="str">
        <f aca="false">Flights!$K$21</f>
        <v>BC</v>
      </c>
      <c r="G560" s="57" t="s">
        <v>424</v>
      </c>
      <c r="H560" s="57" t="s">
        <v>425</v>
      </c>
      <c r="I560" s="57" t="s">
        <v>344</v>
      </c>
      <c r="J560" s="57" t="s">
        <v>426</v>
      </c>
      <c r="K560" s="67" t="s">
        <v>391</v>
      </c>
      <c r="L560" s="67" t="s">
        <v>427</v>
      </c>
      <c r="M560" s="67"/>
      <c r="N560" s="67" t="s">
        <v>348</v>
      </c>
      <c r="O560" s="67" t="s">
        <v>428</v>
      </c>
      <c r="P560" s="57" t="s">
        <v>274</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59" t="n">
        <f aca="false">IF(ISNUMBER(Flights!$AY$21),MAX(Q560-UpliftWindowH/24,Flights!$AY$21+UpliftWindowH/24),Q560-UpliftWindowH/24)</f>
        <v>46322.0347222222</v>
      </c>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IF(N560="N/A – rule","N/A – RULE",IF(TRIM(U560)="N/A",IF(AT560=0,"INVALID – N/A not permitted for this mandatory check",IF(AND(TRIM(AC560)&lt;&gt;"",TRIM(AE560)&lt;&gt;"",TRIM(T560)&lt;&gt;"",TRIM(AE560)&lt;&gt;TRIM(T560)),"N/A – JUSTIFIED","INVALID – N/A needs justification, PIC and a different verifier")),IF(OR(TRIM(U560)="Pass",TRIM(U560)="Pass after CA"),IF(NOT(ISNUMBER(AD560)),"INVALID – completion time missing",IF(TRIM(T560)="","INVALID – PIC missing",IF(TRIM(V560)="","INVALID – result / assessment missing",IF(TRIM(Z560)="","INVALID – evidence missing",IF(TRIM(AE560)="","INVALID – verifier missing",IF(TRIM(AE560)=TRIM(T560),"INVALID – verifier must be someone other than the PIC",IF(AND(AQ560=1,TRIM(W560)=""),"INVALID – batch ID missing",IF(AND(AR560=1,OR(NOT(ISNUMBER(X560)),NOT(ISNUMBER(Y560)))),"INVALID – expected/actual qty missing",IF(IF(AND(TRIM(U560)="Pass",ISNUMBER(AF560)),IF(AF560&lt;&gt;0,"INVALID – qty variance: use Fail or Pass after CA",""),"")&amp;IF(AND(TRIM(U560)="Pass",TRIM(AB560)&lt;&gt;"",TRIM(AB560)&lt;&gt;"Closed"),"INVALID – corrective action not closed: use Fail, then Pass after CA","")&amp;IF(AND(TRIM(AA560)&lt;&gt;"",TRIM(AB560)=""),"INVALID – CA status missing for the recorded corrective action","")&amp;IF(AND(TRIM(U560)="Pass after CA",OR(TRIM(AA560)="",TRIM(AB560)&lt;&gt;"Closed")),"INVALID – corrective action not recorded/closed","")&lt;&gt;"",IF(AND(TRIM(U560)="Pass",ISNUMBER(AF560)),IF(AF560&lt;&gt;0,"INVALID – qty variance: use Fail or Pass after CA",""),"")&amp;IF(AND(TRIM(U560)="Pass",TRIM(AB560)&lt;&gt;"",TRIM(AB560)&lt;&gt;"Closed"),"INVALID – corrective action not closed: use Fail, then Pass after CA","")&amp;IF(AND(TRIM(AA560)&lt;&gt;"",TRIM(AB560)=""),"INVALID – CA status missing for the recorded corrective action","")&amp;IF(AND(TRIM(U560)="Pass after CA",OR(TRIM(AA560)="",TRIM(AB560)&lt;&gt;"Closed")),"INVALID – corrective action not recorded/closed",""),IF(AND(AS560=1,Documents!$J$21&lt;&gt;"ON FILE"),"INVALID – GLD not on file (Documents sheet)",IF(AND(AS560=2,Documents!$O$21&lt;&gt;"ON FILE"),"INVALID – menu checklist not on file (Documents sheet)",IF(AND(AS560=3,NOT(ISNUMBER(Flights!$AX$21))),"INVALID – enter carrying flight KUL departure (Flights AX)",IF(AND(AS560=3,OR(Flights!$AX$21&gt;=Flights!$AA$21,Flights!$AX$21&lt;Flights!$AA$21-3)),"INVALID – Flights AX must be before this leg's STD (within 3 days)",IF(AG560&gt;AsOfUTC,"INVALID – completion time is in the future",IF(AND(ISNUMBER(S560),AG560&lt;S560),IF(H560="Physical uplift","INVALID – before uplift window (cannot confirm loading)","INVALID – before valid window"),IF(AG560&gt;Flights!$AA$21,"INVALID – completed after departure (cannot establish readiness)",IF(AND(H560="Physical uplift",AG560&gt;Q560),"INVALID – recorded after the loading flight departed",IF(AG560&gt;Q560,"COMPLETE – LATE","COMPLETE")))))))))))))))))),IF(TRIM(U560)="Fail","FAIL – DISCREPANCY",IF(AND(TRIM(U560)&lt;&gt;"",TRIM(U560)&lt;&gt;"Not started",TRIM(U560)&lt;&gt;"In progress"),"INVALID – unrecognised status (use the list)",IF(AsOfUTC&gt;Q560,"OVERDUE",IF(N560="Clarification required","OPEN – CLARIFICATION","OPEN")))))))</f>
        <v>OPEN</v>
      </c>
      <c r="AI560" s="61" t="n">
        <f aca="false">IF(OR(AH560="N/A – RULE",AH560="N/A – JUSTIFIED"),0,1)</f>
        <v>1</v>
      </c>
      <c r="AJ560" s="61" t="n">
        <f aca="false">IF(LEFT(AH560,8)="COMPLETE",1,0)</f>
        <v>0</v>
      </c>
      <c r="AK560" s="61" t="n">
        <f aca="false">IF(AND(AI560=1,AJ560=0,AsOfUTC&gt;Q560),1,0)</f>
        <v>0</v>
      </c>
      <c r="AL560" s="61" t="n">
        <f aca="false">IF(AND(AI560=1,OR(TRIM(U560)="Fail",AND(TRIM(AB560)&lt;&gt;"",TRIM(AB560)&lt;&gt;"Closed"),AND(ISNUMBER(AF560),AF560&lt;&gt;0,TRIM(U560)&lt;&gt;"Pass after CA"))),1,0)</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row>
    <row r="561" customFormat="false" ht="39.75" hidden="false" customHeight="true" outlineLevel="0" collapsed="false">
      <c r="A561" s="57" t="s">
        <v>1210</v>
      </c>
      <c r="B561" s="57" t="s">
        <v>282</v>
      </c>
      <c r="C561" s="57" t="str">
        <f aca="false">Flights!$F$21</f>
        <v>MH0073</v>
      </c>
      <c r="D561" s="58" t="n">
        <f aca="false">Flights!$D$21</f>
        <v>46322</v>
      </c>
      <c r="E561" s="57" t="str">
        <f aca="false">Flights!$G$21&amp;"-"&amp;Flights!$H$21</f>
        <v>HKG-KUL</v>
      </c>
      <c r="F561" s="57" t="str">
        <f aca="false">Flights!$K$21</f>
        <v>BC</v>
      </c>
      <c r="G561" s="57" t="s">
        <v>424</v>
      </c>
      <c r="H561" s="57" t="s">
        <v>425</v>
      </c>
      <c r="I561" s="57" t="s">
        <v>393</v>
      </c>
      <c r="J561" s="57" t="s">
        <v>430</v>
      </c>
      <c r="K561" s="67" t="s">
        <v>391</v>
      </c>
      <c r="L561" s="67" t="s">
        <v>427</v>
      </c>
      <c r="M561" s="67"/>
      <c r="N561" s="67" t="s">
        <v>348</v>
      </c>
      <c r="O561" s="67" t="s">
        <v>428</v>
      </c>
      <c r="P561" s="57" t="s">
        <v>274</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59" t="n">
        <f aca="false">IF(ISNUMBER(Flights!$AY$21),MAX(Q561-UpliftWindowH/24,Flights!$AY$21+UpliftWindowH/24),Q561-UpliftWindowH/24)</f>
        <v>46322.0347222222</v>
      </c>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IF(N561="N/A – rule","N/A – RULE",IF(TRIM(U561)="N/A",IF(AT561=0,"INVALID – N/A not permitted for this mandatory check",IF(AND(TRIM(AC561)&lt;&gt;"",TRIM(AE561)&lt;&gt;"",TRIM(T561)&lt;&gt;"",TRIM(AE561)&lt;&gt;TRIM(T561)),"N/A – JUSTIFIED","INVALID – N/A needs justification, PIC and a different verifier")),IF(OR(TRIM(U561)="Pass",TRIM(U561)="Pass after CA"),IF(NOT(ISNUMBER(AD561)),"INVALID – completion time missing",IF(TRIM(T561)="","INVALID – PIC missing",IF(TRIM(V561)="","INVALID – result / assessment missing",IF(TRIM(Z561)="","INVALID – evidence missing",IF(TRIM(AE561)="","INVALID – verifier missing",IF(TRIM(AE561)=TRIM(T561),"INVALID – verifier must be someone other than the PIC",IF(AND(AQ561=1,TRIM(W561)=""),"INVALID – batch ID missing",IF(AND(AR561=1,OR(NOT(ISNUMBER(X561)),NOT(ISNUMBER(Y561)))),"INVALID – expected/actual qty missing",IF(IF(AND(TRIM(U561)="Pass",ISNUMBER(AF561)),IF(AF561&lt;&gt;0,"INVALID – qty variance: use Fail or Pass after CA",""),"")&amp;IF(AND(TRIM(U561)="Pass",TRIM(AB561)&lt;&gt;"",TRIM(AB561)&lt;&gt;"Closed"),"INVALID – corrective action not closed: use Fail, then Pass after CA","")&amp;IF(AND(TRIM(AA561)&lt;&gt;"",TRIM(AB561)=""),"INVALID – CA status missing for the recorded corrective action","")&amp;IF(AND(TRIM(U561)="Pass after CA",OR(TRIM(AA561)="",TRIM(AB561)&lt;&gt;"Closed")),"INVALID – corrective action not recorded/closed","")&lt;&gt;"",IF(AND(TRIM(U561)="Pass",ISNUMBER(AF561)),IF(AF561&lt;&gt;0,"INVALID – qty variance: use Fail or Pass after CA",""),"")&amp;IF(AND(TRIM(U561)="Pass",TRIM(AB561)&lt;&gt;"",TRIM(AB561)&lt;&gt;"Closed"),"INVALID – corrective action not closed: use Fail, then Pass after CA","")&amp;IF(AND(TRIM(AA561)&lt;&gt;"",TRIM(AB561)=""),"INVALID – CA status missing for the recorded corrective action","")&amp;IF(AND(TRIM(U561)="Pass after CA",OR(TRIM(AA561)="",TRIM(AB561)&lt;&gt;"Closed")),"INVALID – corrective action not recorded/closed",""),IF(AND(AS561=1,Documents!$J$21&lt;&gt;"ON FILE"),"INVALID – GLD not on file (Documents sheet)",IF(AND(AS561=2,Documents!$O$21&lt;&gt;"ON FILE"),"INVALID – menu checklist not on file (Documents sheet)",IF(AND(AS561=3,NOT(ISNUMBER(Flights!$AX$21))),"INVALID – enter carrying flight KUL departure (Flights AX)",IF(AND(AS561=3,OR(Flights!$AX$21&gt;=Flights!$AA$21,Flights!$AX$21&lt;Flights!$AA$21-3)),"INVALID – Flights AX must be before this leg's STD (within 3 days)",IF(AG561&gt;AsOfUTC,"INVALID – completion time is in the future",IF(AND(ISNUMBER(S561),AG561&lt;S561),IF(H561="Physical uplift","INVALID – before uplift window (cannot confirm loading)","INVALID – before valid window"),IF(AG561&gt;Flights!$AA$21,"INVALID – completed after departure (cannot establish readiness)",IF(AND(H561="Physical uplift",AG561&gt;Q561),"INVALID – recorded after the loading flight departed",IF(AG561&gt;Q561,"COMPLETE – LATE","COMPLETE")))))))))))))))))),IF(TRIM(U561)="Fail","FAIL – DISCREPANCY",IF(AND(TRIM(U561)&lt;&gt;"",TRIM(U561)&lt;&gt;"Not started",TRIM(U561)&lt;&gt;"In progress"),"INVALID – unrecognised status (use the list)",IF(AsOfUTC&gt;Q561,"OVERDUE",IF(N561="Clarification required","OPEN – CLARIFICATION","OPEN")))))))</f>
        <v>OPEN</v>
      </c>
      <c r="AI561" s="61" t="n">
        <f aca="false">IF(OR(AH561="N/A – RULE",AH561="N/A – JUSTIFIED"),0,1)</f>
        <v>1</v>
      </c>
      <c r="AJ561" s="61" t="n">
        <f aca="false">IF(LEFT(AH561,8)="COMPLETE",1,0)</f>
        <v>0</v>
      </c>
      <c r="AK561" s="61" t="n">
        <f aca="false">IF(AND(AI561=1,AJ561=0,AsOfUTC&gt;Q561),1,0)</f>
        <v>0</v>
      </c>
      <c r="AL561" s="61" t="n">
        <f aca="false">IF(AND(AI561=1,OR(TRIM(U561)="Fail",AND(TRIM(AB561)&lt;&gt;"",TRIM(AB561)&lt;&gt;"Closed"),AND(ISNUMBER(AF561),AF561&lt;&gt;0,TRIM(U561)&lt;&gt;"Pass after CA"))),1,0)</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row>
    <row r="562" customFormat="false" ht="41.25" hidden="false" customHeight="true" outlineLevel="0" collapsed="false">
      <c r="A562" s="57" t="s">
        <v>1211</v>
      </c>
      <c r="B562" s="57" t="s">
        <v>282</v>
      </c>
      <c r="C562" s="57" t="str">
        <f aca="false">Flights!$F$21</f>
        <v>MH0073</v>
      </c>
      <c r="D562" s="58" t="n">
        <f aca="false">Flights!$D$21</f>
        <v>46322</v>
      </c>
      <c r="E562" s="57" t="str">
        <f aca="false">Flights!$G$21&amp;"-"&amp;Flights!$H$21</f>
        <v>HKG-KUL</v>
      </c>
      <c r="F562" s="57" t="str">
        <f aca="false">Flights!$K$21</f>
        <v>BC</v>
      </c>
      <c r="G562" s="57" t="s">
        <v>424</v>
      </c>
      <c r="H562" s="57" t="s">
        <v>425</v>
      </c>
      <c r="I562" s="57" t="s">
        <v>376</v>
      </c>
      <c r="J562" s="57" t="s">
        <v>1212</v>
      </c>
      <c r="K562" s="67" t="s">
        <v>1213</v>
      </c>
      <c r="L562" s="67" t="s">
        <v>664</v>
      </c>
      <c r="M562" s="67"/>
      <c r="N562" s="67" t="s">
        <v>348</v>
      </c>
      <c r="O562" s="67" t="s">
        <v>665</v>
      </c>
      <c r="P562" s="57" t="s">
        <v>179</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59" t="n">
        <f aca="false">Q562-UpliftWindowH/24</f>
        <v>46320.7986111111</v>
      </c>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IF(N562="N/A – rule","N/A – RULE",IF(TRIM(U562)="N/A",IF(AT562=0,"INVALID – N/A not permitted for this mandatory check",IF(AND(TRIM(AC562)&lt;&gt;"",TRIM(AE562)&lt;&gt;"",TRIM(T562)&lt;&gt;"",TRIM(AE562)&lt;&gt;TRIM(T562)),"N/A – JUSTIFIED","INVALID – N/A needs justification, PIC and a different verifier")),IF(OR(TRIM(U562)="Pass",TRIM(U562)="Pass after CA"),IF(NOT(ISNUMBER(AD562)),"INVALID – completion time missing",IF(TRIM(T562)="","INVALID – PIC missing",IF(TRIM(V562)="","INVALID – result / assessment missing",IF(TRIM(Z562)="","INVALID – evidence missing",IF(TRIM(AE562)="","INVALID – verifier missing",IF(TRIM(AE562)=TRIM(T562),"INVALID – verifier must be someone other than the PIC",IF(AND(AQ562=1,TRIM(W562)=""),"INVALID – batch ID missing",IF(AND(AR562=1,OR(NOT(ISNUMBER(X562)),NOT(ISNUMBER(Y562)))),"INVALID – expected/actual qty missing",IF(IF(AND(TRIM(U562)="Pass",ISNUMBER(AF562)),IF(AF562&lt;&gt;0,"INVALID – qty variance: use Fail or Pass after CA",""),"")&amp;IF(AND(TRIM(U562)="Pass",TRIM(AB562)&lt;&gt;"",TRIM(AB562)&lt;&gt;"Closed"),"INVALID – corrective action not closed: use Fail, then Pass after CA","")&amp;IF(AND(TRIM(AA562)&lt;&gt;"",TRIM(AB562)=""),"INVALID – CA status missing for the recorded corrective action","")&amp;IF(AND(TRIM(U562)="Pass after CA",OR(TRIM(AA562)="",TRIM(AB562)&lt;&gt;"Closed")),"INVALID – corrective action not recorded/closed","")&lt;&gt;"",IF(AND(TRIM(U562)="Pass",ISNUMBER(AF562)),IF(AF562&lt;&gt;0,"INVALID – qty variance: use Fail or Pass after CA",""),"")&amp;IF(AND(TRIM(U562)="Pass",TRIM(AB562)&lt;&gt;"",TRIM(AB562)&lt;&gt;"Closed"),"INVALID – corrective action not closed: use Fail, then Pass after CA","")&amp;IF(AND(TRIM(AA562)&lt;&gt;"",TRIM(AB562)=""),"INVALID – CA status missing for the recorded corrective action","")&amp;IF(AND(TRIM(U562)="Pass after CA",OR(TRIM(AA562)="",TRIM(AB562)&lt;&gt;"Closed")),"INVALID – corrective action not recorded/closed",""),IF(AND(AS562=1,Documents!$J$21&lt;&gt;"ON FILE"),"INVALID – GLD not on file (Documents sheet)",IF(AND(AS562=2,Documents!$O$21&lt;&gt;"ON FILE"),"INVALID – menu checklist not on file (Documents sheet)",IF(AND(AS562=3,NOT(ISNUMBER(Flights!$AX$21))),"INVALID – enter carrying flight KUL departure (Flights AX)",IF(AND(AS562=3,OR(Flights!$AX$21&gt;=Flights!$AA$21,Flights!$AX$21&lt;Flights!$AA$21-3)),"INVALID – Flights AX must be before this leg's STD (within 3 days)",IF(AG562&gt;AsOfUTC,"INVALID – completion time is in the future",IF(AND(ISNUMBER(S562),AG562&lt;S562),IF(H562="Physical uplift","INVALID – before uplift window (cannot confirm loading)","INVALID – before valid window"),IF(AG562&gt;Flights!$AA$21,"INVALID – completed after departure (cannot establish readiness)",IF(AND(H562="Physical uplift",AG562&gt;Q562),"INVALID – recorded after the loading flight departed",IF(AG562&gt;Q562,"COMPLETE – LATE","COMPLETE")))))))))))))))))),IF(TRIM(U562)="Fail","FAIL – DISCREPANCY",IF(AND(TRIM(U562)&lt;&gt;"",TRIM(U562)&lt;&gt;"Not started",TRIM(U562)&lt;&gt;"In progress"),"INVALID – unrecognised status (use the list)",IF(AsOfUTC&gt;Q562,"OVERDUE",IF(N562="Clarification required","OPEN – CLARIFICATION","OPEN")))))))</f>
        <v>OPEN</v>
      </c>
      <c r="AI562" s="61" t="n">
        <f aca="false">IF(OR(AH562="N/A – RULE",AH562="N/A – JUSTIFIED"),0,1)</f>
        <v>1</v>
      </c>
      <c r="AJ562" s="61" t="n">
        <f aca="false">IF(LEFT(AH562,8)="COMPLETE",1,0)</f>
        <v>0</v>
      </c>
      <c r="AK562" s="61" t="n">
        <f aca="false">IF(AND(AI562=1,AJ562=0,AsOfUTC&gt;Q562),1,0)</f>
        <v>0</v>
      </c>
      <c r="AL562" s="61" t="n">
        <f aca="false">IF(AND(AI562=1,OR(TRIM(U562)="Fail",AND(TRIM(AB562)&lt;&gt;"",TRIM(AB562)&lt;&gt;"Closed"),AND(ISNUMBER(AF562),AF562&lt;&gt;0,TRIM(U562)&lt;&gt;"Pass after CA"))),1,0)</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row>
    <row r="563" customFormat="false" ht="39.75" hidden="false" customHeight="true" outlineLevel="0" collapsed="false">
      <c r="A563" s="57" t="s">
        <v>1214</v>
      </c>
      <c r="B563" s="57" t="s">
        <v>282</v>
      </c>
      <c r="C563" s="57" t="str">
        <f aca="false">Flights!$F$21</f>
        <v>MH0073</v>
      </c>
      <c r="D563" s="58" t="n">
        <f aca="false">Flights!$D$21</f>
        <v>46322</v>
      </c>
      <c r="E563" s="57" t="str">
        <f aca="false">Flights!$G$21&amp;"-"&amp;Flights!$H$21</f>
        <v>HKG-KUL</v>
      </c>
      <c r="F563" s="57" t="str">
        <f aca="false">Flights!$K$21</f>
        <v>BC</v>
      </c>
      <c r="G563" s="57" t="s">
        <v>424</v>
      </c>
      <c r="H563" s="57" t="s">
        <v>425</v>
      </c>
      <c r="I563" s="57" t="s">
        <v>405</v>
      </c>
      <c r="J563" s="57" t="s">
        <v>1215</v>
      </c>
      <c r="K563" s="67" t="s">
        <v>466</v>
      </c>
      <c r="L563" s="67" t="s">
        <v>1184</v>
      </c>
      <c r="M563" s="67" t="s">
        <v>179</v>
      </c>
      <c r="N563" s="67" t="s">
        <v>348</v>
      </c>
      <c r="O563" s="67"/>
      <c r="P563" s="57" t="s">
        <v>274</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59" t="n">
        <f aca="false">IF(ISNUMBER(Flights!$AY$21),MAX(Q563-UpliftWindowH/24,Flights!$AY$21+UpliftWindowH/24),Q563-UpliftWindowH/24)</f>
        <v>46322.0347222222</v>
      </c>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IF(N563="N/A – rule","N/A – RULE",IF(TRIM(U563)="N/A",IF(AT563=0,"INVALID – N/A not permitted for this mandatory check",IF(AND(TRIM(AC563)&lt;&gt;"",TRIM(AE563)&lt;&gt;"",TRIM(T563)&lt;&gt;"",TRIM(AE563)&lt;&gt;TRIM(T563)),"N/A – JUSTIFIED","INVALID – N/A needs justification, PIC and a different verifier")),IF(OR(TRIM(U563)="Pass",TRIM(U563)="Pass after CA"),IF(NOT(ISNUMBER(AD563)),"INVALID – completion time missing",IF(TRIM(T563)="","INVALID – PIC missing",IF(TRIM(V563)="","INVALID – result / assessment missing",IF(TRIM(Z563)="","INVALID – evidence missing",IF(TRIM(AE563)="","INVALID – verifier missing",IF(TRIM(AE563)=TRIM(T563),"INVALID – verifier must be someone other than the PIC",IF(AND(AQ563=1,TRIM(W563)=""),"INVALID – batch ID missing",IF(AND(AR563=1,OR(NOT(ISNUMBER(X563)),NOT(ISNUMBER(Y563)))),"INVALID – expected/actual qty missing",IF(IF(AND(TRIM(U563)="Pass",ISNUMBER(AF563)),IF(AF563&lt;&gt;0,"INVALID – qty variance: use Fail or Pass after CA",""),"")&amp;IF(AND(TRIM(U563)="Pass",TRIM(AB563)&lt;&gt;"",TRIM(AB563)&lt;&gt;"Closed"),"INVALID – corrective action not closed: use Fail, then Pass after CA","")&amp;IF(AND(TRIM(AA563)&lt;&gt;"",TRIM(AB563)=""),"INVALID – CA status missing for the recorded corrective action","")&amp;IF(AND(TRIM(U563)="Pass after CA",OR(TRIM(AA563)="",TRIM(AB563)&lt;&gt;"Closed")),"INVALID – corrective action not recorded/closed","")&lt;&gt;"",IF(AND(TRIM(U563)="Pass",ISNUMBER(AF563)),IF(AF563&lt;&gt;0,"INVALID – qty variance: use Fail or Pass after CA",""),"")&amp;IF(AND(TRIM(U563)="Pass",TRIM(AB563)&lt;&gt;"",TRIM(AB563)&lt;&gt;"Closed"),"INVALID – corrective action not closed: use Fail, then Pass after CA","")&amp;IF(AND(TRIM(AA563)&lt;&gt;"",TRIM(AB563)=""),"INVALID – CA status missing for the recorded corrective action","")&amp;IF(AND(TRIM(U563)="Pass after CA",OR(TRIM(AA563)="",TRIM(AB563)&lt;&gt;"Closed")),"INVALID – corrective action not recorded/closed",""),IF(AND(AS563=1,Documents!$J$21&lt;&gt;"ON FILE"),"INVALID – GLD not on file (Documents sheet)",IF(AND(AS563=2,Documents!$O$21&lt;&gt;"ON FILE"),"INVALID – menu checklist not on file (Documents sheet)",IF(AND(AS563=3,NOT(ISNUMBER(Flights!$AX$21))),"INVALID – enter carrying flight KUL departure (Flights AX)",IF(AND(AS563=3,OR(Flights!$AX$21&gt;=Flights!$AA$21,Flights!$AX$21&lt;Flights!$AA$21-3)),"INVALID – Flights AX must be before this leg's STD (within 3 days)",IF(AG563&gt;AsOfUTC,"INVALID – completion time is in the future",IF(AND(ISNUMBER(S563),AG563&lt;S563),IF(H563="Physical uplift","INVALID – before uplift window (cannot confirm loading)","INVALID – before valid window"),IF(AG563&gt;Flights!$AA$21,"INVALID – completed after departure (cannot establish readiness)",IF(AND(H563="Physical uplift",AG563&gt;Q563),"INVALID – recorded after the loading flight departed",IF(AG563&gt;Q563,"COMPLETE – LATE","COMPLETE")))))))))))))))))),IF(TRIM(U563)="Fail","FAIL – DISCREPANCY",IF(AND(TRIM(U563)&lt;&gt;"",TRIM(U563)&lt;&gt;"Not started",TRIM(U563)&lt;&gt;"In progress"),"INVALID – unrecognised status (use the list)",IF(AsOfUTC&gt;Q563,"OVERDUE",IF(N563="Clarification required","OPEN – CLARIFICATION","OPEN")))))))</f>
        <v>OPEN</v>
      </c>
      <c r="AI563" s="61" t="n">
        <f aca="false">IF(OR(AH563="N/A – RULE",AH563="N/A – JUSTIFIED"),0,1)</f>
        <v>1</v>
      </c>
      <c r="AJ563" s="61" t="n">
        <f aca="false">IF(LEFT(AH563,8)="COMPLETE",1,0)</f>
        <v>0</v>
      </c>
      <c r="AK563" s="61" t="n">
        <f aca="false">IF(AND(AI563=1,AJ563=0,AsOfUTC&gt;Q563),1,0)</f>
        <v>0</v>
      </c>
      <c r="AL563" s="61" t="n">
        <f aca="false">IF(AND(AI563=1,OR(TRIM(U563)="Fail",AND(TRIM(AB563)&lt;&gt;"",TRIM(AB563)&lt;&gt;"Closed"),AND(ISNUMBER(AF563),AF563&lt;&gt;0,TRIM(U563)&lt;&gt;"Pass after CA"))),1,0)</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8" t="b">
        <f aca="false">TRUE()</f>
        <v>1</v>
      </c>
    </row>
    <row r="564" customFormat="false" ht="39.75" hidden="false" customHeight="true" outlineLevel="0" collapsed="false">
      <c r="A564" s="57" t="s">
        <v>1216</v>
      </c>
      <c r="B564" s="57" t="s">
        <v>282</v>
      </c>
      <c r="C564" s="57" t="str">
        <f aca="false">Flights!$F$21</f>
        <v>MH0073</v>
      </c>
      <c r="D564" s="58" t="n">
        <f aca="false">Flights!$D$21</f>
        <v>46322</v>
      </c>
      <c r="E564" s="57" t="str">
        <f aca="false">Flights!$G$21&amp;"-"&amp;Flights!$H$21</f>
        <v>HKG-KUL</v>
      </c>
      <c r="F564" s="57" t="str">
        <f aca="false">Flights!$K$21</f>
        <v>BC</v>
      </c>
      <c r="G564" s="57" t="s">
        <v>424</v>
      </c>
      <c r="H564" s="57" t="s">
        <v>425</v>
      </c>
      <c r="I564" s="57" t="s">
        <v>464</v>
      </c>
      <c r="J564" s="57" t="s">
        <v>502</v>
      </c>
      <c r="K564" s="67" t="s">
        <v>466</v>
      </c>
      <c r="L564" s="67" t="s">
        <v>1187</v>
      </c>
      <c r="M564" s="67" t="s">
        <v>416</v>
      </c>
      <c r="N564" s="67" t="s">
        <v>348</v>
      </c>
      <c r="O564" s="67"/>
      <c r="P564" s="57" t="s">
        <v>274</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59" t="n">
        <f aca="false">IF(ISNUMBER(Flights!$AY$21),MAX(Q564-UpliftWindowH/24,Flights!$AY$21+UpliftWindowH/24),Q564-UpliftWindowH/24)</f>
        <v>46322.0347222222</v>
      </c>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IF(N564="N/A – rule","N/A – RULE",IF(TRIM(U564)="N/A",IF(AT564=0,"INVALID – N/A not permitted for this mandatory check",IF(AND(TRIM(AC564)&lt;&gt;"",TRIM(AE564)&lt;&gt;"",TRIM(T564)&lt;&gt;"",TRIM(AE564)&lt;&gt;TRIM(T564)),"N/A – JUSTIFIED","INVALID – N/A needs justification, PIC and a different verifier")),IF(OR(TRIM(U564)="Pass",TRIM(U564)="Pass after CA"),IF(NOT(ISNUMBER(AD564)),"INVALID – completion time missing",IF(TRIM(T564)="","INVALID – PIC missing",IF(TRIM(V564)="","INVALID – result / assessment missing",IF(TRIM(Z564)="","INVALID – evidence missing",IF(TRIM(AE564)="","INVALID – verifier missing",IF(TRIM(AE564)=TRIM(T564),"INVALID – verifier must be someone other than the PIC",IF(AND(AQ564=1,TRIM(W564)=""),"INVALID – batch ID missing",IF(AND(AR564=1,OR(NOT(ISNUMBER(X564)),NOT(ISNUMBER(Y564)))),"INVALID – expected/actual qty missing",IF(IF(AND(TRIM(U564)="Pass",ISNUMBER(AF564)),IF(AF564&lt;&gt;0,"INVALID – qty variance: use Fail or Pass after CA",""),"")&amp;IF(AND(TRIM(U564)="Pass",TRIM(AB564)&lt;&gt;"",TRIM(AB564)&lt;&gt;"Closed"),"INVALID – corrective action not closed: use Fail, then Pass after CA","")&amp;IF(AND(TRIM(AA564)&lt;&gt;"",TRIM(AB564)=""),"INVALID – CA status missing for the recorded corrective action","")&amp;IF(AND(TRIM(U564)="Pass after CA",OR(TRIM(AA564)="",TRIM(AB564)&lt;&gt;"Closed")),"INVALID – corrective action not recorded/closed","")&lt;&gt;"",IF(AND(TRIM(U564)="Pass",ISNUMBER(AF564)),IF(AF564&lt;&gt;0,"INVALID – qty variance: use Fail or Pass after CA",""),"")&amp;IF(AND(TRIM(U564)="Pass",TRIM(AB564)&lt;&gt;"",TRIM(AB564)&lt;&gt;"Closed"),"INVALID – corrective action not closed: use Fail, then Pass after CA","")&amp;IF(AND(TRIM(AA564)&lt;&gt;"",TRIM(AB564)=""),"INVALID – CA status missing for the recorded corrective action","")&amp;IF(AND(TRIM(U564)="Pass after CA",OR(TRIM(AA564)="",TRIM(AB564)&lt;&gt;"Closed")),"INVALID – corrective action not recorded/closed",""),IF(AND(AS564=1,Documents!$J$21&lt;&gt;"ON FILE"),"INVALID – GLD not on file (Documents sheet)",IF(AND(AS564=2,Documents!$O$21&lt;&gt;"ON FILE"),"INVALID – menu checklist not on file (Documents sheet)",IF(AND(AS564=3,NOT(ISNUMBER(Flights!$AX$21))),"INVALID – enter carrying flight KUL departure (Flights AX)",IF(AND(AS564=3,OR(Flights!$AX$21&gt;=Flights!$AA$21,Flights!$AX$21&lt;Flights!$AA$21-3)),"INVALID – Flights AX must be before this leg's STD (within 3 days)",IF(AG564&gt;AsOfUTC,"INVALID – completion time is in the future",IF(AND(ISNUMBER(S564),AG564&lt;S564),IF(H564="Physical uplift","INVALID – before uplift window (cannot confirm loading)","INVALID – before valid window"),IF(AG564&gt;Flights!$AA$21,"INVALID – completed after departure (cannot establish readiness)",IF(AND(H564="Physical uplift",AG564&gt;Q564),"INVALID – recorded after the loading flight departed",IF(AG564&gt;Q564,"COMPLETE – LATE","COMPLETE")))))))))))))))))),IF(TRIM(U564)="Fail","FAIL – DISCREPANCY",IF(AND(TRIM(U564)&lt;&gt;"",TRIM(U564)&lt;&gt;"Not started",TRIM(U564)&lt;&gt;"In progress"),"INVALID – unrecognised status (use the list)",IF(AsOfUTC&gt;Q564,"OVERDUE",IF(N564="Clarification required","OPEN – CLARIFICATION","OPEN")))))))</f>
        <v>OPEN</v>
      </c>
      <c r="AI564" s="61" t="n">
        <f aca="false">IF(OR(AH564="N/A – RULE",AH564="N/A – JUSTIFIED"),0,1)</f>
        <v>1</v>
      </c>
      <c r="AJ564" s="61" t="n">
        <f aca="false">IF(LEFT(AH564,8)="COMPLETE",1,0)</f>
        <v>0</v>
      </c>
      <c r="AK564" s="61" t="n">
        <f aca="false">IF(AND(AI564=1,AJ564=0,AsOfUTC&gt;Q564),1,0)</f>
        <v>0</v>
      </c>
      <c r="AL564" s="61" t="n">
        <f aca="false">IF(AND(AI564=1,OR(TRIM(U564)="Fail",AND(TRIM(AB564)&lt;&gt;"",TRIM(AB564)&lt;&gt;"Closed"),AND(ISNUMBER(AF564),AF564&lt;&gt;0,TRIM(U564)&lt;&gt;"Pass after CA"))),1,0)</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8" t="b">
        <f aca="false">TRUE()</f>
        <v>1</v>
      </c>
    </row>
    <row r="565" customFormat="false" ht="39.75" hidden="false" customHeight="true" outlineLevel="0" collapsed="false">
      <c r="A565" s="57" t="s">
        <v>1217</v>
      </c>
      <c r="B565" s="57" t="s">
        <v>282</v>
      </c>
      <c r="C565" s="57" t="str">
        <f aca="false">Flights!$F$21</f>
        <v>MH0073</v>
      </c>
      <c r="D565" s="58" t="n">
        <f aca="false">Flights!$D$21</f>
        <v>46322</v>
      </c>
      <c r="E565" s="57" t="str">
        <f aca="false">Flights!$G$21&amp;"-"&amp;Flights!$H$21</f>
        <v>HKG-KUL</v>
      </c>
      <c r="F565" s="57" t="str">
        <f aca="false">Flights!$K$21</f>
        <v>BC</v>
      </c>
      <c r="G565" s="57" t="s">
        <v>424</v>
      </c>
      <c r="H565" s="57" t="s">
        <v>425</v>
      </c>
      <c r="I565" s="57" t="s">
        <v>464</v>
      </c>
      <c r="J565" s="57" t="s">
        <v>504</v>
      </c>
      <c r="K565" s="67" t="s">
        <v>466</v>
      </c>
      <c r="L565" s="67" t="s">
        <v>1190</v>
      </c>
      <c r="M565" s="67" t="s">
        <v>416</v>
      </c>
      <c r="N565" s="67" t="s">
        <v>348</v>
      </c>
      <c r="O565" s="67"/>
      <c r="P565" s="57" t="s">
        <v>274</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59" t="n">
        <f aca="false">IF(ISNUMBER(Flights!$AY$21),MAX(Q565-UpliftWindowH/24,Flights!$AY$21+UpliftWindowH/24),Q565-UpliftWindowH/24)</f>
        <v>46322.0347222222</v>
      </c>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IF(N565="N/A – rule","N/A – RULE",IF(TRIM(U565)="N/A",IF(AT565=0,"INVALID – N/A not permitted for this mandatory check",IF(AND(TRIM(AC565)&lt;&gt;"",TRIM(AE565)&lt;&gt;"",TRIM(T565)&lt;&gt;"",TRIM(AE565)&lt;&gt;TRIM(T565)),"N/A – JUSTIFIED","INVALID – N/A needs justification, PIC and a different verifier")),IF(OR(TRIM(U565)="Pass",TRIM(U565)="Pass after CA"),IF(NOT(ISNUMBER(AD565)),"INVALID – completion time missing",IF(TRIM(T565)="","INVALID – PIC missing",IF(TRIM(V565)="","INVALID – result / assessment missing",IF(TRIM(Z565)="","INVALID – evidence missing",IF(TRIM(AE565)="","INVALID – verifier missing",IF(TRIM(AE565)=TRIM(T565),"INVALID – verifier must be someone other than the PIC",IF(AND(AQ565=1,TRIM(W565)=""),"INVALID – batch ID missing",IF(AND(AR565=1,OR(NOT(ISNUMBER(X565)),NOT(ISNUMBER(Y565)))),"INVALID – expected/actual qty missing",IF(IF(AND(TRIM(U565)="Pass",ISNUMBER(AF565)),IF(AF565&lt;&gt;0,"INVALID – qty variance: use Fail or Pass after CA",""),"")&amp;IF(AND(TRIM(U565)="Pass",TRIM(AB565)&lt;&gt;"",TRIM(AB565)&lt;&gt;"Closed"),"INVALID – corrective action not closed: use Fail, then Pass after CA","")&amp;IF(AND(TRIM(AA565)&lt;&gt;"",TRIM(AB565)=""),"INVALID – CA status missing for the recorded corrective action","")&amp;IF(AND(TRIM(U565)="Pass after CA",OR(TRIM(AA565)="",TRIM(AB565)&lt;&gt;"Closed")),"INVALID – corrective action not recorded/closed","")&lt;&gt;"",IF(AND(TRIM(U565)="Pass",ISNUMBER(AF565)),IF(AF565&lt;&gt;0,"INVALID – qty variance: use Fail or Pass after CA",""),"")&amp;IF(AND(TRIM(U565)="Pass",TRIM(AB565)&lt;&gt;"",TRIM(AB565)&lt;&gt;"Closed"),"INVALID – corrective action not closed: use Fail, then Pass after CA","")&amp;IF(AND(TRIM(AA565)&lt;&gt;"",TRIM(AB565)=""),"INVALID – CA status missing for the recorded corrective action","")&amp;IF(AND(TRIM(U565)="Pass after CA",OR(TRIM(AA565)="",TRIM(AB565)&lt;&gt;"Closed")),"INVALID – corrective action not recorded/closed",""),IF(AND(AS565=1,Documents!$J$21&lt;&gt;"ON FILE"),"INVALID – GLD not on file (Documents sheet)",IF(AND(AS565=2,Documents!$O$21&lt;&gt;"ON FILE"),"INVALID – menu checklist not on file (Documents sheet)",IF(AND(AS565=3,NOT(ISNUMBER(Flights!$AX$21))),"INVALID – enter carrying flight KUL departure (Flights AX)",IF(AND(AS565=3,OR(Flights!$AX$21&gt;=Flights!$AA$21,Flights!$AX$21&lt;Flights!$AA$21-3)),"INVALID – Flights AX must be before this leg's STD (within 3 days)",IF(AG565&gt;AsOfUTC,"INVALID – completion time is in the future",IF(AND(ISNUMBER(S565),AG565&lt;S565),IF(H565="Physical uplift","INVALID – before uplift window (cannot confirm loading)","INVALID – before valid window"),IF(AG565&gt;Flights!$AA$21,"INVALID – completed after departure (cannot establish readiness)",IF(AND(H565="Physical uplift",AG565&gt;Q565),"INVALID – recorded after the loading flight departed",IF(AG565&gt;Q565,"COMPLETE – LATE","COMPLETE")))))))))))))))))),IF(TRIM(U565)="Fail","FAIL – DISCREPANCY",IF(AND(TRIM(U565)&lt;&gt;"",TRIM(U565)&lt;&gt;"Not started",TRIM(U565)&lt;&gt;"In progress"),"INVALID – unrecognised status (use the list)",IF(AsOfUTC&gt;Q565,"OVERDUE",IF(N565="Clarification required","OPEN – CLARIFICATION","OPEN")))))))</f>
        <v>OPEN</v>
      </c>
      <c r="AI565" s="61" t="n">
        <f aca="false">IF(OR(AH565="N/A – RULE",AH565="N/A – JUSTIFIED"),0,1)</f>
        <v>1</v>
      </c>
      <c r="AJ565" s="61" t="n">
        <f aca="false">IF(LEFT(AH565,8)="COMPLETE",1,0)</f>
        <v>0</v>
      </c>
      <c r="AK565" s="61" t="n">
        <f aca="false">IF(AND(AI565=1,AJ565=0,AsOfUTC&gt;Q565),1,0)</f>
        <v>0</v>
      </c>
      <c r="AL565" s="61" t="n">
        <f aca="false">IF(AND(AI565=1,OR(TRIM(U565)="Fail",AND(TRIM(AB565)&lt;&gt;"",TRIM(AB565)&lt;&gt;"Closed"),AND(ISNUMBER(AF565),AF565&lt;&gt;0,TRIM(U565)&lt;&gt;"Pass after CA"))),1,0)</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8" t="b">
        <f aca="false">TRUE()</f>
        <v>1</v>
      </c>
    </row>
    <row r="566" customFormat="false" ht="39.75" hidden="false" customHeight="true" outlineLevel="0" collapsed="false">
      <c r="A566" s="57" t="s">
        <v>1218</v>
      </c>
      <c r="B566" s="57" t="s">
        <v>282</v>
      </c>
      <c r="C566" s="57" t="str">
        <f aca="false">Flights!$F$21</f>
        <v>MH0073</v>
      </c>
      <c r="D566" s="58" t="n">
        <f aca="false">Flights!$D$21</f>
        <v>46322</v>
      </c>
      <c r="E566" s="57" t="str">
        <f aca="false">Flights!$G$21&amp;"-"&amp;Flights!$H$21</f>
        <v>HKG-KUL</v>
      </c>
      <c r="F566" s="57" t="str">
        <f aca="false">Flights!$K$21</f>
        <v>BC</v>
      </c>
      <c r="G566" s="57" t="s">
        <v>424</v>
      </c>
      <c r="H566" s="57" t="s">
        <v>425</v>
      </c>
      <c r="I566" s="57" t="s">
        <v>464</v>
      </c>
      <c r="J566" s="57" t="s">
        <v>506</v>
      </c>
      <c r="K566" s="67" t="s">
        <v>466</v>
      </c>
      <c r="L566" s="67" t="s">
        <v>1192</v>
      </c>
      <c r="M566" s="67" t="s">
        <v>416</v>
      </c>
      <c r="N566" s="67" t="s">
        <v>348</v>
      </c>
      <c r="O566" s="67"/>
      <c r="P566" s="57" t="s">
        <v>274</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59" t="n">
        <f aca="false">IF(ISNUMBER(Flights!$AY$21),MAX(Q566-UpliftWindowH/24,Flights!$AY$21+UpliftWindowH/24),Q566-UpliftWindowH/24)</f>
        <v>46322.0347222222</v>
      </c>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IF(N566="N/A – rule","N/A – RULE",IF(TRIM(U566)="N/A",IF(AT566=0,"INVALID – N/A not permitted for this mandatory check",IF(AND(TRIM(AC566)&lt;&gt;"",TRIM(AE566)&lt;&gt;"",TRIM(T566)&lt;&gt;"",TRIM(AE566)&lt;&gt;TRIM(T566)),"N/A – JUSTIFIED","INVALID – N/A needs justification, PIC and a different verifier")),IF(OR(TRIM(U566)="Pass",TRIM(U566)="Pass after CA"),IF(NOT(ISNUMBER(AD566)),"INVALID – completion time missing",IF(TRIM(T566)="","INVALID – PIC missing",IF(TRIM(V566)="","INVALID – result / assessment missing",IF(TRIM(Z566)="","INVALID – evidence missing",IF(TRIM(AE566)="","INVALID – verifier missing",IF(TRIM(AE566)=TRIM(T566),"INVALID – verifier must be someone other than the PIC",IF(AND(AQ566=1,TRIM(W566)=""),"INVALID – batch ID missing",IF(AND(AR566=1,OR(NOT(ISNUMBER(X566)),NOT(ISNUMBER(Y566)))),"INVALID – expected/actual qty missing",IF(IF(AND(TRIM(U566)="Pass",ISNUMBER(AF566)),IF(AF566&lt;&gt;0,"INVALID – qty variance: use Fail or Pass after CA",""),"")&amp;IF(AND(TRIM(U566)="Pass",TRIM(AB566)&lt;&gt;"",TRIM(AB566)&lt;&gt;"Closed"),"INVALID – corrective action not closed: use Fail, then Pass after CA","")&amp;IF(AND(TRIM(AA566)&lt;&gt;"",TRIM(AB566)=""),"INVALID – CA status missing for the recorded corrective action","")&amp;IF(AND(TRIM(U566)="Pass after CA",OR(TRIM(AA566)="",TRIM(AB566)&lt;&gt;"Closed")),"INVALID – corrective action not recorded/closed","")&lt;&gt;"",IF(AND(TRIM(U566)="Pass",ISNUMBER(AF566)),IF(AF566&lt;&gt;0,"INVALID – qty variance: use Fail or Pass after CA",""),"")&amp;IF(AND(TRIM(U566)="Pass",TRIM(AB566)&lt;&gt;"",TRIM(AB566)&lt;&gt;"Closed"),"INVALID – corrective action not closed: use Fail, then Pass after CA","")&amp;IF(AND(TRIM(AA566)&lt;&gt;"",TRIM(AB566)=""),"INVALID – CA status missing for the recorded corrective action","")&amp;IF(AND(TRIM(U566)="Pass after CA",OR(TRIM(AA566)="",TRIM(AB566)&lt;&gt;"Closed")),"INVALID – corrective action not recorded/closed",""),IF(AND(AS566=1,Documents!$J$21&lt;&gt;"ON FILE"),"INVALID – GLD not on file (Documents sheet)",IF(AND(AS566=2,Documents!$O$21&lt;&gt;"ON FILE"),"INVALID – menu checklist not on file (Documents sheet)",IF(AND(AS566=3,NOT(ISNUMBER(Flights!$AX$21))),"INVALID – enter carrying flight KUL departure (Flights AX)",IF(AND(AS566=3,OR(Flights!$AX$21&gt;=Flights!$AA$21,Flights!$AX$21&lt;Flights!$AA$21-3)),"INVALID – Flights AX must be before this leg's STD (within 3 days)",IF(AG566&gt;AsOfUTC,"INVALID – completion time is in the future",IF(AND(ISNUMBER(S566),AG566&lt;S566),IF(H566="Physical uplift","INVALID – before uplift window (cannot confirm loading)","INVALID – before valid window"),IF(AG566&gt;Flights!$AA$21,"INVALID – completed after departure (cannot establish readiness)",IF(AND(H566="Physical uplift",AG566&gt;Q566),"INVALID – recorded after the loading flight departed",IF(AG566&gt;Q566,"COMPLETE – LATE","COMPLETE")))))))))))))))))),IF(TRIM(U566)="Fail","FAIL – DISCREPANCY",IF(AND(TRIM(U566)&lt;&gt;"",TRIM(U566)&lt;&gt;"Not started",TRIM(U566)&lt;&gt;"In progress"),"INVALID – unrecognised status (use the list)",IF(AsOfUTC&gt;Q566,"OVERDUE",IF(N566="Clarification required","OPEN – CLARIFICATION","OPEN")))))))</f>
        <v>OPEN</v>
      </c>
      <c r="AI566" s="61" t="n">
        <f aca="false">IF(OR(AH566="N/A – RULE",AH566="N/A – JUSTIFIED"),0,1)</f>
        <v>1</v>
      </c>
      <c r="AJ566" s="61" t="n">
        <f aca="false">IF(LEFT(AH566,8)="COMPLETE",1,0)</f>
        <v>0</v>
      </c>
      <c r="AK566" s="61" t="n">
        <f aca="false">IF(AND(AI566=1,AJ566=0,AsOfUTC&gt;Q566),1,0)</f>
        <v>0</v>
      </c>
      <c r="AL566" s="61" t="n">
        <f aca="false">IF(AND(AI566=1,OR(TRIM(U566)="Fail",AND(TRIM(AB566)&lt;&gt;"",TRIM(AB566)&lt;&gt;"Closed"),AND(ISNUMBER(AF566),AF566&lt;&gt;0,TRIM(U566)&lt;&gt;"Pass after CA"))),1,0)</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8" t="b">
        <f aca="false">TRUE()</f>
        <v>1</v>
      </c>
    </row>
    <row r="567" customFormat="false" ht="78.75" hidden="false" customHeight="true" outlineLevel="0" collapsed="false">
      <c r="A567" s="57" t="s">
        <v>1219</v>
      </c>
      <c r="B567" s="57" t="s">
        <v>282</v>
      </c>
      <c r="C567" s="57" t="str">
        <f aca="false">Flights!$F$21</f>
        <v>MH0073</v>
      </c>
      <c r="D567" s="58" t="n">
        <f aca="false">Flights!$D$21</f>
        <v>46322</v>
      </c>
      <c r="E567" s="57" t="str">
        <f aca="false">Flights!$G$21&amp;"-"&amp;Flights!$H$21</f>
        <v>HKG-KUL</v>
      </c>
      <c r="F567" s="57" t="str">
        <f aca="false">Flights!$K$21</f>
        <v>BC</v>
      </c>
      <c r="G567" s="57" t="s">
        <v>424</v>
      </c>
      <c r="H567" s="57" t="s">
        <v>425</v>
      </c>
      <c r="I567" s="57" t="s">
        <v>464</v>
      </c>
      <c r="J567" s="57" t="s">
        <v>508</v>
      </c>
      <c r="K567" s="67" t="s">
        <v>466</v>
      </c>
      <c r="L567" s="67" t="s">
        <v>1194</v>
      </c>
      <c r="M567" s="67" t="s">
        <v>416</v>
      </c>
      <c r="N567" s="67" t="s">
        <v>409</v>
      </c>
      <c r="O567" s="67" t="s">
        <v>1220</v>
      </c>
      <c r="P567" s="57" t="s">
        <v>274</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59" t="n">
        <f aca="false">IF(ISNUMBER(Flights!$AY$21),MAX(Q567-UpliftWindowH/24,Flights!$AY$21+UpliftWindowH/24),Q567-UpliftWindowH/24)</f>
        <v>46322.0347222222</v>
      </c>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IF(N567="N/A – rule","N/A – RULE",IF(TRIM(U567)="N/A",IF(AT567=0,"INVALID – N/A not permitted for this mandatory check",IF(AND(TRIM(AC567)&lt;&gt;"",TRIM(AE567)&lt;&gt;"",TRIM(T567)&lt;&gt;"",TRIM(AE567)&lt;&gt;TRIM(T567)),"N/A – JUSTIFIED","INVALID – N/A needs justification, PIC and a different verifier")),IF(OR(TRIM(U567)="Pass",TRIM(U567)="Pass after CA"),IF(NOT(ISNUMBER(AD567)),"INVALID – completion time missing",IF(TRIM(T567)="","INVALID – PIC missing",IF(TRIM(V567)="","INVALID – result / assessment missing",IF(TRIM(Z567)="","INVALID – evidence missing",IF(TRIM(AE567)="","INVALID – verifier missing",IF(TRIM(AE567)=TRIM(T567),"INVALID – verifier must be someone other than the PIC",IF(AND(AQ567=1,TRIM(W567)=""),"INVALID – batch ID missing",IF(AND(AR567=1,OR(NOT(ISNUMBER(X567)),NOT(ISNUMBER(Y567)))),"INVALID – expected/actual qty missing",IF(IF(AND(TRIM(U567)="Pass",ISNUMBER(AF567)),IF(AF567&lt;&gt;0,"INVALID – qty variance: use Fail or Pass after CA",""),"")&amp;IF(AND(TRIM(U567)="Pass",TRIM(AB567)&lt;&gt;"",TRIM(AB567)&lt;&gt;"Closed"),"INVALID – corrective action not closed: use Fail, then Pass after CA","")&amp;IF(AND(TRIM(AA567)&lt;&gt;"",TRIM(AB567)=""),"INVALID – CA status missing for the recorded corrective action","")&amp;IF(AND(TRIM(U567)="Pass after CA",OR(TRIM(AA567)="",TRIM(AB567)&lt;&gt;"Closed")),"INVALID – corrective action not recorded/closed","")&lt;&gt;"",IF(AND(TRIM(U567)="Pass",ISNUMBER(AF567)),IF(AF567&lt;&gt;0,"INVALID – qty variance: use Fail or Pass after CA",""),"")&amp;IF(AND(TRIM(U567)="Pass",TRIM(AB567)&lt;&gt;"",TRIM(AB567)&lt;&gt;"Closed"),"INVALID – corrective action not closed: use Fail, then Pass after CA","")&amp;IF(AND(TRIM(AA567)&lt;&gt;"",TRIM(AB567)=""),"INVALID – CA status missing for the recorded corrective action","")&amp;IF(AND(TRIM(U567)="Pass after CA",OR(TRIM(AA567)="",TRIM(AB567)&lt;&gt;"Closed")),"INVALID – corrective action not recorded/closed",""),IF(AND(AS567=1,Documents!$J$21&lt;&gt;"ON FILE"),"INVALID – GLD not on file (Documents sheet)",IF(AND(AS567=2,Documents!$O$21&lt;&gt;"ON FILE"),"INVALID – menu checklist not on file (Documents sheet)",IF(AND(AS567=3,NOT(ISNUMBER(Flights!$AX$21))),"INVALID – enter carrying flight KUL departure (Flights AX)",IF(AND(AS567=3,OR(Flights!$AX$21&gt;=Flights!$AA$21,Flights!$AX$21&lt;Flights!$AA$21-3)),"INVALID – Flights AX must be before this leg's STD (within 3 days)",IF(AG567&gt;AsOfUTC,"INVALID – completion time is in the future",IF(AND(ISNUMBER(S567),AG567&lt;S567),IF(H567="Physical uplift","INVALID – before uplift window (cannot confirm loading)","INVALID – before valid window"),IF(AG567&gt;Flights!$AA$21,"INVALID – completed after departure (cannot establish readiness)",IF(AND(H567="Physical uplift",AG567&gt;Q567),"INVALID – recorded after the loading flight departed",IF(AG567&gt;Q567,"COMPLETE – LATE","COMPLETE")))))))))))))))))),IF(TRIM(U567)="Fail","FAIL – DISCREPANCY",IF(AND(TRIM(U567)&lt;&gt;"",TRIM(U567)&lt;&gt;"Not started",TRIM(U567)&lt;&gt;"In progress"),"INVALID – unrecognised status (use the list)",IF(AsOfUTC&gt;Q567,"OVERDUE",IF(N567="Clarification required","OPEN – CLARIFICATION","OPEN")))))))</f>
        <v>OPEN – CLARIFICATION</v>
      </c>
      <c r="AI567" s="61" t="n">
        <f aca="false">IF(OR(AH567="N/A – RULE",AH567="N/A – JUSTIFIED"),0,1)</f>
        <v>1</v>
      </c>
      <c r="AJ567" s="61" t="n">
        <f aca="false">IF(LEFT(AH567,8)="COMPLETE",1,0)</f>
        <v>0</v>
      </c>
      <c r="AK567" s="61" t="n">
        <f aca="false">IF(AND(AI567=1,AJ567=0,AsOfUTC&gt;Q567),1,0)</f>
        <v>0</v>
      </c>
      <c r="AL567" s="61" t="n">
        <f aca="false">IF(AND(AI567=1,OR(TRIM(U567)="Fail",AND(TRIM(AB567)&lt;&gt;"",TRIM(AB567)&lt;&gt;"Closed"),AND(ISNUMBER(AF567),AF567&lt;&gt;0,TRIM(U567)&lt;&gt;"Pass after CA"))),1,0)</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8" t="b">
        <f aca="false">TRUE()</f>
        <v>1</v>
      </c>
    </row>
    <row r="568" customFormat="false" ht="78.75" hidden="false" customHeight="true" outlineLevel="0" collapsed="false">
      <c r="A568" s="57" t="s">
        <v>1221</v>
      </c>
      <c r="B568" s="57" t="s">
        <v>282</v>
      </c>
      <c r="C568" s="57" t="str">
        <f aca="false">Flights!$F$21</f>
        <v>MH0073</v>
      </c>
      <c r="D568" s="58" t="n">
        <f aca="false">Flights!$D$21</f>
        <v>46322</v>
      </c>
      <c r="E568" s="57" t="str">
        <f aca="false">Flights!$G$21&amp;"-"&amp;Flights!$H$21</f>
        <v>HKG-KUL</v>
      </c>
      <c r="F568" s="57" t="str">
        <f aca="false">Flights!$K$21</f>
        <v>BC</v>
      </c>
      <c r="G568" s="57" t="s">
        <v>424</v>
      </c>
      <c r="H568" s="57" t="s">
        <v>425</v>
      </c>
      <c r="I568" s="57" t="s">
        <v>464</v>
      </c>
      <c r="J568" s="57" t="s">
        <v>511</v>
      </c>
      <c r="K568" s="67" t="s">
        <v>466</v>
      </c>
      <c r="L568" s="67" t="s">
        <v>1197</v>
      </c>
      <c r="M568" s="67" t="s">
        <v>416</v>
      </c>
      <c r="N568" s="67" t="s">
        <v>409</v>
      </c>
      <c r="O568" s="67" t="s">
        <v>1220</v>
      </c>
      <c r="P568" s="57" t="s">
        <v>274</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59" t="n">
        <f aca="false">IF(ISNUMBER(Flights!$AY$21),MAX(Q568-UpliftWindowH/24,Flights!$AY$21+UpliftWindowH/24),Q568-UpliftWindowH/24)</f>
        <v>46322.0347222222</v>
      </c>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IF(N568="N/A – rule","N/A – RULE",IF(TRIM(U568)="N/A",IF(AT568=0,"INVALID – N/A not permitted for this mandatory check",IF(AND(TRIM(AC568)&lt;&gt;"",TRIM(AE568)&lt;&gt;"",TRIM(T568)&lt;&gt;"",TRIM(AE568)&lt;&gt;TRIM(T568)),"N/A – JUSTIFIED","INVALID – N/A needs justification, PIC and a different verifier")),IF(OR(TRIM(U568)="Pass",TRIM(U568)="Pass after CA"),IF(NOT(ISNUMBER(AD568)),"INVALID – completion time missing",IF(TRIM(T568)="","INVALID – PIC missing",IF(TRIM(V568)="","INVALID – result / assessment missing",IF(TRIM(Z568)="","INVALID – evidence missing",IF(TRIM(AE568)="","INVALID – verifier missing",IF(TRIM(AE568)=TRIM(T568),"INVALID – verifier must be someone other than the PIC",IF(AND(AQ568=1,TRIM(W568)=""),"INVALID – batch ID missing",IF(AND(AR568=1,OR(NOT(ISNUMBER(X568)),NOT(ISNUMBER(Y568)))),"INVALID – expected/actual qty missing",IF(IF(AND(TRIM(U568)="Pass",ISNUMBER(AF568)),IF(AF568&lt;&gt;0,"INVALID – qty variance: use Fail or Pass after CA",""),"")&amp;IF(AND(TRIM(U568)="Pass",TRIM(AB568)&lt;&gt;"",TRIM(AB568)&lt;&gt;"Closed"),"INVALID – corrective action not closed: use Fail, then Pass after CA","")&amp;IF(AND(TRIM(AA568)&lt;&gt;"",TRIM(AB568)=""),"INVALID – CA status missing for the recorded corrective action","")&amp;IF(AND(TRIM(U568)="Pass after CA",OR(TRIM(AA568)="",TRIM(AB568)&lt;&gt;"Closed")),"INVALID – corrective action not recorded/closed","")&lt;&gt;"",IF(AND(TRIM(U568)="Pass",ISNUMBER(AF568)),IF(AF568&lt;&gt;0,"INVALID – qty variance: use Fail or Pass after CA",""),"")&amp;IF(AND(TRIM(U568)="Pass",TRIM(AB568)&lt;&gt;"",TRIM(AB568)&lt;&gt;"Closed"),"INVALID – corrective action not closed: use Fail, then Pass after CA","")&amp;IF(AND(TRIM(AA568)&lt;&gt;"",TRIM(AB568)=""),"INVALID – CA status missing for the recorded corrective action","")&amp;IF(AND(TRIM(U568)="Pass after CA",OR(TRIM(AA568)="",TRIM(AB568)&lt;&gt;"Closed")),"INVALID – corrective action not recorded/closed",""),IF(AND(AS568=1,Documents!$J$21&lt;&gt;"ON FILE"),"INVALID – GLD not on file (Documents sheet)",IF(AND(AS568=2,Documents!$O$21&lt;&gt;"ON FILE"),"INVALID – menu checklist not on file (Documents sheet)",IF(AND(AS568=3,NOT(ISNUMBER(Flights!$AX$21))),"INVALID – enter carrying flight KUL departure (Flights AX)",IF(AND(AS568=3,OR(Flights!$AX$21&gt;=Flights!$AA$21,Flights!$AX$21&lt;Flights!$AA$21-3)),"INVALID – Flights AX must be before this leg's STD (within 3 days)",IF(AG568&gt;AsOfUTC,"INVALID – completion time is in the future",IF(AND(ISNUMBER(S568),AG568&lt;S568),IF(H568="Physical uplift","INVALID – before uplift window (cannot confirm loading)","INVALID – before valid window"),IF(AG568&gt;Flights!$AA$21,"INVALID – completed after departure (cannot establish readiness)",IF(AND(H568="Physical uplift",AG568&gt;Q568),"INVALID – recorded after the loading flight departed",IF(AG568&gt;Q568,"COMPLETE – LATE","COMPLETE")))))))))))))))))),IF(TRIM(U568)="Fail","FAIL – DISCREPANCY",IF(AND(TRIM(U568)&lt;&gt;"",TRIM(U568)&lt;&gt;"Not started",TRIM(U568)&lt;&gt;"In progress"),"INVALID – unrecognised status (use the list)",IF(AsOfUTC&gt;Q568,"OVERDUE",IF(N568="Clarification required","OPEN – CLARIFICATION","OPEN")))))))</f>
        <v>OPEN – CLARIFICATION</v>
      </c>
      <c r="AI568" s="61" t="n">
        <f aca="false">IF(OR(AH568="N/A – RULE",AH568="N/A – JUSTIFIED"),0,1)</f>
        <v>1</v>
      </c>
      <c r="AJ568" s="61" t="n">
        <f aca="false">IF(LEFT(AH568,8)="COMPLETE",1,0)</f>
        <v>0</v>
      </c>
      <c r="AK568" s="61" t="n">
        <f aca="false">IF(AND(AI568=1,AJ568=0,AsOfUTC&gt;Q568),1,0)</f>
        <v>0</v>
      </c>
      <c r="AL568" s="61" t="n">
        <f aca="false">IF(AND(AI568=1,OR(TRIM(U568)="Fail",AND(TRIM(AB568)&lt;&gt;"",TRIM(AB568)&lt;&gt;"Closed"),AND(ISNUMBER(AF568),AF568&lt;&gt;0,TRIM(U568)&lt;&gt;"Pass after CA"))),1,0)</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8" t="b">
        <f aca="false">TRUE()</f>
        <v>1</v>
      </c>
    </row>
    <row r="569" customFormat="false" ht="39.75" hidden="false" customHeight="true" outlineLevel="0" collapsed="false">
      <c r="A569" s="57" t="s">
        <v>1222</v>
      </c>
      <c r="B569" s="57" t="s">
        <v>282</v>
      </c>
      <c r="C569" s="57" t="str">
        <f aca="false">Flights!$F$21</f>
        <v>MH0073</v>
      </c>
      <c r="D569" s="58" t="n">
        <f aca="false">Flights!$D$21</f>
        <v>46322</v>
      </c>
      <c r="E569" s="57" t="str">
        <f aca="false">Flights!$G$21&amp;"-"&amp;Flights!$H$21</f>
        <v>HKG-KUL</v>
      </c>
      <c r="F569" s="57" t="str">
        <f aca="false">Flights!$K$21</f>
        <v>BC</v>
      </c>
      <c r="G569" s="57" t="s">
        <v>424</v>
      </c>
      <c r="H569" s="57" t="s">
        <v>425</v>
      </c>
      <c r="I569" s="57" t="s">
        <v>464</v>
      </c>
      <c r="J569" s="57" t="s">
        <v>513</v>
      </c>
      <c r="K569" s="67" t="s">
        <v>484</v>
      </c>
      <c r="L569" s="67" t="s">
        <v>1199</v>
      </c>
      <c r="M569" s="67" t="s">
        <v>416</v>
      </c>
      <c r="N569" s="67" t="s">
        <v>348</v>
      </c>
      <c r="O569" s="67" t="s">
        <v>514</v>
      </c>
      <c r="P569" s="57" t="s">
        <v>274</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59" t="n">
        <f aca="false">IF(ISNUMBER(Flights!$AY$21),MAX(Q569-UpliftWindowH/24,Flights!$AY$21+UpliftWindowH/24),Q569-UpliftWindowH/24)</f>
        <v>46322.0347222222</v>
      </c>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IF(N569="N/A – rule","N/A – RULE",IF(TRIM(U569)="N/A",IF(AT569=0,"INVALID – N/A not permitted for this mandatory check",IF(AND(TRIM(AC569)&lt;&gt;"",TRIM(AE569)&lt;&gt;"",TRIM(T569)&lt;&gt;"",TRIM(AE569)&lt;&gt;TRIM(T569)),"N/A – JUSTIFIED","INVALID – N/A needs justification, PIC and a different verifier")),IF(OR(TRIM(U569)="Pass",TRIM(U569)="Pass after CA"),IF(NOT(ISNUMBER(AD569)),"INVALID – completion time missing",IF(TRIM(T569)="","INVALID – PIC missing",IF(TRIM(V569)="","INVALID – result / assessment missing",IF(TRIM(Z569)="","INVALID – evidence missing",IF(TRIM(AE569)="","INVALID – verifier missing",IF(TRIM(AE569)=TRIM(T569),"INVALID – verifier must be someone other than the PIC",IF(AND(AQ569=1,TRIM(W569)=""),"INVALID – batch ID missing",IF(AND(AR569=1,OR(NOT(ISNUMBER(X569)),NOT(ISNUMBER(Y569)))),"INVALID – expected/actual qty missing",IF(IF(AND(TRIM(U569)="Pass",ISNUMBER(AF569)),IF(AF569&lt;&gt;0,"INVALID – qty variance: use Fail or Pass after CA",""),"")&amp;IF(AND(TRIM(U569)="Pass",TRIM(AB569)&lt;&gt;"",TRIM(AB569)&lt;&gt;"Closed"),"INVALID – corrective action not closed: use Fail, then Pass after CA","")&amp;IF(AND(TRIM(AA569)&lt;&gt;"",TRIM(AB569)=""),"INVALID – CA status missing for the recorded corrective action","")&amp;IF(AND(TRIM(U569)="Pass after CA",OR(TRIM(AA569)="",TRIM(AB569)&lt;&gt;"Closed")),"INVALID – corrective action not recorded/closed","")&lt;&gt;"",IF(AND(TRIM(U569)="Pass",ISNUMBER(AF569)),IF(AF569&lt;&gt;0,"INVALID – qty variance: use Fail or Pass after CA",""),"")&amp;IF(AND(TRIM(U569)="Pass",TRIM(AB569)&lt;&gt;"",TRIM(AB569)&lt;&gt;"Closed"),"INVALID – corrective action not closed: use Fail, then Pass after CA","")&amp;IF(AND(TRIM(AA569)&lt;&gt;"",TRIM(AB569)=""),"INVALID – CA status missing for the recorded corrective action","")&amp;IF(AND(TRIM(U569)="Pass after CA",OR(TRIM(AA569)="",TRIM(AB569)&lt;&gt;"Closed")),"INVALID – corrective action not recorded/closed",""),IF(AND(AS569=1,Documents!$J$21&lt;&gt;"ON FILE"),"INVALID – GLD not on file (Documents sheet)",IF(AND(AS569=2,Documents!$O$21&lt;&gt;"ON FILE"),"INVALID – menu checklist not on file (Documents sheet)",IF(AND(AS569=3,NOT(ISNUMBER(Flights!$AX$21))),"INVALID – enter carrying flight KUL departure (Flights AX)",IF(AND(AS569=3,OR(Flights!$AX$21&gt;=Flights!$AA$21,Flights!$AX$21&lt;Flights!$AA$21-3)),"INVALID – Flights AX must be before this leg's STD (within 3 days)",IF(AG569&gt;AsOfUTC,"INVALID – completion time is in the future",IF(AND(ISNUMBER(S569),AG569&lt;S569),IF(H569="Physical uplift","INVALID – before uplift window (cannot confirm loading)","INVALID – before valid window"),IF(AG569&gt;Flights!$AA$21,"INVALID – completed after departure (cannot establish readiness)",IF(AND(H569="Physical uplift",AG569&gt;Q569),"INVALID – recorded after the loading flight departed",IF(AG569&gt;Q569,"COMPLETE – LATE","COMPLETE")))))))))))))))))),IF(TRIM(U569)="Fail","FAIL – DISCREPANCY",IF(AND(TRIM(U569)&lt;&gt;"",TRIM(U569)&lt;&gt;"Not started",TRIM(U569)&lt;&gt;"In progress"),"INVALID – unrecognised status (use the list)",IF(AsOfUTC&gt;Q569,"OVERDUE",IF(N569="Clarification required","OPEN – CLARIFICATION","OPEN")))))))</f>
        <v>OPEN</v>
      </c>
      <c r="AI569" s="61" t="n">
        <f aca="false">IF(OR(AH569="N/A – RULE",AH569="N/A – JUSTIFIED"),0,1)</f>
        <v>1</v>
      </c>
      <c r="AJ569" s="61" t="n">
        <f aca="false">IF(LEFT(AH569,8)="COMPLETE",1,0)</f>
        <v>0</v>
      </c>
      <c r="AK569" s="61" t="n">
        <f aca="false">IF(AND(AI569=1,AJ569=0,AsOfUTC&gt;Q569),1,0)</f>
        <v>0</v>
      </c>
      <c r="AL569" s="61" t="n">
        <f aca="false">IF(AND(AI569=1,OR(TRIM(U569)="Fail",AND(TRIM(AB569)&lt;&gt;"",TRIM(AB569)&lt;&gt;"Closed"),AND(ISNUMBER(AF569),AF569&lt;&gt;0,TRIM(U569)&lt;&gt;"Pass after CA"))),1,0)</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8" t="b">
        <f aca="false">TRUE()</f>
        <v>1</v>
      </c>
    </row>
    <row r="570" customFormat="false" ht="39.75" hidden="false" customHeight="true" outlineLevel="0" collapsed="false">
      <c r="A570" s="57" t="s">
        <v>1223</v>
      </c>
      <c r="B570" s="57" t="s">
        <v>282</v>
      </c>
      <c r="C570" s="57" t="str">
        <f aca="false">Flights!$F$21</f>
        <v>MH0073</v>
      </c>
      <c r="D570" s="58" t="n">
        <f aca="false">Flights!$D$21</f>
        <v>46322</v>
      </c>
      <c r="E570" s="57" t="str">
        <f aca="false">Flights!$G$21&amp;"-"&amp;Flights!$H$21</f>
        <v>HKG-KUL</v>
      </c>
      <c r="F570" s="57" t="str">
        <f aca="false">Flights!$K$21</f>
        <v>BC</v>
      </c>
      <c r="G570" s="57" t="s">
        <v>424</v>
      </c>
      <c r="H570" s="57" t="s">
        <v>425</v>
      </c>
      <c r="I570" s="57" t="s">
        <v>464</v>
      </c>
      <c r="J570" s="57" t="s">
        <v>516</v>
      </c>
      <c r="K570" s="67" t="s">
        <v>466</v>
      </c>
      <c r="L570" s="67" t="s">
        <v>1202</v>
      </c>
      <c r="M570" s="67" t="s">
        <v>416</v>
      </c>
      <c r="N570" s="67" t="s">
        <v>348</v>
      </c>
      <c r="O570" s="67"/>
      <c r="P570" s="57" t="s">
        <v>274</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59" t="n">
        <f aca="false">IF(ISNUMBER(Flights!$AY$21),MAX(Q570-UpliftWindowH/24,Flights!$AY$21+UpliftWindowH/24),Q570-UpliftWindowH/24)</f>
        <v>46322.0347222222</v>
      </c>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IF(N570="N/A – rule","N/A – RULE",IF(TRIM(U570)="N/A",IF(AT570=0,"INVALID – N/A not permitted for this mandatory check",IF(AND(TRIM(AC570)&lt;&gt;"",TRIM(AE570)&lt;&gt;"",TRIM(T570)&lt;&gt;"",TRIM(AE570)&lt;&gt;TRIM(T570)),"N/A – JUSTIFIED","INVALID – N/A needs justification, PIC and a different verifier")),IF(OR(TRIM(U570)="Pass",TRIM(U570)="Pass after CA"),IF(NOT(ISNUMBER(AD570)),"INVALID – completion time missing",IF(TRIM(T570)="","INVALID – PIC missing",IF(TRIM(V570)="","INVALID – result / assessment missing",IF(TRIM(Z570)="","INVALID – evidence missing",IF(TRIM(AE570)="","INVALID – verifier missing",IF(TRIM(AE570)=TRIM(T570),"INVALID – verifier must be someone other than the PIC",IF(AND(AQ570=1,TRIM(W570)=""),"INVALID – batch ID missing",IF(AND(AR570=1,OR(NOT(ISNUMBER(X570)),NOT(ISNUMBER(Y570)))),"INVALID – expected/actual qty missing",IF(IF(AND(TRIM(U570)="Pass",ISNUMBER(AF570)),IF(AF570&lt;&gt;0,"INVALID – qty variance: use Fail or Pass after CA",""),"")&amp;IF(AND(TRIM(U570)="Pass",TRIM(AB570)&lt;&gt;"",TRIM(AB570)&lt;&gt;"Closed"),"INVALID – corrective action not closed: use Fail, then Pass after CA","")&amp;IF(AND(TRIM(AA570)&lt;&gt;"",TRIM(AB570)=""),"INVALID – CA status missing for the recorded corrective action","")&amp;IF(AND(TRIM(U570)="Pass after CA",OR(TRIM(AA570)="",TRIM(AB570)&lt;&gt;"Closed")),"INVALID – corrective action not recorded/closed","")&lt;&gt;"",IF(AND(TRIM(U570)="Pass",ISNUMBER(AF570)),IF(AF570&lt;&gt;0,"INVALID – qty variance: use Fail or Pass after CA",""),"")&amp;IF(AND(TRIM(U570)="Pass",TRIM(AB570)&lt;&gt;"",TRIM(AB570)&lt;&gt;"Closed"),"INVALID – corrective action not closed: use Fail, then Pass after CA","")&amp;IF(AND(TRIM(AA570)&lt;&gt;"",TRIM(AB570)=""),"INVALID – CA status missing for the recorded corrective action","")&amp;IF(AND(TRIM(U570)="Pass after CA",OR(TRIM(AA570)="",TRIM(AB570)&lt;&gt;"Closed")),"INVALID – corrective action not recorded/closed",""),IF(AND(AS570=1,Documents!$J$21&lt;&gt;"ON FILE"),"INVALID – GLD not on file (Documents sheet)",IF(AND(AS570=2,Documents!$O$21&lt;&gt;"ON FILE"),"INVALID – menu checklist not on file (Documents sheet)",IF(AND(AS570=3,NOT(ISNUMBER(Flights!$AX$21))),"INVALID – enter carrying flight KUL departure (Flights AX)",IF(AND(AS570=3,OR(Flights!$AX$21&gt;=Flights!$AA$21,Flights!$AX$21&lt;Flights!$AA$21-3)),"INVALID – Flights AX must be before this leg's STD (within 3 days)",IF(AG570&gt;AsOfUTC,"INVALID – completion time is in the future",IF(AND(ISNUMBER(S570),AG570&lt;S570),IF(H570="Physical uplift","INVALID – before uplift window (cannot confirm loading)","INVALID – before valid window"),IF(AG570&gt;Flights!$AA$21,"INVALID – completed after departure (cannot establish readiness)",IF(AND(H570="Physical uplift",AG570&gt;Q570),"INVALID – recorded after the loading flight departed",IF(AG570&gt;Q570,"COMPLETE – LATE","COMPLETE")))))))))))))))))),IF(TRIM(U570)="Fail","FAIL – DISCREPANCY",IF(AND(TRIM(U570)&lt;&gt;"",TRIM(U570)&lt;&gt;"Not started",TRIM(U570)&lt;&gt;"In progress"),"INVALID – unrecognised status (use the list)",IF(AsOfUTC&gt;Q570,"OVERDUE",IF(N570="Clarification required","OPEN – CLARIFICATION","OPEN")))))))</f>
        <v>OPEN</v>
      </c>
      <c r="AI570" s="61" t="n">
        <f aca="false">IF(OR(AH570="N/A – RULE",AH570="N/A – JUSTIFIED"),0,1)</f>
        <v>1</v>
      </c>
      <c r="AJ570" s="61" t="n">
        <f aca="false">IF(LEFT(AH570,8)="COMPLETE",1,0)</f>
        <v>0</v>
      </c>
      <c r="AK570" s="61" t="n">
        <f aca="false">IF(AND(AI570=1,AJ570=0,AsOfUTC&gt;Q570),1,0)</f>
        <v>0</v>
      </c>
      <c r="AL570" s="61" t="n">
        <f aca="false">IF(AND(AI570=1,OR(TRIM(U570)="Fail",AND(TRIM(AB570)&lt;&gt;"",TRIM(AB570)&lt;&gt;"Closed"),AND(ISNUMBER(AF570),AF570&lt;&gt;0,TRIM(U570)&lt;&gt;"Pass after CA"))),1,0)</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8" t="b">
        <f aca="false">TRUE()</f>
        <v>1</v>
      </c>
    </row>
    <row r="571" customFormat="false" ht="39.75" hidden="false" customHeight="true" outlineLevel="0" collapsed="false">
      <c r="A571" s="57" t="s">
        <v>1224</v>
      </c>
      <c r="B571" s="57" t="s">
        <v>282</v>
      </c>
      <c r="C571" s="57" t="str">
        <f aca="false">Flights!$F$21</f>
        <v>MH0073</v>
      </c>
      <c r="D571" s="58" t="n">
        <f aca="false">Flights!$D$21</f>
        <v>46322</v>
      </c>
      <c r="E571" s="57" t="str">
        <f aca="false">Flights!$G$21&amp;"-"&amp;Flights!$H$21</f>
        <v>HKG-KUL</v>
      </c>
      <c r="F571" s="57" t="str">
        <f aca="false">Flights!$K$21</f>
        <v>BC</v>
      </c>
      <c r="G571" s="57" t="s">
        <v>424</v>
      </c>
      <c r="H571" s="57" t="s">
        <v>425</v>
      </c>
      <c r="I571" s="57" t="s">
        <v>412</v>
      </c>
      <c r="J571" s="57" t="s">
        <v>518</v>
      </c>
      <c r="K571" s="67" t="s">
        <v>414</v>
      </c>
      <c r="L571" s="67" t="s">
        <v>1204</v>
      </c>
      <c r="M571" s="67" t="s">
        <v>416</v>
      </c>
      <c r="N571" s="67" t="s">
        <v>348</v>
      </c>
      <c r="O571" s="67"/>
      <c r="P571" s="57" t="s">
        <v>274</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59" t="n">
        <f aca="false">IF(ISNUMBER(Flights!$AY$21),MAX(Q571-UpliftWindowH/24,Flights!$AY$21+UpliftWindowH/24),Q571-UpliftWindowH/24)</f>
        <v>46322.0347222222</v>
      </c>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IF(N571="N/A – rule","N/A – RULE",IF(TRIM(U571)="N/A",IF(AT571=0,"INVALID – N/A not permitted for this mandatory check",IF(AND(TRIM(AC571)&lt;&gt;"",TRIM(AE571)&lt;&gt;"",TRIM(T571)&lt;&gt;"",TRIM(AE571)&lt;&gt;TRIM(T571)),"N/A – JUSTIFIED","INVALID – N/A needs justification, PIC and a different verifier")),IF(OR(TRIM(U571)="Pass",TRIM(U571)="Pass after CA"),IF(NOT(ISNUMBER(AD571)),"INVALID – completion time missing",IF(TRIM(T571)="","INVALID – PIC missing",IF(TRIM(V571)="","INVALID – result / assessment missing",IF(TRIM(Z571)="","INVALID – evidence missing",IF(TRIM(AE571)="","INVALID – verifier missing",IF(TRIM(AE571)=TRIM(T571),"INVALID – verifier must be someone other than the PIC",IF(AND(AQ571=1,TRIM(W571)=""),"INVALID – batch ID missing",IF(AND(AR571=1,OR(NOT(ISNUMBER(X571)),NOT(ISNUMBER(Y571)))),"INVALID – expected/actual qty missing",IF(IF(AND(TRIM(U571)="Pass",ISNUMBER(AF571)),IF(AF571&lt;&gt;0,"INVALID – qty variance: use Fail or Pass after CA",""),"")&amp;IF(AND(TRIM(U571)="Pass",TRIM(AB571)&lt;&gt;"",TRIM(AB571)&lt;&gt;"Closed"),"INVALID – corrective action not closed: use Fail, then Pass after CA","")&amp;IF(AND(TRIM(AA571)&lt;&gt;"",TRIM(AB571)=""),"INVALID – CA status missing for the recorded corrective action","")&amp;IF(AND(TRIM(U571)="Pass after CA",OR(TRIM(AA571)="",TRIM(AB571)&lt;&gt;"Closed")),"INVALID – corrective action not recorded/closed","")&lt;&gt;"",IF(AND(TRIM(U571)="Pass",ISNUMBER(AF571)),IF(AF571&lt;&gt;0,"INVALID – qty variance: use Fail or Pass after CA",""),"")&amp;IF(AND(TRIM(U571)="Pass",TRIM(AB571)&lt;&gt;"",TRIM(AB571)&lt;&gt;"Closed"),"INVALID – corrective action not closed: use Fail, then Pass after CA","")&amp;IF(AND(TRIM(AA571)&lt;&gt;"",TRIM(AB571)=""),"INVALID – CA status missing for the recorded corrective action","")&amp;IF(AND(TRIM(U571)="Pass after CA",OR(TRIM(AA571)="",TRIM(AB571)&lt;&gt;"Closed")),"INVALID – corrective action not recorded/closed",""),IF(AND(AS571=1,Documents!$J$21&lt;&gt;"ON FILE"),"INVALID – GLD not on file (Documents sheet)",IF(AND(AS571=2,Documents!$O$21&lt;&gt;"ON FILE"),"INVALID – menu checklist not on file (Documents sheet)",IF(AND(AS571=3,NOT(ISNUMBER(Flights!$AX$21))),"INVALID – enter carrying flight KUL departure (Flights AX)",IF(AND(AS571=3,OR(Flights!$AX$21&gt;=Flights!$AA$21,Flights!$AX$21&lt;Flights!$AA$21-3)),"INVALID – Flights AX must be before this leg's STD (within 3 days)",IF(AG571&gt;AsOfUTC,"INVALID – completion time is in the future",IF(AND(ISNUMBER(S571),AG571&lt;S571),IF(H571="Physical uplift","INVALID – before uplift window (cannot confirm loading)","INVALID – before valid window"),IF(AG571&gt;Flights!$AA$21,"INVALID – completed after departure (cannot establish readiness)",IF(AND(H571="Physical uplift",AG571&gt;Q571),"INVALID – recorded after the loading flight departed",IF(AG571&gt;Q571,"COMPLETE – LATE","COMPLETE")))))))))))))))))),IF(TRIM(U571)="Fail","FAIL – DISCREPANCY",IF(AND(TRIM(U571)&lt;&gt;"",TRIM(U571)&lt;&gt;"Not started",TRIM(U571)&lt;&gt;"In progress"),"INVALID – unrecognised status (use the list)",IF(AsOfUTC&gt;Q571,"OVERDUE",IF(N571="Clarification required","OPEN – CLARIFICATION","OPEN")))))))</f>
        <v>OPEN</v>
      </c>
      <c r="AI571" s="61" t="n">
        <f aca="false">IF(OR(AH571="N/A – RULE",AH571="N/A – JUSTIFIED"),0,1)</f>
        <v>1</v>
      </c>
      <c r="AJ571" s="61" t="n">
        <f aca="false">IF(LEFT(AH571,8)="COMPLETE",1,0)</f>
        <v>0</v>
      </c>
      <c r="AK571" s="61" t="n">
        <f aca="false">IF(AND(AI571=1,AJ571=0,AsOfUTC&gt;Q571),1,0)</f>
        <v>0</v>
      </c>
      <c r="AL571" s="61" t="n">
        <f aca="false">IF(AND(AI571=1,OR(TRIM(U571)="Fail",AND(TRIM(AB571)&lt;&gt;"",TRIM(AB571)&lt;&gt;"Closed"),AND(ISNUMBER(AF571),AF571&lt;&gt;0,TRIM(U571)&lt;&gt;"Pass after CA"))),1,0)</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8" t="b">
        <f aca="false">TRUE()</f>
        <v>1</v>
      </c>
    </row>
    <row r="572" customFormat="false" ht="39.75" hidden="false" customHeight="true" outlineLevel="0" collapsed="false">
      <c r="A572" s="57" t="s">
        <v>1225</v>
      </c>
      <c r="B572" s="57" t="s">
        <v>282</v>
      </c>
      <c r="C572" s="57" t="str">
        <f aca="false">Flights!$F$21</f>
        <v>MH0073</v>
      </c>
      <c r="D572" s="58" t="n">
        <f aca="false">Flights!$D$21</f>
        <v>46322</v>
      </c>
      <c r="E572" s="57" t="str">
        <f aca="false">Flights!$G$21&amp;"-"&amp;Flights!$H$21</f>
        <v>HKG-KUL</v>
      </c>
      <c r="F572" s="57" t="str">
        <f aca="false">Flights!$K$21</f>
        <v>BC</v>
      </c>
      <c r="G572" s="57" t="s">
        <v>424</v>
      </c>
      <c r="H572" s="57" t="s">
        <v>425</v>
      </c>
      <c r="I572" s="57" t="s">
        <v>412</v>
      </c>
      <c r="J572" s="57" t="s">
        <v>520</v>
      </c>
      <c r="K572" s="67" t="s">
        <v>414</v>
      </c>
      <c r="L572" s="67" t="s">
        <v>1206</v>
      </c>
      <c r="M572" s="67" t="s">
        <v>416</v>
      </c>
      <c r="N572" s="67" t="s">
        <v>348</v>
      </c>
      <c r="O572" s="67"/>
      <c r="P572" s="57" t="s">
        <v>274</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59" t="n">
        <f aca="false">IF(ISNUMBER(Flights!$AY$21),MAX(Q572-UpliftWindowH/24,Flights!$AY$21+UpliftWindowH/24),Q572-UpliftWindowH/24)</f>
        <v>46322.0347222222</v>
      </c>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IF(N572="N/A – rule","N/A – RULE",IF(TRIM(U572)="N/A",IF(AT572=0,"INVALID – N/A not permitted for this mandatory check",IF(AND(TRIM(AC572)&lt;&gt;"",TRIM(AE572)&lt;&gt;"",TRIM(T572)&lt;&gt;"",TRIM(AE572)&lt;&gt;TRIM(T572)),"N/A – JUSTIFIED","INVALID – N/A needs justification, PIC and a different verifier")),IF(OR(TRIM(U572)="Pass",TRIM(U572)="Pass after CA"),IF(NOT(ISNUMBER(AD572)),"INVALID – completion time missing",IF(TRIM(T572)="","INVALID – PIC missing",IF(TRIM(V572)="","INVALID – result / assessment missing",IF(TRIM(Z572)="","INVALID – evidence missing",IF(TRIM(AE572)="","INVALID – verifier missing",IF(TRIM(AE572)=TRIM(T572),"INVALID – verifier must be someone other than the PIC",IF(AND(AQ572=1,TRIM(W572)=""),"INVALID – batch ID missing",IF(AND(AR572=1,OR(NOT(ISNUMBER(X572)),NOT(ISNUMBER(Y572)))),"INVALID – expected/actual qty missing",IF(IF(AND(TRIM(U572)="Pass",ISNUMBER(AF572)),IF(AF572&lt;&gt;0,"INVALID – qty variance: use Fail or Pass after CA",""),"")&amp;IF(AND(TRIM(U572)="Pass",TRIM(AB572)&lt;&gt;"",TRIM(AB572)&lt;&gt;"Closed"),"INVALID – corrective action not closed: use Fail, then Pass after CA","")&amp;IF(AND(TRIM(AA572)&lt;&gt;"",TRIM(AB572)=""),"INVALID – CA status missing for the recorded corrective action","")&amp;IF(AND(TRIM(U572)="Pass after CA",OR(TRIM(AA572)="",TRIM(AB572)&lt;&gt;"Closed")),"INVALID – corrective action not recorded/closed","")&lt;&gt;"",IF(AND(TRIM(U572)="Pass",ISNUMBER(AF572)),IF(AF572&lt;&gt;0,"INVALID – qty variance: use Fail or Pass after CA",""),"")&amp;IF(AND(TRIM(U572)="Pass",TRIM(AB572)&lt;&gt;"",TRIM(AB572)&lt;&gt;"Closed"),"INVALID – corrective action not closed: use Fail, then Pass after CA","")&amp;IF(AND(TRIM(AA572)&lt;&gt;"",TRIM(AB572)=""),"INVALID – CA status missing for the recorded corrective action","")&amp;IF(AND(TRIM(U572)="Pass after CA",OR(TRIM(AA572)="",TRIM(AB572)&lt;&gt;"Closed")),"INVALID – corrective action not recorded/closed",""),IF(AND(AS572=1,Documents!$J$21&lt;&gt;"ON FILE"),"INVALID – GLD not on file (Documents sheet)",IF(AND(AS572=2,Documents!$O$21&lt;&gt;"ON FILE"),"INVALID – menu checklist not on file (Documents sheet)",IF(AND(AS572=3,NOT(ISNUMBER(Flights!$AX$21))),"INVALID – enter carrying flight KUL departure (Flights AX)",IF(AND(AS572=3,OR(Flights!$AX$21&gt;=Flights!$AA$21,Flights!$AX$21&lt;Flights!$AA$21-3)),"INVALID – Flights AX must be before this leg's STD (within 3 days)",IF(AG572&gt;AsOfUTC,"INVALID – completion time is in the future",IF(AND(ISNUMBER(S572),AG572&lt;S572),IF(H572="Physical uplift","INVALID – before uplift window (cannot confirm loading)","INVALID – before valid window"),IF(AG572&gt;Flights!$AA$21,"INVALID – completed after departure (cannot establish readiness)",IF(AND(H572="Physical uplift",AG572&gt;Q572),"INVALID – recorded after the loading flight departed",IF(AG572&gt;Q572,"COMPLETE – LATE","COMPLETE")))))))))))))))))),IF(TRIM(U572)="Fail","FAIL – DISCREPANCY",IF(AND(TRIM(U572)&lt;&gt;"",TRIM(U572)&lt;&gt;"Not started",TRIM(U572)&lt;&gt;"In progress"),"INVALID – unrecognised status (use the list)",IF(AsOfUTC&gt;Q572,"OVERDUE",IF(N572="Clarification required","OPEN – CLARIFICATION","OPEN")))))))</f>
        <v>OPEN</v>
      </c>
      <c r="AI572" s="61" t="n">
        <f aca="false">IF(OR(AH572="N/A – RULE",AH572="N/A – JUSTIFIED"),0,1)</f>
        <v>1</v>
      </c>
      <c r="AJ572" s="61" t="n">
        <f aca="false">IF(LEFT(AH572,8)="COMPLETE",1,0)</f>
        <v>0</v>
      </c>
      <c r="AK572" s="61" t="n">
        <f aca="false">IF(AND(AI572=1,AJ572=0,AsOfUTC&gt;Q572),1,0)</f>
        <v>0</v>
      </c>
      <c r="AL572" s="61" t="n">
        <f aca="false">IF(AND(AI572=1,OR(TRIM(U572)="Fail",AND(TRIM(AB572)&lt;&gt;"",TRIM(AB572)&lt;&gt;"Closed"),AND(ISNUMBER(AF572),AF572&lt;&gt;0,TRIM(U572)&lt;&gt;"Pass after CA"))),1,0)</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8" t="b">
        <f aca="false">TRUE()</f>
        <v>1</v>
      </c>
    </row>
    <row r="573" customFormat="false" ht="66" hidden="false" customHeight="true" outlineLevel="0" collapsed="false">
      <c r="A573" s="57" t="s">
        <v>1226</v>
      </c>
      <c r="B573" s="57" t="s">
        <v>282</v>
      </c>
      <c r="C573" s="57" t="str">
        <f aca="false">Flights!$F$21</f>
        <v>MH0073</v>
      </c>
      <c r="D573" s="58" t="n">
        <f aca="false">Flights!$D$21</f>
        <v>46322</v>
      </c>
      <c r="E573" s="57" t="str">
        <f aca="false">Flights!$G$21&amp;"-"&amp;Flights!$H$21</f>
        <v>HKG-KUL</v>
      </c>
      <c r="F573" s="57" t="str">
        <f aca="false">Flights!$K$21</f>
        <v>BC</v>
      </c>
      <c r="G573" s="57" t="s">
        <v>424</v>
      </c>
      <c r="H573" s="57" t="s">
        <v>425</v>
      </c>
      <c r="I573" s="57" t="s">
        <v>599</v>
      </c>
      <c r="J573" s="57" t="s">
        <v>1158</v>
      </c>
      <c r="K573" s="67" t="s">
        <v>1149</v>
      </c>
      <c r="L573" s="67" t="s">
        <v>1150</v>
      </c>
      <c r="M573" s="67" t="s">
        <v>416</v>
      </c>
      <c r="N573" s="67" t="s">
        <v>409</v>
      </c>
      <c r="O573" s="67" t="s">
        <v>1227</v>
      </c>
      <c r="P573" s="57" t="s">
        <v>274</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59" t="n">
        <f aca="false">IF(ISNUMBER(Flights!$AY$21),MAX(Q573-UpliftWindowH/24,Flights!$AY$21+UpliftWindowH/24),Q573-UpliftWindowH/24)</f>
        <v>46322.0347222222</v>
      </c>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IF(N573="N/A – rule","N/A – RULE",IF(TRIM(U573)="N/A",IF(AT573=0,"INVALID – N/A not permitted for this mandatory check",IF(AND(TRIM(AC573)&lt;&gt;"",TRIM(AE573)&lt;&gt;"",TRIM(T573)&lt;&gt;"",TRIM(AE573)&lt;&gt;TRIM(T573)),"N/A – JUSTIFIED","INVALID – N/A needs justification, PIC and a different verifier")),IF(OR(TRIM(U573)="Pass",TRIM(U573)="Pass after CA"),IF(NOT(ISNUMBER(AD573)),"INVALID – completion time missing",IF(TRIM(T573)="","INVALID – PIC missing",IF(TRIM(V573)="","INVALID – result / assessment missing",IF(TRIM(Z573)="","INVALID – evidence missing",IF(TRIM(AE573)="","INVALID – verifier missing",IF(TRIM(AE573)=TRIM(T573),"INVALID – verifier must be someone other than the PIC",IF(AND(AQ573=1,TRIM(W573)=""),"INVALID – batch ID missing",IF(AND(AR573=1,OR(NOT(ISNUMBER(X573)),NOT(ISNUMBER(Y573)))),"INVALID – expected/actual qty missing",IF(IF(AND(TRIM(U573)="Pass",ISNUMBER(AF573)),IF(AF573&lt;&gt;0,"INVALID – qty variance: use Fail or Pass after CA",""),"")&amp;IF(AND(TRIM(U573)="Pass",TRIM(AB573)&lt;&gt;"",TRIM(AB573)&lt;&gt;"Closed"),"INVALID – corrective action not closed: use Fail, then Pass after CA","")&amp;IF(AND(TRIM(AA573)&lt;&gt;"",TRIM(AB573)=""),"INVALID – CA status missing for the recorded corrective action","")&amp;IF(AND(TRIM(U573)="Pass after CA",OR(TRIM(AA573)="",TRIM(AB573)&lt;&gt;"Closed")),"INVALID – corrective action not recorded/closed","")&lt;&gt;"",IF(AND(TRIM(U573)="Pass",ISNUMBER(AF573)),IF(AF573&lt;&gt;0,"INVALID – qty variance: use Fail or Pass after CA",""),"")&amp;IF(AND(TRIM(U573)="Pass",TRIM(AB573)&lt;&gt;"",TRIM(AB573)&lt;&gt;"Closed"),"INVALID – corrective action not closed: use Fail, then Pass after CA","")&amp;IF(AND(TRIM(AA573)&lt;&gt;"",TRIM(AB573)=""),"INVALID – CA status missing for the recorded corrective action","")&amp;IF(AND(TRIM(U573)="Pass after CA",OR(TRIM(AA573)="",TRIM(AB573)&lt;&gt;"Closed")),"INVALID – corrective action not recorded/closed",""),IF(AND(AS573=1,Documents!$J$21&lt;&gt;"ON FILE"),"INVALID – GLD not on file (Documents sheet)",IF(AND(AS573=2,Documents!$O$21&lt;&gt;"ON FILE"),"INVALID – menu checklist not on file (Documents sheet)",IF(AND(AS573=3,NOT(ISNUMBER(Flights!$AX$21))),"INVALID – enter carrying flight KUL departure (Flights AX)",IF(AND(AS573=3,OR(Flights!$AX$21&gt;=Flights!$AA$21,Flights!$AX$21&lt;Flights!$AA$21-3)),"INVALID – Flights AX must be before this leg's STD (within 3 days)",IF(AG573&gt;AsOfUTC,"INVALID – completion time is in the future",IF(AND(ISNUMBER(S573),AG573&lt;S573),IF(H573="Physical uplift","INVALID – before uplift window (cannot confirm loading)","INVALID – before valid window"),IF(AG573&gt;Flights!$AA$21,"INVALID – completed after departure (cannot establish readiness)",IF(AND(H573="Physical uplift",AG573&gt;Q573),"INVALID – recorded after the loading flight departed",IF(AG573&gt;Q573,"COMPLETE – LATE","COMPLETE")))))))))))))))))),IF(TRIM(U573)="Fail","FAIL – DISCREPANCY",IF(AND(TRIM(U573)&lt;&gt;"",TRIM(U573)&lt;&gt;"Not started",TRIM(U573)&lt;&gt;"In progress"),"INVALID – unrecognised status (use the list)",IF(AsOfUTC&gt;Q573,"OVERDUE",IF(N573="Clarification required","OPEN – CLARIFICATION","OPEN")))))))</f>
        <v>OPEN – CLARIFICATION</v>
      </c>
      <c r="AI573" s="61" t="n">
        <f aca="false">IF(OR(AH573="N/A – RULE",AH573="N/A – JUSTIFIED"),0,1)</f>
        <v>1</v>
      </c>
      <c r="AJ573" s="61" t="n">
        <f aca="false">IF(LEFT(AH573,8)="COMPLETE",1,0)</f>
        <v>0</v>
      </c>
      <c r="AK573" s="61" t="n">
        <f aca="false">IF(AND(AI573=1,AJ573=0,AsOfUTC&gt;Q573),1,0)</f>
        <v>0</v>
      </c>
      <c r="AL573" s="61" t="n">
        <f aca="false">IF(AND(AI573=1,OR(TRIM(U573)="Fail",AND(TRIM(AB573)&lt;&gt;"",TRIM(AB573)&lt;&gt;"Closed"),AND(ISNUMBER(AF573),AF573&lt;&gt;0,TRIM(U573)&lt;&gt;"Pass after CA"))),1,0)</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8" t="b">
        <f aca="false">TRUE()</f>
        <v>1</v>
      </c>
    </row>
    <row r="574" customFormat="false" ht="39.75" hidden="false" customHeight="true" outlineLevel="0" collapsed="false">
      <c r="A574" s="57" t="s">
        <v>1228</v>
      </c>
      <c r="B574" s="57" t="s">
        <v>285</v>
      </c>
      <c r="C574" s="57" t="str">
        <f aca="false">Flights!$F$22</f>
        <v>MH0052</v>
      </c>
      <c r="D574" s="58" t="n">
        <f aca="false">Flights!$D$22</f>
        <v>46322</v>
      </c>
      <c r="E574" s="57" t="str">
        <f aca="false">Flights!$G$22&amp;"-"&amp;Flights!$H$22</f>
        <v>KUL-KIX</v>
      </c>
      <c r="F574" s="57" t="str">
        <f aca="false">Flights!$K$22</f>
        <v>BC</v>
      </c>
      <c r="G574" s="57" t="s">
        <v>76</v>
      </c>
      <c r="H574" s="57" t="s">
        <v>343</v>
      </c>
      <c r="I574" s="57" t="s">
        <v>344</v>
      </c>
      <c r="J574" s="57" t="s">
        <v>345</v>
      </c>
      <c r="K574" s="67" t="s">
        <v>346</v>
      </c>
      <c r="L574" s="67" t="s">
        <v>347</v>
      </c>
      <c r="M574" s="67"/>
      <c r="N574" s="67" t="s">
        <v>348</v>
      </c>
      <c r="O574" s="67"/>
      <c r="P574" s="57" t="s">
        <v>179</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59" t="n">
        <f aca="false">Q574-T7EarlyD*24/24</f>
        <v>46301.6006944444</v>
      </c>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IF(N574="N/A – rule","N/A – RULE",IF(TRIM(U574)="N/A",IF(AT574=0,"INVALID – N/A not permitted for this mandatory check",IF(AND(TRIM(AC574)&lt;&gt;"",TRIM(AE574)&lt;&gt;"",TRIM(T574)&lt;&gt;"",TRIM(AE574)&lt;&gt;TRIM(T574)),"N/A – JUSTIFIED","INVALID – N/A needs justification, PIC and a different verifier")),IF(OR(TRIM(U574)="Pass",TRIM(U574)="Pass after CA"),IF(NOT(ISNUMBER(AD574)),"INVALID – completion time missing",IF(TRIM(T574)="","INVALID – PIC missing",IF(TRIM(V574)="","INVALID – result / assessment missing",IF(TRIM(Z574)="","INVALID – evidence missing",IF(TRIM(AE574)="","INVALID – verifier missing",IF(TRIM(AE574)=TRIM(T574),"INVALID – verifier must be someone other than the PIC",IF(AND(AQ574=1,TRIM(W574)=""),"INVALID – batch ID missing",IF(AND(AR574=1,OR(NOT(ISNUMBER(X574)),NOT(ISNUMBER(Y574)))),"INVALID – expected/actual qty missing",IF(IF(AND(TRIM(U574)="Pass",ISNUMBER(AF574)),IF(AF574&lt;&gt;0,"INVALID – qty variance: use Fail or Pass after CA",""),"")&amp;IF(AND(TRIM(U574)="Pass",TRIM(AB574)&lt;&gt;"",TRIM(AB574)&lt;&gt;"Closed"),"INVALID – corrective action not closed: use Fail, then Pass after CA","")&amp;IF(AND(TRIM(AA574)&lt;&gt;"",TRIM(AB574)=""),"INVALID – CA status missing for the recorded corrective action","")&amp;IF(AND(TRIM(U574)="Pass after CA",OR(TRIM(AA574)="",TRIM(AB574)&lt;&gt;"Closed")),"INVALID – corrective action not recorded/closed","")&lt;&gt;"",IF(AND(TRIM(U574)="Pass",ISNUMBER(AF574)),IF(AF574&lt;&gt;0,"INVALID – qty variance: use Fail or Pass after CA",""),"")&amp;IF(AND(TRIM(U574)="Pass",TRIM(AB574)&lt;&gt;"",TRIM(AB574)&lt;&gt;"Closed"),"INVALID – corrective action not closed: use Fail, then Pass after CA","")&amp;IF(AND(TRIM(AA574)&lt;&gt;"",TRIM(AB574)=""),"INVALID – CA status missing for the recorded corrective action","")&amp;IF(AND(TRIM(U574)="Pass after CA",OR(TRIM(AA574)="",TRIM(AB574)&lt;&gt;"Closed")),"INVALID – corrective action not recorded/closed",""),IF(AND(AS574=1,Documents!$J$22&lt;&gt;"ON FILE"),"INVALID – GLD not on file (Documents sheet)",IF(AND(AS574=2,Documents!$O$22&lt;&gt;"ON FILE"),"INVALID – menu checklist not on file (Documents sheet)",IF(AND(AS574=3,NOT(ISNUMBER(Flights!$AX$22))),"INVALID – enter carrying flight KUL departure (Flights AX)",IF(AND(AS574=3,OR(Flights!$AX$22&gt;=Flights!$AA$22,Flights!$AX$22&lt;Flights!$AA$22-3)),"INVALID – Flights AX must be before this leg's STD (within 3 days)",IF(AG574&gt;AsOfUTC,"INVALID – completion time is in the future",IF(AND(ISNUMBER(S574),AG574&lt;S574),IF(H574="Physical uplift","INVALID – before uplift window (cannot confirm loading)","INVALID – before valid window"),IF(AG574&gt;Flights!$AA$22,"INVALID – completed after departure (cannot establish readiness)",IF(AND(H574="Physical uplift",AG574&gt;Q574),"INVALID – recorded after the loading flight departed",IF(AG574&gt;Q574,"COMPLETE – LATE","COMPLETE")))))))))))))))))),IF(TRIM(U574)="Fail","FAIL – DISCREPANCY",IF(AND(TRIM(U574)&lt;&gt;"",TRIM(U574)&lt;&gt;"Not started",TRIM(U574)&lt;&gt;"In progress"),"INVALID – unrecognised status (use the list)",IF(AsOfUTC&gt;Q574,"OVERDUE",IF(N574="Clarification required","OPEN – CLARIFICATION","OPEN")))))))</f>
        <v>OPEN</v>
      </c>
      <c r="AI574" s="61" t="n">
        <f aca="false">IF(OR(AH574="N/A – RULE",AH574="N/A – JUSTIFIED"),0,1)</f>
        <v>1</v>
      </c>
      <c r="AJ574" s="61" t="n">
        <f aca="false">IF(LEFT(AH574,8)="COMPLETE",1,0)</f>
        <v>0</v>
      </c>
      <c r="AK574" s="61" t="n">
        <f aca="false">IF(AND(AI574=1,AJ574=0,AsOfUTC&gt;Q574),1,0)</f>
        <v>0</v>
      </c>
      <c r="AL574" s="61" t="n">
        <f aca="false">IF(AND(AI574=1,OR(TRIM(U574)="Fail",AND(TRIM(AB574)&lt;&gt;"",TRIM(AB574)&lt;&gt;"Closed"),AND(ISNUMBER(AF574),AF574&lt;&gt;0,TRIM(U574)&lt;&gt;"Pass after CA"))),1,0)</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row>
    <row r="575" customFormat="false" ht="39.75" hidden="false" customHeight="true" outlineLevel="0" collapsed="false">
      <c r="A575" s="57" t="s">
        <v>1229</v>
      </c>
      <c r="B575" s="57" t="s">
        <v>285</v>
      </c>
      <c r="C575" s="57" t="str">
        <f aca="false">Flights!$F$22</f>
        <v>MH0052</v>
      </c>
      <c r="D575" s="58" t="n">
        <f aca="false">Flights!$D$22</f>
        <v>46322</v>
      </c>
      <c r="E575" s="57" t="str">
        <f aca="false">Flights!$G$22&amp;"-"&amp;Flights!$H$22</f>
        <v>KUL-KIX</v>
      </c>
      <c r="F575" s="57" t="str">
        <f aca="false">Flights!$K$22</f>
        <v>BC</v>
      </c>
      <c r="G575" s="57" t="s">
        <v>76</v>
      </c>
      <c r="H575" s="57" t="s">
        <v>343</v>
      </c>
      <c r="I575" s="57" t="s">
        <v>350</v>
      </c>
      <c r="J575" s="57" t="s">
        <v>351</v>
      </c>
      <c r="K575" s="67" t="s">
        <v>352</v>
      </c>
      <c r="L575" s="67" t="s">
        <v>347</v>
      </c>
      <c r="M575" s="67"/>
      <c r="N575" s="67" t="s">
        <v>348</v>
      </c>
      <c r="O575" s="67"/>
      <c r="P575" s="57" t="s">
        <v>179</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59" t="n">
        <f aca="false">Q575-T7EarlyD*24/24</f>
        <v>46301.6006944444</v>
      </c>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IF(N575="N/A – rule","N/A – RULE",IF(TRIM(U575)="N/A",IF(AT575=0,"INVALID – N/A not permitted for this mandatory check",IF(AND(TRIM(AC575)&lt;&gt;"",TRIM(AE575)&lt;&gt;"",TRIM(T575)&lt;&gt;"",TRIM(AE575)&lt;&gt;TRIM(T575)),"N/A – JUSTIFIED","INVALID – N/A needs justification, PIC and a different verifier")),IF(OR(TRIM(U575)="Pass",TRIM(U575)="Pass after CA"),IF(NOT(ISNUMBER(AD575)),"INVALID – completion time missing",IF(TRIM(T575)="","INVALID – PIC missing",IF(TRIM(V575)="","INVALID – result / assessment missing",IF(TRIM(Z575)="","INVALID – evidence missing",IF(TRIM(AE575)="","INVALID – verifier missing",IF(TRIM(AE575)=TRIM(T575),"INVALID – verifier must be someone other than the PIC",IF(AND(AQ575=1,TRIM(W575)=""),"INVALID – batch ID missing",IF(AND(AR575=1,OR(NOT(ISNUMBER(X575)),NOT(ISNUMBER(Y575)))),"INVALID – expected/actual qty missing",IF(IF(AND(TRIM(U575)="Pass",ISNUMBER(AF575)),IF(AF575&lt;&gt;0,"INVALID – qty variance: use Fail or Pass after CA",""),"")&amp;IF(AND(TRIM(U575)="Pass",TRIM(AB575)&lt;&gt;"",TRIM(AB575)&lt;&gt;"Closed"),"INVALID – corrective action not closed: use Fail, then Pass after CA","")&amp;IF(AND(TRIM(AA575)&lt;&gt;"",TRIM(AB575)=""),"INVALID – CA status missing for the recorded corrective action","")&amp;IF(AND(TRIM(U575)="Pass after CA",OR(TRIM(AA575)="",TRIM(AB575)&lt;&gt;"Closed")),"INVALID – corrective action not recorded/closed","")&lt;&gt;"",IF(AND(TRIM(U575)="Pass",ISNUMBER(AF575)),IF(AF575&lt;&gt;0,"INVALID – qty variance: use Fail or Pass after CA",""),"")&amp;IF(AND(TRIM(U575)="Pass",TRIM(AB575)&lt;&gt;"",TRIM(AB575)&lt;&gt;"Closed"),"INVALID – corrective action not closed: use Fail, then Pass after CA","")&amp;IF(AND(TRIM(AA575)&lt;&gt;"",TRIM(AB575)=""),"INVALID – CA status missing for the recorded corrective action","")&amp;IF(AND(TRIM(U575)="Pass after CA",OR(TRIM(AA575)="",TRIM(AB575)&lt;&gt;"Closed")),"INVALID – corrective action not recorded/closed",""),IF(AND(AS575=1,Documents!$J$22&lt;&gt;"ON FILE"),"INVALID – GLD not on file (Documents sheet)",IF(AND(AS575=2,Documents!$O$22&lt;&gt;"ON FILE"),"INVALID – menu checklist not on file (Documents sheet)",IF(AND(AS575=3,NOT(ISNUMBER(Flights!$AX$22))),"INVALID – enter carrying flight KUL departure (Flights AX)",IF(AND(AS575=3,OR(Flights!$AX$22&gt;=Flights!$AA$22,Flights!$AX$22&lt;Flights!$AA$22-3)),"INVALID – Flights AX must be before this leg's STD (within 3 days)",IF(AG575&gt;AsOfUTC,"INVALID – completion time is in the future",IF(AND(ISNUMBER(S575),AG575&lt;S575),IF(H575="Physical uplift","INVALID – before uplift window (cannot confirm loading)","INVALID – before valid window"),IF(AG575&gt;Flights!$AA$22,"INVALID – completed after departure (cannot establish readiness)",IF(AND(H575="Physical uplift",AG575&gt;Q575),"INVALID – recorded after the loading flight departed",IF(AG575&gt;Q575,"COMPLETE – LATE","COMPLETE")))))))))))))))))),IF(TRIM(U575)="Fail","FAIL – DISCREPANCY",IF(AND(TRIM(U575)&lt;&gt;"",TRIM(U575)&lt;&gt;"Not started",TRIM(U575)&lt;&gt;"In progress"),"INVALID – unrecognised status (use the list)",IF(AsOfUTC&gt;Q575,"OVERDUE",IF(N575="Clarification required","OPEN – CLARIFICATION","OPEN")))))))</f>
        <v>OPEN</v>
      </c>
      <c r="AI575" s="61" t="n">
        <f aca="false">IF(OR(AH575="N/A – RULE",AH575="N/A – JUSTIFIED"),0,1)</f>
        <v>1</v>
      </c>
      <c r="AJ575" s="61" t="n">
        <f aca="false">IF(LEFT(AH575,8)="COMPLETE",1,0)</f>
        <v>0</v>
      </c>
      <c r="AK575" s="61" t="n">
        <f aca="false">IF(AND(AI575=1,AJ575=0,AsOfUTC&gt;Q575),1,0)</f>
        <v>0</v>
      </c>
      <c r="AL575" s="61" t="n">
        <f aca="false">IF(AND(AI575=1,OR(TRIM(U575)="Fail",AND(TRIM(AB575)&lt;&gt;"",TRIM(AB575)&lt;&gt;"Closed"),AND(ISNUMBER(AF575),AF575&lt;&gt;0,TRIM(U575)&lt;&gt;"Pass after CA"))),1,0)</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8" t="b">
        <f aca="false">TRUE()</f>
        <v>1</v>
      </c>
    </row>
    <row r="576" customFormat="false" ht="41.25" hidden="false" customHeight="true" outlineLevel="0" collapsed="false">
      <c r="A576" s="57" t="s">
        <v>1230</v>
      </c>
      <c r="B576" s="57" t="s">
        <v>285</v>
      </c>
      <c r="C576" s="57" t="str">
        <f aca="false">Flights!$F$22</f>
        <v>MH0052</v>
      </c>
      <c r="D576" s="58" t="n">
        <f aca="false">Flights!$D$22</f>
        <v>46322</v>
      </c>
      <c r="E576" s="57" t="str">
        <f aca="false">Flights!$G$22&amp;"-"&amp;Flights!$H$22</f>
        <v>KUL-KIX</v>
      </c>
      <c r="F576" s="57" t="str">
        <f aca="false">Flights!$K$22</f>
        <v>BC</v>
      </c>
      <c r="G576" s="57" t="s">
        <v>76</v>
      </c>
      <c r="H576" s="57" t="s">
        <v>343</v>
      </c>
      <c r="I576" s="57" t="s">
        <v>354</v>
      </c>
      <c r="J576" s="57" t="s">
        <v>355</v>
      </c>
      <c r="K576" s="67" t="s">
        <v>356</v>
      </c>
      <c r="L576" s="67" t="s">
        <v>347</v>
      </c>
      <c r="M576" s="67"/>
      <c r="N576" s="67" t="str">
        <f aca="false">IF(TRIM(Flights!$L$22)="A339","Required","N/A – rule")</f>
        <v>N/A – rule</v>
      </c>
      <c r="O576" s="67" t="s">
        <v>357</v>
      </c>
      <c r="P576" s="57" t="s">
        <v>179</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59" t="n">
        <f aca="false">Q576-T7EarlyD*24/24</f>
        <v>46301.6006944444</v>
      </c>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IF(N576="N/A – rule","N/A – RULE",IF(TRIM(U576)="N/A",IF(AT576=0,"INVALID – N/A not permitted for this mandatory check",IF(AND(TRIM(AC576)&lt;&gt;"",TRIM(AE576)&lt;&gt;"",TRIM(T576)&lt;&gt;"",TRIM(AE576)&lt;&gt;TRIM(T576)),"N/A – JUSTIFIED","INVALID – N/A needs justification, PIC and a different verifier")),IF(OR(TRIM(U576)="Pass",TRIM(U576)="Pass after CA"),IF(NOT(ISNUMBER(AD576)),"INVALID – completion time missing",IF(TRIM(T576)="","INVALID – PIC missing",IF(TRIM(V576)="","INVALID – result / assessment missing",IF(TRIM(Z576)="","INVALID – evidence missing",IF(TRIM(AE576)="","INVALID – verifier missing",IF(TRIM(AE576)=TRIM(T576),"INVALID – verifier must be someone other than the PIC",IF(AND(AQ576=1,TRIM(W576)=""),"INVALID – batch ID missing",IF(AND(AR576=1,OR(NOT(ISNUMBER(X576)),NOT(ISNUMBER(Y576)))),"INVALID – expected/actual qty missing",IF(IF(AND(TRIM(U576)="Pass",ISNUMBER(AF576)),IF(AF576&lt;&gt;0,"INVALID – qty variance: use Fail or Pass after CA",""),"")&amp;IF(AND(TRIM(U576)="Pass",TRIM(AB576)&lt;&gt;"",TRIM(AB576)&lt;&gt;"Closed"),"INVALID – corrective action not closed: use Fail, then Pass after CA","")&amp;IF(AND(TRIM(AA576)&lt;&gt;"",TRIM(AB576)=""),"INVALID – CA status missing for the recorded corrective action","")&amp;IF(AND(TRIM(U576)="Pass after CA",OR(TRIM(AA576)="",TRIM(AB576)&lt;&gt;"Closed")),"INVALID – corrective action not recorded/closed","")&lt;&gt;"",IF(AND(TRIM(U576)="Pass",ISNUMBER(AF576)),IF(AF576&lt;&gt;0,"INVALID – qty variance: use Fail or Pass after CA",""),"")&amp;IF(AND(TRIM(U576)="Pass",TRIM(AB576)&lt;&gt;"",TRIM(AB576)&lt;&gt;"Closed"),"INVALID – corrective action not closed: use Fail, then Pass after CA","")&amp;IF(AND(TRIM(AA576)&lt;&gt;"",TRIM(AB576)=""),"INVALID – CA status missing for the recorded corrective action","")&amp;IF(AND(TRIM(U576)="Pass after CA",OR(TRIM(AA576)="",TRIM(AB576)&lt;&gt;"Closed")),"INVALID – corrective action not recorded/closed",""),IF(AND(AS576=1,Documents!$J$22&lt;&gt;"ON FILE"),"INVALID – GLD not on file (Documents sheet)",IF(AND(AS576=2,Documents!$O$22&lt;&gt;"ON FILE"),"INVALID – menu checklist not on file (Documents sheet)",IF(AND(AS576=3,NOT(ISNUMBER(Flights!$AX$22))),"INVALID – enter carrying flight KUL departure (Flights AX)",IF(AND(AS576=3,OR(Flights!$AX$22&gt;=Flights!$AA$22,Flights!$AX$22&lt;Flights!$AA$22-3)),"INVALID – Flights AX must be before this leg's STD (within 3 days)",IF(AG576&gt;AsOfUTC,"INVALID – completion time is in the future",IF(AND(ISNUMBER(S576),AG576&lt;S576),IF(H576="Physical uplift","INVALID – before uplift window (cannot confirm loading)","INVALID – before valid window"),IF(AG576&gt;Flights!$AA$22,"INVALID – completed after departure (cannot establish readiness)",IF(AND(H576="Physical uplift",AG576&gt;Q576),"INVALID – recorded after the loading flight departed",IF(AG576&gt;Q576,"COMPLETE – LATE","COMPLETE")))))))))))))))))),IF(TRIM(U576)="Fail","FAIL – DISCREPANCY",IF(AND(TRIM(U576)&lt;&gt;"",TRIM(U576)&lt;&gt;"Not started",TRIM(U576)&lt;&gt;"In progress"),"INVALID – unrecognised status (use the list)",IF(AsOfUTC&gt;Q576,"OVERDUE",IF(N576="Clarification required","OPEN – CLARIFICATION","OPEN")))))))</f>
        <v>N/A – RULE</v>
      </c>
      <c r="AI576" s="61" t="n">
        <f aca="false">IF(OR(AH576="N/A – RULE",AH576="N/A – JUSTIFIED"),0,1)</f>
        <v>0</v>
      </c>
      <c r="AJ576" s="61" t="n">
        <f aca="false">IF(LEFT(AH576,8)="COMPLETE",1,0)</f>
        <v>0</v>
      </c>
      <c r="AK576" s="61" t="n">
        <f aca="false">IF(AND(AI576=1,AJ576=0,AsOfUTC&gt;Q576),1,0)</f>
        <v>0</v>
      </c>
      <c r="AL576" s="61" t="n">
        <f aca="false">IF(AND(AI576=1,OR(TRIM(U576)="Fail",AND(TRIM(AB576)&lt;&gt;"",TRIM(AB576)&lt;&gt;"Closed"),AND(ISNUMBER(AF576),AF576&lt;&gt;0,TRIM(U576)&lt;&gt;"Pass after CA"))),1,0)</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row>
    <row r="577" customFormat="false" ht="39.75" hidden="false" customHeight="true" outlineLevel="0" collapsed="false">
      <c r="A577" s="57" t="s">
        <v>1231</v>
      </c>
      <c r="B577" s="57" t="s">
        <v>285</v>
      </c>
      <c r="C577" s="57" t="str">
        <f aca="false">Flights!$F$22</f>
        <v>MH0052</v>
      </c>
      <c r="D577" s="58" t="n">
        <f aca="false">Flights!$D$22</f>
        <v>46322</v>
      </c>
      <c r="E577" s="57" t="str">
        <f aca="false">Flights!$G$22&amp;"-"&amp;Flights!$H$22</f>
        <v>KUL-KIX</v>
      </c>
      <c r="F577" s="57" t="str">
        <f aca="false">Flights!$K$22</f>
        <v>BC</v>
      </c>
      <c r="G577" s="57" t="s">
        <v>76</v>
      </c>
      <c r="H577" s="57" t="s">
        <v>343</v>
      </c>
      <c r="I577" s="57" t="s">
        <v>359</v>
      </c>
      <c r="J577" s="57" t="s">
        <v>360</v>
      </c>
      <c r="K577" s="67" t="s">
        <v>361</v>
      </c>
      <c r="L577" s="67" t="s">
        <v>347</v>
      </c>
      <c r="M577" s="67"/>
      <c r="N577" s="67" t="s">
        <v>348</v>
      </c>
      <c r="O577" s="67"/>
      <c r="P577" s="57" t="s">
        <v>179</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59" t="n">
        <f aca="false">Q577-T7EarlyD*24/24</f>
        <v>46301.6006944444</v>
      </c>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IF(N577="N/A – rule","N/A – RULE",IF(TRIM(U577)="N/A",IF(AT577=0,"INVALID – N/A not permitted for this mandatory check",IF(AND(TRIM(AC577)&lt;&gt;"",TRIM(AE577)&lt;&gt;"",TRIM(T577)&lt;&gt;"",TRIM(AE577)&lt;&gt;TRIM(T577)),"N/A – JUSTIFIED","INVALID – N/A needs justification, PIC and a different verifier")),IF(OR(TRIM(U577)="Pass",TRIM(U577)="Pass after CA"),IF(NOT(ISNUMBER(AD577)),"INVALID – completion time missing",IF(TRIM(T577)="","INVALID – PIC missing",IF(TRIM(V577)="","INVALID – result / assessment missing",IF(TRIM(Z577)="","INVALID – evidence missing",IF(TRIM(AE577)="","INVALID – verifier missing",IF(TRIM(AE577)=TRIM(T577),"INVALID – verifier must be someone other than the PIC",IF(AND(AQ577=1,TRIM(W577)=""),"INVALID – batch ID missing",IF(AND(AR577=1,OR(NOT(ISNUMBER(X577)),NOT(ISNUMBER(Y577)))),"INVALID – expected/actual qty missing",IF(IF(AND(TRIM(U577)="Pass",ISNUMBER(AF577)),IF(AF577&lt;&gt;0,"INVALID – qty variance: use Fail or Pass after CA",""),"")&amp;IF(AND(TRIM(U577)="Pass",TRIM(AB577)&lt;&gt;"",TRIM(AB577)&lt;&gt;"Closed"),"INVALID – corrective action not closed: use Fail, then Pass after CA","")&amp;IF(AND(TRIM(AA577)&lt;&gt;"",TRIM(AB577)=""),"INVALID – CA status missing for the recorded corrective action","")&amp;IF(AND(TRIM(U577)="Pass after CA",OR(TRIM(AA577)="",TRIM(AB577)&lt;&gt;"Closed")),"INVALID – corrective action not recorded/closed","")&lt;&gt;"",IF(AND(TRIM(U577)="Pass",ISNUMBER(AF577)),IF(AF577&lt;&gt;0,"INVALID – qty variance: use Fail or Pass after CA",""),"")&amp;IF(AND(TRIM(U577)="Pass",TRIM(AB577)&lt;&gt;"",TRIM(AB577)&lt;&gt;"Closed"),"INVALID – corrective action not closed: use Fail, then Pass after CA","")&amp;IF(AND(TRIM(AA577)&lt;&gt;"",TRIM(AB577)=""),"INVALID – CA status missing for the recorded corrective action","")&amp;IF(AND(TRIM(U577)="Pass after CA",OR(TRIM(AA577)="",TRIM(AB577)&lt;&gt;"Closed")),"INVALID – corrective action not recorded/closed",""),IF(AND(AS577=1,Documents!$J$22&lt;&gt;"ON FILE"),"INVALID – GLD not on file (Documents sheet)",IF(AND(AS577=2,Documents!$O$22&lt;&gt;"ON FILE"),"INVALID – menu checklist not on file (Documents sheet)",IF(AND(AS577=3,NOT(ISNUMBER(Flights!$AX$22))),"INVALID – enter carrying flight KUL departure (Flights AX)",IF(AND(AS577=3,OR(Flights!$AX$22&gt;=Flights!$AA$22,Flights!$AX$22&lt;Flights!$AA$22-3)),"INVALID – Flights AX must be before this leg's STD (within 3 days)",IF(AG577&gt;AsOfUTC,"INVALID – completion time is in the future",IF(AND(ISNUMBER(S577),AG577&lt;S577),IF(H577="Physical uplift","INVALID – before uplift window (cannot confirm loading)","INVALID – before valid window"),IF(AG577&gt;Flights!$AA$22,"INVALID – completed after departure (cannot establish readiness)",IF(AND(H577="Physical uplift",AG577&gt;Q577),"INVALID – recorded after the loading flight departed",IF(AG577&gt;Q577,"COMPLETE – LATE","COMPLETE")))))))))))))))))),IF(TRIM(U577)="Fail","FAIL – DISCREPANCY",IF(AND(TRIM(U577)&lt;&gt;"",TRIM(U577)&lt;&gt;"Not started",TRIM(U577)&lt;&gt;"In progress"),"INVALID – unrecognised status (use the list)",IF(AsOfUTC&gt;Q577,"OVERDUE",IF(N577="Clarification required","OPEN – CLARIFICATION","OPEN")))))))</f>
        <v>OPEN</v>
      </c>
      <c r="AI577" s="61" t="n">
        <f aca="false">IF(OR(AH577="N/A – RULE",AH577="N/A – JUSTIFIED"),0,1)</f>
        <v>1</v>
      </c>
      <c r="AJ577" s="61" t="n">
        <f aca="false">IF(LEFT(AH577,8)="COMPLETE",1,0)</f>
        <v>0</v>
      </c>
      <c r="AK577" s="61" t="n">
        <f aca="false">IF(AND(AI577=1,AJ577=0,AsOfUTC&gt;Q577),1,0)</f>
        <v>0</v>
      </c>
      <c r="AL577" s="61" t="n">
        <f aca="false">IF(AND(AI577=1,OR(TRIM(U577)="Fail",AND(TRIM(AB577)&lt;&gt;"",TRIM(AB577)&lt;&gt;"Closed"),AND(ISNUMBER(AF577),AF577&lt;&gt;0,TRIM(U577)&lt;&gt;"Pass after CA"))),1,0)</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row>
    <row r="578" customFormat="false" ht="39.75" hidden="false" customHeight="true" outlineLevel="0" collapsed="false">
      <c r="A578" s="57" t="s">
        <v>1232</v>
      </c>
      <c r="B578" s="57" t="s">
        <v>285</v>
      </c>
      <c r="C578" s="57" t="str">
        <f aca="false">Flights!$F$22</f>
        <v>MH0052</v>
      </c>
      <c r="D578" s="58" t="n">
        <f aca="false">Flights!$D$22</f>
        <v>46322</v>
      </c>
      <c r="E578" s="57" t="str">
        <f aca="false">Flights!$G$22&amp;"-"&amp;Flights!$H$22</f>
        <v>KUL-KIX</v>
      </c>
      <c r="F578" s="57" t="str">
        <f aca="false">Flights!$K$22</f>
        <v>BC</v>
      </c>
      <c r="G578" s="57" t="s">
        <v>76</v>
      </c>
      <c r="H578" s="57" t="s">
        <v>343</v>
      </c>
      <c r="I578" s="57" t="s">
        <v>363</v>
      </c>
      <c r="J578" s="57" t="s">
        <v>364</v>
      </c>
      <c r="K578" s="67" t="s">
        <v>365</v>
      </c>
      <c r="L578" s="67" t="s">
        <v>347</v>
      </c>
      <c r="M578" s="67"/>
      <c r="N578" s="67" t="s">
        <v>348</v>
      </c>
      <c r="O578" s="67"/>
      <c r="P578" s="57" t="s">
        <v>179</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59" t="n">
        <f aca="false">Q578-T7EarlyD*24/24</f>
        <v>46301.6006944444</v>
      </c>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IF(N578="N/A – rule","N/A – RULE",IF(TRIM(U578)="N/A",IF(AT578=0,"INVALID – N/A not permitted for this mandatory check",IF(AND(TRIM(AC578)&lt;&gt;"",TRIM(AE578)&lt;&gt;"",TRIM(T578)&lt;&gt;"",TRIM(AE578)&lt;&gt;TRIM(T578)),"N/A – JUSTIFIED","INVALID – N/A needs justification, PIC and a different verifier")),IF(OR(TRIM(U578)="Pass",TRIM(U578)="Pass after CA"),IF(NOT(ISNUMBER(AD578)),"INVALID – completion time missing",IF(TRIM(T578)="","INVALID – PIC missing",IF(TRIM(V578)="","INVALID – result / assessment missing",IF(TRIM(Z578)="","INVALID – evidence missing",IF(TRIM(AE578)="","INVALID – verifier missing",IF(TRIM(AE578)=TRIM(T578),"INVALID – verifier must be someone other than the PIC",IF(AND(AQ578=1,TRIM(W578)=""),"INVALID – batch ID missing",IF(AND(AR578=1,OR(NOT(ISNUMBER(X578)),NOT(ISNUMBER(Y578)))),"INVALID – expected/actual qty missing",IF(IF(AND(TRIM(U578)="Pass",ISNUMBER(AF578)),IF(AF578&lt;&gt;0,"INVALID – qty variance: use Fail or Pass after CA",""),"")&amp;IF(AND(TRIM(U578)="Pass",TRIM(AB578)&lt;&gt;"",TRIM(AB578)&lt;&gt;"Closed"),"INVALID – corrective action not closed: use Fail, then Pass after CA","")&amp;IF(AND(TRIM(AA578)&lt;&gt;"",TRIM(AB578)=""),"INVALID – CA status missing for the recorded corrective action","")&amp;IF(AND(TRIM(U578)="Pass after CA",OR(TRIM(AA578)="",TRIM(AB578)&lt;&gt;"Closed")),"INVALID – corrective action not recorded/closed","")&lt;&gt;"",IF(AND(TRIM(U578)="Pass",ISNUMBER(AF578)),IF(AF578&lt;&gt;0,"INVALID – qty variance: use Fail or Pass after CA",""),"")&amp;IF(AND(TRIM(U578)="Pass",TRIM(AB578)&lt;&gt;"",TRIM(AB578)&lt;&gt;"Closed"),"INVALID – corrective action not closed: use Fail, then Pass after CA","")&amp;IF(AND(TRIM(AA578)&lt;&gt;"",TRIM(AB578)=""),"INVALID – CA status missing for the recorded corrective action","")&amp;IF(AND(TRIM(U578)="Pass after CA",OR(TRIM(AA578)="",TRIM(AB578)&lt;&gt;"Closed")),"INVALID – corrective action not recorded/closed",""),IF(AND(AS578=1,Documents!$J$22&lt;&gt;"ON FILE"),"INVALID – GLD not on file (Documents sheet)",IF(AND(AS578=2,Documents!$O$22&lt;&gt;"ON FILE"),"INVALID – menu checklist not on file (Documents sheet)",IF(AND(AS578=3,NOT(ISNUMBER(Flights!$AX$22))),"INVALID – enter carrying flight KUL departure (Flights AX)",IF(AND(AS578=3,OR(Flights!$AX$22&gt;=Flights!$AA$22,Flights!$AX$22&lt;Flights!$AA$22-3)),"INVALID – Flights AX must be before this leg's STD (within 3 days)",IF(AG578&gt;AsOfUTC,"INVALID – completion time is in the future",IF(AND(ISNUMBER(S578),AG578&lt;S578),IF(H578="Physical uplift","INVALID – before uplift window (cannot confirm loading)","INVALID – before valid window"),IF(AG578&gt;Flights!$AA$22,"INVALID – completed after departure (cannot establish readiness)",IF(AND(H578="Physical uplift",AG578&gt;Q578),"INVALID – recorded after the loading flight departed",IF(AG578&gt;Q578,"COMPLETE – LATE","COMPLETE")))))))))))))))))),IF(TRIM(U578)="Fail","FAIL – DISCREPANCY",IF(AND(TRIM(U578)&lt;&gt;"",TRIM(U578)&lt;&gt;"Not started",TRIM(U578)&lt;&gt;"In progress"),"INVALID – unrecognised status (use the list)",IF(AsOfUTC&gt;Q578,"OVERDUE",IF(N578="Clarification required","OPEN – CLARIFICATION","OPEN")))))))</f>
        <v>OPEN</v>
      </c>
      <c r="AI578" s="61" t="n">
        <f aca="false">IF(OR(AH578="N/A – RULE",AH578="N/A – JUSTIFIED"),0,1)</f>
        <v>1</v>
      </c>
      <c r="AJ578" s="61" t="n">
        <f aca="false">IF(LEFT(AH578,8)="COMPLETE",1,0)</f>
        <v>0</v>
      </c>
      <c r="AK578" s="61" t="n">
        <f aca="false">IF(AND(AI578=1,AJ578=0,AsOfUTC&gt;Q578),1,0)</f>
        <v>0</v>
      </c>
      <c r="AL578" s="61" t="n">
        <f aca="false">IF(AND(AI578=1,OR(TRIM(U578)="Fail",AND(TRIM(AB578)&lt;&gt;"",TRIM(AB578)&lt;&gt;"Closed"),AND(ISNUMBER(AF578),AF578&lt;&gt;0,TRIM(U578)&lt;&gt;"Pass after CA"))),1,0)</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row>
    <row r="579" customFormat="false" ht="39.75" hidden="false" customHeight="true" outlineLevel="0" collapsed="false">
      <c r="A579" s="57" t="s">
        <v>1233</v>
      </c>
      <c r="B579" s="57" t="s">
        <v>285</v>
      </c>
      <c r="C579" s="57" t="str">
        <f aca="false">Flights!$F$22</f>
        <v>MH0052</v>
      </c>
      <c r="D579" s="58" t="n">
        <f aca="false">Flights!$D$22</f>
        <v>46322</v>
      </c>
      <c r="E579" s="57" t="str">
        <f aca="false">Flights!$G$22&amp;"-"&amp;Flights!$H$22</f>
        <v>KUL-KIX</v>
      </c>
      <c r="F579" s="57" t="str">
        <f aca="false">Flights!$K$22</f>
        <v>BC</v>
      </c>
      <c r="G579" s="57" t="s">
        <v>76</v>
      </c>
      <c r="H579" s="57" t="s">
        <v>343</v>
      </c>
      <c r="I579" s="57" t="s">
        <v>363</v>
      </c>
      <c r="J579" s="57" t="s">
        <v>367</v>
      </c>
      <c r="K579" s="67" t="s">
        <v>368</v>
      </c>
      <c r="L579" s="67" t="s">
        <v>347</v>
      </c>
      <c r="M579" s="67"/>
      <c r="N579" s="67" t="s">
        <v>348</v>
      </c>
      <c r="O579" s="67"/>
      <c r="P579" s="57" t="s">
        <v>179</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59" t="n">
        <f aca="false">Q579-T7EarlyD*24/24</f>
        <v>46301.6006944444</v>
      </c>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IF(N579="N/A – rule","N/A – RULE",IF(TRIM(U579)="N/A",IF(AT579=0,"INVALID – N/A not permitted for this mandatory check",IF(AND(TRIM(AC579)&lt;&gt;"",TRIM(AE579)&lt;&gt;"",TRIM(T579)&lt;&gt;"",TRIM(AE579)&lt;&gt;TRIM(T579)),"N/A – JUSTIFIED","INVALID – N/A needs justification, PIC and a different verifier")),IF(OR(TRIM(U579)="Pass",TRIM(U579)="Pass after CA"),IF(NOT(ISNUMBER(AD579)),"INVALID – completion time missing",IF(TRIM(T579)="","INVALID – PIC missing",IF(TRIM(V579)="","INVALID – result / assessment missing",IF(TRIM(Z579)="","INVALID – evidence missing",IF(TRIM(AE579)="","INVALID – verifier missing",IF(TRIM(AE579)=TRIM(T579),"INVALID – verifier must be someone other than the PIC",IF(AND(AQ579=1,TRIM(W579)=""),"INVALID – batch ID missing",IF(AND(AR579=1,OR(NOT(ISNUMBER(X579)),NOT(ISNUMBER(Y579)))),"INVALID – expected/actual qty missing",IF(IF(AND(TRIM(U579)="Pass",ISNUMBER(AF579)),IF(AF579&lt;&gt;0,"INVALID – qty variance: use Fail or Pass after CA",""),"")&amp;IF(AND(TRIM(U579)="Pass",TRIM(AB579)&lt;&gt;"",TRIM(AB579)&lt;&gt;"Closed"),"INVALID – corrective action not closed: use Fail, then Pass after CA","")&amp;IF(AND(TRIM(AA579)&lt;&gt;"",TRIM(AB579)=""),"INVALID – CA status missing for the recorded corrective action","")&amp;IF(AND(TRIM(U579)="Pass after CA",OR(TRIM(AA579)="",TRIM(AB579)&lt;&gt;"Closed")),"INVALID – corrective action not recorded/closed","")&lt;&gt;"",IF(AND(TRIM(U579)="Pass",ISNUMBER(AF579)),IF(AF579&lt;&gt;0,"INVALID – qty variance: use Fail or Pass after CA",""),"")&amp;IF(AND(TRIM(U579)="Pass",TRIM(AB579)&lt;&gt;"",TRIM(AB579)&lt;&gt;"Closed"),"INVALID – corrective action not closed: use Fail, then Pass after CA","")&amp;IF(AND(TRIM(AA579)&lt;&gt;"",TRIM(AB579)=""),"INVALID – CA status missing for the recorded corrective action","")&amp;IF(AND(TRIM(U579)="Pass after CA",OR(TRIM(AA579)="",TRIM(AB579)&lt;&gt;"Closed")),"INVALID – corrective action not recorded/closed",""),IF(AND(AS579=1,Documents!$J$22&lt;&gt;"ON FILE"),"INVALID – GLD not on file (Documents sheet)",IF(AND(AS579=2,Documents!$O$22&lt;&gt;"ON FILE"),"INVALID – menu checklist not on file (Documents sheet)",IF(AND(AS579=3,NOT(ISNUMBER(Flights!$AX$22))),"INVALID – enter carrying flight KUL departure (Flights AX)",IF(AND(AS579=3,OR(Flights!$AX$22&gt;=Flights!$AA$22,Flights!$AX$22&lt;Flights!$AA$22-3)),"INVALID – Flights AX must be before this leg's STD (within 3 days)",IF(AG579&gt;AsOfUTC,"INVALID – completion time is in the future",IF(AND(ISNUMBER(S579),AG579&lt;S579),IF(H579="Physical uplift","INVALID – before uplift window (cannot confirm loading)","INVALID – before valid window"),IF(AG579&gt;Flights!$AA$22,"INVALID – completed after departure (cannot establish readiness)",IF(AND(H579="Physical uplift",AG579&gt;Q579),"INVALID – recorded after the loading flight departed",IF(AG579&gt;Q579,"COMPLETE – LATE","COMPLETE")))))))))))))))))),IF(TRIM(U579)="Fail","FAIL – DISCREPANCY",IF(AND(TRIM(U579)&lt;&gt;"",TRIM(U579)&lt;&gt;"Not started",TRIM(U579)&lt;&gt;"In progress"),"INVALID – unrecognised status (use the list)",IF(AsOfUTC&gt;Q579,"OVERDUE",IF(N579="Clarification required","OPEN – CLARIFICATION","OPEN")))))))</f>
        <v>OPEN</v>
      </c>
      <c r="AI579" s="61" t="n">
        <f aca="false">IF(OR(AH579="N/A – RULE",AH579="N/A – JUSTIFIED"),0,1)</f>
        <v>1</v>
      </c>
      <c r="AJ579" s="61" t="n">
        <f aca="false">IF(LEFT(AH579,8)="COMPLETE",1,0)</f>
        <v>0</v>
      </c>
      <c r="AK579" s="61" t="n">
        <f aca="false">IF(AND(AI579=1,AJ579=0,AsOfUTC&gt;Q579),1,0)</f>
        <v>0</v>
      </c>
      <c r="AL579" s="61" t="n">
        <f aca="false">IF(AND(AI579=1,OR(TRIM(U579)="Fail",AND(TRIM(AB579)&lt;&gt;"",TRIM(AB579)&lt;&gt;"Closed"),AND(ISNUMBER(AF579),AF579&lt;&gt;0,TRIM(U579)&lt;&gt;"Pass after CA"))),1,0)</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row>
    <row r="580" customFormat="false" ht="39.75" hidden="false" customHeight="true" outlineLevel="0" collapsed="false">
      <c r="A580" s="57" t="s">
        <v>1234</v>
      </c>
      <c r="B580" s="57" t="s">
        <v>285</v>
      </c>
      <c r="C580" s="57" t="str">
        <f aca="false">Flights!$F$22</f>
        <v>MH0052</v>
      </c>
      <c r="D580" s="58" t="n">
        <f aca="false">Flights!$D$22</f>
        <v>46322</v>
      </c>
      <c r="E580" s="57" t="str">
        <f aca="false">Flights!$G$22&amp;"-"&amp;Flights!$H$22</f>
        <v>KUL-KIX</v>
      </c>
      <c r="F580" s="57" t="str">
        <f aca="false">Flights!$K$22</f>
        <v>BC</v>
      </c>
      <c r="G580" s="57" t="s">
        <v>76</v>
      </c>
      <c r="H580" s="57" t="s">
        <v>343</v>
      </c>
      <c r="I580" s="57" t="s">
        <v>370</v>
      </c>
      <c r="J580" s="57" t="s">
        <v>371</v>
      </c>
      <c r="K580" s="67" t="s">
        <v>372</v>
      </c>
      <c r="L580" s="67" t="s">
        <v>347</v>
      </c>
      <c r="M580" s="67"/>
      <c r="N580" s="67" t="s">
        <v>348</v>
      </c>
      <c r="O580" s="67"/>
      <c r="P580" s="57" t="s">
        <v>179</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59" t="n">
        <f aca="false">Q580-T7EarlyD*24/24</f>
        <v>46301.6006944444</v>
      </c>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IF(N580="N/A – rule","N/A – RULE",IF(TRIM(U580)="N/A",IF(AT580=0,"INVALID – N/A not permitted for this mandatory check",IF(AND(TRIM(AC580)&lt;&gt;"",TRIM(AE580)&lt;&gt;"",TRIM(T580)&lt;&gt;"",TRIM(AE580)&lt;&gt;TRIM(T580)),"N/A – JUSTIFIED","INVALID – N/A needs justification, PIC and a different verifier")),IF(OR(TRIM(U580)="Pass",TRIM(U580)="Pass after CA"),IF(NOT(ISNUMBER(AD580)),"INVALID – completion time missing",IF(TRIM(T580)="","INVALID – PIC missing",IF(TRIM(V580)="","INVALID – result / assessment missing",IF(TRIM(Z580)="","INVALID – evidence missing",IF(TRIM(AE580)="","INVALID – verifier missing",IF(TRIM(AE580)=TRIM(T580),"INVALID – verifier must be someone other than the PIC",IF(AND(AQ580=1,TRIM(W580)=""),"INVALID – batch ID missing",IF(AND(AR580=1,OR(NOT(ISNUMBER(X580)),NOT(ISNUMBER(Y580)))),"INVALID – expected/actual qty missing",IF(IF(AND(TRIM(U580)="Pass",ISNUMBER(AF580)),IF(AF580&lt;&gt;0,"INVALID – qty variance: use Fail or Pass after CA",""),"")&amp;IF(AND(TRIM(U580)="Pass",TRIM(AB580)&lt;&gt;"",TRIM(AB580)&lt;&gt;"Closed"),"INVALID – corrective action not closed: use Fail, then Pass after CA","")&amp;IF(AND(TRIM(AA580)&lt;&gt;"",TRIM(AB580)=""),"INVALID – CA status missing for the recorded corrective action","")&amp;IF(AND(TRIM(U580)="Pass after CA",OR(TRIM(AA580)="",TRIM(AB580)&lt;&gt;"Closed")),"INVALID – corrective action not recorded/closed","")&lt;&gt;"",IF(AND(TRIM(U580)="Pass",ISNUMBER(AF580)),IF(AF580&lt;&gt;0,"INVALID – qty variance: use Fail or Pass after CA",""),"")&amp;IF(AND(TRIM(U580)="Pass",TRIM(AB580)&lt;&gt;"",TRIM(AB580)&lt;&gt;"Closed"),"INVALID – corrective action not closed: use Fail, then Pass after CA","")&amp;IF(AND(TRIM(AA580)&lt;&gt;"",TRIM(AB580)=""),"INVALID – CA status missing for the recorded corrective action","")&amp;IF(AND(TRIM(U580)="Pass after CA",OR(TRIM(AA580)="",TRIM(AB580)&lt;&gt;"Closed")),"INVALID – corrective action not recorded/closed",""),IF(AND(AS580=1,Documents!$J$22&lt;&gt;"ON FILE"),"INVALID – GLD not on file (Documents sheet)",IF(AND(AS580=2,Documents!$O$22&lt;&gt;"ON FILE"),"INVALID – menu checklist not on file (Documents sheet)",IF(AND(AS580=3,NOT(ISNUMBER(Flights!$AX$22))),"INVALID – enter carrying flight KUL departure (Flights AX)",IF(AND(AS580=3,OR(Flights!$AX$22&gt;=Flights!$AA$22,Flights!$AX$22&lt;Flights!$AA$22-3)),"INVALID – Flights AX must be before this leg's STD (within 3 days)",IF(AG580&gt;AsOfUTC,"INVALID – completion time is in the future",IF(AND(ISNUMBER(S580),AG580&lt;S580),IF(H580="Physical uplift","INVALID – before uplift window (cannot confirm loading)","INVALID – before valid window"),IF(AG580&gt;Flights!$AA$22,"INVALID – completed after departure (cannot establish readiness)",IF(AND(H580="Physical uplift",AG580&gt;Q580),"INVALID – recorded after the loading flight departed",IF(AG580&gt;Q580,"COMPLETE – LATE","COMPLETE")))))))))))))))))),IF(TRIM(U580)="Fail","FAIL – DISCREPANCY",IF(AND(TRIM(U580)&lt;&gt;"",TRIM(U580)&lt;&gt;"Not started",TRIM(U580)&lt;&gt;"In progress"),"INVALID – unrecognised status (use the list)",IF(AsOfUTC&gt;Q580,"OVERDUE",IF(N580="Clarification required","OPEN – CLARIFICATION","OPEN")))))))</f>
        <v>OPEN</v>
      </c>
      <c r="AI580" s="61" t="n">
        <f aca="false">IF(OR(AH580="N/A – RULE",AH580="N/A – JUSTIFIED"),0,1)</f>
        <v>1</v>
      </c>
      <c r="AJ580" s="61" t="n">
        <f aca="false">IF(LEFT(AH580,8)="COMPLETE",1,0)</f>
        <v>0</v>
      </c>
      <c r="AK580" s="61" t="n">
        <f aca="false">IF(AND(AI580=1,AJ580=0,AsOfUTC&gt;Q580),1,0)</f>
        <v>0</v>
      </c>
      <c r="AL580" s="61" t="n">
        <f aca="false">IF(AND(AI580=1,OR(TRIM(U580)="Fail",AND(TRIM(AB580)&lt;&gt;"",TRIM(AB580)&lt;&gt;"Closed"),AND(ISNUMBER(AF580),AF580&lt;&gt;0,TRIM(U580)&lt;&gt;"Pass after CA"))),1,0)</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row>
    <row r="581" customFormat="false" ht="39.75" hidden="false" customHeight="true" outlineLevel="0" collapsed="false">
      <c r="A581" s="57" t="s">
        <v>1235</v>
      </c>
      <c r="B581" s="57" t="s">
        <v>285</v>
      </c>
      <c r="C581" s="57" t="str">
        <f aca="false">Flights!$F$22</f>
        <v>MH0052</v>
      </c>
      <c r="D581" s="58" t="n">
        <f aca="false">Flights!$D$22</f>
        <v>46322</v>
      </c>
      <c r="E581" s="57" t="str">
        <f aca="false">Flights!$G$22&amp;"-"&amp;Flights!$H$22</f>
        <v>KUL-KIX</v>
      </c>
      <c r="F581" s="57" t="str">
        <f aca="false">Flights!$K$22</f>
        <v>BC</v>
      </c>
      <c r="G581" s="57" t="s">
        <v>76</v>
      </c>
      <c r="H581" s="57" t="s">
        <v>343</v>
      </c>
      <c r="I581" s="57" t="s">
        <v>370</v>
      </c>
      <c r="J581" s="57" t="s">
        <v>374</v>
      </c>
      <c r="K581" s="67" t="s">
        <v>372</v>
      </c>
      <c r="L581" s="67" t="s">
        <v>347</v>
      </c>
      <c r="M581" s="67"/>
      <c r="N581" s="67" t="s">
        <v>348</v>
      </c>
      <c r="O581" s="67"/>
      <c r="P581" s="57" t="s">
        <v>179</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59" t="n">
        <f aca="false">Q581-T7EarlyD*24/24</f>
        <v>46301.6006944444</v>
      </c>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IF(N581="N/A – rule","N/A – RULE",IF(TRIM(U581)="N/A",IF(AT581=0,"INVALID – N/A not permitted for this mandatory check",IF(AND(TRIM(AC581)&lt;&gt;"",TRIM(AE581)&lt;&gt;"",TRIM(T581)&lt;&gt;"",TRIM(AE581)&lt;&gt;TRIM(T581)),"N/A – JUSTIFIED","INVALID – N/A needs justification, PIC and a different verifier")),IF(OR(TRIM(U581)="Pass",TRIM(U581)="Pass after CA"),IF(NOT(ISNUMBER(AD581)),"INVALID – completion time missing",IF(TRIM(T581)="","INVALID – PIC missing",IF(TRIM(V581)="","INVALID – result / assessment missing",IF(TRIM(Z581)="","INVALID – evidence missing",IF(TRIM(AE581)="","INVALID – verifier missing",IF(TRIM(AE581)=TRIM(T581),"INVALID – verifier must be someone other than the PIC",IF(AND(AQ581=1,TRIM(W581)=""),"INVALID – batch ID missing",IF(AND(AR581=1,OR(NOT(ISNUMBER(X581)),NOT(ISNUMBER(Y581)))),"INVALID – expected/actual qty missing",IF(IF(AND(TRIM(U581)="Pass",ISNUMBER(AF581)),IF(AF581&lt;&gt;0,"INVALID – qty variance: use Fail or Pass after CA",""),"")&amp;IF(AND(TRIM(U581)="Pass",TRIM(AB581)&lt;&gt;"",TRIM(AB581)&lt;&gt;"Closed"),"INVALID – corrective action not closed: use Fail, then Pass after CA","")&amp;IF(AND(TRIM(AA581)&lt;&gt;"",TRIM(AB581)=""),"INVALID – CA status missing for the recorded corrective action","")&amp;IF(AND(TRIM(U581)="Pass after CA",OR(TRIM(AA581)="",TRIM(AB581)&lt;&gt;"Closed")),"INVALID – corrective action not recorded/closed","")&lt;&gt;"",IF(AND(TRIM(U581)="Pass",ISNUMBER(AF581)),IF(AF581&lt;&gt;0,"INVALID – qty variance: use Fail or Pass after CA",""),"")&amp;IF(AND(TRIM(U581)="Pass",TRIM(AB581)&lt;&gt;"",TRIM(AB581)&lt;&gt;"Closed"),"INVALID – corrective action not closed: use Fail, then Pass after CA","")&amp;IF(AND(TRIM(AA581)&lt;&gt;"",TRIM(AB581)=""),"INVALID – CA status missing for the recorded corrective action","")&amp;IF(AND(TRIM(U581)="Pass after CA",OR(TRIM(AA581)="",TRIM(AB581)&lt;&gt;"Closed")),"INVALID – corrective action not recorded/closed",""),IF(AND(AS581=1,Documents!$J$22&lt;&gt;"ON FILE"),"INVALID – GLD not on file (Documents sheet)",IF(AND(AS581=2,Documents!$O$22&lt;&gt;"ON FILE"),"INVALID – menu checklist not on file (Documents sheet)",IF(AND(AS581=3,NOT(ISNUMBER(Flights!$AX$22))),"INVALID – enter carrying flight KUL departure (Flights AX)",IF(AND(AS581=3,OR(Flights!$AX$22&gt;=Flights!$AA$22,Flights!$AX$22&lt;Flights!$AA$22-3)),"INVALID – Flights AX must be before this leg's STD (within 3 days)",IF(AG581&gt;AsOfUTC,"INVALID – completion time is in the future",IF(AND(ISNUMBER(S581),AG581&lt;S581),IF(H581="Physical uplift","INVALID – before uplift window (cannot confirm loading)","INVALID – before valid window"),IF(AG581&gt;Flights!$AA$22,"INVALID – completed after departure (cannot establish readiness)",IF(AND(H581="Physical uplift",AG581&gt;Q581),"INVALID – recorded after the loading flight departed",IF(AG581&gt;Q581,"COMPLETE – LATE","COMPLETE")))))))))))))))))),IF(TRIM(U581)="Fail","FAIL – DISCREPANCY",IF(AND(TRIM(U581)&lt;&gt;"",TRIM(U581)&lt;&gt;"Not started",TRIM(U581)&lt;&gt;"In progress"),"INVALID – unrecognised status (use the list)",IF(AsOfUTC&gt;Q581,"OVERDUE",IF(N581="Clarification required","OPEN – CLARIFICATION","OPEN")))))))</f>
        <v>OPEN</v>
      </c>
      <c r="AI581" s="61" t="n">
        <f aca="false">IF(OR(AH581="N/A – RULE",AH581="N/A – JUSTIFIED"),0,1)</f>
        <v>1</v>
      </c>
      <c r="AJ581" s="61" t="n">
        <f aca="false">IF(LEFT(AH581,8)="COMPLETE",1,0)</f>
        <v>0</v>
      </c>
      <c r="AK581" s="61" t="n">
        <f aca="false">IF(AND(AI581=1,AJ581=0,AsOfUTC&gt;Q581),1,0)</f>
        <v>0</v>
      </c>
      <c r="AL581" s="61" t="n">
        <f aca="false">IF(AND(AI581=1,OR(TRIM(U581)="Fail",AND(TRIM(AB581)&lt;&gt;"",TRIM(AB581)&lt;&gt;"Closed"),AND(ISNUMBER(AF581),AF581&lt;&gt;0,TRIM(U581)&lt;&gt;"Pass after CA"))),1,0)</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row>
    <row r="582" customFormat="false" ht="39.75" hidden="false" customHeight="true" outlineLevel="0" collapsed="false">
      <c r="A582" s="57" t="s">
        <v>1236</v>
      </c>
      <c r="B582" s="57" t="s">
        <v>285</v>
      </c>
      <c r="C582" s="57" t="str">
        <f aca="false">Flights!$F$22</f>
        <v>MH0052</v>
      </c>
      <c r="D582" s="58" t="n">
        <f aca="false">Flights!$D$22</f>
        <v>46322</v>
      </c>
      <c r="E582" s="57" t="str">
        <f aca="false">Flights!$G$22&amp;"-"&amp;Flights!$H$22</f>
        <v>KUL-KIX</v>
      </c>
      <c r="F582" s="57" t="str">
        <f aca="false">Flights!$K$22</f>
        <v>BC</v>
      </c>
      <c r="G582" s="57" t="s">
        <v>76</v>
      </c>
      <c r="H582" s="57" t="s">
        <v>343</v>
      </c>
      <c r="I582" s="57" t="s">
        <v>376</v>
      </c>
      <c r="J582" s="57" t="s">
        <v>377</v>
      </c>
      <c r="K582" s="67" t="s">
        <v>1237</v>
      </c>
      <c r="L582" s="67" t="s">
        <v>1238</v>
      </c>
      <c r="M582" s="67"/>
      <c r="N582" s="67" t="s">
        <v>348</v>
      </c>
      <c r="O582" s="67"/>
      <c r="P582" s="57" t="s">
        <v>179</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59" t="n">
        <f aca="false">Q582-T7EarlyD*24/24</f>
        <v>46301.6006944444</v>
      </c>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IF(N582="N/A – rule","N/A – RULE",IF(TRIM(U582)="N/A",IF(AT582=0,"INVALID – N/A not permitted for this mandatory check",IF(AND(TRIM(AC582)&lt;&gt;"",TRIM(AE582)&lt;&gt;"",TRIM(T582)&lt;&gt;"",TRIM(AE582)&lt;&gt;TRIM(T582)),"N/A – JUSTIFIED","INVALID – N/A needs justification, PIC and a different verifier")),IF(OR(TRIM(U582)="Pass",TRIM(U582)="Pass after CA"),IF(NOT(ISNUMBER(AD582)),"INVALID – completion time missing",IF(TRIM(T582)="","INVALID – PIC missing",IF(TRIM(V582)="","INVALID – result / assessment missing",IF(TRIM(Z582)="","INVALID – evidence missing",IF(TRIM(AE582)="","INVALID – verifier missing",IF(TRIM(AE582)=TRIM(T582),"INVALID – verifier must be someone other than the PIC",IF(AND(AQ582=1,TRIM(W582)=""),"INVALID – batch ID missing",IF(AND(AR582=1,OR(NOT(ISNUMBER(X582)),NOT(ISNUMBER(Y582)))),"INVALID – expected/actual qty missing",IF(IF(AND(TRIM(U582)="Pass",ISNUMBER(AF582)),IF(AF582&lt;&gt;0,"INVALID – qty variance: use Fail or Pass after CA",""),"")&amp;IF(AND(TRIM(U582)="Pass",TRIM(AB582)&lt;&gt;"",TRIM(AB582)&lt;&gt;"Closed"),"INVALID – corrective action not closed: use Fail, then Pass after CA","")&amp;IF(AND(TRIM(AA582)&lt;&gt;"",TRIM(AB582)=""),"INVALID – CA status missing for the recorded corrective action","")&amp;IF(AND(TRIM(U582)="Pass after CA",OR(TRIM(AA582)="",TRIM(AB582)&lt;&gt;"Closed")),"INVALID – corrective action not recorded/closed","")&lt;&gt;"",IF(AND(TRIM(U582)="Pass",ISNUMBER(AF582)),IF(AF582&lt;&gt;0,"INVALID – qty variance: use Fail or Pass after CA",""),"")&amp;IF(AND(TRIM(U582)="Pass",TRIM(AB582)&lt;&gt;"",TRIM(AB582)&lt;&gt;"Closed"),"INVALID – corrective action not closed: use Fail, then Pass after CA","")&amp;IF(AND(TRIM(AA582)&lt;&gt;"",TRIM(AB582)=""),"INVALID – CA status missing for the recorded corrective action","")&amp;IF(AND(TRIM(U582)="Pass after CA",OR(TRIM(AA582)="",TRIM(AB582)&lt;&gt;"Closed")),"INVALID – corrective action not recorded/closed",""),IF(AND(AS582=1,Documents!$J$22&lt;&gt;"ON FILE"),"INVALID – GLD not on file (Documents sheet)",IF(AND(AS582=2,Documents!$O$22&lt;&gt;"ON FILE"),"INVALID – menu checklist not on file (Documents sheet)",IF(AND(AS582=3,NOT(ISNUMBER(Flights!$AX$22))),"INVALID – enter carrying flight KUL departure (Flights AX)",IF(AND(AS582=3,OR(Flights!$AX$22&gt;=Flights!$AA$22,Flights!$AX$22&lt;Flights!$AA$22-3)),"INVALID – Flights AX must be before this leg's STD (within 3 days)",IF(AG582&gt;AsOfUTC,"INVALID – completion time is in the future",IF(AND(ISNUMBER(S582),AG582&lt;S582),IF(H582="Physical uplift","INVALID – before uplift window (cannot confirm loading)","INVALID – before valid window"),IF(AG582&gt;Flights!$AA$22,"INVALID – completed after departure (cannot establish readiness)",IF(AND(H582="Physical uplift",AG582&gt;Q582),"INVALID – recorded after the loading flight departed",IF(AG582&gt;Q582,"COMPLETE – LATE","COMPLETE")))))))))))))))))),IF(TRIM(U582)="Fail","FAIL – DISCREPANCY",IF(AND(TRIM(U582)&lt;&gt;"",TRIM(U582)&lt;&gt;"Not started",TRIM(U582)&lt;&gt;"In progress"),"INVALID – unrecognised status (use the list)",IF(AsOfUTC&gt;Q582,"OVERDUE",IF(N582="Clarification required","OPEN – CLARIFICATION","OPEN")))))))</f>
        <v>OPEN</v>
      </c>
      <c r="AI582" s="61" t="n">
        <f aca="false">IF(OR(AH582="N/A – RULE",AH582="N/A – JUSTIFIED"),0,1)</f>
        <v>1</v>
      </c>
      <c r="AJ582" s="61" t="n">
        <f aca="false">IF(LEFT(AH582,8)="COMPLETE",1,0)</f>
        <v>0</v>
      </c>
      <c r="AK582" s="61" t="n">
        <f aca="false">IF(AND(AI582=1,AJ582=0,AsOfUTC&gt;Q582),1,0)</f>
        <v>0</v>
      </c>
      <c r="AL582" s="61" t="n">
        <f aca="false">IF(AND(AI582=1,OR(TRIM(U582)="Fail",AND(TRIM(AB582)&lt;&gt;"",TRIM(AB582)&lt;&gt;"Closed"),AND(ISNUMBER(AF582),AF582&lt;&gt;0,TRIM(U582)&lt;&gt;"Pass after CA"))),1,0)</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row>
    <row r="583" customFormat="false" ht="39.75" hidden="false" customHeight="true" outlineLevel="0" collapsed="false">
      <c r="A583" s="57" t="s">
        <v>1239</v>
      </c>
      <c r="B583" s="57" t="s">
        <v>285</v>
      </c>
      <c r="C583" s="57" t="str">
        <f aca="false">Flights!$F$22</f>
        <v>MH0052</v>
      </c>
      <c r="D583" s="58" t="n">
        <f aca="false">Flights!$D$22</f>
        <v>46322</v>
      </c>
      <c r="E583" s="57" t="str">
        <f aca="false">Flights!$G$22&amp;"-"&amp;Flights!$H$22</f>
        <v>KUL-KIX</v>
      </c>
      <c r="F583" s="57" t="str">
        <f aca="false">Flights!$K$22</f>
        <v>BC</v>
      </c>
      <c r="G583" s="57" t="s">
        <v>78</v>
      </c>
      <c r="H583" s="57" t="s">
        <v>343</v>
      </c>
      <c r="I583" s="57" t="s">
        <v>344</v>
      </c>
      <c r="J583" s="57" t="s">
        <v>381</v>
      </c>
      <c r="K583" s="67" t="s">
        <v>382</v>
      </c>
      <c r="L583" s="67" t="s">
        <v>383</v>
      </c>
      <c r="M583" s="67"/>
      <c r="N583" s="67" t="s">
        <v>348</v>
      </c>
      <c r="O583" s="67"/>
      <c r="P583" s="57" t="s">
        <v>179</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59" t="n">
        <f aca="false">Q583-T24EarlyH/24</f>
        <v>46320.6006944444</v>
      </c>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IF(N583="N/A – rule","N/A – RULE",IF(TRIM(U583)="N/A",IF(AT583=0,"INVALID – N/A not permitted for this mandatory check",IF(AND(TRIM(AC583)&lt;&gt;"",TRIM(AE583)&lt;&gt;"",TRIM(T583)&lt;&gt;"",TRIM(AE583)&lt;&gt;TRIM(T583)),"N/A – JUSTIFIED","INVALID – N/A needs justification, PIC and a different verifier")),IF(OR(TRIM(U583)="Pass",TRIM(U583)="Pass after CA"),IF(NOT(ISNUMBER(AD583)),"INVALID – completion time missing",IF(TRIM(T583)="","INVALID – PIC missing",IF(TRIM(V583)="","INVALID – result / assessment missing",IF(TRIM(Z583)="","INVALID – evidence missing",IF(TRIM(AE583)="","INVALID – verifier missing",IF(TRIM(AE583)=TRIM(T583),"INVALID – verifier must be someone other than the PIC",IF(AND(AQ583=1,TRIM(W583)=""),"INVALID – batch ID missing",IF(AND(AR583=1,OR(NOT(ISNUMBER(X583)),NOT(ISNUMBER(Y583)))),"INVALID – expected/actual qty missing",IF(IF(AND(TRIM(U583)="Pass",ISNUMBER(AF583)),IF(AF583&lt;&gt;0,"INVALID – qty variance: use Fail or Pass after CA",""),"")&amp;IF(AND(TRIM(U583)="Pass",TRIM(AB583)&lt;&gt;"",TRIM(AB583)&lt;&gt;"Closed"),"INVALID – corrective action not closed: use Fail, then Pass after CA","")&amp;IF(AND(TRIM(AA583)&lt;&gt;"",TRIM(AB583)=""),"INVALID – CA status missing for the recorded corrective action","")&amp;IF(AND(TRIM(U583)="Pass after CA",OR(TRIM(AA583)="",TRIM(AB583)&lt;&gt;"Closed")),"INVALID – corrective action not recorded/closed","")&lt;&gt;"",IF(AND(TRIM(U583)="Pass",ISNUMBER(AF583)),IF(AF583&lt;&gt;0,"INVALID – qty variance: use Fail or Pass after CA",""),"")&amp;IF(AND(TRIM(U583)="Pass",TRIM(AB583)&lt;&gt;"",TRIM(AB583)&lt;&gt;"Closed"),"INVALID – corrective action not closed: use Fail, then Pass after CA","")&amp;IF(AND(TRIM(AA583)&lt;&gt;"",TRIM(AB583)=""),"INVALID – CA status missing for the recorded corrective action","")&amp;IF(AND(TRIM(U583)="Pass after CA",OR(TRIM(AA583)="",TRIM(AB583)&lt;&gt;"Closed")),"INVALID – corrective action not recorded/closed",""),IF(AND(AS583=1,Documents!$J$22&lt;&gt;"ON FILE"),"INVALID – GLD not on file (Documents sheet)",IF(AND(AS583=2,Documents!$O$22&lt;&gt;"ON FILE"),"INVALID – menu checklist not on file (Documents sheet)",IF(AND(AS583=3,NOT(ISNUMBER(Flights!$AX$22))),"INVALID – enter carrying flight KUL departure (Flights AX)",IF(AND(AS583=3,OR(Flights!$AX$22&gt;=Flights!$AA$22,Flights!$AX$22&lt;Flights!$AA$22-3)),"INVALID – Flights AX must be before this leg's STD (within 3 days)",IF(AG583&gt;AsOfUTC,"INVALID – completion time is in the future",IF(AND(ISNUMBER(S583),AG583&lt;S583),IF(H583="Physical uplift","INVALID – before uplift window (cannot confirm loading)","INVALID – before valid window"),IF(AG583&gt;Flights!$AA$22,"INVALID – completed after departure (cannot establish readiness)",IF(AND(H583="Physical uplift",AG583&gt;Q583),"INVALID – recorded after the loading flight departed",IF(AG583&gt;Q583,"COMPLETE – LATE","COMPLETE")))))))))))))))))),IF(TRIM(U583)="Fail","FAIL – DISCREPANCY",IF(AND(TRIM(U583)&lt;&gt;"",TRIM(U583)&lt;&gt;"Not started",TRIM(U583)&lt;&gt;"In progress"),"INVALID – unrecognised status (use the list)",IF(AsOfUTC&gt;Q583,"OVERDUE",IF(N583="Clarification required","OPEN – CLARIFICATION","OPEN")))))))</f>
        <v>OPEN</v>
      </c>
      <c r="AI583" s="61" t="n">
        <f aca="false">IF(OR(AH583="N/A – RULE",AH583="N/A – JUSTIFIED"),0,1)</f>
        <v>1</v>
      </c>
      <c r="AJ583" s="61" t="n">
        <f aca="false">IF(LEFT(AH583,8)="COMPLETE",1,0)</f>
        <v>0</v>
      </c>
      <c r="AK583" s="61" t="n">
        <f aca="false">IF(AND(AI583=1,AJ583=0,AsOfUTC&gt;Q583),1,0)</f>
        <v>0</v>
      </c>
      <c r="AL583" s="61" t="n">
        <f aca="false">IF(AND(AI583=1,OR(TRIM(U583)="Fail",AND(TRIM(AB583)&lt;&gt;"",TRIM(AB583)&lt;&gt;"Closed"),AND(ISNUMBER(AF583),AF583&lt;&gt;0,TRIM(U583)&lt;&gt;"Pass after CA"))),1,0)</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row>
    <row r="584" customFormat="false" ht="39.75" hidden="false" customHeight="true" outlineLevel="0" collapsed="false">
      <c r="A584" s="57" t="s">
        <v>1240</v>
      </c>
      <c r="B584" s="57" t="s">
        <v>285</v>
      </c>
      <c r="C584" s="57" t="str">
        <f aca="false">Flights!$F$22</f>
        <v>MH0052</v>
      </c>
      <c r="D584" s="58" t="n">
        <f aca="false">Flights!$D$22</f>
        <v>46322</v>
      </c>
      <c r="E584" s="57" t="str">
        <f aca="false">Flights!$G$22&amp;"-"&amp;Flights!$H$22</f>
        <v>KUL-KIX</v>
      </c>
      <c r="F584" s="57" t="str">
        <f aca="false">Flights!$K$22</f>
        <v>BC</v>
      </c>
      <c r="G584" s="57" t="s">
        <v>385</v>
      </c>
      <c r="H584" s="57" t="s">
        <v>343</v>
      </c>
      <c r="I584" s="57" t="s">
        <v>344</v>
      </c>
      <c r="J584" s="57" t="s">
        <v>386</v>
      </c>
      <c r="K584" s="67"/>
      <c r="L584" s="67" t="s">
        <v>387</v>
      </c>
      <c r="M584" s="67"/>
      <c r="N584" s="67" t="s">
        <v>348</v>
      </c>
      <c r="O584" s="67" t="s">
        <v>388</v>
      </c>
      <c r="P584" s="57" t="s">
        <v>179</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59" t="n">
        <f aca="false">Q584-T12EarlyH/24</f>
        <v>46321.6006944444</v>
      </c>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IF(N584="N/A – rule","N/A – RULE",IF(TRIM(U584)="N/A",IF(AT584=0,"INVALID – N/A not permitted for this mandatory check",IF(AND(TRIM(AC584)&lt;&gt;"",TRIM(AE584)&lt;&gt;"",TRIM(T584)&lt;&gt;"",TRIM(AE584)&lt;&gt;TRIM(T584)),"N/A – JUSTIFIED","INVALID – N/A needs justification, PIC and a different verifier")),IF(OR(TRIM(U584)="Pass",TRIM(U584)="Pass after CA"),IF(NOT(ISNUMBER(AD584)),"INVALID – completion time missing",IF(TRIM(T584)="","INVALID – PIC missing",IF(TRIM(V584)="","INVALID – result / assessment missing",IF(TRIM(Z584)="","INVALID – evidence missing",IF(TRIM(AE584)="","INVALID – verifier missing",IF(TRIM(AE584)=TRIM(T584),"INVALID – verifier must be someone other than the PIC",IF(AND(AQ584=1,TRIM(W584)=""),"INVALID – batch ID missing",IF(AND(AR584=1,OR(NOT(ISNUMBER(X584)),NOT(ISNUMBER(Y584)))),"INVALID – expected/actual qty missing",IF(IF(AND(TRIM(U584)="Pass",ISNUMBER(AF584)),IF(AF584&lt;&gt;0,"INVALID – qty variance: use Fail or Pass after CA",""),"")&amp;IF(AND(TRIM(U584)="Pass",TRIM(AB584)&lt;&gt;"",TRIM(AB584)&lt;&gt;"Closed"),"INVALID – corrective action not closed: use Fail, then Pass after CA","")&amp;IF(AND(TRIM(AA584)&lt;&gt;"",TRIM(AB584)=""),"INVALID – CA status missing for the recorded corrective action","")&amp;IF(AND(TRIM(U584)="Pass after CA",OR(TRIM(AA584)="",TRIM(AB584)&lt;&gt;"Closed")),"INVALID – corrective action not recorded/closed","")&lt;&gt;"",IF(AND(TRIM(U584)="Pass",ISNUMBER(AF584)),IF(AF584&lt;&gt;0,"INVALID – qty variance: use Fail or Pass after CA",""),"")&amp;IF(AND(TRIM(U584)="Pass",TRIM(AB584)&lt;&gt;"",TRIM(AB584)&lt;&gt;"Closed"),"INVALID – corrective action not closed: use Fail, then Pass after CA","")&amp;IF(AND(TRIM(AA584)&lt;&gt;"",TRIM(AB584)=""),"INVALID – CA status missing for the recorded corrective action","")&amp;IF(AND(TRIM(U584)="Pass after CA",OR(TRIM(AA584)="",TRIM(AB584)&lt;&gt;"Closed")),"INVALID – corrective action not recorded/closed",""),IF(AND(AS584=1,Documents!$J$22&lt;&gt;"ON FILE"),"INVALID – GLD not on file (Documents sheet)",IF(AND(AS584=2,Documents!$O$22&lt;&gt;"ON FILE"),"INVALID – menu checklist not on file (Documents sheet)",IF(AND(AS584=3,NOT(ISNUMBER(Flights!$AX$22))),"INVALID – enter carrying flight KUL departure (Flights AX)",IF(AND(AS584=3,OR(Flights!$AX$22&gt;=Flights!$AA$22,Flights!$AX$22&lt;Flights!$AA$22-3)),"INVALID – Flights AX must be before this leg's STD (within 3 days)",IF(AG584&gt;AsOfUTC,"INVALID – completion time is in the future",IF(AND(ISNUMBER(S584),AG584&lt;S584),IF(H584="Physical uplift","INVALID – before uplift window (cannot confirm loading)","INVALID – before valid window"),IF(AG584&gt;Flights!$AA$22,"INVALID – completed after departure (cannot establish readiness)",IF(AND(H584="Physical uplift",AG584&gt;Q584),"INVALID – recorded after the loading flight departed",IF(AG584&gt;Q584,"COMPLETE – LATE","COMPLETE")))))))))))))))))),IF(TRIM(U584)="Fail","FAIL – DISCREPANCY",IF(AND(TRIM(U584)&lt;&gt;"",TRIM(U584)&lt;&gt;"Not started",TRIM(U584)&lt;&gt;"In progress"),"INVALID – unrecognised status (use the list)",IF(AsOfUTC&gt;Q584,"OVERDUE",IF(N584="Clarification required","OPEN – CLARIFICATION","OPEN")))))))</f>
        <v>OPEN</v>
      </c>
      <c r="AI584" s="61" t="n">
        <f aca="false">IF(OR(AH584="N/A – RULE",AH584="N/A – JUSTIFIED"),0,1)</f>
        <v>1</v>
      </c>
      <c r="AJ584" s="61" t="n">
        <f aca="false">IF(LEFT(AH584,8)="COMPLETE",1,0)</f>
        <v>0</v>
      </c>
      <c r="AK584" s="61" t="n">
        <f aca="false">IF(AND(AI584=1,AJ584=0,AsOfUTC&gt;Q584),1,0)</f>
        <v>0</v>
      </c>
      <c r="AL584" s="61" t="n">
        <f aca="false">IF(AND(AI584=1,OR(TRIM(U584)="Fail",AND(TRIM(AB584)&lt;&gt;"",TRIM(AB584)&lt;&gt;"Closed"),AND(ISNUMBER(AF584),AF584&lt;&gt;0,TRIM(U584)&lt;&gt;"Pass after CA"))),1,0)</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row>
    <row r="585" customFormat="false" ht="39.75" hidden="false" customHeight="true" outlineLevel="0" collapsed="false">
      <c r="A585" s="57" t="s">
        <v>1241</v>
      </c>
      <c r="B585" s="57" t="s">
        <v>285</v>
      </c>
      <c r="C585" s="57" t="str">
        <f aca="false">Flights!$F$22</f>
        <v>MH0052</v>
      </c>
      <c r="D585" s="58" t="n">
        <f aca="false">Flights!$D$22</f>
        <v>46322</v>
      </c>
      <c r="E585" s="57" t="str">
        <f aca="false">Flights!$G$22&amp;"-"&amp;Flights!$H$22</f>
        <v>KUL-KIX</v>
      </c>
      <c r="F585" s="57" t="str">
        <f aca="false">Flights!$K$22</f>
        <v>BC</v>
      </c>
      <c r="G585" s="57" t="s">
        <v>385</v>
      </c>
      <c r="H585" s="57" t="s">
        <v>343</v>
      </c>
      <c r="I585" s="57" t="s">
        <v>344</v>
      </c>
      <c r="J585" s="57" t="s">
        <v>390</v>
      </c>
      <c r="K585" s="67" t="s">
        <v>391</v>
      </c>
      <c r="L585" s="67" t="s">
        <v>387</v>
      </c>
      <c r="M585" s="67"/>
      <c r="N585" s="67" t="s">
        <v>348</v>
      </c>
      <c r="O585" s="67" t="s">
        <v>388</v>
      </c>
      <c r="P585" s="57" t="s">
        <v>179</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59" t="n">
        <f aca="false">Q585-T12EarlyH/24</f>
        <v>46321.6006944444</v>
      </c>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IF(N585="N/A – rule","N/A – RULE",IF(TRIM(U585)="N/A",IF(AT585=0,"INVALID – N/A not permitted for this mandatory check",IF(AND(TRIM(AC585)&lt;&gt;"",TRIM(AE585)&lt;&gt;"",TRIM(T585)&lt;&gt;"",TRIM(AE585)&lt;&gt;TRIM(T585)),"N/A – JUSTIFIED","INVALID – N/A needs justification, PIC and a different verifier")),IF(OR(TRIM(U585)="Pass",TRIM(U585)="Pass after CA"),IF(NOT(ISNUMBER(AD585)),"INVALID – completion time missing",IF(TRIM(T585)="","INVALID – PIC missing",IF(TRIM(V585)="","INVALID – result / assessment missing",IF(TRIM(Z585)="","INVALID – evidence missing",IF(TRIM(AE585)="","INVALID – verifier missing",IF(TRIM(AE585)=TRIM(T585),"INVALID – verifier must be someone other than the PIC",IF(AND(AQ585=1,TRIM(W585)=""),"INVALID – batch ID missing",IF(AND(AR585=1,OR(NOT(ISNUMBER(X585)),NOT(ISNUMBER(Y585)))),"INVALID – expected/actual qty missing",IF(IF(AND(TRIM(U585)="Pass",ISNUMBER(AF585)),IF(AF585&lt;&gt;0,"INVALID – qty variance: use Fail or Pass after CA",""),"")&amp;IF(AND(TRIM(U585)="Pass",TRIM(AB585)&lt;&gt;"",TRIM(AB585)&lt;&gt;"Closed"),"INVALID – corrective action not closed: use Fail, then Pass after CA","")&amp;IF(AND(TRIM(AA585)&lt;&gt;"",TRIM(AB585)=""),"INVALID – CA status missing for the recorded corrective action","")&amp;IF(AND(TRIM(U585)="Pass after CA",OR(TRIM(AA585)="",TRIM(AB585)&lt;&gt;"Closed")),"INVALID – corrective action not recorded/closed","")&lt;&gt;"",IF(AND(TRIM(U585)="Pass",ISNUMBER(AF585)),IF(AF585&lt;&gt;0,"INVALID – qty variance: use Fail or Pass after CA",""),"")&amp;IF(AND(TRIM(U585)="Pass",TRIM(AB585)&lt;&gt;"",TRIM(AB585)&lt;&gt;"Closed"),"INVALID – corrective action not closed: use Fail, then Pass after CA","")&amp;IF(AND(TRIM(AA585)&lt;&gt;"",TRIM(AB585)=""),"INVALID – CA status missing for the recorded corrective action","")&amp;IF(AND(TRIM(U585)="Pass after CA",OR(TRIM(AA585)="",TRIM(AB585)&lt;&gt;"Closed")),"INVALID – corrective action not recorded/closed",""),IF(AND(AS585=1,Documents!$J$22&lt;&gt;"ON FILE"),"INVALID – GLD not on file (Documents sheet)",IF(AND(AS585=2,Documents!$O$22&lt;&gt;"ON FILE"),"INVALID – menu checklist not on file (Documents sheet)",IF(AND(AS585=3,NOT(ISNUMBER(Flights!$AX$22))),"INVALID – enter carrying flight KUL departure (Flights AX)",IF(AND(AS585=3,OR(Flights!$AX$22&gt;=Flights!$AA$22,Flights!$AX$22&lt;Flights!$AA$22-3)),"INVALID – Flights AX must be before this leg's STD (within 3 days)",IF(AG585&gt;AsOfUTC,"INVALID – completion time is in the future",IF(AND(ISNUMBER(S585),AG585&lt;S585),IF(H585="Physical uplift","INVALID – before uplift window (cannot confirm loading)","INVALID – before valid window"),IF(AG585&gt;Flights!$AA$22,"INVALID – completed after departure (cannot establish readiness)",IF(AND(H585="Physical uplift",AG585&gt;Q585),"INVALID – recorded after the loading flight departed",IF(AG585&gt;Q585,"COMPLETE – LATE","COMPLETE")))))))))))))))))),IF(TRIM(U585)="Fail","FAIL – DISCREPANCY",IF(AND(TRIM(U585)&lt;&gt;"",TRIM(U585)&lt;&gt;"Not started",TRIM(U585)&lt;&gt;"In progress"),"INVALID – unrecognised status (use the list)",IF(AsOfUTC&gt;Q585,"OVERDUE",IF(N585="Clarification required","OPEN – CLARIFICATION","OPEN")))))))</f>
        <v>OPEN</v>
      </c>
      <c r="AI585" s="61" t="n">
        <f aca="false">IF(OR(AH585="N/A – RULE",AH585="N/A – JUSTIFIED"),0,1)</f>
        <v>1</v>
      </c>
      <c r="AJ585" s="61" t="n">
        <f aca="false">IF(LEFT(AH585,8)="COMPLETE",1,0)</f>
        <v>0</v>
      </c>
      <c r="AK585" s="61" t="n">
        <f aca="false">IF(AND(AI585=1,AJ585=0,AsOfUTC&gt;Q585),1,0)</f>
        <v>0</v>
      </c>
      <c r="AL585" s="61" t="n">
        <f aca="false">IF(AND(AI585=1,OR(TRIM(U585)="Fail",AND(TRIM(AB585)&lt;&gt;"",TRIM(AB585)&lt;&gt;"Closed"),AND(ISNUMBER(AF585),AF585&lt;&gt;0,TRIM(U585)&lt;&gt;"Pass after CA"))),1,0)</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row>
    <row r="586" customFormat="false" ht="39.75" hidden="false" customHeight="true" outlineLevel="0" collapsed="false">
      <c r="A586" s="57" t="s">
        <v>1242</v>
      </c>
      <c r="B586" s="57" t="s">
        <v>285</v>
      </c>
      <c r="C586" s="57" t="str">
        <f aca="false">Flights!$F$22</f>
        <v>MH0052</v>
      </c>
      <c r="D586" s="58" t="n">
        <f aca="false">Flights!$D$22</f>
        <v>46322</v>
      </c>
      <c r="E586" s="57" t="str">
        <f aca="false">Flights!$G$22&amp;"-"&amp;Flights!$H$22</f>
        <v>KUL-KIX</v>
      </c>
      <c r="F586" s="57" t="str">
        <f aca="false">Flights!$K$22</f>
        <v>BC</v>
      </c>
      <c r="G586" s="57" t="s">
        <v>385</v>
      </c>
      <c r="H586" s="57" t="s">
        <v>343</v>
      </c>
      <c r="I586" s="57" t="s">
        <v>393</v>
      </c>
      <c r="J586" s="57" t="s">
        <v>394</v>
      </c>
      <c r="K586" s="67"/>
      <c r="L586" s="67" t="s">
        <v>387</v>
      </c>
      <c r="M586" s="67"/>
      <c r="N586" s="67" t="s">
        <v>348</v>
      </c>
      <c r="O586" s="67" t="s">
        <v>388</v>
      </c>
      <c r="P586" s="57" t="s">
        <v>179</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59" t="n">
        <f aca="false">Q586-T12EarlyH/24</f>
        <v>46321.6006944444</v>
      </c>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IF(N586="N/A – rule","N/A – RULE",IF(TRIM(U586)="N/A",IF(AT586=0,"INVALID – N/A not permitted for this mandatory check",IF(AND(TRIM(AC586)&lt;&gt;"",TRIM(AE586)&lt;&gt;"",TRIM(T586)&lt;&gt;"",TRIM(AE586)&lt;&gt;TRIM(T586)),"N/A – JUSTIFIED","INVALID – N/A needs justification, PIC and a different verifier")),IF(OR(TRIM(U586)="Pass",TRIM(U586)="Pass after CA"),IF(NOT(ISNUMBER(AD586)),"INVALID – completion time missing",IF(TRIM(T586)="","INVALID – PIC missing",IF(TRIM(V586)="","INVALID – result / assessment missing",IF(TRIM(Z586)="","INVALID – evidence missing",IF(TRIM(AE586)="","INVALID – verifier missing",IF(TRIM(AE586)=TRIM(T586),"INVALID – verifier must be someone other than the PIC",IF(AND(AQ586=1,TRIM(W586)=""),"INVALID – batch ID missing",IF(AND(AR586=1,OR(NOT(ISNUMBER(X586)),NOT(ISNUMBER(Y586)))),"INVALID – expected/actual qty missing",IF(IF(AND(TRIM(U586)="Pass",ISNUMBER(AF586)),IF(AF586&lt;&gt;0,"INVALID – qty variance: use Fail or Pass after CA",""),"")&amp;IF(AND(TRIM(U586)="Pass",TRIM(AB586)&lt;&gt;"",TRIM(AB586)&lt;&gt;"Closed"),"INVALID – corrective action not closed: use Fail, then Pass after CA","")&amp;IF(AND(TRIM(AA586)&lt;&gt;"",TRIM(AB586)=""),"INVALID – CA status missing for the recorded corrective action","")&amp;IF(AND(TRIM(U586)="Pass after CA",OR(TRIM(AA586)="",TRIM(AB586)&lt;&gt;"Closed")),"INVALID – corrective action not recorded/closed","")&lt;&gt;"",IF(AND(TRIM(U586)="Pass",ISNUMBER(AF586)),IF(AF586&lt;&gt;0,"INVALID – qty variance: use Fail or Pass after CA",""),"")&amp;IF(AND(TRIM(U586)="Pass",TRIM(AB586)&lt;&gt;"",TRIM(AB586)&lt;&gt;"Closed"),"INVALID – corrective action not closed: use Fail, then Pass after CA","")&amp;IF(AND(TRIM(AA586)&lt;&gt;"",TRIM(AB586)=""),"INVALID – CA status missing for the recorded corrective action","")&amp;IF(AND(TRIM(U586)="Pass after CA",OR(TRIM(AA586)="",TRIM(AB586)&lt;&gt;"Closed")),"INVALID – corrective action not recorded/closed",""),IF(AND(AS586=1,Documents!$J$22&lt;&gt;"ON FILE"),"INVALID – GLD not on file (Documents sheet)",IF(AND(AS586=2,Documents!$O$22&lt;&gt;"ON FILE"),"INVALID – menu checklist not on file (Documents sheet)",IF(AND(AS586=3,NOT(ISNUMBER(Flights!$AX$22))),"INVALID – enter carrying flight KUL departure (Flights AX)",IF(AND(AS586=3,OR(Flights!$AX$22&gt;=Flights!$AA$22,Flights!$AX$22&lt;Flights!$AA$22-3)),"INVALID – Flights AX must be before this leg's STD (within 3 days)",IF(AG586&gt;AsOfUTC,"INVALID – completion time is in the future",IF(AND(ISNUMBER(S586),AG586&lt;S586),IF(H586="Physical uplift","INVALID – before uplift window (cannot confirm loading)","INVALID – before valid window"),IF(AG586&gt;Flights!$AA$22,"INVALID – completed after departure (cannot establish readiness)",IF(AND(H586="Physical uplift",AG586&gt;Q586),"INVALID – recorded after the loading flight departed",IF(AG586&gt;Q586,"COMPLETE – LATE","COMPLETE")))))))))))))))))),IF(TRIM(U586)="Fail","FAIL – DISCREPANCY",IF(AND(TRIM(U586)&lt;&gt;"",TRIM(U586)&lt;&gt;"Not started",TRIM(U586)&lt;&gt;"In progress"),"INVALID – unrecognised status (use the list)",IF(AsOfUTC&gt;Q586,"OVERDUE",IF(N586="Clarification required","OPEN – CLARIFICATION","OPEN")))))))</f>
        <v>OPEN</v>
      </c>
      <c r="AI586" s="61" t="n">
        <f aca="false">IF(OR(AH586="N/A – RULE",AH586="N/A – JUSTIFIED"),0,1)</f>
        <v>1</v>
      </c>
      <c r="AJ586" s="61" t="n">
        <f aca="false">IF(LEFT(AH586,8)="COMPLETE",1,0)</f>
        <v>0</v>
      </c>
      <c r="AK586" s="61" t="n">
        <f aca="false">IF(AND(AI586=1,AJ586=0,AsOfUTC&gt;Q586),1,0)</f>
        <v>0</v>
      </c>
      <c r="AL586" s="61" t="n">
        <f aca="false">IF(AND(AI586=1,OR(TRIM(U586)="Fail",AND(TRIM(AB586)&lt;&gt;"",TRIM(AB586)&lt;&gt;"Closed"),AND(ISNUMBER(AF586),AF586&lt;&gt;0,TRIM(U586)&lt;&gt;"Pass after CA"))),1,0)</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row>
    <row r="587" customFormat="false" ht="39.75" hidden="false" customHeight="true" outlineLevel="0" collapsed="false">
      <c r="A587" s="57" t="s">
        <v>1243</v>
      </c>
      <c r="B587" s="57" t="s">
        <v>285</v>
      </c>
      <c r="C587" s="57" t="str">
        <f aca="false">Flights!$F$22</f>
        <v>MH0052</v>
      </c>
      <c r="D587" s="58" t="n">
        <f aca="false">Flights!$D$22</f>
        <v>46322</v>
      </c>
      <c r="E587" s="57" t="str">
        <f aca="false">Flights!$G$22&amp;"-"&amp;Flights!$H$22</f>
        <v>KUL-KIX</v>
      </c>
      <c r="F587" s="57" t="str">
        <f aca="false">Flights!$K$22</f>
        <v>BC</v>
      </c>
      <c r="G587" s="57" t="s">
        <v>385</v>
      </c>
      <c r="H587" s="57" t="s">
        <v>343</v>
      </c>
      <c r="I587" s="57" t="s">
        <v>393</v>
      </c>
      <c r="J587" s="57" t="s">
        <v>396</v>
      </c>
      <c r="K587" s="67"/>
      <c r="L587" s="67" t="s">
        <v>387</v>
      </c>
      <c r="M587" s="67"/>
      <c r="N587" s="67" t="s">
        <v>348</v>
      </c>
      <c r="O587" s="67" t="s">
        <v>388</v>
      </c>
      <c r="P587" s="57" t="s">
        <v>179</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59" t="n">
        <f aca="false">Q587-T12EarlyH/24</f>
        <v>46321.6006944444</v>
      </c>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IF(N587="N/A – rule","N/A – RULE",IF(TRIM(U587)="N/A",IF(AT587=0,"INVALID – N/A not permitted for this mandatory check",IF(AND(TRIM(AC587)&lt;&gt;"",TRIM(AE587)&lt;&gt;"",TRIM(T587)&lt;&gt;"",TRIM(AE587)&lt;&gt;TRIM(T587)),"N/A – JUSTIFIED","INVALID – N/A needs justification, PIC and a different verifier")),IF(OR(TRIM(U587)="Pass",TRIM(U587)="Pass after CA"),IF(NOT(ISNUMBER(AD587)),"INVALID – completion time missing",IF(TRIM(T587)="","INVALID – PIC missing",IF(TRIM(V587)="","INVALID – result / assessment missing",IF(TRIM(Z587)="","INVALID – evidence missing",IF(TRIM(AE587)="","INVALID – verifier missing",IF(TRIM(AE587)=TRIM(T587),"INVALID – verifier must be someone other than the PIC",IF(AND(AQ587=1,TRIM(W587)=""),"INVALID – batch ID missing",IF(AND(AR587=1,OR(NOT(ISNUMBER(X587)),NOT(ISNUMBER(Y587)))),"INVALID – expected/actual qty missing",IF(IF(AND(TRIM(U587)="Pass",ISNUMBER(AF587)),IF(AF587&lt;&gt;0,"INVALID – qty variance: use Fail or Pass after CA",""),"")&amp;IF(AND(TRIM(U587)="Pass",TRIM(AB587)&lt;&gt;"",TRIM(AB587)&lt;&gt;"Closed"),"INVALID – corrective action not closed: use Fail, then Pass after CA","")&amp;IF(AND(TRIM(AA587)&lt;&gt;"",TRIM(AB587)=""),"INVALID – CA status missing for the recorded corrective action","")&amp;IF(AND(TRIM(U587)="Pass after CA",OR(TRIM(AA587)="",TRIM(AB587)&lt;&gt;"Closed")),"INVALID – corrective action not recorded/closed","")&lt;&gt;"",IF(AND(TRIM(U587)="Pass",ISNUMBER(AF587)),IF(AF587&lt;&gt;0,"INVALID – qty variance: use Fail or Pass after CA",""),"")&amp;IF(AND(TRIM(U587)="Pass",TRIM(AB587)&lt;&gt;"",TRIM(AB587)&lt;&gt;"Closed"),"INVALID – corrective action not closed: use Fail, then Pass after CA","")&amp;IF(AND(TRIM(AA587)&lt;&gt;"",TRIM(AB587)=""),"INVALID – CA status missing for the recorded corrective action","")&amp;IF(AND(TRIM(U587)="Pass after CA",OR(TRIM(AA587)="",TRIM(AB587)&lt;&gt;"Closed")),"INVALID – corrective action not recorded/closed",""),IF(AND(AS587=1,Documents!$J$22&lt;&gt;"ON FILE"),"INVALID – GLD not on file (Documents sheet)",IF(AND(AS587=2,Documents!$O$22&lt;&gt;"ON FILE"),"INVALID – menu checklist not on file (Documents sheet)",IF(AND(AS587=3,NOT(ISNUMBER(Flights!$AX$22))),"INVALID – enter carrying flight KUL departure (Flights AX)",IF(AND(AS587=3,OR(Flights!$AX$22&gt;=Flights!$AA$22,Flights!$AX$22&lt;Flights!$AA$22-3)),"INVALID – Flights AX must be before this leg's STD (within 3 days)",IF(AG587&gt;AsOfUTC,"INVALID – completion time is in the future",IF(AND(ISNUMBER(S587),AG587&lt;S587),IF(H587="Physical uplift","INVALID – before uplift window (cannot confirm loading)","INVALID – before valid window"),IF(AG587&gt;Flights!$AA$22,"INVALID – completed after departure (cannot establish readiness)",IF(AND(H587="Physical uplift",AG587&gt;Q587),"INVALID – recorded after the loading flight departed",IF(AG587&gt;Q587,"COMPLETE – LATE","COMPLETE")))))))))))))))))),IF(TRIM(U587)="Fail","FAIL – DISCREPANCY",IF(AND(TRIM(U587)&lt;&gt;"",TRIM(U587)&lt;&gt;"Not started",TRIM(U587)&lt;&gt;"In progress"),"INVALID – unrecognised status (use the list)",IF(AsOfUTC&gt;Q587,"OVERDUE",IF(N587="Clarification required","OPEN – CLARIFICATION","OPEN")))))))</f>
        <v>OPEN</v>
      </c>
      <c r="AI587" s="61" t="n">
        <f aca="false">IF(OR(AH587="N/A – RULE",AH587="N/A – JUSTIFIED"),0,1)</f>
        <v>1</v>
      </c>
      <c r="AJ587" s="61" t="n">
        <f aca="false">IF(LEFT(AH587,8)="COMPLETE",1,0)</f>
        <v>0</v>
      </c>
      <c r="AK587" s="61" t="n">
        <f aca="false">IF(AND(AI587=1,AJ587=0,AsOfUTC&gt;Q587),1,0)</f>
        <v>0</v>
      </c>
      <c r="AL587" s="61" t="n">
        <f aca="false">IF(AND(AI587=1,OR(TRIM(U587)="Fail",AND(TRIM(AB587)&lt;&gt;"",TRIM(AB587)&lt;&gt;"Closed"),AND(ISNUMBER(AF587),AF587&lt;&gt;0,TRIM(U587)&lt;&gt;"Pass after CA"))),1,0)</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row>
    <row r="588" customFormat="false" ht="39.75" hidden="false" customHeight="true" outlineLevel="0" collapsed="false">
      <c r="A588" s="57" t="s">
        <v>1244</v>
      </c>
      <c r="B588" s="57" t="s">
        <v>285</v>
      </c>
      <c r="C588" s="57" t="str">
        <f aca="false">Flights!$F$22</f>
        <v>MH0052</v>
      </c>
      <c r="D588" s="58" t="n">
        <f aca="false">Flights!$D$22</f>
        <v>46322</v>
      </c>
      <c r="E588" s="57" t="str">
        <f aca="false">Flights!$G$22&amp;"-"&amp;Flights!$H$22</f>
        <v>KUL-KIX</v>
      </c>
      <c r="F588" s="57" t="str">
        <f aca="false">Flights!$K$22</f>
        <v>BC</v>
      </c>
      <c r="G588" s="57" t="s">
        <v>385</v>
      </c>
      <c r="H588" s="57" t="s">
        <v>343</v>
      </c>
      <c r="I588" s="57" t="s">
        <v>393</v>
      </c>
      <c r="J588" s="57" t="s">
        <v>398</v>
      </c>
      <c r="K588" s="67"/>
      <c r="L588" s="67" t="s">
        <v>387</v>
      </c>
      <c r="M588" s="67"/>
      <c r="N588" s="67" t="s">
        <v>348</v>
      </c>
      <c r="O588" s="67" t="s">
        <v>388</v>
      </c>
      <c r="P588" s="57" t="s">
        <v>179</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59" t="n">
        <f aca="false">Q588-T12EarlyH/24</f>
        <v>46321.6006944444</v>
      </c>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IF(N588="N/A – rule","N/A – RULE",IF(TRIM(U588)="N/A",IF(AT588=0,"INVALID – N/A not permitted for this mandatory check",IF(AND(TRIM(AC588)&lt;&gt;"",TRIM(AE588)&lt;&gt;"",TRIM(T588)&lt;&gt;"",TRIM(AE588)&lt;&gt;TRIM(T588)),"N/A – JUSTIFIED","INVALID – N/A needs justification, PIC and a different verifier")),IF(OR(TRIM(U588)="Pass",TRIM(U588)="Pass after CA"),IF(NOT(ISNUMBER(AD588)),"INVALID – completion time missing",IF(TRIM(T588)="","INVALID – PIC missing",IF(TRIM(V588)="","INVALID – result / assessment missing",IF(TRIM(Z588)="","INVALID – evidence missing",IF(TRIM(AE588)="","INVALID – verifier missing",IF(TRIM(AE588)=TRIM(T588),"INVALID – verifier must be someone other than the PIC",IF(AND(AQ588=1,TRIM(W588)=""),"INVALID – batch ID missing",IF(AND(AR588=1,OR(NOT(ISNUMBER(X588)),NOT(ISNUMBER(Y588)))),"INVALID – expected/actual qty missing",IF(IF(AND(TRIM(U588)="Pass",ISNUMBER(AF588)),IF(AF588&lt;&gt;0,"INVALID – qty variance: use Fail or Pass after CA",""),"")&amp;IF(AND(TRIM(U588)="Pass",TRIM(AB588)&lt;&gt;"",TRIM(AB588)&lt;&gt;"Closed"),"INVALID – corrective action not closed: use Fail, then Pass after CA","")&amp;IF(AND(TRIM(AA588)&lt;&gt;"",TRIM(AB588)=""),"INVALID – CA status missing for the recorded corrective action","")&amp;IF(AND(TRIM(U588)="Pass after CA",OR(TRIM(AA588)="",TRIM(AB588)&lt;&gt;"Closed")),"INVALID – corrective action not recorded/closed","")&lt;&gt;"",IF(AND(TRIM(U588)="Pass",ISNUMBER(AF588)),IF(AF588&lt;&gt;0,"INVALID – qty variance: use Fail or Pass after CA",""),"")&amp;IF(AND(TRIM(U588)="Pass",TRIM(AB588)&lt;&gt;"",TRIM(AB588)&lt;&gt;"Closed"),"INVALID – corrective action not closed: use Fail, then Pass after CA","")&amp;IF(AND(TRIM(AA588)&lt;&gt;"",TRIM(AB588)=""),"INVALID – CA status missing for the recorded corrective action","")&amp;IF(AND(TRIM(U588)="Pass after CA",OR(TRIM(AA588)="",TRIM(AB588)&lt;&gt;"Closed")),"INVALID – corrective action not recorded/closed",""),IF(AND(AS588=1,Documents!$J$22&lt;&gt;"ON FILE"),"INVALID – GLD not on file (Documents sheet)",IF(AND(AS588=2,Documents!$O$22&lt;&gt;"ON FILE"),"INVALID – menu checklist not on file (Documents sheet)",IF(AND(AS588=3,NOT(ISNUMBER(Flights!$AX$22))),"INVALID – enter carrying flight KUL departure (Flights AX)",IF(AND(AS588=3,OR(Flights!$AX$22&gt;=Flights!$AA$22,Flights!$AX$22&lt;Flights!$AA$22-3)),"INVALID – Flights AX must be before this leg's STD (within 3 days)",IF(AG588&gt;AsOfUTC,"INVALID – completion time is in the future",IF(AND(ISNUMBER(S588),AG588&lt;S588),IF(H588="Physical uplift","INVALID – before uplift window (cannot confirm loading)","INVALID – before valid window"),IF(AG588&gt;Flights!$AA$22,"INVALID – completed after departure (cannot establish readiness)",IF(AND(H588="Physical uplift",AG588&gt;Q588),"INVALID – recorded after the loading flight departed",IF(AG588&gt;Q588,"COMPLETE – LATE","COMPLETE")))))))))))))))))),IF(TRIM(U588)="Fail","FAIL – DISCREPANCY",IF(AND(TRIM(U588)&lt;&gt;"",TRIM(U588)&lt;&gt;"Not started",TRIM(U588)&lt;&gt;"In progress"),"INVALID – unrecognised status (use the list)",IF(AsOfUTC&gt;Q588,"OVERDUE",IF(N588="Clarification required","OPEN – CLARIFICATION","OPEN")))))))</f>
        <v>OPEN</v>
      </c>
      <c r="AI588" s="61" t="n">
        <f aca="false">IF(OR(AH588="N/A – RULE",AH588="N/A – JUSTIFIED"),0,1)</f>
        <v>1</v>
      </c>
      <c r="AJ588" s="61" t="n">
        <f aca="false">IF(LEFT(AH588,8)="COMPLETE",1,0)</f>
        <v>0</v>
      </c>
      <c r="AK588" s="61" t="n">
        <f aca="false">IF(AND(AI588=1,AJ588=0,AsOfUTC&gt;Q588),1,0)</f>
        <v>0</v>
      </c>
      <c r="AL588" s="61" t="n">
        <f aca="false">IF(AND(AI588=1,OR(TRIM(U588)="Fail",AND(TRIM(AB588)&lt;&gt;"",TRIM(AB588)&lt;&gt;"Closed"),AND(ISNUMBER(AF588),AF588&lt;&gt;0,TRIM(U588)&lt;&gt;"Pass after CA"))),1,0)</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row>
    <row r="589" customFormat="false" ht="78.75" hidden="false" customHeight="true" outlineLevel="0" collapsed="false">
      <c r="A589" s="57" t="s">
        <v>1245</v>
      </c>
      <c r="B589" s="57" t="s">
        <v>285</v>
      </c>
      <c r="C589" s="57" t="str">
        <f aca="false">Flights!$F$22</f>
        <v>MH0052</v>
      </c>
      <c r="D589" s="58" t="n">
        <f aca="false">Flights!$D$22</f>
        <v>46322</v>
      </c>
      <c r="E589" s="57" t="str">
        <f aca="false">Flights!$G$22&amp;"-"&amp;Flights!$H$22</f>
        <v>KUL-KIX</v>
      </c>
      <c r="F589" s="57" t="str">
        <f aca="false">Flights!$K$22</f>
        <v>BC</v>
      </c>
      <c r="G589" s="57" t="s">
        <v>385</v>
      </c>
      <c r="H589" s="57" t="s">
        <v>343</v>
      </c>
      <c r="I589" s="57" t="s">
        <v>393</v>
      </c>
      <c r="J589" s="57" t="s">
        <v>400</v>
      </c>
      <c r="K589" s="67" t="s">
        <v>538</v>
      </c>
      <c r="L589" s="67" t="s">
        <v>387</v>
      </c>
      <c r="M589" s="67"/>
      <c r="N589" s="67" t="s">
        <v>348</v>
      </c>
      <c r="O589" s="67" t="s">
        <v>388</v>
      </c>
      <c r="P589" s="57" t="s">
        <v>179</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59" t="n">
        <f aca="false">Q589-T12EarlyH/24</f>
        <v>46321.6006944444</v>
      </c>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IF(N589="N/A – rule","N/A – RULE",IF(TRIM(U589)="N/A",IF(AT589=0,"INVALID – N/A not permitted for this mandatory check",IF(AND(TRIM(AC589)&lt;&gt;"",TRIM(AE589)&lt;&gt;"",TRIM(T589)&lt;&gt;"",TRIM(AE589)&lt;&gt;TRIM(T589)),"N/A – JUSTIFIED","INVALID – N/A needs justification, PIC and a different verifier")),IF(OR(TRIM(U589)="Pass",TRIM(U589)="Pass after CA"),IF(NOT(ISNUMBER(AD589)),"INVALID – completion time missing",IF(TRIM(T589)="","INVALID – PIC missing",IF(TRIM(V589)="","INVALID – result / assessment missing",IF(TRIM(Z589)="","INVALID – evidence missing",IF(TRIM(AE589)="","INVALID – verifier missing",IF(TRIM(AE589)=TRIM(T589),"INVALID – verifier must be someone other than the PIC",IF(AND(AQ589=1,TRIM(W589)=""),"INVALID – batch ID missing",IF(AND(AR589=1,OR(NOT(ISNUMBER(X589)),NOT(ISNUMBER(Y589)))),"INVALID – expected/actual qty missing",IF(IF(AND(TRIM(U589)="Pass",ISNUMBER(AF589)),IF(AF589&lt;&gt;0,"INVALID – qty variance: use Fail or Pass after CA",""),"")&amp;IF(AND(TRIM(U589)="Pass",TRIM(AB589)&lt;&gt;"",TRIM(AB589)&lt;&gt;"Closed"),"INVALID – corrective action not closed: use Fail, then Pass after CA","")&amp;IF(AND(TRIM(AA589)&lt;&gt;"",TRIM(AB589)=""),"INVALID – CA status missing for the recorded corrective action","")&amp;IF(AND(TRIM(U589)="Pass after CA",OR(TRIM(AA589)="",TRIM(AB589)&lt;&gt;"Closed")),"INVALID – corrective action not recorded/closed","")&lt;&gt;"",IF(AND(TRIM(U589)="Pass",ISNUMBER(AF589)),IF(AF589&lt;&gt;0,"INVALID – qty variance: use Fail or Pass after CA",""),"")&amp;IF(AND(TRIM(U589)="Pass",TRIM(AB589)&lt;&gt;"",TRIM(AB589)&lt;&gt;"Closed"),"INVALID – corrective action not closed: use Fail, then Pass after CA","")&amp;IF(AND(TRIM(AA589)&lt;&gt;"",TRIM(AB589)=""),"INVALID – CA status missing for the recorded corrective action","")&amp;IF(AND(TRIM(U589)="Pass after CA",OR(TRIM(AA589)="",TRIM(AB589)&lt;&gt;"Closed")),"INVALID – corrective action not recorded/closed",""),IF(AND(AS589=1,Documents!$J$22&lt;&gt;"ON FILE"),"INVALID – GLD not on file (Documents sheet)",IF(AND(AS589=2,Documents!$O$22&lt;&gt;"ON FILE"),"INVALID – menu checklist not on file (Documents sheet)",IF(AND(AS589=3,NOT(ISNUMBER(Flights!$AX$22))),"INVALID – enter carrying flight KUL departure (Flights AX)",IF(AND(AS589=3,OR(Flights!$AX$22&gt;=Flights!$AA$22,Flights!$AX$22&lt;Flights!$AA$22-3)),"INVALID – Flights AX must be before this leg's STD (within 3 days)",IF(AG589&gt;AsOfUTC,"INVALID – completion time is in the future",IF(AND(ISNUMBER(S589),AG589&lt;S589),IF(H589="Physical uplift","INVALID – before uplift window (cannot confirm loading)","INVALID – before valid window"),IF(AG589&gt;Flights!$AA$22,"INVALID – completed after departure (cannot establish readiness)",IF(AND(H589="Physical uplift",AG589&gt;Q589),"INVALID – recorded after the loading flight departed",IF(AG589&gt;Q589,"COMPLETE – LATE","COMPLETE")))))))))))))))))),IF(TRIM(U589)="Fail","FAIL – DISCREPANCY",IF(AND(TRIM(U589)&lt;&gt;"",TRIM(U589)&lt;&gt;"Not started",TRIM(U589)&lt;&gt;"In progress"),"INVALID – unrecognised status (use the list)",IF(AsOfUTC&gt;Q589,"OVERDUE",IF(N589="Clarification required","OPEN – CLARIFICATION","OPEN")))))))</f>
        <v>OPEN</v>
      </c>
      <c r="AI589" s="61" t="n">
        <f aca="false">IF(OR(AH589="N/A – RULE",AH589="N/A – JUSTIFIED"),0,1)</f>
        <v>1</v>
      </c>
      <c r="AJ589" s="61" t="n">
        <f aca="false">IF(LEFT(AH589,8)="COMPLETE",1,0)</f>
        <v>0</v>
      </c>
      <c r="AK589" s="61" t="n">
        <f aca="false">IF(AND(AI589=1,AJ589=0,AsOfUTC&gt;Q589),1,0)</f>
        <v>0</v>
      </c>
      <c r="AL589" s="61" t="n">
        <f aca="false">IF(AND(AI589=1,OR(TRIM(U589)="Fail",AND(TRIM(AB589)&lt;&gt;"",TRIM(AB589)&lt;&gt;"Closed"),AND(ISNUMBER(AF589),AF589&lt;&gt;0,TRIM(U589)&lt;&gt;"Pass after CA"))),1,0)</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row>
    <row r="590" customFormat="false" ht="39.75" hidden="false" customHeight="true" outlineLevel="0" collapsed="false">
      <c r="A590" s="57" t="s">
        <v>1246</v>
      </c>
      <c r="B590" s="57" t="s">
        <v>285</v>
      </c>
      <c r="C590" s="57" t="str">
        <f aca="false">Flights!$F$22</f>
        <v>MH0052</v>
      </c>
      <c r="D590" s="58" t="n">
        <f aca="false">Flights!$D$22</f>
        <v>46322</v>
      </c>
      <c r="E590" s="57" t="str">
        <f aca="false">Flights!$G$22&amp;"-"&amp;Flights!$H$22</f>
        <v>KUL-KIX</v>
      </c>
      <c r="F590" s="57" t="str">
        <f aca="false">Flights!$K$22</f>
        <v>BC</v>
      </c>
      <c r="G590" s="57" t="s">
        <v>385</v>
      </c>
      <c r="H590" s="57" t="s">
        <v>343</v>
      </c>
      <c r="I590" s="57" t="s">
        <v>393</v>
      </c>
      <c r="J590" s="57" t="s">
        <v>403</v>
      </c>
      <c r="K590" s="67"/>
      <c r="L590" s="67" t="s">
        <v>387</v>
      </c>
      <c r="M590" s="67"/>
      <c r="N590" s="67" t="s">
        <v>348</v>
      </c>
      <c r="O590" s="67" t="s">
        <v>388</v>
      </c>
      <c r="P590" s="57" t="s">
        <v>179</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59" t="n">
        <f aca="false">Q590-T12EarlyH/24</f>
        <v>46321.6006944444</v>
      </c>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IF(N590="N/A – rule","N/A – RULE",IF(TRIM(U590)="N/A",IF(AT590=0,"INVALID – N/A not permitted for this mandatory check",IF(AND(TRIM(AC590)&lt;&gt;"",TRIM(AE590)&lt;&gt;"",TRIM(T590)&lt;&gt;"",TRIM(AE590)&lt;&gt;TRIM(T590)),"N/A – JUSTIFIED","INVALID – N/A needs justification, PIC and a different verifier")),IF(OR(TRIM(U590)="Pass",TRIM(U590)="Pass after CA"),IF(NOT(ISNUMBER(AD590)),"INVALID – completion time missing",IF(TRIM(T590)="","INVALID – PIC missing",IF(TRIM(V590)="","INVALID – result / assessment missing",IF(TRIM(Z590)="","INVALID – evidence missing",IF(TRIM(AE590)="","INVALID – verifier missing",IF(TRIM(AE590)=TRIM(T590),"INVALID – verifier must be someone other than the PIC",IF(AND(AQ590=1,TRIM(W590)=""),"INVALID – batch ID missing",IF(AND(AR590=1,OR(NOT(ISNUMBER(X590)),NOT(ISNUMBER(Y590)))),"INVALID – expected/actual qty missing",IF(IF(AND(TRIM(U590)="Pass",ISNUMBER(AF590)),IF(AF590&lt;&gt;0,"INVALID – qty variance: use Fail or Pass after CA",""),"")&amp;IF(AND(TRIM(U590)="Pass",TRIM(AB590)&lt;&gt;"",TRIM(AB590)&lt;&gt;"Closed"),"INVALID – corrective action not closed: use Fail, then Pass after CA","")&amp;IF(AND(TRIM(AA590)&lt;&gt;"",TRIM(AB590)=""),"INVALID – CA status missing for the recorded corrective action","")&amp;IF(AND(TRIM(U590)="Pass after CA",OR(TRIM(AA590)="",TRIM(AB590)&lt;&gt;"Closed")),"INVALID – corrective action not recorded/closed","")&lt;&gt;"",IF(AND(TRIM(U590)="Pass",ISNUMBER(AF590)),IF(AF590&lt;&gt;0,"INVALID – qty variance: use Fail or Pass after CA",""),"")&amp;IF(AND(TRIM(U590)="Pass",TRIM(AB590)&lt;&gt;"",TRIM(AB590)&lt;&gt;"Closed"),"INVALID – corrective action not closed: use Fail, then Pass after CA","")&amp;IF(AND(TRIM(AA590)&lt;&gt;"",TRIM(AB590)=""),"INVALID – CA status missing for the recorded corrective action","")&amp;IF(AND(TRIM(U590)="Pass after CA",OR(TRIM(AA590)="",TRIM(AB590)&lt;&gt;"Closed")),"INVALID – corrective action not recorded/closed",""),IF(AND(AS590=1,Documents!$J$22&lt;&gt;"ON FILE"),"INVALID – GLD not on file (Documents sheet)",IF(AND(AS590=2,Documents!$O$22&lt;&gt;"ON FILE"),"INVALID – menu checklist not on file (Documents sheet)",IF(AND(AS590=3,NOT(ISNUMBER(Flights!$AX$22))),"INVALID – enter carrying flight KUL departure (Flights AX)",IF(AND(AS590=3,OR(Flights!$AX$22&gt;=Flights!$AA$22,Flights!$AX$22&lt;Flights!$AA$22-3)),"INVALID – Flights AX must be before this leg's STD (within 3 days)",IF(AG590&gt;AsOfUTC,"INVALID – completion time is in the future",IF(AND(ISNUMBER(S590),AG590&lt;S590),IF(H590="Physical uplift","INVALID – before uplift window (cannot confirm loading)","INVALID – before valid window"),IF(AG590&gt;Flights!$AA$22,"INVALID – completed after departure (cannot establish readiness)",IF(AND(H590="Physical uplift",AG590&gt;Q590),"INVALID – recorded after the loading flight departed",IF(AG590&gt;Q590,"COMPLETE – LATE","COMPLETE")))))))))))))))))),IF(TRIM(U590)="Fail","FAIL – DISCREPANCY",IF(AND(TRIM(U590)&lt;&gt;"",TRIM(U590)&lt;&gt;"Not started",TRIM(U590)&lt;&gt;"In progress"),"INVALID – unrecognised status (use the list)",IF(AsOfUTC&gt;Q590,"OVERDUE",IF(N590="Clarification required","OPEN – CLARIFICATION","OPEN")))))))</f>
        <v>OPEN</v>
      </c>
      <c r="AI590" s="61" t="n">
        <f aca="false">IF(OR(AH590="N/A – RULE",AH590="N/A – JUSTIFIED"),0,1)</f>
        <v>1</v>
      </c>
      <c r="AJ590" s="61" t="n">
        <f aca="false">IF(LEFT(AH590,8)="COMPLETE",1,0)</f>
        <v>0</v>
      </c>
      <c r="AK590" s="61" t="n">
        <f aca="false">IF(AND(AI590=1,AJ590=0,AsOfUTC&gt;Q590),1,0)</f>
        <v>0</v>
      </c>
      <c r="AL590" s="61" t="n">
        <f aca="false">IF(AND(AI590=1,OR(TRIM(U590)="Fail",AND(TRIM(AB590)&lt;&gt;"",TRIM(AB590)&lt;&gt;"Closed"),AND(ISNUMBER(AF590),AF590&lt;&gt;0,TRIM(U590)&lt;&gt;"Pass after CA"))),1,0)</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row>
    <row r="591" customFormat="false" ht="39.75" hidden="false" customHeight="true" outlineLevel="0" collapsed="false">
      <c r="A591" s="57" t="s">
        <v>1247</v>
      </c>
      <c r="B591" s="57" t="s">
        <v>285</v>
      </c>
      <c r="C591" s="57" t="str">
        <f aca="false">Flights!$F$22</f>
        <v>MH0052</v>
      </c>
      <c r="D591" s="58" t="n">
        <f aca="false">Flights!$D$22</f>
        <v>46322</v>
      </c>
      <c r="E591" s="57" t="str">
        <f aca="false">Flights!$G$22&amp;"-"&amp;Flights!$H$22</f>
        <v>KUL-KIX</v>
      </c>
      <c r="F591" s="57" t="str">
        <f aca="false">Flights!$K$22</f>
        <v>BC</v>
      </c>
      <c r="G591" s="57" t="s">
        <v>385</v>
      </c>
      <c r="H591" s="57" t="s">
        <v>343</v>
      </c>
      <c r="I591" s="57" t="s">
        <v>405</v>
      </c>
      <c r="J591" s="57" t="s">
        <v>568</v>
      </c>
      <c r="K591" s="67" t="s">
        <v>466</v>
      </c>
      <c r="L591" s="67" t="s">
        <v>1248</v>
      </c>
      <c r="M591" s="67" t="s">
        <v>179</v>
      </c>
      <c r="N591" s="67" t="s">
        <v>348</v>
      </c>
      <c r="O591" s="67"/>
      <c r="P591" s="57" t="s">
        <v>179</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59" t="n">
        <f aca="false">Q591-T12EarlyH/24</f>
        <v>46321.6006944444</v>
      </c>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IF(N591="N/A – rule","N/A – RULE",IF(TRIM(U591)="N/A",IF(AT591=0,"INVALID – N/A not permitted for this mandatory check",IF(AND(TRIM(AC591)&lt;&gt;"",TRIM(AE591)&lt;&gt;"",TRIM(T591)&lt;&gt;"",TRIM(AE591)&lt;&gt;TRIM(T591)),"N/A – JUSTIFIED","INVALID – N/A needs justification, PIC and a different verifier")),IF(OR(TRIM(U591)="Pass",TRIM(U591)="Pass after CA"),IF(NOT(ISNUMBER(AD591)),"INVALID – completion time missing",IF(TRIM(T591)="","INVALID – PIC missing",IF(TRIM(V591)="","INVALID – result / assessment missing",IF(TRIM(Z591)="","INVALID – evidence missing",IF(TRIM(AE591)="","INVALID – verifier missing",IF(TRIM(AE591)=TRIM(T591),"INVALID – verifier must be someone other than the PIC",IF(AND(AQ591=1,TRIM(W591)=""),"INVALID – batch ID missing",IF(AND(AR591=1,OR(NOT(ISNUMBER(X591)),NOT(ISNUMBER(Y591)))),"INVALID – expected/actual qty missing",IF(IF(AND(TRIM(U591)="Pass",ISNUMBER(AF591)),IF(AF591&lt;&gt;0,"INVALID – qty variance: use Fail or Pass after CA",""),"")&amp;IF(AND(TRIM(U591)="Pass",TRIM(AB591)&lt;&gt;"",TRIM(AB591)&lt;&gt;"Closed"),"INVALID – corrective action not closed: use Fail, then Pass after CA","")&amp;IF(AND(TRIM(AA591)&lt;&gt;"",TRIM(AB591)=""),"INVALID – CA status missing for the recorded corrective action","")&amp;IF(AND(TRIM(U591)="Pass after CA",OR(TRIM(AA591)="",TRIM(AB591)&lt;&gt;"Closed")),"INVALID – corrective action not recorded/closed","")&lt;&gt;"",IF(AND(TRIM(U591)="Pass",ISNUMBER(AF591)),IF(AF591&lt;&gt;0,"INVALID – qty variance: use Fail or Pass after CA",""),"")&amp;IF(AND(TRIM(U591)="Pass",TRIM(AB591)&lt;&gt;"",TRIM(AB591)&lt;&gt;"Closed"),"INVALID – corrective action not closed: use Fail, then Pass after CA","")&amp;IF(AND(TRIM(AA591)&lt;&gt;"",TRIM(AB591)=""),"INVALID – CA status missing for the recorded corrective action","")&amp;IF(AND(TRIM(U591)="Pass after CA",OR(TRIM(AA591)="",TRIM(AB591)&lt;&gt;"Closed")),"INVALID – corrective action not recorded/closed",""),IF(AND(AS591=1,Documents!$J$22&lt;&gt;"ON FILE"),"INVALID – GLD not on file (Documents sheet)",IF(AND(AS591=2,Documents!$O$22&lt;&gt;"ON FILE"),"INVALID – menu checklist not on file (Documents sheet)",IF(AND(AS591=3,NOT(ISNUMBER(Flights!$AX$22))),"INVALID – enter carrying flight KUL departure (Flights AX)",IF(AND(AS591=3,OR(Flights!$AX$22&gt;=Flights!$AA$22,Flights!$AX$22&lt;Flights!$AA$22-3)),"INVALID – Flights AX must be before this leg's STD (within 3 days)",IF(AG591&gt;AsOfUTC,"INVALID – completion time is in the future",IF(AND(ISNUMBER(S591),AG591&lt;S591),IF(H591="Physical uplift","INVALID – before uplift window (cannot confirm loading)","INVALID – before valid window"),IF(AG591&gt;Flights!$AA$22,"INVALID – completed after departure (cannot establish readiness)",IF(AND(H591="Physical uplift",AG591&gt;Q591),"INVALID – recorded after the loading flight departed",IF(AG591&gt;Q591,"COMPLETE – LATE","COMPLETE")))))))))))))))))),IF(TRIM(U591)="Fail","FAIL – DISCREPANCY",IF(AND(TRIM(U591)&lt;&gt;"",TRIM(U591)&lt;&gt;"Not started",TRIM(U591)&lt;&gt;"In progress"),"INVALID – unrecognised status (use the list)",IF(AsOfUTC&gt;Q591,"OVERDUE",IF(N591="Clarification required","OPEN – CLARIFICATION","OPEN")))))))</f>
        <v>OPEN</v>
      </c>
      <c r="AI591" s="61" t="n">
        <f aca="false">IF(OR(AH591="N/A – RULE",AH591="N/A – JUSTIFIED"),0,1)</f>
        <v>1</v>
      </c>
      <c r="AJ591" s="61" t="n">
        <f aca="false">IF(LEFT(AH591,8)="COMPLETE",1,0)</f>
        <v>0</v>
      </c>
      <c r="AK591" s="61" t="n">
        <f aca="false">IF(AND(AI591=1,AJ591=0,AsOfUTC&gt;Q591),1,0)</f>
        <v>0</v>
      </c>
      <c r="AL591" s="61" t="n">
        <f aca="false">IF(AND(AI591=1,OR(TRIM(U591)="Fail",AND(TRIM(AB591)&lt;&gt;"",TRIM(AB591)&lt;&gt;"Closed"),AND(ISNUMBER(AF591),AF591&lt;&gt;0,TRIM(U591)&lt;&gt;"Pass after CA"))),1,0)</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8" t="b">
        <f aca="false">TRUE()</f>
        <v>1</v>
      </c>
    </row>
    <row r="592" customFormat="false" ht="41.25" hidden="false" customHeight="true" outlineLevel="0" collapsed="false">
      <c r="A592" s="57" t="s">
        <v>1249</v>
      </c>
      <c r="B592" s="57" t="s">
        <v>285</v>
      </c>
      <c r="C592" s="57" t="str">
        <f aca="false">Flights!$F$22</f>
        <v>MH0052</v>
      </c>
      <c r="D592" s="58" t="n">
        <f aca="false">Flights!$D$22</f>
        <v>46322</v>
      </c>
      <c r="E592" s="57" t="str">
        <f aca="false">Flights!$G$22&amp;"-"&amp;Flights!$H$22</f>
        <v>KUL-KIX</v>
      </c>
      <c r="F592" s="57" t="str">
        <f aca="false">Flights!$K$22</f>
        <v>BC</v>
      </c>
      <c r="G592" s="57" t="s">
        <v>385</v>
      </c>
      <c r="H592" s="57" t="s">
        <v>343</v>
      </c>
      <c r="I592" s="57" t="s">
        <v>464</v>
      </c>
      <c r="J592" s="57" t="s">
        <v>465</v>
      </c>
      <c r="K592" s="67" t="s">
        <v>466</v>
      </c>
      <c r="L592" s="67" t="s">
        <v>1250</v>
      </c>
      <c r="M592" s="67" t="s">
        <v>416</v>
      </c>
      <c r="N592" s="67" t="s">
        <v>348</v>
      </c>
      <c r="O592" s="67" t="s">
        <v>468</v>
      </c>
      <c r="P592" s="57" t="s">
        <v>179</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59" t="n">
        <f aca="false">Q592-T12EarlyH/24</f>
        <v>46321.6006944444</v>
      </c>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IF(N592="N/A – rule","N/A – RULE",IF(TRIM(U592)="N/A",IF(AT592=0,"INVALID – N/A not permitted for this mandatory check",IF(AND(TRIM(AC592)&lt;&gt;"",TRIM(AE592)&lt;&gt;"",TRIM(T592)&lt;&gt;"",TRIM(AE592)&lt;&gt;TRIM(T592)),"N/A – JUSTIFIED","INVALID – N/A needs justification, PIC and a different verifier")),IF(OR(TRIM(U592)="Pass",TRIM(U592)="Pass after CA"),IF(NOT(ISNUMBER(AD592)),"INVALID – completion time missing",IF(TRIM(T592)="","INVALID – PIC missing",IF(TRIM(V592)="","INVALID – result / assessment missing",IF(TRIM(Z592)="","INVALID – evidence missing",IF(TRIM(AE592)="","INVALID – verifier missing",IF(TRIM(AE592)=TRIM(T592),"INVALID – verifier must be someone other than the PIC",IF(AND(AQ592=1,TRIM(W592)=""),"INVALID – batch ID missing",IF(AND(AR592=1,OR(NOT(ISNUMBER(X592)),NOT(ISNUMBER(Y592)))),"INVALID – expected/actual qty missing",IF(IF(AND(TRIM(U592)="Pass",ISNUMBER(AF592)),IF(AF592&lt;&gt;0,"INVALID – qty variance: use Fail or Pass after CA",""),"")&amp;IF(AND(TRIM(U592)="Pass",TRIM(AB592)&lt;&gt;"",TRIM(AB592)&lt;&gt;"Closed"),"INVALID – corrective action not closed: use Fail, then Pass after CA","")&amp;IF(AND(TRIM(AA592)&lt;&gt;"",TRIM(AB592)=""),"INVALID – CA status missing for the recorded corrective action","")&amp;IF(AND(TRIM(U592)="Pass after CA",OR(TRIM(AA592)="",TRIM(AB592)&lt;&gt;"Closed")),"INVALID – corrective action not recorded/closed","")&lt;&gt;"",IF(AND(TRIM(U592)="Pass",ISNUMBER(AF592)),IF(AF592&lt;&gt;0,"INVALID – qty variance: use Fail or Pass after CA",""),"")&amp;IF(AND(TRIM(U592)="Pass",TRIM(AB592)&lt;&gt;"",TRIM(AB592)&lt;&gt;"Closed"),"INVALID – corrective action not closed: use Fail, then Pass after CA","")&amp;IF(AND(TRIM(AA592)&lt;&gt;"",TRIM(AB592)=""),"INVALID – CA status missing for the recorded corrective action","")&amp;IF(AND(TRIM(U592)="Pass after CA",OR(TRIM(AA592)="",TRIM(AB592)&lt;&gt;"Closed")),"INVALID – corrective action not recorded/closed",""),IF(AND(AS592=1,Documents!$J$22&lt;&gt;"ON FILE"),"INVALID – GLD not on file (Documents sheet)",IF(AND(AS592=2,Documents!$O$22&lt;&gt;"ON FILE"),"INVALID – menu checklist not on file (Documents sheet)",IF(AND(AS592=3,NOT(ISNUMBER(Flights!$AX$22))),"INVALID – enter carrying flight KUL departure (Flights AX)",IF(AND(AS592=3,OR(Flights!$AX$22&gt;=Flights!$AA$22,Flights!$AX$22&lt;Flights!$AA$22-3)),"INVALID – Flights AX must be before this leg's STD (within 3 days)",IF(AG592&gt;AsOfUTC,"INVALID – completion time is in the future",IF(AND(ISNUMBER(S592),AG592&lt;S592),IF(H592="Physical uplift","INVALID – before uplift window (cannot confirm loading)","INVALID – before valid window"),IF(AG592&gt;Flights!$AA$22,"INVALID – completed after departure (cannot establish readiness)",IF(AND(H592="Physical uplift",AG592&gt;Q592),"INVALID – recorded after the loading flight departed",IF(AG592&gt;Q592,"COMPLETE – LATE","COMPLETE")))))))))))))))))),IF(TRIM(U592)="Fail","FAIL – DISCREPANCY",IF(AND(TRIM(U592)&lt;&gt;"",TRIM(U592)&lt;&gt;"Not started",TRIM(U592)&lt;&gt;"In progress"),"INVALID – unrecognised status (use the list)",IF(AsOfUTC&gt;Q592,"OVERDUE",IF(N592="Clarification required","OPEN – CLARIFICATION","OPEN")))))))</f>
        <v>OPEN</v>
      </c>
      <c r="AI592" s="61" t="n">
        <f aca="false">IF(OR(AH592="N/A – RULE",AH592="N/A – JUSTIFIED"),0,1)</f>
        <v>1</v>
      </c>
      <c r="AJ592" s="61" t="n">
        <f aca="false">IF(LEFT(AH592,8)="COMPLETE",1,0)</f>
        <v>0</v>
      </c>
      <c r="AK592" s="61" t="n">
        <f aca="false">IF(AND(AI592=1,AJ592=0,AsOfUTC&gt;Q592),1,0)</f>
        <v>0</v>
      </c>
      <c r="AL592" s="61" t="n">
        <f aca="false">IF(AND(AI592=1,OR(TRIM(U592)="Fail",AND(TRIM(AB592)&lt;&gt;"",TRIM(AB592)&lt;&gt;"Closed"),AND(ISNUMBER(AF592),AF592&lt;&gt;0,TRIM(U592)&lt;&gt;"Pass after CA"))),1,0)</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8" t="b">
        <f aca="false">TRUE()</f>
        <v>1</v>
      </c>
    </row>
    <row r="593" customFormat="false" ht="41.25" hidden="false" customHeight="true" outlineLevel="0" collapsed="false">
      <c r="A593" s="57" t="s">
        <v>1251</v>
      </c>
      <c r="B593" s="57" t="s">
        <v>285</v>
      </c>
      <c r="C593" s="57" t="str">
        <f aca="false">Flights!$F$22</f>
        <v>MH0052</v>
      </c>
      <c r="D593" s="58" t="n">
        <f aca="false">Flights!$D$22</f>
        <v>46322</v>
      </c>
      <c r="E593" s="57" t="str">
        <f aca="false">Flights!$G$22&amp;"-"&amp;Flights!$H$22</f>
        <v>KUL-KIX</v>
      </c>
      <c r="F593" s="57" t="str">
        <f aca="false">Flights!$K$22</f>
        <v>BC</v>
      </c>
      <c r="G593" s="57" t="s">
        <v>385</v>
      </c>
      <c r="H593" s="57" t="s">
        <v>343</v>
      </c>
      <c r="I593" s="57" t="s">
        <v>464</v>
      </c>
      <c r="J593" s="57" t="s">
        <v>470</v>
      </c>
      <c r="K593" s="67" t="s">
        <v>466</v>
      </c>
      <c r="L593" s="67" t="s">
        <v>1252</v>
      </c>
      <c r="M593" s="67" t="s">
        <v>416</v>
      </c>
      <c r="N593" s="67" t="s">
        <v>348</v>
      </c>
      <c r="O593" s="67" t="s">
        <v>468</v>
      </c>
      <c r="P593" s="57" t="s">
        <v>179</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59" t="n">
        <f aca="false">Q593-T12EarlyH/24</f>
        <v>46321.6006944444</v>
      </c>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IF(N593="N/A – rule","N/A – RULE",IF(TRIM(U593)="N/A",IF(AT593=0,"INVALID – N/A not permitted for this mandatory check",IF(AND(TRIM(AC593)&lt;&gt;"",TRIM(AE593)&lt;&gt;"",TRIM(T593)&lt;&gt;"",TRIM(AE593)&lt;&gt;TRIM(T593)),"N/A – JUSTIFIED","INVALID – N/A needs justification, PIC and a different verifier")),IF(OR(TRIM(U593)="Pass",TRIM(U593)="Pass after CA"),IF(NOT(ISNUMBER(AD593)),"INVALID – completion time missing",IF(TRIM(T593)="","INVALID – PIC missing",IF(TRIM(V593)="","INVALID – result / assessment missing",IF(TRIM(Z593)="","INVALID – evidence missing",IF(TRIM(AE593)="","INVALID – verifier missing",IF(TRIM(AE593)=TRIM(T593),"INVALID – verifier must be someone other than the PIC",IF(AND(AQ593=1,TRIM(W593)=""),"INVALID – batch ID missing",IF(AND(AR593=1,OR(NOT(ISNUMBER(X593)),NOT(ISNUMBER(Y593)))),"INVALID – expected/actual qty missing",IF(IF(AND(TRIM(U593)="Pass",ISNUMBER(AF593)),IF(AF593&lt;&gt;0,"INVALID – qty variance: use Fail or Pass after CA",""),"")&amp;IF(AND(TRIM(U593)="Pass",TRIM(AB593)&lt;&gt;"",TRIM(AB593)&lt;&gt;"Closed"),"INVALID – corrective action not closed: use Fail, then Pass after CA","")&amp;IF(AND(TRIM(AA593)&lt;&gt;"",TRIM(AB593)=""),"INVALID – CA status missing for the recorded corrective action","")&amp;IF(AND(TRIM(U593)="Pass after CA",OR(TRIM(AA593)="",TRIM(AB593)&lt;&gt;"Closed")),"INVALID – corrective action not recorded/closed","")&lt;&gt;"",IF(AND(TRIM(U593)="Pass",ISNUMBER(AF593)),IF(AF593&lt;&gt;0,"INVALID – qty variance: use Fail or Pass after CA",""),"")&amp;IF(AND(TRIM(U593)="Pass",TRIM(AB593)&lt;&gt;"",TRIM(AB593)&lt;&gt;"Closed"),"INVALID – corrective action not closed: use Fail, then Pass after CA","")&amp;IF(AND(TRIM(AA593)&lt;&gt;"",TRIM(AB593)=""),"INVALID – CA status missing for the recorded corrective action","")&amp;IF(AND(TRIM(U593)="Pass after CA",OR(TRIM(AA593)="",TRIM(AB593)&lt;&gt;"Closed")),"INVALID – corrective action not recorded/closed",""),IF(AND(AS593=1,Documents!$J$22&lt;&gt;"ON FILE"),"INVALID – GLD not on file (Documents sheet)",IF(AND(AS593=2,Documents!$O$22&lt;&gt;"ON FILE"),"INVALID – menu checklist not on file (Documents sheet)",IF(AND(AS593=3,NOT(ISNUMBER(Flights!$AX$22))),"INVALID – enter carrying flight KUL departure (Flights AX)",IF(AND(AS593=3,OR(Flights!$AX$22&gt;=Flights!$AA$22,Flights!$AX$22&lt;Flights!$AA$22-3)),"INVALID – Flights AX must be before this leg's STD (within 3 days)",IF(AG593&gt;AsOfUTC,"INVALID – completion time is in the future",IF(AND(ISNUMBER(S593),AG593&lt;S593),IF(H593="Physical uplift","INVALID – before uplift window (cannot confirm loading)","INVALID – before valid window"),IF(AG593&gt;Flights!$AA$22,"INVALID – completed after departure (cannot establish readiness)",IF(AND(H593="Physical uplift",AG593&gt;Q593),"INVALID – recorded after the loading flight departed",IF(AG593&gt;Q593,"COMPLETE – LATE","COMPLETE")))))))))))))))))),IF(TRIM(U593)="Fail","FAIL – DISCREPANCY",IF(AND(TRIM(U593)&lt;&gt;"",TRIM(U593)&lt;&gt;"Not started",TRIM(U593)&lt;&gt;"In progress"),"INVALID – unrecognised status (use the list)",IF(AsOfUTC&gt;Q593,"OVERDUE",IF(N593="Clarification required","OPEN – CLARIFICATION","OPEN")))))))</f>
        <v>OPEN</v>
      </c>
      <c r="AI593" s="61" t="n">
        <f aca="false">IF(OR(AH593="N/A – RULE",AH593="N/A – JUSTIFIED"),0,1)</f>
        <v>1</v>
      </c>
      <c r="AJ593" s="61" t="n">
        <f aca="false">IF(LEFT(AH593,8)="COMPLETE",1,0)</f>
        <v>0</v>
      </c>
      <c r="AK593" s="61" t="n">
        <f aca="false">IF(AND(AI593=1,AJ593=0,AsOfUTC&gt;Q593),1,0)</f>
        <v>0</v>
      </c>
      <c r="AL593" s="61" t="n">
        <f aca="false">IF(AND(AI593=1,OR(TRIM(U593)="Fail",AND(TRIM(AB593)&lt;&gt;"",TRIM(AB593)&lt;&gt;"Closed"),AND(ISNUMBER(AF593),AF593&lt;&gt;0,TRIM(U593)&lt;&gt;"Pass after CA"))),1,0)</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8" t="b">
        <f aca="false">TRUE()</f>
        <v>1</v>
      </c>
    </row>
    <row r="594" customFormat="false" ht="41.25" hidden="false" customHeight="true" outlineLevel="0" collapsed="false">
      <c r="A594" s="57" t="s">
        <v>1253</v>
      </c>
      <c r="B594" s="57" t="s">
        <v>285</v>
      </c>
      <c r="C594" s="57" t="str">
        <f aca="false">Flights!$F$22</f>
        <v>MH0052</v>
      </c>
      <c r="D594" s="58" t="n">
        <f aca="false">Flights!$D$22</f>
        <v>46322</v>
      </c>
      <c r="E594" s="57" t="str">
        <f aca="false">Flights!$G$22&amp;"-"&amp;Flights!$H$22</f>
        <v>KUL-KIX</v>
      </c>
      <c r="F594" s="57" t="str">
        <f aca="false">Flights!$K$22</f>
        <v>BC</v>
      </c>
      <c r="G594" s="57" t="s">
        <v>385</v>
      </c>
      <c r="H594" s="57" t="s">
        <v>343</v>
      </c>
      <c r="I594" s="57" t="s">
        <v>464</v>
      </c>
      <c r="J594" s="57" t="s">
        <v>473</v>
      </c>
      <c r="K594" s="67" t="s">
        <v>466</v>
      </c>
      <c r="L594" s="67" t="s">
        <v>1254</v>
      </c>
      <c r="M594" s="67" t="s">
        <v>416</v>
      </c>
      <c r="N594" s="67" t="s">
        <v>348</v>
      </c>
      <c r="O594" s="67" t="s">
        <v>468</v>
      </c>
      <c r="P594" s="57" t="s">
        <v>179</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59" t="n">
        <f aca="false">Q594-T12EarlyH/24</f>
        <v>46321.6006944444</v>
      </c>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IF(N594="N/A – rule","N/A – RULE",IF(TRIM(U594)="N/A",IF(AT594=0,"INVALID – N/A not permitted for this mandatory check",IF(AND(TRIM(AC594)&lt;&gt;"",TRIM(AE594)&lt;&gt;"",TRIM(T594)&lt;&gt;"",TRIM(AE594)&lt;&gt;TRIM(T594)),"N/A – JUSTIFIED","INVALID – N/A needs justification, PIC and a different verifier")),IF(OR(TRIM(U594)="Pass",TRIM(U594)="Pass after CA"),IF(NOT(ISNUMBER(AD594)),"INVALID – completion time missing",IF(TRIM(T594)="","INVALID – PIC missing",IF(TRIM(V594)="","INVALID – result / assessment missing",IF(TRIM(Z594)="","INVALID – evidence missing",IF(TRIM(AE594)="","INVALID – verifier missing",IF(TRIM(AE594)=TRIM(T594),"INVALID – verifier must be someone other than the PIC",IF(AND(AQ594=1,TRIM(W594)=""),"INVALID – batch ID missing",IF(AND(AR594=1,OR(NOT(ISNUMBER(X594)),NOT(ISNUMBER(Y594)))),"INVALID – expected/actual qty missing",IF(IF(AND(TRIM(U594)="Pass",ISNUMBER(AF594)),IF(AF594&lt;&gt;0,"INVALID – qty variance: use Fail or Pass after CA",""),"")&amp;IF(AND(TRIM(U594)="Pass",TRIM(AB594)&lt;&gt;"",TRIM(AB594)&lt;&gt;"Closed"),"INVALID – corrective action not closed: use Fail, then Pass after CA","")&amp;IF(AND(TRIM(AA594)&lt;&gt;"",TRIM(AB594)=""),"INVALID – CA status missing for the recorded corrective action","")&amp;IF(AND(TRIM(U594)="Pass after CA",OR(TRIM(AA594)="",TRIM(AB594)&lt;&gt;"Closed")),"INVALID – corrective action not recorded/closed","")&lt;&gt;"",IF(AND(TRIM(U594)="Pass",ISNUMBER(AF594)),IF(AF594&lt;&gt;0,"INVALID – qty variance: use Fail or Pass after CA",""),"")&amp;IF(AND(TRIM(U594)="Pass",TRIM(AB594)&lt;&gt;"",TRIM(AB594)&lt;&gt;"Closed"),"INVALID – corrective action not closed: use Fail, then Pass after CA","")&amp;IF(AND(TRIM(AA594)&lt;&gt;"",TRIM(AB594)=""),"INVALID – CA status missing for the recorded corrective action","")&amp;IF(AND(TRIM(U594)="Pass after CA",OR(TRIM(AA594)="",TRIM(AB594)&lt;&gt;"Closed")),"INVALID – corrective action not recorded/closed",""),IF(AND(AS594=1,Documents!$J$22&lt;&gt;"ON FILE"),"INVALID – GLD not on file (Documents sheet)",IF(AND(AS594=2,Documents!$O$22&lt;&gt;"ON FILE"),"INVALID – menu checklist not on file (Documents sheet)",IF(AND(AS594=3,NOT(ISNUMBER(Flights!$AX$22))),"INVALID – enter carrying flight KUL departure (Flights AX)",IF(AND(AS594=3,OR(Flights!$AX$22&gt;=Flights!$AA$22,Flights!$AX$22&lt;Flights!$AA$22-3)),"INVALID – Flights AX must be before this leg's STD (within 3 days)",IF(AG594&gt;AsOfUTC,"INVALID – completion time is in the future",IF(AND(ISNUMBER(S594),AG594&lt;S594),IF(H594="Physical uplift","INVALID – before uplift window (cannot confirm loading)","INVALID – before valid window"),IF(AG594&gt;Flights!$AA$22,"INVALID – completed after departure (cannot establish readiness)",IF(AND(H594="Physical uplift",AG594&gt;Q594),"INVALID – recorded after the loading flight departed",IF(AG594&gt;Q594,"COMPLETE – LATE","COMPLETE")))))))))))))))))),IF(TRIM(U594)="Fail","FAIL – DISCREPANCY",IF(AND(TRIM(U594)&lt;&gt;"",TRIM(U594)&lt;&gt;"Not started",TRIM(U594)&lt;&gt;"In progress"),"INVALID – unrecognised status (use the list)",IF(AsOfUTC&gt;Q594,"OVERDUE",IF(N594="Clarification required","OPEN – CLARIFICATION","OPEN")))))))</f>
        <v>OPEN</v>
      </c>
      <c r="AI594" s="61" t="n">
        <f aca="false">IF(OR(AH594="N/A – RULE",AH594="N/A – JUSTIFIED"),0,1)</f>
        <v>1</v>
      </c>
      <c r="AJ594" s="61" t="n">
        <f aca="false">IF(LEFT(AH594,8)="COMPLETE",1,0)</f>
        <v>0</v>
      </c>
      <c r="AK594" s="61" t="n">
        <f aca="false">IF(AND(AI594=1,AJ594=0,AsOfUTC&gt;Q594),1,0)</f>
        <v>0</v>
      </c>
      <c r="AL594" s="61" t="n">
        <f aca="false">IF(AND(AI594=1,OR(TRIM(U594)="Fail",AND(TRIM(AB594)&lt;&gt;"",TRIM(AB594)&lt;&gt;"Closed"),AND(ISNUMBER(AF594),AF594&lt;&gt;0,TRIM(U594)&lt;&gt;"Pass after CA"))),1,0)</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8" t="b">
        <f aca="false">TRUE()</f>
        <v>1</v>
      </c>
    </row>
    <row r="595" customFormat="false" ht="41.25" hidden="false" customHeight="true" outlineLevel="0" collapsed="false">
      <c r="A595" s="57" t="s">
        <v>1255</v>
      </c>
      <c r="B595" s="57" t="s">
        <v>285</v>
      </c>
      <c r="C595" s="57" t="str">
        <f aca="false">Flights!$F$22</f>
        <v>MH0052</v>
      </c>
      <c r="D595" s="58" t="n">
        <f aca="false">Flights!$D$22</f>
        <v>46322</v>
      </c>
      <c r="E595" s="57" t="str">
        <f aca="false">Flights!$G$22&amp;"-"&amp;Flights!$H$22</f>
        <v>KUL-KIX</v>
      </c>
      <c r="F595" s="57" t="str">
        <f aca="false">Flights!$K$22</f>
        <v>BC</v>
      </c>
      <c r="G595" s="57" t="s">
        <v>385</v>
      </c>
      <c r="H595" s="57" t="s">
        <v>343</v>
      </c>
      <c r="I595" s="57" t="s">
        <v>464</v>
      </c>
      <c r="J595" s="57" t="s">
        <v>476</v>
      </c>
      <c r="K595" s="67" t="s">
        <v>466</v>
      </c>
      <c r="L595" s="67" t="s">
        <v>1256</v>
      </c>
      <c r="M595" s="67" t="s">
        <v>416</v>
      </c>
      <c r="N595" s="67" t="s">
        <v>348</v>
      </c>
      <c r="O595" s="67" t="s">
        <v>468</v>
      </c>
      <c r="P595" s="57" t="s">
        <v>179</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59" t="n">
        <f aca="false">Q595-T12EarlyH/24</f>
        <v>46321.6006944444</v>
      </c>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IF(N595="N/A – rule","N/A – RULE",IF(TRIM(U595)="N/A",IF(AT595=0,"INVALID – N/A not permitted for this mandatory check",IF(AND(TRIM(AC595)&lt;&gt;"",TRIM(AE595)&lt;&gt;"",TRIM(T595)&lt;&gt;"",TRIM(AE595)&lt;&gt;TRIM(T595)),"N/A – JUSTIFIED","INVALID – N/A needs justification, PIC and a different verifier")),IF(OR(TRIM(U595)="Pass",TRIM(U595)="Pass after CA"),IF(NOT(ISNUMBER(AD595)),"INVALID – completion time missing",IF(TRIM(T595)="","INVALID – PIC missing",IF(TRIM(V595)="","INVALID – result / assessment missing",IF(TRIM(Z595)="","INVALID – evidence missing",IF(TRIM(AE595)="","INVALID – verifier missing",IF(TRIM(AE595)=TRIM(T595),"INVALID – verifier must be someone other than the PIC",IF(AND(AQ595=1,TRIM(W595)=""),"INVALID – batch ID missing",IF(AND(AR595=1,OR(NOT(ISNUMBER(X595)),NOT(ISNUMBER(Y595)))),"INVALID – expected/actual qty missing",IF(IF(AND(TRIM(U595)="Pass",ISNUMBER(AF595)),IF(AF595&lt;&gt;0,"INVALID – qty variance: use Fail or Pass after CA",""),"")&amp;IF(AND(TRIM(U595)="Pass",TRIM(AB595)&lt;&gt;"",TRIM(AB595)&lt;&gt;"Closed"),"INVALID – corrective action not closed: use Fail, then Pass after CA","")&amp;IF(AND(TRIM(AA595)&lt;&gt;"",TRIM(AB595)=""),"INVALID – CA status missing for the recorded corrective action","")&amp;IF(AND(TRIM(U595)="Pass after CA",OR(TRIM(AA595)="",TRIM(AB595)&lt;&gt;"Closed")),"INVALID – corrective action not recorded/closed","")&lt;&gt;"",IF(AND(TRIM(U595)="Pass",ISNUMBER(AF595)),IF(AF595&lt;&gt;0,"INVALID – qty variance: use Fail or Pass after CA",""),"")&amp;IF(AND(TRIM(U595)="Pass",TRIM(AB595)&lt;&gt;"",TRIM(AB595)&lt;&gt;"Closed"),"INVALID – corrective action not closed: use Fail, then Pass after CA","")&amp;IF(AND(TRIM(AA595)&lt;&gt;"",TRIM(AB595)=""),"INVALID – CA status missing for the recorded corrective action","")&amp;IF(AND(TRIM(U595)="Pass after CA",OR(TRIM(AA595)="",TRIM(AB595)&lt;&gt;"Closed")),"INVALID – corrective action not recorded/closed",""),IF(AND(AS595=1,Documents!$J$22&lt;&gt;"ON FILE"),"INVALID – GLD not on file (Documents sheet)",IF(AND(AS595=2,Documents!$O$22&lt;&gt;"ON FILE"),"INVALID – menu checklist not on file (Documents sheet)",IF(AND(AS595=3,NOT(ISNUMBER(Flights!$AX$22))),"INVALID – enter carrying flight KUL departure (Flights AX)",IF(AND(AS595=3,OR(Flights!$AX$22&gt;=Flights!$AA$22,Flights!$AX$22&lt;Flights!$AA$22-3)),"INVALID – Flights AX must be before this leg's STD (within 3 days)",IF(AG595&gt;AsOfUTC,"INVALID – completion time is in the future",IF(AND(ISNUMBER(S595),AG595&lt;S595),IF(H595="Physical uplift","INVALID – before uplift window (cannot confirm loading)","INVALID – before valid window"),IF(AG595&gt;Flights!$AA$22,"INVALID – completed after departure (cannot establish readiness)",IF(AND(H595="Physical uplift",AG595&gt;Q595),"INVALID – recorded after the loading flight departed",IF(AG595&gt;Q595,"COMPLETE – LATE","COMPLETE")))))))))))))))))),IF(TRIM(U595)="Fail","FAIL – DISCREPANCY",IF(AND(TRIM(U595)&lt;&gt;"",TRIM(U595)&lt;&gt;"Not started",TRIM(U595)&lt;&gt;"In progress"),"INVALID – unrecognised status (use the list)",IF(AsOfUTC&gt;Q595,"OVERDUE",IF(N595="Clarification required","OPEN – CLARIFICATION","OPEN")))))))</f>
        <v>OPEN</v>
      </c>
      <c r="AI595" s="61" t="n">
        <f aca="false">IF(OR(AH595="N/A – RULE",AH595="N/A – JUSTIFIED"),0,1)</f>
        <v>1</v>
      </c>
      <c r="AJ595" s="61" t="n">
        <f aca="false">IF(LEFT(AH595,8)="COMPLETE",1,0)</f>
        <v>0</v>
      </c>
      <c r="AK595" s="61" t="n">
        <f aca="false">IF(AND(AI595=1,AJ595=0,AsOfUTC&gt;Q595),1,0)</f>
        <v>0</v>
      </c>
      <c r="AL595" s="61" t="n">
        <f aca="false">IF(AND(AI595=1,OR(TRIM(U595)="Fail",AND(TRIM(AB595)&lt;&gt;"",TRIM(AB595)&lt;&gt;"Closed"),AND(ISNUMBER(AF595),AF595&lt;&gt;0,TRIM(U595)&lt;&gt;"Pass after CA"))),1,0)</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8" t="b">
        <f aca="false">TRUE()</f>
        <v>1</v>
      </c>
    </row>
    <row r="596" customFormat="false" ht="41.25" hidden="false" customHeight="true" outlineLevel="0" collapsed="false">
      <c r="A596" s="57" t="s">
        <v>1257</v>
      </c>
      <c r="B596" s="57" t="s">
        <v>285</v>
      </c>
      <c r="C596" s="57" t="str">
        <f aca="false">Flights!$F$22</f>
        <v>MH0052</v>
      </c>
      <c r="D596" s="58" t="n">
        <f aca="false">Flights!$D$22</f>
        <v>46322</v>
      </c>
      <c r="E596" s="57" t="str">
        <f aca="false">Flights!$G$22&amp;"-"&amp;Flights!$H$22</f>
        <v>KUL-KIX</v>
      </c>
      <c r="F596" s="57" t="str">
        <f aca="false">Flights!$K$22</f>
        <v>BC</v>
      </c>
      <c r="G596" s="57" t="s">
        <v>385</v>
      </c>
      <c r="H596" s="57" t="s">
        <v>343</v>
      </c>
      <c r="I596" s="57" t="s">
        <v>464</v>
      </c>
      <c r="J596" s="57" t="s">
        <v>480</v>
      </c>
      <c r="K596" s="67" t="s">
        <v>466</v>
      </c>
      <c r="L596" s="67" t="s">
        <v>1258</v>
      </c>
      <c r="M596" s="67" t="s">
        <v>416</v>
      </c>
      <c r="N596" s="67" t="s">
        <v>348</v>
      </c>
      <c r="O596" s="67" t="s">
        <v>468</v>
      </c>
      <c r="P596" s="57" t="s">
        <v>179</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59" t="n">
        <f aca="false">Q596-T12EarlyH/24</f>
        <v>46321.6006944444</v>
      </c>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IF(N596="N/A – rule","N/A – RULE",IF(TRIM(U596)="N/A",IF(AT596=0,"INVALID – N/A not permitted for this mandatory check",IF(AND(TRIM(AC596)&lt;&gt;"",TRIM(AE596)&lt;&gt;"",TRIM(T596)&lt;&gt;"",TRIM(AE596)&lt;&gt;TRIM(T596)),"N/A – JUSTIFIED","INVALID – N/A needs justification, PIC and a different verifier")),IF(OR(TRIM(U596)="Pass",TRIM(U596)="Pass after CA"),IF(NOT(ISNUMBER(AD596)),"INVALID – completion time missing",IF(TRIM(T596)="","INVALID – PIC missing",IF(TRIM(V596)="","INVALID – result / assessment missing",IF(TRIM(Z596)="","INVALID – evidence missing",IF(TRIM(AE596)="","INVALID – verifier missing",IF(TRIM(AE596)=TRIM(T596),"INVALID – verifier must be someone other than the PIC",IF(AND(AQ596=1,TRIM(W596)=""),"INVALID – batch ID missing",IF(AND(AR596=1,OR(NOT(ISNUMBER(X596)),NOT(ISNUMBER(Y596)))),"INVALID – expected/actual qty missing",IF(IF(AND(TRIM(U596)="Pass",ISNUMBER(AF596)),IF(AF596&lt;&gt;0,"INVALID – qty variance: use Fail or Pass after CA",""),"")&amp;IF(AND(TRIM(U596)="Pass",TRIM(AB596)&lt;&gt;"",TRIM(AB596)&lt;&gt;"Closed"),"INVALID – corrective action not closed: use Fail, then Pass after CA","")&amp;IF(AND(TRIM(AA596)&lt;&gt;"",TRIM(AB596)=""),"INVALID – CA status missing for the recorded corrective action","")&amp;IF(AND(TRIM(U596)="Pass after CA",OR(TRIM(AA596)="",TRIM(AB596)&lt;&gt;"Closed")),"INVALID – corrective action not recorded/closed","")&lt;&gt;"",IF(AND(TRIM(U596)="Pass",ISNUMBER(AF596)),IF(AF596&lt;&gt;0,"INVALID – qty variance: use Fail or Pass after CA",""),"")&amp;IF(AND(TRIM(U596)="Pass",TRIM(AB596)&lt;&gt;"",TRIM(AB596)&lt;&gt;"Closed"),"INVALID – corrective action not closed: use Fail, then Pass after CA","")&amp;IF(AND(TRIM(AA596)&lt;&gt;"",TRIM(AB596)=""),"INVALID – CA status missing for the recorded corrective action","")&amp;IF(AND(TRIM(U596)="Pass after CA",OR(TRIM(AA596)="",TRIM(AB596)&lt;&gt;"Closed")),"INVALID – corrective action not recorded/closed",""),IF(AND(AS596=1,Documents!$J$22&lt;&gt;"ON FILE"),"INVALID – GLD not on file (Documents sheet)",IF(AND(AS596=2,Documents!$O$22&lt;&gt;"ON FILE"),"INVALID – menu checklist not on file (Documents sheet)",IF(AND(AS596=3,NOT(ISNUMBER(Flights!$AX$22))),"INVALID – enter carrying flight KUL departure (Flights AX)",IF(AND(AS596=3,OR(Flights!$AX$22&gt;=Flights!$AA$22,Flights!$AX$22&lt;Flights!$AA$22-3)),"INVALID – Flights AX must be before this leg's STD (within 3 days)",IF(AG596&gt;AsOfUTC,"INVALID – completion time is in the future",IF(AND(ISNUMBER(S596),AG596&lt;S596),IF(H596="Physical uplift","INVALID – before uplift window (cannot confirm loading)","INVALID – before valid window"),IF(AG596&gt;Flights!$AA$22,"INVALID – completed after departure (cannot establish readiness)",IF(AND(H596="Physical uplift",AG596&gt;Q596),"INVALID – recorded after the loading flight departed",IF(AG596&gt;Q596,"COMPLETE – LATE","COMPLETE")))))))))))))))))),IF(TRIM(U596)="Fail","FAIL – DISCREPANCY",IF(AND(TRIM(U596)&lt;&gt;"",TRIM(U596)&lt;&gt;"Not started",TRIM(U596)&lt;&gt;"In progress"),"INVALID – unrecognised status (use the list)",IF(AsOfUTC&gt;Q596,"OVERDUE",IF(N596="Clarification required","OPEN – CLARIFICATION","OPEN")))))))</f>
        <v>OPEN</v>
      </c>
      <c r="AI596" s="61" t="n">
        <f aca="false">IF(OR(AH596="N/A – RULE",AH596="N/A – JUSTIFIED"),0,1)</f>
        <v>1</v>
      </c>
      <c r="AJ596" s="61" t="n">
        <f aca="false">IF(LEFT(AH596,8)="COMPLETE",1,0)</f>
        <v>0</v>
      </c>
      <c r="AK596" s="61" t="n">
        <f aca="false">IF(AND(AI596=1,AJ596=0,AsOfUTC&gt;Q596),1,0)</f>
        <v>0</v>
      </c>
      <c r="AL596" s="61" t="n">
        <f aca="false">IF(AND(AI596=1,OR(TRIM(U596)="Fail",AND(TRIM(AB596)&lt;&gt;"",TRIM(AB596)&lt;&gt;"Closed"),AND(ISNUMBER(AF596),AF596&lt;&gt;0,TRIM(U596)&lt;&gt;"Pass after CA"))),1,0)</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8" t="b">
        <f aca="false">TRUE()</f>
        <v>1</v>
      </c>
    </row>
    <row r="597" customFormat="false" ht="54" hidden="false" customHeight="true" outlineLevel="0" collapsed="false">
      <c r="A597" s="57" t="s">
        <v>1259</v>
      </c>
      <c r="B597" s="57" t="s">
        <v>285</v>
      </c>
      <c r="C597" s="57" t="str">
        <f aca="false">Flights!$F$22</f>
        <v>MH0052</v>
      </c>
      <c r="D597" s="58" t="n">
        <f aca="false">Flights!$D$22</f>
        <v>46322</v>
      </c>
      <c r="E597" s="57" t="str">
        <f aca="false">Flights!$G$22&amp;"-"&amp;Flights!$H$22</f>
        <v>KUL-KIX</v>
      </c>
      <c r="F597" s="57" t="str">
        <f aca="false">Flights!$K$22</f>
        <v>BC</v>
      </c>
      <c r="G597" s="57" t="s">
        <v>385</v>
      </c>
      <c r="H597" s="57" t="s">
        <v>343</v>
      </c>
      <c r="I597" s="57" t="s">
        <v>464</v>
      </c>
      <c r="J597" s="57" t="s">
        <v>483</v>
      </c>
      <c r="K597" s="67" t="s">
        <v>581</v>
      </c>
      <c r="L597" s="67" t="s">
        <v>1260</v>
      </c>
      <c r="M597" s="67" t="s">
        <v>416</v>
      </c>
      <c r="N597" s="67" t="s">
        <v>348</v>
      </c>
      <c r="O597" s="67" t="s">
        <v>486</v>
      </c>
      <c r="P597" s="57" t="s">
        <v>179</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59" t="n">
        <f aca="false">Q597-T12EarlyH/24</f>
        <v>46321.6006944444</v>
      </c>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IF(N597="N/A – rule","N/A – RULE",IF(TRIM(U597)="N/A",IF(AT597=0,"INVALID – N/A not permitted for this mandatory check",IF(AND(TRIM(AC597)&lt;&gt;"",TRIM(AE597)&lt;&gt;"",TRIM(T597)&lt;&gt;"",TRIM(AE597)&lt;&gt;TRIM(T597)),"N/A – JUSTIFIED","INVALID – N/A needs justification, PIC and a different verifier")),IF(OR(TRIM(U597)="Pass",TRIM(U597)="Pass after CA"),IF(NOT(ISNUMBER(AD597)),"INVALID – completion time missing",IF(TRIM(T597)="","INVALID – PIC missing",IF(TRIM(V597)="","INVALID – result / assessment missing",IF(TRIM(Z597)="","INVALID – evidence missing",IF(TRIM(AE597)="","INVALID – verifier missing",IF(TRIM(AE597)=TRIM(T597),"INVALID – verifier must be someone other than the PIC",IF(AND(AQ597=1,TRIM(W597)=""),"INVALID – batch ID missing",IF(AND(AR597=1,OR(NOT(ISNUMBER(X597)),NOT(ISNUMBER(Y597)))),"INVALID – expected/actual qty missing",IF(IF(AND(TRIM(U597)="Pass",ISNUMBER(AF597)),IF(AF597&lt;&gt;0,"INVALID – qty variance: use Fail or Pass after CA",""),"")&amp;IF(AND(TRIM(U597)="Pass",TRIM(AB597)&lt;&gt;"",TRIM(AB597)&lt;&gt;"Closed"),"INVALID – corrective action not closed: use Fail, then Pass after CA","")&amp;IF(AND(TRIM(AA597)&lt;&gt;"",TRIM(AB597)=""),"INVALID – CA status missing for the recorded corrective action","")&amp;IF(AND(TRIM(U597)="Pass after CA",OR(TRIM(AA597)="",TRIM(AB597)&lt;&gt;"Closed")),"INVALID – corrective action not recorded/closed","")&lt;&gt;"",IF(AND(TRIM(U597)="Pass",ISNUMBER(AF597)),IF(AF597&lt;&gt;0,"INVALID – qty variance: use Fail or Pass after CA",""),"")&amp;IF(AND(TRIM(U597)="Pass",TRIM(AB597)&lt;&gt;"",TRIM(AB597)&lt;&gt;"Closed"),"INVALID – corrective action not closed: use Fail, then Pass after CA","")&amp;IF(AND(TRIM(AA597)&lt;&gt;"",TRIM(AB597)=""),"INVALID – CA status missing for the recorded corrective action","")&amp;IF(AND(TRIM(U597)="Pass after CA",OR(TRIM(AA597)="",TRIM(AB597)&lt;&gt;"Closed")),"INVALID – corrective action not recorded/closed",""),IF(AND(AS597=1,Documents!$J$22&lt;&gt;"ON FILE"),"INVALID – GLD not on file (Documents sheet)",IF(AND(AS597=2,Documents!$O$22&lt;&gt;"ON FILE"),"INVALID – menu checklist not on file (Documents sheet)",IF(AND(AS597=3,NOT(ISNUMBER(Flights!$AX$22))),"INVALID – enter carrying flight KUL departure (Flights AX)",IF(AND(AS597=3,OR(Flights!$AX$22&gt;=Flights!$AA$22,Flights!$AX$22&lt;Flights!$AA$22-3)),"INVALID – Flights AX must be before this leg's STD (within 3 days)",IF(AG597&gt;AsOfUTC,"INVALID – completion time is in the future",IF(AND(ISNUMBER(S597),AG597&lt;S597),IF(H597="Physical uplift","INVALID – before uplift window (cannot confirm loading)","INVALID – before valid window"),IF(AG597&gt;Flights!$AA$22,"INVALID – completed after departure (cannot establish readiness)",IF(AND(H597="Physical uplift",AG597&gt;Q597),"INVALID – recorded after the loading flight departed",IF(AG597&gt;Q597,"COMPLETE – LATE","COMPLETE")))))))))))))))))),IF(TRIM(U597)="Fail","FAIL – DISCREPANCY",IF(AND(TRIM(U597)&lt;&gt;"",TRIM(U597)&lt;&gt;"Not started",TRIM(U597)&lt;&gt;"In progress"),"INVALID – unrecognised status (use the list)",IF(AsOfUTC&gt;Q597,"OVERDUE",IF(N597="Clarification required","OPEN – CLARIFICATION","OPEN")))))))</f>
        <v>OPEN</v>
      </c>
      <c r="AI597" s="61" t="n">
        <f aca="false">IF(OR(AH597="N/A – RULE",AH597="N/A – JUSTIFIED"),0,1)</f>
        <v>1</v>
      </c>
      <c r="AJ597" s="61" t="n">
        <f aca="false">IF(LEFT(AH597,8)="COMPLETE",1,0)</f>
        <v>0</v>
      </c>
      <c r="AK597" s="61" t="n">
        <f aca="false">IF(AND(AI597=1,AJ597=0,AsOfUTC&gt;Q597),1,0)</f>
        <v>0</v>
      </c>
      <c r="AL597" s="61" t="n">
        <f aca="false">IF(AND(AI597=1,OR(TRIM(U597)="Fail",AND(TRIM(AB597)&lt;&gt;"",TRIM(AB597)&lt;&gt;"Closed"),AND(ISNUMBER(AF597),AF597&lt;&gt;0,TRIM(U597)&lt;&gt;"Pass after CA"))),1,0)</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8" t="b">
        <f aca="false">TRUE()</f>
        <v>1</v>
      </c>
    </row>
    <row r="598" customFormat="false" ht="41.25" hidden="false" customHeight="true" outlineLevel="0" collapsed="false">
      <c r="A598" s="57" t="s">
        <v>1261</v>
      </c>
      <c r="B598" s="57" t="s">
        <v>285</v>
      </c>
      <c r="C598" s="57" t="str">
        <f aca="false">Flights!$F$22</f>
        <v>MH0052</v>
      </c>
      <c r="D598" s="58" t="n">
        <f aca="false">Flights!$D$22</f>
        <v>46322</v>
      </c>
      <c r="E598" s="57" t="str">
        <f aca="false">Flights!$G$22&amp;"-"&amp;Flights!$H$22</f>
        <v>KUL-KIX</v>
      </c>
      <c r="F598" s="57" t="str">
        <f aca="false">Flights!$K$22</f>
        <v>BC</v>
      </c>
      <c r="G598" s="57" t="s">
        <v>385</v>
      </c>
      <c r="H598" s="57" t="s">
        <v>343</v>
      </c>
      <c r="I598" s="57" t="s">
        <v>464</v>
      </c>
      <c r="J598" s="57" t="s">
        <v>488</v>
      </c>
      <c r="K598" s="67" t="s">
        <v>466</v>
      </c>
      <c r="L598" s="67" t="s">
        <v>1262</v>
      </c>
      <c r="M598" s="67" t="s">
        <v>416</v>
      </c>
      <c r="N598" s="67" t="s">
        <v>348</v>
      </c>
      <c r="O598" s="67" t="s">
        <v>468</v>
      </c>
      <c r="P598" s="57" t="s">
        <v>179</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59" t="n">
        <f aca="false">Q598-T12EarlyH/24</f>
        <v>46321.6006944444</v>
      </c>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IF(N598="N/A – rule","N/A – RULE",IF(TRIM(U598)="N/A",IF(AT598=0,"INVALID – N/A not permitted for this mandatory check",IF(AND(TRIM(AC598)&lt;&gt;"",TRIM(AE598)&lt;&gt;"",TRIM(T598)&lt;&gt;"",TRIM(AE598)&lt;&gt;TRIM(T598)),"N/A – JUSTIFIED","INVALID – N/A needs justification, PIC and a different verifier")),IF(OR(TRIM(U598)="Pass",TRIM(U598)="Pass after CA"),IF(NOT(ISNUMBER(AD598)),"INVALID – completion time missing",IF(TRIM(T598)="","INVALID – PIC missing",IF(TRIM(V598)="","INVALID – result / assessment missing",IF(TRIM(Z598)="","INVALID – evidence missing",IF(TRIM(AE598)="","INVALID – verifier missing",IF(TRIM(AE598)=TRIM(T598),"INVALID – verifier must be someone other than the PIC",IF(AND(AQ598=1,TRIM(W598)=""),"INVALID – batch ID missing",IF(AND(AR598=1,OR(NOT(ISNUMBER(X598)),NOT(ISNUMBER(Y598)))),"INVALID – expected/actual qty missing",IF(IF(AND(TRIM(U598)="Pass",ISNUMBER(AF598)),IF(AF598&lt;&gt;0,"INVALID – qty variance: use Fail or Pass after CA",""),"")&amp;IF(AND(TRIM(U598)="Pass",TRIM(AB598)&lt;&gt;"",TRIM(AB598)&lt;&gt;"Closed"),"INVALID – corrective action not closed: use Fail, then Pass after CA","")&amp;IF(AND(TRIM(AA598)&lt;&gt;"",TRIM(AB598)=""),"INVALID – CA status missing for the recorded corrective action","")&amp;IF(AND(TRIM(U598)="Pass after CA",OR(TRIM(AA598)="",TRIM(AB598)&lt;&gt;"Closed")),"INVALID – corrective action not recorded/closed","")&lt;&gt;"",IF(AND(TRIM(U598)="Pass",ISNUMBER(AF598)),IF(AF598&lt;&gt;0,"INVALID – qty variance: use Fail or Pass after CA",""),"")&amp;IF(AND(TRIM(U598)="Pass",TRIM(AB598)&lt;&gt;"",TRIM(AB598)&lt;&gt;"Closed"),"INVALID – corrective action not closed: use Fail, then Pass after CA","")&amp;IF(AND(TRIM(AA598)&lt;&gt;"",TRIM(AB598)=""),"INVALID – CA status missing for the recorded corrective action","")&amp;IF(AND(TRIM(U598)="Pass after CA",OR(TRIM(AA598)="",TRIM(AB598)&lt;&gt;"Closed")),"INVALID – corrective action not recorded/closed",""),IF(AND(AS598=1,Documents!$J$22&lt;&gt;"ON FILE"),"INVALID – GLD not on file (Documents sheet)",IF(AND(AS598=2,Documents!$O$22&lt;&gt;"ON FILE"),"INVALID – menu checklist not on file (Documents sheet)",IF(AND(AS598=3,NOT(ISNUMBER(Flights!$AX$22))),"INVALID – enter carrying flight KUL departure (Flights AX)",IF(AND(AS598=3,OR(Flights!$AX$22&gt;=Flights!$AA$22,Flights!$AX$22&lt;Flights!$AA$22-3)),"INVALID – Flights AX must be before this leg's STD (within 3 days)",IF(AG598&gt;AsOfUTC,"INVALID – completion time is in the future",IF(AND(ISNUMBER(S598),AG598&lt;S598),IF(H598="Physical uplift","INVALID – before uplift window (cannot confirm loading)","INVALID – before valid window"),IF(AG598&gt;Flights!$AA$22,"INVALID – completed after departure (cannot establish readiness)",IF(AND(H598="Physical uplift",AG598&gt;Q598),"INVALID – recorded after the loading flight departed",IF(AG598&gt;Q598,"COMPLETE – LATE","COMPLETE")))))))))))))))))),IF(TRIM(U598)="Fail","FAIL – DISCREPANCY",IF(AND(TRIM(U598)&lt;&gt;"",TRIM(U598)&lt;&gt;"Not started",TRIM(U598)&lt;&gt;"In progress"),"INVALID – unrecognised status (use the list)",IF(AsOfUTC&gt;Q598,"OVERDUE",IF(N598="Clarification required","OPEN – CLARIFICATION","OPEN")))))))</f>
        <v>OPEN</v>
      </c>
      <c r="AI598" s="61" t="n">
        <f aca="false">IF(OR(AH598="N/A – RULE",AH598="N/A – JUSTIFIED"),0,1)</f>
        <v>1</v>
      </c>
      <c r="AJ598" s="61" t="n">
        <f aca="false">IF(LEFT(AH598,8)="COMPLETE",1,0)</f>
        <v>0</v>
      </c>
      <c r="AK598" s="61" t="n">
        <f aca="false">IF(AND(AI598=1,AJ598=0,AsOfUTC&gt;Q598),1,0)</f>
        <v>0</v>
      </c>
      <c r="AL598" s="61" t="n">
        <f aca="false">IF(AND(AI598=1,OR(TRIM(U598)="Fail",AND(TRIM(AB598)&lt;&gt;"",TRIM(AB598)&lt;&gt;"Closed"),AND(ISNUMBER(AF598),AF598&lt;&gt;0,TRIM(U598)&lt;&gt;"Pass after CA"))),1,0)</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8" t="b">
        <f aca="false">TRUE()</f>
        <v>1</v>
      </c>
    </row>
    <row r="599" customFormat="false" ht="41.25" hidden="false" customHeight="true" outlineLevel="0" collapsed="false">
      <c r="A599" s="57" t="s">
        <v>1263</v>
      </c>
      <c r="B599" s="57" t="s">
        <v>285</v>
      </c>
      <c r="C599" s="57" t="str">
        <f aca="false">Flights!$F$22</f>
        <v>MH0052</v>
      </c>
      <c r="D599" s="58" t="n">
        <f aca="false">Flights!$D$22</f>
        <v>46322</v>
      </c>
      <c r="E599" s="57" t="str">
        <f aca="false">Flights!$G$22&amp;"-"&amp;Flights!$H$22</f>
        <v>KUL-KIX</v>
      </c>
      <c r="F599" s="57" t="str">
        <f aca="false">Flights!$K$22</f>
        <v>BC</v>
      </c>
      <c r="G599" s="57" t="s">
        <v>385</v>
      </c>
      <c r="H599" s="57" t="s">
        <v>343</v>
      </c>
      <c r="I599" s="57" t="s">
        <v>412</v>
      </c>
      <c r="J599" s="57" t="s">
        <v>491</v>
      </c>
      <c r="K599" s="67" t="s">
        <v>414</v>
      </c>
      <c r="L599" s="67" t="s">
        <v>1264</v>
      </c>
      <c r="M599" s="67" t="s">
        <v>416</v>
      </c>
      <c r="N599" s="67" t="s">
        <v>348</v>
      </c>
      <c r="O599" s="67" t="s">
        <v>468</v>
      </c>
      <c r="P599" s="57" t="s">
        <v>179</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59" t="n">
        <f aca="false">Q599-T12EarlyH/24</f>
        <v>46321.6006944444</v>
      </c>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IF(N599="N/A – rule","N/A – RULE",IF(TRIM(U599)="N/A",IF(AT599=0,"INVALID – N/A not permitted for this mandatory check",IF(AND(TRIM(AC599)&lt;&gt;"",TRIM(AE599)&lt;&gt;"",TRIM(T599)&lt;&gt;"",TRIM(AE599)&lt;&gt;TRIM(T599)),"N/A – JUSTIFIED","INVALID – N/A needs justification, PIC and a different verifier")),IF(OR(TRIM(U599)="Pass",TRIM(U599)="Pass after CA"),IF(NOT(ISNUMBER(AD599)),"INVALID – completion time missing",IF(TRIM(T599)="","INVALID – PIC missing",IF(TRIM(V599)="","INVALID – result / assessment missing",IF(TRIM(Z599)="","INVALID – evidence missing",IF(TRIM(AE599)="","INVALID – verifier missing",IF(TRIM(AE599)=TRIM(T599),"INVALID – verifier must be someone other than the PIC",IF(AND(AQ599=1,TRIM(W599)=""),"INVALID – batch ID missing",IF(AND(AR599=1,OR(NOT(ISNUMBER(X599)),NOT(ISNUMBER(Y599)))),"INVALID – expected/actual qty missing",IF(IF(AND(TRIM(U599)="Pass",ISNUMBER(AF599)),IF(AF599&lt;&gt;0,"INVALID – qty variance: use Fail or Pass after CA",""),"")&amp;IF(AND(TRIM(U599)="Pass",TRIM(AB599)&lt;&gt;"",TRIM(AB599)&lt;&gt;"Closed"),"INVALID – corrective action not closed: use Fail, then Pass after CA","")&amp;IF(AND(TRIM(AA599)&lt;&gt;"",TRIM(AB599)=""),"INVALID – CA status missing for the recorded corrective action","")&amp;IF(AND(TRIM(U599)="Pass after CA",OR(TRIM(AA599)="",TRIM(AB599)&lt;&gt;"Closed")),"INVALID – corrective action not recorded/closed","")&lt;&gt;"",IF(AND(TRIM(U599)="Pass",ISNUMBER(AF599)),IF(AF599&lt;&gt;0,"INVALID – qty variance: use Fail or Pass after CA",""),"")&amp;IF(AND(TRIM(U599)="Pass",TRIM(AB599)&lt;&gt;"",TRIM(AB599)&lt;&gt;"Closed"),"INVALID – corrective action not closed: use Fail, then Pass after CA","")&amp;IF(AND(TRIM(AA599)&lt;&gt;"",TRIM(AB599)=""),"INVALID – CA status missing for the recorded corrective action","")&amp;IF(AND(TRIM(U599)="Pass after CA",OR(TRIM(AA599)="",TRIM(AB599)&lt;&gt;"Closed")),"INVALID – corrective action not recorded/closed",""),IF(AND(AS599=1,Documents!$J$22&lt;&gt;"ON FILE"),"INVALID – GLD not on file (Documents sheet)",IF(AND(AS599=2,Documents!$O$22&lt;&gt;"ON FILE"),"INVALID – menu checklist not on file (Documents sheet)",IF(AND(AS599=3,NOT(ISNUMBER(Flights!$AX$22))),"INVALID – enter carrying flight KUL departure (Flights AX)",IF(AND(AS599=3,OR(Flights!$AX$22&gt;=Flights!$AA$22,Flights!$AX$22&lt;Flights!$AA$22-3)),"INVALID – Flights AX must be before this leg's STD (within 3 days)",IF(AG599&gt;AsOfUTC,"INVALID – completion time is in the future",IF(AND(ISNUMBER(S599),AG599&lt;S599),IF(H599="Physical uplift","INVALID – before uplift window (cannot confirm loading)","INVALID – before valid window"),IF(AG599&gt;Flights!$AA$22,"INVALID – completed after departure (cannot establish readiness)",IF(AND(H599="Physical uplift",AG599&gt;Q599),"INVALID – recorded after the loading flight departed",IF(AG599&gt;Q599,"COMPLETE – LATE","COMPLETE")))))))))))))))))),IF(TRIM(U599)="Fail","FAIL – DISCREPANCY",IF(AND(TRIM(U599)&lt;&gt;"",TRIM(U599)&lt;&gt;"Not started",TRIM(U599)&lt;&gt;"In progress"),"INVALID – unrecognised status (use the list)",IF(AsOfUTC&gt;Q599,"OVERDUE",IF(N599="Clarification required","OPEN – CLARIFICATION","OPEN")))))))</f>
        <v>OPEN</v>
      </c>
      <c r="AI599" s="61" t="n">
        <f aca="false">IF(OR(AH599="N/A – RULE",AH599="N/A – JUSTIFIED"),0,1)</f>
        <v>1</v>
      </c>
      <c r="AJ599" s="61" t="n">
        <f aca="false">IF(LEFT(AH599,8)="COMPLETE",1,0)</f>
        <v>0</v>
      </c>
      <c r="AK599" s="61" t="n">
        <f aca="false">IF(AND(AI599=1,AJ599=0,AsOfUTC&gt;Q599),1,0)</f>
        <v>0</v>
      </c>
      <c r="AL599" s="61" t="n">
        <f aca="false">IF(AND(AI599=1,OR(TRIM(U599)="Fail",AND(TRIM(AB599)&lt;&gt;"",TRIM(AB599)&lt;&gt;"Closed"),AND(ISNUMBER(AF599),AF599&lt;&gt;0,TRIM(U599)&lt;&gt;"Pass after CA"))),1,0)</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8" t="b">
        <f aca="false">TRUE()</f>
        <v>1</v>
      </c>
    </row>
    <row r="600" customFormat="false" ht="41.25" hidden="false" customHeight="true" outlineLevel="0" collapsed="false">
      <c r="A600" s="57" t="s">
        <v>1265</v>
      </c>
      <c r="B600" s="57" t="s">
        <v>285</v>
      </c>
      <c r="C600" s="57" t="str">
        <f aca="false">Flights!$F$22</f>
        <v>MH0052</v>
      </c>
      <c r="D600" s="58" t="n">
        <f aca="false">Flights!$D$22</f>
        <v>46322</v>
      </c>
      <c r="E600" s="57" t="str">
        <f aca="false">Flights!$G$22&amp;"-"&amp;Flights!$H$22</f>
        <v>KUL-KIX</v>
      </c>
      <c r="F600" s="57" t="str">
        <f aca="false">Flights!$K$22</f>
        <v>BC</v>
      </c>
      <c r="G600" s="57" t="s">
        <v>385</v>
      </c>
      <c r="H600" s="57" t="s">
        <v>343</v>
      </c>
      <c r="I600" s="57" t="s">
        <v>412</v>
      </c>
      <c r="J600" s="57" t="s">
        <v>588</v>
      </c>
      <c r="K600" s="67" t="s">
        <v>414</v>
      </c>
      <c r="L600" s="67" t="s">
        <v>1266</v>
      </c>
      <c r="M600" s="67" t="s">
        <v>416</v>
      </c>
      <c r="N600" s="67" t="s">
        <v>348</v>
      </c>
      <c r="O600" s="67" t="s">
        <v>468</v>
      </c>
      <c r="P600" s="57" t="s">
        <v>179</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59" t="n">
        <f aca="false">Q600-T12EarlyH/24</f>
        <v>46321.6006944444</v>
      </c>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IF(N600="N/A – rule","N/A – RULE",IF(TRIM(U600)="N/A",IF(AT600=0,"INVALID – N/A not permitted for this mandatory check",IF(AND(TRIM(AC600)&lt;&gt;"",TRIM(AE600)&lt;&gt;"",TRIM(T600)&lt;&gt;"",TRIM(AE600)&lt;&gt;TRIM(T600)),"N/A – JUSTIFIED","INVALID – N/A needs justification, PIC and a different verifier")),IF(OR(TRIM(U600)="Pass",TRIM(U600)="Pass after CA"),IF(NOT(ISNUMBER(AD600)),"INVALID – completion time missing",IF(TRIM(T600)="","INVALID – PIC missing",IF(TRIM(V600)="","INVALID – result / assessment missing",IF(TRIM(Z600)="","INVALID – evidence missing",IF(TRIM(AE600)="","INVALID – verifier missing",IF(TRIM(AE600)=TRIM(T600),"INVALID – verifier must be someone other than the PIC",IF(AND(AQ600=1,TRIM(W600)=""),"INVALID – batch ID missing",IF(AND(AR600=1,OR(NOT(ISNUMBER(X600)),NOT(ISNUMBER(Y600)))),"INVALID – expected/actual qty missing",IF(IF(AND(TRIM(U600)="Pass",ISNUMBER(AF600)),IF(AF600&lt;&gt;0,"INVALID – qty variance: use Fail or Pass after CA",""),"")&amp;IF(AND(TRIM(U600)="Pass",TRIM(AB600)&lt;&gt;"",TRIM(AB600)&lt;&gt;"Closed"),"INVALID – corrective action not closed: use Fail, then Pass after CA","")&amp;IF(AND(TRIM(AA600)&lt;&gt;"",TRIM(AB600)=""),"INVALID – CA status missing for the recorded corrective action","")&amp;IF(AND(TRIM(U600)="Pass after CA",OR(TRIM(AA600)="",TRIM(AB600)&lt;&gt;"Closed")),"INVALID – corrective action not recorded/closed","")&lt;&gt;"",IF(AND(TRIM(U600)="Pass",ISNUMBER(AF600)),IF(AF600&lt;&gt;0,"INVALID – qty variance: use Fail or Pass after CA",""),"")&amp;IF(AND(TRIM(U600)="Pass",TRIM(AB600)&lt;&gt;"",TRIM(AB600)&lt;&gt;"Closed"),"INVALID – corrective action not closed: use Fail, then Pass after CA","")&amp;IF(AND(TRIM(AA600)&lt;&gt;"",TRIM(AB600)=""),"INVALID – CA status missing for the recorded corrective action","")&amp;IF(AND(TRIM(U600)="Pass after CA",OR(TRIM(AA600)="",TRIM(AB600)&lt;&gt;"Closed")),"INVALID – corrective action not recorded/closed",""),IF(AND(AS600=1,Documents!$J$22&lt;&gt;"ON FILE"),"INVALID – GLD not on file (Documents sheet)",IF(AND(AS600=2,Documents!$O$22&lt;&gt;"ON FILE"),"INVALID – menu checklist not on file (Documents sheet)",IF(AND(AS600=3,NOT(ISNUMBER(Flights!$AX$22))),"INVALID – enter carrying flight KUL departure (Flights AX)",IF(AND(AS600=3,OR(Flights!$AX$22&gt;=Flights!$AA$22,Flights!$AX$22&lt;Flights!$AA$22-3)),"INVALID – Flights AX must be before this leg's STD (within 3 days)",IF(AG600&gt;AsOfUTC,"INVALID – completion time is in the future",IF(AND(ISNUMBER(S600),AG600&lt;S600),IF(H600="Physical uplift","INVALID – before uplift window (cannot confirm loading)","INVALID – before valid window"),IF(AG600&gt;Flights!$AA$22,"INVALID – completed after departure (cannot establish readiness)",IF(AND(H600="Physical uplift",AG600&gt;Q600),"INVALID – recorded after the loading flight departed",IF(AG600&gt;Q600,"COMPLETE – LATE","COMPLETE")))))))))))))))))),IF(TRIM(U600)="Fail","FAIL – DISCREPANCY",IF(AND(TRIM(U600)&lt;&gt;"",TRIM(U600)&lt;&gt;"Not started",TRIM(U600)&lt;&gt;"In progress"),"INVALID – unrecognised status (use the list)",IF(AsOfUTC&gt;Q600,"OVERDUE",IF(N600="Clarification required","OPEN – CLARIFICATION","OPEN")))))))</f>
        <v>OPEN</v>
      </c>
      <c r="AI600" s="61" t="n">
        <f aca="false">IF(OR(AH600="N/A – RULE",AH600="N/A – JUSTIFIED"),0,1)</f>
        <v>1</v>
      </c>
      <c r="AJ600" s="61" t="n">
        <f aca="false">IF(LEFT(AH600,8)="COMPLETE",1,0)</f>
        <v>0</v>
      </c>
      <c r="AK600" s="61" t="n">
        <f aca="false">IF(AND(AI600=1,AJ600=0,AsOfUTC&gt;Q600),1,0)</f>
        <v>0</v>
      </c>
      <c r="AL600" s="61" t="n">
        <f aca="false">IF(AND(AI600=1,OR(TRIM(U600)="Fail",AND(TRIM(AB600)&lt;&gt;"",TRIM(AB600)&lt;&gt;"Closed"),AND(ISNUMBER(AF600),AF600&lt;&gt;0,TRIM(U600)&lt;&gt;"Pass after CA"))),1,0)</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8" t="b">
        <f aca="false">TRUE()</f>
        <v>1</v>
      </c>
    </row>
    <row r="601" customFormat="false" ht="41.25" hidden="false" customHeight="true" outlineLevel="0" collapsed="false">
      <c r="A601" s="57" t="s">
        <v>1267</v>
      </c>
      <c r="B601" s="57" t="s">
        <v>285</v>
      </c>
      <c r="C601" s="57" t="str">
        <f aca="false">Flights!$F$22</f>
        <v>MH0052</v>
      </c>
      <c r="D601" s="58" t="n">
        <f aca="false">Flights!$D$22</f>
        <v>46322</v>
      </c>
      <c r="E601" s="57" t="str">
        <f aca="false">Flights!$G$22&amp;"-"&amp;Flights!$H$22</f>
        <v>KUL-KIX</v>
      </c>
      <c r="F601" s="57" t="str">
        <f aca="false">Flights!$K$22</f>
        <v>BC</v>
      </c>
      <c r="G601" s="57" t="s">
        <v>385</v>
      </c>
      <c r="H601" s="57" t="s">
        <v>343</v>
      </c>
      <c r="I601" s="57" t="s">
        <v>412</v>
      </c>
      <c r="J601" s="57" t="s">
        <v>591</v>
      </c>
      <c r="K601" s="67" t="s">
        <v>414</v>
      </c>
      <c r="L601" s="67" t="s">
        <v>1268</v>
      </c>
      <c r="M601" s="67" t="s">
        <v>416</v>
      </c>
      <c r="N601" s="67" t="s">
        <v>348</v>
      </c>
      <c r="O601" s="67" t="s">
        <v>468</v>
      </c>
      <c r="P601" s="57" t="s">
        <v>179</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59" t="n">
        <f aca="false">Q601-T12EarlyH/24</f>
        <v>46321.6006944444</v>
      </c>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IF(N601="N/A – rule","N/A – RULE",IF(TRIM(U601)="N/A",IF(AT601=0,"INVALID – N/A not permitted for this mandatory check",IF(AND(TRIM(AC601)&lt;&gt;"",TRIM(AE601)&lt;&gt;"",TRIM(T601)&lt;&gt;"",TRIM(AE601)&lt;&gt;TRIM(T601)),"N/A – JUSTIFIED","INVALID – N/A needs justification, PIC and a different verifier")),IF(OR(TRIM(U601)="Pass",TRIM(U601)="Pass after CA"),IF(NOT(ISNUMBER(AD601)),"INVALID – completion time missing",IF(TRIM(T601)="","INVALID – PIC missing",IF(TRIM(V601)="","INVALID – result / assessment missing",IF(TRIM(Z601)="","INVALID – evidence missing",IF(TRIM(AE601)="","INVALID – verifier missing",IF(TRIM(AE601)=TRIM(T601),"INVALID – verifier must be someone other than the PIC",IF(AND(AQ601=1,TRIM(W601)=""),"INVALID – batch ID missing",IF(AND(AR601=1,OR(NOT(ISNUMBER(X601)),NOT(ISNUMBER(Y601)))),"INVALID – expected/actual qty missing",IF(IF(AND(TRIM(U601)="Pass",ISNUMBER(AF601)),IF(AF601&lt;&gt;0,"INVALID – qty variance: use Fail or Pass after CA",""),"")&amp;IF(AND(TRIM(U601)="Pass",TRIM(AB601)&lt;&gt;"",TRIM(AB601)&lt;&gt;"Closed"),"INVALID – corrective action not closed: use Fail, then Pass after CA","")&amp;IF(AND(TRIM(AA601)&lt;&gt;"",TRIM(AB601)=""),"INVALID – CA status missing for the recorded corrective action","")&amp;IF(AND(TRIM(U601)="Pass after CA",OR(TRIM(AA601)="",TRIM(AB601)&lt;&gt;"Closed")),"INVALID – corrective action not recorded/closed","")&lt;&gt;"",IF(AND(TRIM(U601)="Pass",ISNUMBER(AF601)),IF(AF601&lt;&gt;0,"INVALID – qty variance: use Fail or Pass after CA",""),"")&amp;IF(AND(TRIM(U601)="Pass",TRIM(AB601)&lt;&gt;"",TRIM(AB601)&lt;&gt;"Closed"),"INVALID – corrective action not closed: use Fail, then Pass after CA","")&amp;IF(AND(TRIM(AA601)&lt;&gt;"",TRIM(AB601)=""),"INVALID – CA status missing for the recorded corrective action","")&amp;IF(AND(TRIM(U601)="Pass after CA",OR(TRIM(AA601)="",TRIM(AB601)&lt;&gt;"Closed")),"INVALID – corrective action not recorded/closed",""),IF(AND(AS601=1,Documents!$J$22&lt;&gt;"ON FILE"),"INVALID – GLD not on file (Documents sheet)",IF(AND(AS601=2,Documents!$O$22&lt;&gt;"ON FILE"),"INVALID – menu checklist not on file (Documents sheet)",IF(AND(AS601=3,NOT(ISNUMBER(Flights!$AX$22))),"INVALID – enter carrying flight KUL departure (Flights AX)",IF(AND(AS601=3,OR(Flights!$AX$22&gt;=Flights!$AA$22,Flights!$AX$22&lt;Flights!$AA$22-3)),"INVALID – Flights AX must be before this leg's STD (within 3 days)",IF(AG601&gt;AsOfUTC,"INVALID – completion time is in the future",IF(AND(ISNUMBER(S601),AG601&lt;S601),IF(H601="Physical uplift","INVALID – before uplift window (cannot confirm loading)","INVALID – before valid window"),IF(AG601&gt;Flights!$AA$22,"INVALID – completed after departure (cannot establish readiness)",IF(AND(H601="Physical uplift",AG601&gt;Q601),"INVALID – recorded after the loading flight departed",IF(AG601&gt;Q601,"COMPLETE – LATE","COMPLETE")))))))))))))))))),IF(TRIM(U601)="Fail","FAIL – DISCREPANCY",IF(AND(TRIM(U601)&lt;&gt;"",TRIM(U601)&lt;&gt;"Not started",TRIM(U601)&lt;&gt;"In progress"),"INVALID – unrecognised status (use the list)",IF(AsOfUTC&gt;Q601,"OVERDUE",IF(N601="Clarification required","OPEN – CLARIFICATION","OPEN")))))))</f>
        <v>OPEN</v>
      </c>
      <c r="AI601" s="61" t="n">
        <f aca="false">IF(OR(AH601="N/A – RULE",AH601="N/A – JUSTIFIED"),0,1)</f>
        <v>1</v>
      </c>
      <c r="AJ601" s="61" t="n">
        <f aca="false">IF(LEFT(AH601,8)="COMPLETE",1,0)</f>
        <v>0</v>
      </c>
      <c r="AK601" s="61" t="n">
        <f aca="false">IF(AND(AI601=1,AJ601=0,AsOfUTC&gt;Q601),1,0)</f>
        <v>0</v>
      </c>
      <c r="AL601" s="61" t="n">
        <f aca="false">IF(AND(AI601=1,OR(TRIM(U601)="Fail",AND(TRIM(AB601)&lt;&gt;"",TRIM(AB601)&lt;&gt;"Closed"),AND(ISNUMBER(AF601),AF601&lt;&gt;0,TRIM(U601)&lt;&gt;"Pass after CA"))),1,0)</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8" t="b">
        <f aca="false">TRUE()</f>
        <v>1</v>
      </c>
    </row>
    <row r="602" customFormat="false" ht="39.75" hidden="false" customHeight="true" outlineLevel="0" collapsed="false">
      <c r="A602" s="57" t="s">
        <v>1269</v>
      </c>
      <c r="B602" s="57" t="s">
        <v>285</v>
      </c>
      <c r="C602" s="57" t="str">
        <f aca="false">Flights!$F$22</f>
        <v>MH0052</v>
      </c>
      <c r="D602" s="58" t="n">
        <f aca="false">Flights!$D$22</f>
        <v>46322</v>
      </c>
      <c r="E602" s="57" t="str">
        <f aca="false">Flights!$G$22&amp;"-"&amp;Flights!$H$22</f>
        <v>KUL-KIX</v>
      </c>
      <c r="F602" s="57" t="str">
        <f aca="false">Flights!$K$22</f>
        <v>BC</v>
      </c>
      <c r="G602" s="57" t="s">
        <v>385</v>
      </c>
      <c r="H602" s="57" t="s">
        <v>343</v>
      </c>
      <c r="I602" s="57" t="s">
        <v>594</v>
      </c>
      <c r="J602" s="57" t="s">
        <v>595</v>
      </c>
      <c r="K602" s="67" t="s">
        <v>466</v>
      </c>
      <c r="L602" s="67" t="s">
        <v>1270</v>
      </c>
      <c r="M602" s="67" t="s">
        <v>179</v>
      </c>
      <c r="N602" s="67" t="s">
        <v>348</v>
      </c>
      <c r="O602" s="67" t="s">
        <v>597</v>
      </c>
      <c r="P602" s="57" t="s">
        <v>179</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59" t="n">
        <f aca="false">Q602-T12EarlyH/24</f>
        <v>46321.6006944444</v>
      </c>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IF(N602="N/A – rule","N/A – RULE",IF(TRIM(U602)="N/A",IF(AT602=0,"INVALID – N/A not permitted for this mandatory check",IF(AND(TRIM(AC602)&lt;&gt;"",TRIM(AE602)&lt;&gt;"",TRIM(T602)&lt;&gt;"",TRIM(AE602)&lt;&gt;TRIM(T602)),"N/A – JUSTIFIED","INVALID – N/A needs justification, PIC and a different verifier")),IF(OR(TRIM(U602)="Pass",TRIM(U602)="Pass after CA"),IF(NOT(ISNUMBER(AD602)),"INVALID – completion time missing",IF(TRIM(T602)="","INVALID – PIC missing",IF(TRIM(V602)="","INVALID – result / assessment missing",IF(TRIM(Z602)="","INVALID – evidence missing",IF(TRIM(AE602)="","INVALID – verifier missing",IF(TRIM(AE602)=TRIM(T602),"INVALID – verifier must be someone other than the PIC",IF(AND(AQ602=1,TRIM(W602)=""),"INVALID – batch ID missing",IF(AND(AR602=1,OR(NOT(ISNUMBER(X602)),NOT(ISNUMBER(Y602)))),"INVALID – expected/actual qty missing",IF(IF(AND(TRIM(U602)="Pass",ISNUMBER(AF602)),IF(AF602&lt;&gt;0,"INVALID – qty variance: use Fail or Pass after CA",""),"")&amp;IF(AND(TRIM(U602)="Pass",TRIM(AB602)&lt;&gt;"",TRIM(AB602)&lt;&gt;"Closed"),"INVALID – corrective action not closed: use Fail, then Pass after CA","")&amp;IF(AND(TRIM(AA602)&lt;&gt;"",TRIM(AB602)=""),"INVALID – CA status missing for the recorded corrective action","")&amp;IF(AND(TRIM(U602)="Pass after CA",OR(TRIM(AA602)="",TRIM(AB602)&lt;&gt;"Closed")),"INVALID – corrective action not recorded/closed","")&lt;&gt;"",IF(AND(TRIM(U602)="Pass",ISNUMBER(AF602)),IF(AF602&lt;&gt;0,"INVALID – qty variance: use Fail or Pass after CA",""),"")&amp;IF(AND(TRIM(U602)="Pass",TRIM(AB602)&lt;&gt;"",TRIM(AB602)&lt;&gt;"Closed"),"INVALID – corrective action not closed: use Fail, then Pass after CA","")&amp;IF(AND(TRIM(AA602)&lt;&gt;"",TRIM(AB602)=""),"INVALID – CA status missing for the recorded corrective action","")&amp;IF(AND(TRIM(U602)="Pass after CA",OR(TRIM(AA602)="",TRIM(AB602)&lt;&gt;"Closed")),"INVALID – corrective action not recorded/closed",""),IF(AND(AS602=1,Documents!$J$22&lt;&gt;"ON FILE"),"INVALID – GLD not on file (Documents sheet)",IF(AND(AS602=2,Documents!$O$22&lt;&gt;"ON FILE"),"INVALID – menu checklist not on file (Documents sheet)",IF(AND(AS602=3,NOT(ISNUMBER(Flights!$AX$22))),"INVALID – enter carrying flight KUL departure (Flights AX)",IF(AND(AS602=3,OR(Flights!$AX$22&gt;=Flights!$AA$22,Flights!$AX$22&lt;Flights!$AA$22-3)),"INVALID – Flights AX must be before this leg's STD (within 3 days)",IF(AG602&gt;AsOfUTC,"INVALID – completion time is in the future",IF(AND(ISNUMBER(S602),AG602&lt;S602),IF(H602="Physical uplift","INVALID – before uplift window (cannot confirm loading)","INVALID – before valid window"),IF(AG602&gt;Flights!$AA$22,"INVALID – completed after departure (cannot establish readiness)",IF(AND(H602="Physical uplift",AG602&gt;Q602),"INVALID – recorded after the loading flight departed",IF(AG602&gt;Q602,"COMPLETE – LATE","COMPLETE")))))))))))))))))),IF(TRIM(U602)="Fail","FAIL – DISCREPANCY",IF(AND(TRIM(U602)&lt;&gt;"",TRIM(U602)&lt;&gt;"Not started",TRIM(U602)&lt;&gt;"In progress"),"INVALID – unrecognised status (use the list)",IF(AsOfUTC&gt;Q602,"OVERDUE",IF(N602="Clarification required","OPEN – CLARIFICATION","OPEN")))))))</f>
        <v>OPEN</v>
      </c>
      <c r="AI602" s="61" t="n">
        <f aca="false">IF(OR(AH602="N/A – RULE",AH602="N/A – JUSTIFIED"),0,1)</f>
        <v>1</v>
      </c>
      <c r="AJ602" s="61" t="n">
        <f aca="false">IF(LEFT(AH602,8)="COMPLETE",1,0)</f>
        <v>0</v>
      </c>
      <c r="AK602" s="61" t="n">
        <f aca="false">IF(AND(AI602=1,AJ602=0,AsOfUTC&gt;Q602),1,0)</f>
        <v>0</v>
      </c>
      <c r="AL602" s="61" t="n">
        <f aca="false">IF(AND(AI602=1,OR(TRIM(U602)="Fail",AND(TRIM(AB602)&lt;&gt;"",TRIM(AB602)&lt;&gt;"Closed"),AND(ISNUMBER(AF602),AF602&lt;&gt;0,TRIM(U602)&lt;&gt;"Pass after CA"))),1,0)</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8" t="b">
        <f aca="false">TRUE()</f>
        <v>1</v>
      </c>
    </row>
    <row r="603" customFormat="false" ht="41.25" hidden="false" customHeight="true" outlineLevel="0" collapsed="false">
      <c r="A603" s="57" t="s">
        <v>1271</v>
      </c>
      <c r="B603" s="57" t="s">
        <v>285</v>
      </c>
      <c r="C603" s="57" t="str">
        <f aca="false">Flights!$F$22</f>
        <v>MH0052</v>
      </c>
      <c r="D603" s="58" t="n">
        <f aca="false">Flights!$D$22</f>
        <v>46322</v>
      </c>
      <c r="E603" s="57" t="str">
        <f aca="false">Flights!$G$22&amp;"-"&amp;Flights!$H$22</f>
        <v>KUL-KIX</v>
      </c>
      <c r="F603" s="57" t="str">
        <f aca="false">Flights!$K$22</f>
        <v>BC</v>
      </c>
      <c r="G603" s="57" t="s">
        <v>385</v>
      </c>
      <c r="H603" s="57" t="s">
        <v>343</v>
      </c>
      <c r="I603" s="57" t="s">
        <v>599</v>
      </c>
      <c r="J603" s="57" t="s">
        <v>600</v>
      </c>
      <c r="K603" s="67" t="s">
        <v>1272</v>
      </c>
      <c r="L603" s="67" t="s">
        <v>1273</v>
      </c>
      <c r="M603" s="67" t="s">
        <v>416</v>
      </c>
      <c r="N603" s="67" t="s">
        <v>348</v>
      </c>
      <c r="O603" s="67" t="s">
        <v>1274</v>
      </c>
      <c r="P603" s="57" t="s">
        <v>179</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59" t="n">
        <f aca="false">Q603-T12EarlyH/24</f>
        <v>46321.6006944444</v>
      </c>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IF(N603="N/A – rule","N/A – RULE",IF(TRIM(U603)="N/A",IF(AT603=0,"INVALID – N/A not permitted for this mandatory check",IF(AND(TRIM(AC603)&lt;&gt;"",TRIM(AE603)&lt;&gt;"",TRIM(T603)&lt;&gt;"",TRIM(AE603)&lt;&gt;TRIM(T603)),"N/A – JUSTIFIED","INVALID – N/A needs justification, PIC and a different verifier")),IF(OR(TRIM(U603)="Pass",TRIM(U603)="Pass after CA"),IF(NOT(ISNUMBER(AD603)),"INVALID – completion time missing",IF(TRIM(T603)="","INVALID – PIC missing",IF(TRIM(V603)="","INVALID – result / assessment missing",IF(TRIM(Z603)="","INVALID – evidence missing",IF(TRIM(AE603)="","INVALID – verifier missing",IF(TRIM(AE603)=TRIM(T603),"INVALID – verifier must be someone other than the PIC",IF(AND(AQ603=1,TRIM(W603)=""),"INVALID – batch ID missing",IF(AND(AR603=1,OR(NOT(ISNUMBER(X603)),NOT(ISNUMBER(Y603)))),"INVALID – expected/actual qty missing",IF(IF(AND(TRIM(U603)="Pass",ISNUMBER(AF603)),IF(AF603&lt;&gt;0,"INVALID – qty variance: use Fail or Pass after CA",""),"")&amp;IF(AND(TRIM(U603)="Pass",TRIM(AB603)&lt;&gt;"",TRIM(AB603)&lt;&gt;"Closed"),"INVALID – corrective action not closed: use Fail, then Pass after CA","")&amp;IF(AND(TRIM(AA603)&lt;&gt;"",TRIM(AB603)=""),"INVALID – CA status missing for the recorded corrective action","")&amp;IF(AND(TRIM(U603)="Pass after CA",OR(TRIM(AA603)="",TRIM(AB603)&lt;&gt;"Closed")),"INVALID – corrective action not recorded/closed","")&lt;&gt;"",IF(AND(TRIM(U603)="Pass",ISNUMBER(AF603)),IF(AF603&lt;&gt;0,"INVALID – qty variance: use Fail or Pass after CA",""),"")&amp;IF(AND(TRIM(U603)="Pass",TRIM(AB603)&lt;&gt;"",TRIM(AB603)&lt;&gt;"Closed"),"INVALID – corrective action not closed: use Fail, then Pass after CA","")&amp;IF(AND(TRIM(AA603)&lt;&gt;"",TRIM(AB603)=""),"INVALID – CA status missing for the recorded corrective action","")&amp;IF(AND(TRIM(U603)="Pass after CA",OR(TRIM(AA603)="",TRIM(AB603)&lt;&gt;"Closed")),"INVALID – corrective action not recorded/closed",""),IF(AND(AS603=1,Documents!$J$22&lt;&gt;"ON FILE"),"INVALID – GLD not on file (Documents sheet)",IF(AND(AS603=2,Documents!$O$22&lt;&gt;"ON FILE"),"INVALID – menu checklist not on file (Documents sheet)",IF(AND(AS603=3,NOT(ISNUMBER(Flights!$AX$22))),"INVALID – enter carrying flight KUL departure (Flights AX)",IF(AND(AS603=3,OR(Flights!$AX$22&gt;=Flights!$AA$22,Flights!$AX$22&lt;Flights!$AA$22-3)),"INVALID – Flights AX must be before this leg's STD (within 3 days)",IF(AG603&gt;AsOfUTC,"INVALID – completion time is in the future",IF(AND(ISNUMBER(S603),AG603&lt;S603),IF(H603="Physical uplift","INVALID – before uplift window (cannot confirm loading)","INVALID – before valid window"),IF(AG603&gt;Flights!$AA$22,"INVALID – completed after departure (cannot establish readiness)",IF(AND(H603="Physical uplift",AG603&gt;Q603),"INVALID – recorded after the loading flight departed",IF(AG603&gt;Q603,"COMPLETE – LATE","COMPLETE")))))))))))))))))),IF(TRIM(U603)="Fail","FAIL – DISCREPANCY",IF(AND(TRIM(U603)&lt;&gt;"",TRIM(U603)&lt;&gt;"Not started",TRIM(U603)&lt;&gt;"In progress"),"INVALID – unrecognised status (use the list)",IF(AsOfUTC&gt;Q603,"OVERDUE",IF(N603="Clarification required","OPEN – CLARIFICATION","OPEN")))))))</f>
        <v>OPEN</v>
      </c>
      <c r="AI603" s="61" t="n">
        <f aca="false">IF(OR(AH603="N/A – RULE",AH603="N/A – JUSTIFIED"),0,1)</f>
        <v>1</v>
      </c>
      <c r="AJ603" s="61" t="n">
        <f aca="false">IF(LEFT(AH603,8)="COMPLETE",1,0)</f>
        <v>0</v>
      </c>
      <c r="AK603" s="61" t="n">
        <f aca="false">IF(AND(AI603=1,AJ603=0,AsOfUTC&gt;Q603),1,0)</f>
        <v>0</v>
      </c>
      <c r="AL603" s="61" t="n">
        <f aca="false">IF(AND(AI603=1,OR(TRIM(U603)="Fail",AND(TRIM(AB603)&lt;&gt;"",TRIM(AB603)&lt;&gt;"Closed"),AND(ISNUMBER(AF603),AF603&lt;&gt;0,TRIM(U603)&lt;&gt;"Pass after CA"))),1,0)</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8" t="b">
        <f aca="false">TRUE()</f>
        <v>1</v>
      </c>
    </row>
    <row r="604" customFormat="false" ht="39.75" hidden="false" customHeight="true" outlineLevel="0" collapsed="false">
      <c r="A604" s="57" t="s">
        <v>1275</v>
      </c>
      <c r="B604" s="57" t="s">
        <v>285</v>
      </c>
      <c r="C604" s="57" t="str">
        <f aca="false">Flights!$F$22</f>
        <v>MH0052</v>
      </c>
      <c r="D604" s="58" t="n">
        <f aca="false">Flights!$D$22</f>
        <v>46322</v>
      </c>
      <c r="E604" s="57" t="str">
        <f aca="false">Flights!$G$22&amp;"-"&amp;Flights!$H$22</f>
        <v>KUL-KIX</v>
      </c>
      <c r="F604" s="57" t="str">
        <f aca="false">Flights!$K$22</f>
        <v>BC</v>
      </c>
      <c r="G604" s="57" t="s">
        <v>424</v>
      </c>
      <c r="H604" s="57" t="s">
        <v>425</v>
      </c>
      <c r="I604" s="57" t="s">
        <v>344</v>
      </c>
      <c r="J604" s="57" t="s">
        <v>426</v>
      </c>
      <c r="K604" s="67" t="s">
        <v>391</v>
      </c>
      <c r="L604" s="67" t="s">
        <v>427</v>
      </c>
      <c r="M604" s="67"/>
      <c r="N604" s="67" t="s">
        <v>348</v>
      </c>
      <c r="O604" s="67" t="s">
        <v>428</v>
      </c>
      <c r="P604" s="57" t="s">
        <v>179</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59" t="n">
        <f aca="false">IF(ISNUMBER(Flights!$AY$22),MAX(Q604-UpliftWindowH/24,Flights!$AY$22+UpliftWindowH/24),Q604-UpliftWindowH/24)</f>
        <v>46322.3506944444</v>
      </c>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IF(N604="N/A – rule","N/A – RULE",IF(TRIM(U604)="N/A",IF(AT604=0,"INVALID – N/A not permitted for this mandatory check",IF(AND(TRIM(AC604)&lt;&gt;"",TRIM(AE604)&lt;&gt;"",TRIM(T604)&lt;&gt;"",TRIM(AE604)&lt;&gt;TRIM(T604)),"N/A – JUSTIFIED","INVALID – N/A needs justification, PIC and a different verifier")),IF(OR(TRIM(U604)="Pass",TRIM(U604)="Pass after CA"),IF(NOT(ISNUMBER(AD604)),"INVALID – completion time missing",IF(TRIM(T604)="","INVALID – PIC missing",IF(TRIM(V604)="","INVALID – result / assessment missing",IF(TRIM(Z604)="","INVALID – evidence missing",IF(TRIM(AE604)="","INVALID – verifier missing",IF(TRIM(AE604)=TRIM(T604),"INVALID – verifier must be someone other than the PIC",IF(AND(AQ604=1,TRIM(W604)=""),"INVALID – batch ID missing",IF(AND(AR604=1,OR(NOT(ISNUMBER(X604)),NOT(ISNUMBER(Y604)))),"INVALID – expected/actual qty missing",IF(IF(AND(TRIM(U604)="Pass",ISNUMBER(AF604)),IF(AF604&lt;&gt;0,"INVALID – qty variance: use Fail or Pass after CA",""),"")&amp;IF(AND(TRIM(U604)="Pass",TRIM(AB604)&lt;&gt;"",TRIM(AB604)&lt;&gt;"Closed"),"INVALID – corrective action not closed: use Fail, then Pass after CA","")&amp;IF(AND(TRIM(AA604)&lt;&gt;"",TRIM(AB604)=""),"INVALID – CA status missing for the recorded corrective action","")&amp;IF(AND(TRIM(U604)="Pass after CA",OR(TRIM(AA604)="",TRIM(AB604)&lt;&gt;"Closed")),"INVALID – corrective action not recorded/closed","")&lt;&gt;"",IF(AND(TRIM(U604)="Pass",ISNUMBER(AF604)),IF(AF604&lt;&gt;0,"INVALID – qty variance: use Fail or Pass after CA",""),"")&amp;IF(AND(TRIM(U604)="Pass",TRIM(AB604)&lt;&gt;"",TRIM(AB604)&lt;&gt;"Closed"),"INVALID – corrective action not closed: use Fail, then Pass after CA","")&amp;IF(AND(TRIM(AA604)&lt;&gt;"",TRIM(AB604)=""),"INVALID – CA status missing for the recorded corrective action","")&amp;IF(AND(TRIM(U604)="Pass after CA",OR(TRIM(AA604)="",TRIM(AB604)&lt;&gt;"Closed")),"INVALID – corrective action not recorded/closed",""),IF(AND(AS604=1,Documents!$J$22&lt;&gt;"ON FILE"),"INVALID – GLD not on file (Documents sheet)",IF(AND(AS604=2,Documents!$O$22&lt;&gt;"ON FILE"),"INVALID – menu checklist not on file (Documents sheet)",IF(AND(AS604=3,NOT(ISNUMBER(Flights!$AX$22))),"INVALID – enter carrying flight KUL departure (Flights AX)",IF(AND(AS604=3,OR(Flights!$AX$22&gt;=Flights!$AA$22,Flights!$AX$22&lt;Flights!$AA$22-3)),"INVALID – Flights AX must be before this leg's STD (within 3 days)",IF(AG604&gt;AsOfUTC,"INVALID – completion time is in the future",IF(AND(ISNUMBER(S604),AG604&lt;S604),IF(H604="Physical uplift","INVALID – before uplift window (cannot confirm loading)","INVALID – before valid window"),IF(AG604&gt;Flights!$AA$22,"INVALID – completed after departure (cannot establish readiness)",IF(AND(H604="Physical uplift",AG604&gt;Q604),"INVALID – recorded after the loading flight departed",IF(AG604&gt;Q604,"COMPLETE – LATE","COMPLETE")))))))))))))))))),IF(TRIM(U604)="Fail","FAIL – DISCREPANCY",IF(AND(TRIM(U604)&lt;&gt;"",TRIM(U604)&lt;&gt;"Not started",TRIM(U604)&lt;&gt;"In progress"),"INVALID – unrecognised status (use the list)",IF(AsOfUTC&gt;Q604,"OVERDUE",IF(N604="Clarification required","OPEN – CLARIFICATION","OPEN")))))))</f>
        <v>OPEN</v>
      </c>
      <c r="AI604" s="61" t="n">
        <f aca="false">IF(OR(AH604="N/A – RULE",AH604="N/A – JUSTIFIED"),0,1)</f>
        <v>1</v>
      </c>
      <c r="AJ604" s="61" t="n">
        <f aca="false">IF(LEFT(AH604,8)="COMPLETE",1,0)</f>
        <v>0</v>
      </c>
      <c r="AK604" s="61" t="n">
        <f aca="false">IF(AND(AI604=1,AJ604=0,AsOfUTC&gt;Q604),1,0)</f>
        <v>0</v>
      </c>
      <c r="AL604" s="61" t="n">
        <f aca="false">IF(AND(AI604=1,OR(TRIM(U604)="Fail",AND(TRIM(AB604)&lt;&gt;"",TRIM(AB604)&lt;&gt;"Closed"),AND(ISNUMBER(AF604),AF604&lt;&gt;0,TRIM(U604)&lt;&gt;"Pass after CA"))),1,0)</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row>
    <row r="605" customFormat="false" ht="39.75" hidden="false" customHeight="true" outlineLevel="0" collapsed="false">
      <c r="A605" s="57" t="s">
        <v>1276</v>
      </c>
      <c r="B605" s="57" t="s">
        <v>285</v>
      </c>
      <c r="C605" s="57" t="str">
        <f aca="false">Flights!$F$22</f>
        <v>MH0052</v>
      </c>
      <c r="D605" s="58" t="n">
        <f aca="false">Flights!$D$22</f>
        <v>46322</v>
      </c>
      <c r="E605" s="57" t="str">
        <f aca="false">Flights!$G$22&amp;"-"&amp;Flights!$H$22</f>
        <v>KUL-KIX</v>
      </c>
      <c r="F605" s="57" t="str">
        <f aca="false">Flights!$K$22</f>
        <v>BC</v>
      </c>
      <c r="G605" s="57" t="s">
        <v>424</v>
      </c>
      <c r="H605" s="57" t="s">
        <v>425</v>
      </c>
      <c r="I605" s="57" t="s">
        <v>393</v>
      </c>
      <c r="J605" s="57" t="s">
        <v>430</v>
      </c>
      <c r="K605" s="67" t="s">
        <v>391</v>
      </c>
      <c r="L605" s="67" t="s">
        <v>427</v>
      </c>
      <c r="M605" s="67"/>
      <c r="N605" s="67" t="s">
        <v>348</v>
      </c>
      <c r="O605" s="67" t="s">
        <v>428</v>
      </c>
      <c r="P605" s="57" t="s">
        <v>179</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59" t="n">
        <f aca="false">IF(ISNUMBER(Flights!$AY$22),MAX(Q605-UpliftWindowH/24,Flights!$AY$22+UpliftWindowH/24),Q605-UpliftWindowH/24)</f>
        <v>46322.3506944444</v>
      </c>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IF(N605="N/A – rule","N/A – RULE",IF(TRIM(U605)="N/A",IF(AT605=0,"INVALID – N/A not permitted for this mandatory check",IF(AND(TRIM(AC605)&lt;&gt;"",TRIM(AE605)&lt;&gt;"",TRIM(T605)&lt;&gt;"",TRIM(AE605)&lt;&gt;TRIM(T605)),"N/A – JUSTIFIED","INVALID – N/A needs justification, PIC and a different verifier")),IF(OR(TRIM(U605)="Pass",TRIM(U605)="Pass after CA"),IF(NOT(ISNUMBER(AD605)),"INVALID – completion time missing",IF(TRIM(T605)="","INVALID – PIC missing",IF(TRIM(V605)="","INVALID – result / assessment missing",IF(TRIM(Z605)="","INVALID – evidence missing",IF(TRIM(AE605)="","INVALID – verifier missing",IF(TRIM(AE605)=TRIM(T605),"INVALID – verifier must be someone other than the PIC",IF(AND(AQ605=1,TRIM(W605)=""),"INVALID – batch ID missing",IF(AND(AR605=1,OR(NOT(ISNUMBER(X605)),NOT(ISNUMBER(Y605)))),"INVALID – expected/actual qty missing",IF(IF(AND(TRIM(U605)="Pass",ISNUMBER(AF605)),IF(AF605&lt;&gt;0,"INVALID – qty variance: use Fail or Pass after CA",""),"")&amp;IF(AND(TRIM(U605)="Pass",TRIM(AB605)&lt;&gt;"",TRIM(AB605)&lt;&gt;"Closed"),"INVALID – corrective action not closed: use Fail, then Pass after CA","")&amp;IF(AND(TRIM(AA605)&lt;&gt;"",TRIM(AB605)=""),"INVALID – CA status missing for the recorded corrective action","")&amp;IF(AND(TRIM(U605)="Pass after CA",OR(TRIM(AA605)="",TRIM(AB605)&lt;&gt;"Closed")),"INVALID – corrective action not recorded/closed","")&lt;&gt;"",IF(AND(TRIM(U605)="Pass",ISNUMBER(AF605)),IF(AF605&lt;&gt;0,"INVALID – qty variance: use Fail or Pass after CA",""),"")&amp;IF(AND(TRIM(U605)="Pass",TRIM(AB605)&lt;&gt;"",TRIM(AB605)&lt;&gt;"Closed"),"INVALID – corrective action not closed: use Fail, then Pass after CA","")&amp;IF(AND(TRIM(AA605)&lt;&gt;"",TRIM(AB605)=""),"INVALID – CA status missing for the recorded corrective action","")&amp;IF(AND(TRIM(U605)="Pass after CA",OR(TRIM(AA605)="",TRIM(AB605)&lt;&gt;"Closed")),"INVALID – corrective action not recorded/closed",""),IF(AND(AS605=1,Documents!$J$22&lt;&gt;"ON FILE"),"INVALID – GLD not on file (Documents sheet)",IF(AND(AS605=2,Documents!$O$22&lt;&gt;"ON FILE"),"INVALID – menu checklist not on file (Documents sheet)",IF(AND(AS605=3,NOT(ISNUMBER(Flights!$AX$22))),"INVALID – enter carrying flight KUL departure (Flights AX)",IF(AND(AS605=3,OR(Flights!$AX$22&gt;=Flights!$AA$22,Flights!$AX$22&lt;Flights!$AA$22-3)),"INVALID – Flights AX must be before this leg's STD (within 3 days)",IF(AG605&gt;AsOfUTC,"INVALID – completion time is in the future",IF(AND(ISNUMBER(S605),AG605&lt;S605),IF(H605="Physical uplift","INVALID – before uplift window (cannot confirm loading)","INVALID – before valid window"),IF(AG605&gt;Flights!$AA$22,"INVALID – completed after departure (cannot establish readiness)",IF(AND(H605="Physical uplift",AG605&gt;Q605),"INVALID – recorded after the loading flight departed",IF(AG605&gt;Q605,"COMPLETE – LATE","COMPLETE")))))))))))))))))),IF(TRIM(U605)="Fail","FAIL – DISCREPANCY",IF(AND(TRIM(U605)&lt;&gt;"",TRIM(U605)&lt;&gt;"Not started",TRIM(U605)&lt;&gt;"In progress"),"INVALID – unrecognised status (use the list)",IF(AsOfUTC&gt;Q605,"OVERDUE",IF(N605="Clarification required","OPEN – CLARIFICATION","OPEN")))))))</f>
        <v>OPEN</v>
      </c>
      <c r="AI605" s="61" t="n">
        <f aca="false">IF(OR(AH605="N/A – RULE",AH605="N/A – JUSTIFIED"),0,1)</f>
        <v>1</v>
      </c>
      <c r="AJ605" s="61" t="n">
        <f aca="false">IF(LEFT(AH605,8)="COMPLETE",1,0)</f>
        <v>0</v>
      </c>
      <c r="AK605" s="61" t="n">
        <f aca="false">IF(AND(AI605=1,AJ605=0,AsOfUTC&gt;Q605),1,0)</f>
        <v>0</v>
      </c>
      <c r="AL605" s="61" t="n">
        <f aca="false">IF(AND(AI605=1,OR(TRIM(U605)="Fail",AND(TRIM(AB605)&lt;&gt;"",TRIM(AB605)&lt;&gt;"Closed"),AND(ISNUMBER(AF605),AF605&lt;&gt;0,TRIM(U605)&lt;&gt;"Pass after CA"))),1,0)</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row>
    <row r="606" customFormat="false" ht="39.75" hidden="false" customHeight="true" outlineLevel="0" collapsed="false">
      <c r="A606" s="57" t="s">
        <v>1277</v>
      </c>
      <c r="B606" s="57" t="s">
        <v>285</v>
      </c>
      <c r="C606" s="57" t="str">
        <f aca="false">Flights!$F$22</f>
        <v>MH0052</v>
      </c>
      <c r="D606" s="58" t="n">
        <f aca="false">Flights!$D$22</f>
        <v>46322</v>
      </c>
      <c r="E606" s="57" t="str">
        <f aca="false">Flights!$G$22&amp;"-"&amp;Flights!$H$22</f>
        <v>KUL-KIX</v>
      </c>
      <c r="F606" s="57" t="str">
        <f aca="false">Flights!$K$22</f>
        <v>BC</v>
      </c>
      <c r="G606" s="57" t="s">
        <v>424</v>
      </c>
      <c r="H606" s="57" t="s">
        <v>425</v>
      </c>
      <c r="I606" s="57" t="s">
        <v>405</v>
      </c>
      <c r="J606" s="57" t="s">
        <v>608</v>
      </c>
      <c r="K606" s="67" t="s">
        <v>466</v>
      </c>
      <c r="L606" s="67" t="s">
        <v>1248</v>
      </c>
      <c r="M606" s="67" t="s">
        <v>179</v>
      </c>
      <c r="N606" s="67" t="s">
        <v>348</v>
      </c>
      <c r="O606" s="67"/>
      <c r="P606" s="57" t="s">
        <v>179</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59" t="n">
        <f aca="false">IF(ISNUMBER(Flights!$AY$22),MAX(Q606-UpliftWindowH/24,Flights!$AY$22+UpliftWindowH/24),Q606-UpliftWindowH/24)</f>
        <v>46322.3506944444</v>
      </c>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IF(N606="N/A – rule","N/A – RULE",IF(TRIM(U606)="N/A",IF(AT606=0,"INVALID – N/A not permitted for this mandatory check",IF(AND(TRIM(AC606)&lt;&gt;"",TRIM(AE606)&lt;&gt;"",TRIM(T606)&lt;&gt;"",TRIM(AE606)&lt;&gt;TRIM(T606)),"N/A – JUSTIFIED","INVALID – N/A needs justification, PIC and a different verifier")),IF(OR(TRIM(U606)="Pass",TRIM(U606)="Pass after CA"),IF(NOT(ISNUMBER(AD606)),"INVALID – completion time missing",IF(TRIM(T606)="","INVALID – PIC missing",IF(TRIM(V606)="","INVALID – result / assessment missing",IF(TRIM(Z606)="","INVALID – evidence missing",IF(TRIM(AE606)="","INVALID – verifier missing",IF(TRIM(AE606)=TRIM(T606),"INVALID – verifier must be someone other than the PIC",IF(AND(AQ606=1,TRIM(W606)=""),"INVALID – batch ID missing",IF(AND(AR606=1,OR(NOT(ISNUMBER(X606)),NOT(ISNUMBER(Y606)))),"INVALID – expected/actual qty missing",IF(IF(AND(TRIM(U606)="Pass",ISNUMBER(AF606)),IF(AF606&lt;&gt;0,"INVALID – qty variance: use Fail or Pass after CA",""),"")&amp;IF(AND(TRIM(U606)="Pass",TRIM(AB606)&lt;&gt;"",TRIM(AB606)&lt;&gt;"Closed"),"INVALID – corrective action not closed: use Fail, then Pass after CA","")&amp;IF(AND(TRIM(AA606)&lt;&gt;"",TRIM(AB606)=""),"INVALID – CA status missing for the recorded corrective action","")&amp;IF(AND(TRIM(U606)="Pass after CA",OR(TRIM(AA606)="",TRIM(AB606)&lt;&gt;"Closed")),"INVALID – corrective action not recorded/closed","")&lt;&gt;"",IF(AND(TRIM(U606)="Pass",ISNUMBER(AF606)),IF(AF606&lt;&gt;0,"INVALID – qty variance: use Fail or Pass after CA",""),"")&amp;IF(AND(TRIM(U606)="Pass",TRIM(AB606)&lt;&gt;"",TRIM(AB606)&lt;&gt;"Closed"),"INVALID – corrective action not closed: use Fail, then Pass after CA","")&amp;IF(AND(TRIM(AA606)&lt;&gt;"",TRIM(AB606)=""),"INVALID – CA status missing for the recorded corrective action","")&amp;IF(AND(TRIM(U606)="Pass after CA",OR(TRIM(AA606)="",TRIM(AB606)&lt;&gt;"Closed")),"INVALID – corrective action not recorded/closed",""),IF(AND(AS606=1,Documents!$J$22&lt;&gt;"ON FILE"),"INVALID – GLD not on file (Documents sheet)",IF(AND(AS606=2,Documents!$O$22&lt;&gt;"ON FILE"),"INVALID – menu checklist not on file (Documents sheet)",IF(AND(AS606=3,NOT(ISNUMBER(Flights!$AX$22))),"INVALID – enter carrying flight KUL departure (Flights AX)",IF(AND(AS606=3,OR(Flights!$AX$22&gt;=Flights!$AA$22,Flights!$AX$22&lt;Flights!$AA$22-3)),"INVALID – Flights AX must be before this leg's STD (within 3 days)",IF(AG606&gt;AsOfUTC,"INVALID – completion time is in the future",IF(AND(ISNUMBER(S606),AG606&lt;S606),IF(H606="Physical uplift","INVALID – before uplift window (cannot confirm loading)","INVALID – before valid window"),IF(AG606&gt;Flights!$AA$22,"INVALID – completed after departure (cannot establish readiness)",IF(AND(H606="Physical uplift",AG606&gt;Q606),"INVALID – recorded after the loading flight departed",IF(AG606&gt;Q606,"COMPLETE – LATE","COMPLETE")))))))))))))))))),IF(TRIM(U606)="Fail","FAIL – DISCREPANCY",IF(AND(TRIM(U606)&lt;&gt;"",TRIM(U606)&lt;&gt;"Not started",TRIM(U606)&lt;&gt;"In progress"),"INVALID – unrecognised status (use the list)",IF(AsOfUTC&gt;Q606,"OVERDUE",IF(N606="Clarification required","OPEN – CLARIFICATION","OPEN")))))))</f>
        <v>OPEN</v>
      </c>
      <c r="AI606" s="61" t="n">
        <f aca="false">IF(OR(AH606="N/A – RULE",AH606="N/A – JUSTIFIED"),0,1)</f>
        <v>1</v>
      </c>
      <c r="AJ606" s="61" t="n">
        <f aca="false">IF(LEFT(AH606,8)="COMPLETE",1,0)</f>
        <v>0</v>
      </c>
      <c r="AK606" s="61" t="n">
        <f aca="false">IF(AND(AI606=1,AJ606=0,AsOfUTC&gt;Q606),1,0)</f>
        <v>0</v>
      </c>
      <c r="AL606" s="61" t="n">
        <f aca="false">IF(AND(AI606=1,OR(TRIM(U606)="Fail",AND(TRIM(AB606)&lt;&gt;"",TRIM(AB606)&lt;&gt;"Closed"),AND(ISNUMBER(AF606),AF606&lt;&gt;0,TRIM(U606)&lt;&gt;"Pass after CA"))),1,0)</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8" t="b">
        <f aca="false">TRUE()</f>
        <v>1</v>
      </c>
    </row>
    <row r="607" customFormat="false" ht="39.75" hidden="false" customHeight="true" outlineLevel="0" collapsed="false">
      <c r="A607" s="57" t="s">
        <v>1278</v>
      </c>
      <c r="B607" s="57" t="s">
        <v>285</v>
      </c>
      <c r="C607" s="57" t="str">
        <f aca="false">Flights!$F$22</f>
        <v>MH0052</v>
      </c>
      <c r="D607" s="58" t="n">
        <f aca="false">Flights!$D$22</f>
        <v>46322</v>
      </c>
      <c r="E607" s="57" t="str">
        <f aca="false">Flights!$G$22&amp;"-"&amp;Flights!$H$22</f>
        <v>KUL-KIX</v>
      </c>
      <c r="F607" s="57" t="str">
        <f aca="false">Flights!$K$22</f>
        <v>BC</v>
      </c>
      <c r="G607" s="57" t="s">
        <v>424</v>
      </c>
      <c r="H607" s="57" t="s">
        <v>425</v>
      </c>
      <c r="I607" s="57" t="s">
        <v>464</v>
      </c>
      <c r="J607" s="57" t="s">
        <v>502</v>
      </c>
      <c r="K607" s="67" t="s">
        <v>466</v>
      </c>
      <c r="L607" s="67" t="s">
        <v>1250</v>
      </c>
      <c r="M607" s="67" t="s">
        <v>416</v>
      </c>
      <c r="N607" s="67" t="s">
        <v>348</v>
      </c>
      <c r="O607" s="67"/>
      <c r="P607" s="57" t="s">
        <v>179</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59" t="n">
        <f aca="false">IF(ISNUMBER(Flights!$AY$22),MAX(Q607-UpliftWindowH/24,Flights!$AY$22+UpliftWindowH/24),Q607-UpliftWindowH/24)</f>
        <v>46322.3506944444</v>
      </c>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IF(N607="N/A – rule","N/A – RULE",IF(TRIM(U607)="N/A",IF(AT607=0,"INVALID – N/A not permitted for this mandatory check",IF(AND(TRIM(AC607)&lt;&gt;"",TRIM(AE607)&lt;&gt;"",TRIM(T607)&lt;&gt;"",TRIM(AE607)&lt;&gt;TRIM(T607)),"N/A – JUSTIFIED","INVALID – N/A needs justification, PIC and a different verifier")),IF(OR(TRIM(U607)="Pass",TRIM(U607)="Pass after CA"),IF(NOT(ISNUMBER(AD607)),"INVALID – completion time missing",IF(TRIM(T607)="","INVALID – PIC missing",IF(TRIM(V607)="","INVALID – result / assessment missing",IF(TRIM(Z607)="","INVALID – evidence missing",IF(TRIM(AE607)="","INVALID – verifier missing",IF(TRIM(AE607)=TRIM(T607),"INVALID – verifier must be someone other than the PIC",IF(AND(AQ607=1,TRIM(W607)=""),"INVALID – batch ID missing",IF(AND(AR607=1,OR(NOT(ISNUMBER(X607)),NOT(ISNUMBER(Y607)))),"INVALID – expected/actual qty missing",IF(IF(AND(TRIM(U607)="Pass",ISNUMBER(AF607)),IF(AF607&lt;&gt;0,"INVALID – qty variance: use Fail or Pass after CA",""),"")&amp;IF(AND(TRIM(U607)="Pass",TRIM(AB607)&lt;&gt;"",TRIM(AB607)&lt;&gt;"Closed"),"INVALID – corrective action not closed: use Fail, then Pass after CA","")&amp;IF(AND(TRIM(AA607)&lt;&gt;"",TRIM(AB607)=""),"INVALID – CA status missing for the recorded corrective action","")&amp;IF(AND(TRIM(U607)="Pass after CA",OR(TRIM(AA607)="",TRIM(AB607)&lt;&gt;"Closed")),"INVALID – corrective action not recorded/closed","")&lt;&gt;"",IF(AND(TRIM(U607)="Pass",ISNUMBER(AF607)),IF(AF607&lt;&gt;0,"INVALID – qty variance: use Fail or Pass after CA",""),"")&amp;IF(AND(TRIM(U607)="Pass",TRIM(AB607)&lt;&gt;"",TRIM(AB607)&lt;&gt;"Closed"),"INVALID – corrective action not closed: use Fail, then Pass after CA","")&amp;IF(AND(TRIM(AA607)&lt;&gt;"",TRIM(AB607)=""),"INVALID – CA status missing for the recorded corrective action","")&amp;IF(AND(TRIM(U607)="Pass after CA",OR(TRIM(AA607)="",TRIM(AB607)&lt;&gt;"Closed")),"INVALID – corrective action not recorded/closed",""),IF(AND(AS607=1,Documents!$J$22&lt;&gt;"ON FILE"),"INVALID – GLD not on file (Documents sheet)",IF(AND(AS607=2,Documents!$O$22&lt;&gt;"ON FILE"),"INVALID – menu checklist not on file (Documents sheet)",IF(AND(AS607=3,NOT(ISNUMBER(Flights!$AX$22))),"INVALID – enter carrying flight KUL departure (Flights AX)",IF(AND(AS607=3,OR(Flights!$AX$22&gt;=Flights!$AA$22,Flights!$AX$22&lt;Flights!$AA$22-3)),"INVALID – Flights AX must be before this leg's STD (within 3 days)",IF(AG607&gt;AsOfUTC,"INVALID – completion time is in the future",IF(AND(ISNUMBER(S607),AG607&lt;S607),IF(H607="Physical uplift","INVALID – before uplift window (cannot confirm loading)","INVALID – before valid window"),IF(AG607&gt;Flights!$AA$22,"INVALID – completed after departure (cannot establish readiness)",IF(AND(H607="Physical uplift",AG607&gt;Q607),"INVALID – recorded after the loading flight departed",IF(AG607&gt;Q607,"COMPLETE – LATE","COMPLETE")))))))))))))))))),IF(TRIM(U607)="Fail","FAIL – DISCREPANCY",IF(AND(TRIM(U607)&lt;&gt;"",TRIM(U607)&lt;&gt;"Not started",TRIM(U607)&lt;&gt;"In progress"),"INVALID – unrecognised status (use the list)",IF(AsOfUTC&gt;Q607,"OVERDUE",IF(N607="Clarification required","OPEN – CLARIFICATION","OPEN")))))))</f>
        <v>OPEN</v>
      </c>
      <c r="AI607" s="61" t="n">
        <f aca="false">IF(OR(AH607="N/A – RULE",AH607="N/A – JUSTIFIED"),0,1)</f>
        <v>1</v>
      </c>
      <c r="AJ607" s="61" t="n">
        <f aca="false">IF(LEFT(AH607,8)="COMPLETE",1,0)</f>
        <v>0</v>
      </c>
      <c r="AK607" s="61" t="n">
        <f aca="false">IF(AND(AI607=1,AJ607=0,AsOfUTC&gt;Q607),1,0)</f>
        <v>0</v>
      </c>
      <c r="AL607" s="61" t="n">
        <f aca="false">IF(AND(AI607=1,OR(TRIM(U607)="Fail",AND(TRIM(AB607)&lt;&gt;"",TRIM(AB607)&lt;&gt;"Closed"),AND(ISNUMBER(AF607),AF607&lt;&gt;0,TRIM(U607)&lt;&gt;"Pass after CA"))),1,0)</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8" t="b">
        <f aca="false">TRUE()</f>
        <v>1</v>
      </c>
    </row>
    <row r="608" customFormat="false" ht="39.75" hidden="false" customHeight="true" outlineLevel="0" collapsed="false">
      <c r="A608" s="57" t="s">
        <v>1279</v>
      </c>
      <c r="B608" s="57" t="s">
        <v>285</v>
      </c>
      <c r="C608" s="57" t="str">
        <f aca="false">Flights!$F$22</f>
        <v>MH0052</v>
      </c>
      <c r="D608" s="58" t="n">
        <f aca="false">Flights!$D$22</f>
        <v>46322</v>
      </c>
      <c r="E608" s="57" t="str">
        <f aca="false">Flights!$G$22&amp;"-"&amp;Flights!$H$22</f>
        <v>KUL-KIX</v>
      </c>
      <c r="F608" s="57" t="str">
        <f aca="false">Flights!$K$22</f>
        <v>BC</v>
      </c>
      <c r="G608" s="57" t="s">
        <v>424</v>
      </c>
      <c r="H608" s="57" t="s">
        <v>425</v>
      </c>
      <c r="I608" s="57" t="s">
        <v>464</v>
      </c>
      <c r="J608" s="57" t="s">
        <v>504</v>
      </c>
      <c r="K608" s="67" t="s">
        <v>466</v>
      </c>
      <c r="L608" s="67" t="s">
        <v>1252</v>
      </c>
      <c r="M608" s="67" t="s">
        <v>416</v>
      </c>
      <c r="N608" s="67" t="s">
        <v>348</v>
      </c>
      <c r="O608" s="67"/>
      <c r="P608" s="57" t="s">
        <v>179</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59" t="n">
        <f aca="false">IF(ISNUMBER(Flights!$AY$22),MAX(Q608-UpliftWindowH/24,Flights!$AY$22+UpliftWindowH/24),Q608-UpliftWindowH/24)</f>
        <v>46322.3506944444</v>
      </c>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IF(N608="N/A – rule","N/A – RULE",IF(TRIM(U608)="N/A",IF(AT608=0,"INVALID – N/A not permitted for this mandatory check",IF(AND(TRIM(AC608)&lt;&gt;"",TRIM(AE608)&lt;&gt;"",TRIM(T608)&lt;&gt;"",TRIM(AE608)&lt;&gt;TRIM(T608)),"N/A – JUSTIFIED","INVALID – N/A needs justification, PIC and a different verifier")),IF(OR(TRIM(U608)="Pass",TRIM(U608)="Pass after CA"),IF(NOT(ISNUMBER(AD608)),"INVALID – completion time missing",IF(TRIM(T608)="","INVALID – PIC missing",IF(TRIM(V608)="","INVALID – result / assessment missing",IF(TRIM(Z608)="","INVALID – evidence missing",IF(TRIM(AE608)="","INVALID – verifier missing",IF(TRIM(AE608)=TRIM(T608),"INVALID – verifier must be someone other than the PIC",IF(AND(AQ608=1,TRIM(W608)=""),"INVALID – batch ID missing",IF(AND(AR608=1,OR(NOT(ISNUMBER(X608)),NOT(ISNUMBER(Y608)))),"INVALID – expected/actual qty missing",IF(IF(AND(TRIM(U608)="Pass",ISNUMBER(AF608)),IF(AF608&lt;&gt;0,"INVALID – qty variance: use Fail or Pass after CA",""),"")&amp;IF(AND(TRIM(U608)="Pass",TRIM(AB608)&lt;&gt;"",TRIM(AB608)&lt;&gt;"Closed"),"INVALID – corrective action not closed: use Fail, then Pass after CA","")&amp;IF(AND(TRIM(AA608)&lt;&gt;"",TRIM(AB608)=""),"INVALID – CA status missing for the recorded corrective action","")&amp;IF(AND(TRIM(U608)="Pass after CA",OR(TRIM(AA608)="",TRIM(AB608)&lt;&gt;"Closed")),"INVALID – corrective action not recorded/closed","")&lt;&gt;"",IF(AND(TRIM(U608)="Pass",ISNUMBER(AF608)),IF(AF608&lt;&gt;0,"INVALID – qty variance: use Fail or Pass after CA",""),"")&amp;IF(AND(TRIM(U608)="Pass",TRIM(AB608)&lt;&gt;"",TRIM(AB608)&lt;&gt;"Closed"),"INVALID – corrective action not closed: use Fail, then Pass after CA","")&amp;IF(AND(TRIM(AA608)&lt;&gt;"",TRIM(AB608)=""),"INVALID – CA status missing for the recorded corrective action","")&amp;IF(AND(TRIM(U608)="Pass after CA",OR(TRIM(AA608)="",TRIM(AB608)&lt;&gt;"Closed")),"INVALID – corrective action not recorded/closed",""),IF(AND(AS608=1,Documents!$J$22&lt;&gt;"ON FILE"),"INVALID – GLD not on file (Documents sheet)",IF(AND(AS608=2,Documents!$O$22&lt;&gt;"ON FILE"),"INVALID – menu checklist not on file (Documents sheet)",IF(AND(AS608=3,NOT(ISNUMBER(Flights!$AX$22))),"INVALID – enter carrying flight KUL departure (Flights AX)",IF(AND(AS608=3,OR(Flights!$AX$22&gt;=Flights!$AA$22,Flights!$AX$22&lt;Flights!$AA$22-3)),"INVALID – Flights AX must be before this leg's STD (within 3 days)",IF(AG608&gt;AsOfUTC,"INVALID – completion time is in the future",IF(AND(ISNUMBER(S608),AG608&lt;S608),IF(H608="Physical uplift","INVALID – before uplift window (cannot confirm loading)","INVALID – before valid window"),IF(AG608&gt;Flights!$AA$22,"INVALID – completed after departure (cannot establish readiness)",IF(AND(H608="Physical uplift",AG608&gt;Q608),"INVALID – recorded after the loading flight departed",IF(AG608&gt;Q608,"COMPLETE – LATE","COMPLETE")))))))))))))))))),IF(TRIM(U608)="Fail","FAIL – DISCREPANCY",IF(AND(TRIM(U608)&lt;&gt;"",TRIM(U608)&lt;&gt;"Not started",TRIM(U608)&lt;&gt;"In progress"),"INVALID – unrecognised status (use the list)",IF(AsOfUTC&gt;Q608,"OVERDUE",IF(N608="Clarification required","OPEN – CLARIFICATION","OPEN")))))))</f>
        <v>OPEN</v>
      </c>
      <c r="AI608" s="61" t="n">
        <f aca="false">IF(OR(AH608="N/A – RULE",AH608="N/A – JUSTIFIED"),0,1)</f>
        <v>1</v>
      </c>
      <c r="AJ608" s="61" t="n">
        <f aca="false">IF(LEFT(AH608,8)="COMPLETE",1,0)</f>
        <v>0</v>
      </c>
      <c r="AK608" s="61" t="n">
        <f aca="false">IF(AND(AI608=1,AJ608=0,AsOfUTC&gt;Q608),1,0)</f>
        <v>0</v>
      </c>
      <c r="AL608" s="61" t="n">
        <f aca="false">IF(AND(AI608=1,OR(TRIM(U608)="Fail",AND(TRIM(AB608)&lt;&gt;"",TRIM(AB608)&lt;&gt;"Closed"),AND(ISNUMBER(AF608),AF608&lt;&gt;0,TRIM(U608)&lt;&gt;"Pass after CA"))),1,0)</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8" t="b">
        <f aca="false">TRUE()</f>
        <v>1</v>
      </c>
    </row>
    <row r="609" customFormat="false" ht="39.75" hidden="false" customHeight="true" outlineLevel="0" collapsed="false">
      <c r="A609" s="57" t="s">
        <v>1280</v>
      </c>
      <c r="B609" s="57" t="s">
        <v>285</v>
      </c>
      <c r="C609" s="57" t="str">
        <f aca="false">Flights!$F$22</f>
        <v>MH0052</v>
      </c>
      <c r="D609" s="58" t="n">
        <f aca="false">Flights!$D$22</f>
        <v>46322</v>
      </c>
      <c r="E609" s="57" t="str">
        <f aca="false">Flights!$G$22&amp;"-"&amp;Flights!$H$22</f>
        <v>KUL-KIX</v>
      </c>
      <c r="F609" s="57" t="str">
        <f aca="false">Flights!$K$22</f>
        <v>BC</v>
      </c>
      <c r="G609" s="57" t="s">
        <v>424</v>
      </c>
      <c r="H609" s="57" t="s">
        <v>425</v>
      </c>
      <c r="I609" s="57" t="s">
        <v>464</v>
      </c>
      <c r="J609" s="57" t="s">
        <v>506</v>
      </c>
      <c r="K609" s="67" t="s">
        <v>466</v>
      </c>
      <c r="L609" s="67" t="s">
        <v>1254</v>
      </c>
      <c r="M609" s="67" t="s">
        <v>416</v>
      </c>
      <c r="N609" s="67" t="s">
        <v>348</v>
      </c>
      <c r="O609" s="67"/>
      <c r="P609" s="57" t="s">
        <v>179</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59" t="n">
        <f aca="false">IF(ISNUMBER(Flights!$AY$22),MAX(Q609-UpliftWindowH/24,Flights!$AY$22+UpliftWindowH/24),Q609-UpliftWindowH/24)</f>
        <v>46322.3506944444</v>
      </c>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IF(N609="N/A – rule","N/A – RULE",IF(TRIM(U609)="N/A",IF(AT609=0,"INVALID – N/A not permitted for this mandatory check",IF(AND(TRIM(AC609)&lt;&gt;"",TRIM(AE609)&lt;&gt;"",TRIM(T609)&lt;&gt;"",TRIM(AE609)&lt;&gt;TRIM(T609)),"N/A – JUSTIFIED","INVALID – N/A needs justification, PIC and a different verifier")),IF(OR(TRIM(U609)="Pass",TRIM(U609)="Pass after CA"),IF(NOT(ISNUMBER(AD609)),"INVALID – completion time missing",IF(TRIM(T609)="","INVALID – PIC missing",IF(TRIM(V609)="","INVALID – result / assessment missing",IF(TRIM(Z609)="","INVALID – evidence missing",IF(TRIM(AE609)="","INVALID – verifier missing",IF(TRIM(AE609)=TRIM(T609),"INVALID – verifier must be someone other than the PIC",IF(AND(AQ609=1,TRIM(W609)=""),"INVALID – batch ID missing",IF(AND(AR609=1,OR(NOT(ISNUMBER(X609)),NOT(ISNUMBER(Y609)))),"INVALID – expected/actual qty missing",IF(IF(AND(TRIM(U609)="Pass",ISNUMBER(AF609)),IF(AF609&lt;&gt;0,"INVALID – qty variance: use Fail or Pass after CA",""),"")&amp;IF(AND(TRIM(U609)="Pass",TRIM(AB609)&lt;&gt;"",TRIM(AB609)&lt;&gt;"Closed"),"INVALID – corrective action not closed: use Fail, then Pass after CA","")&amp;IF(AND(TRIM(AA609)&lt;&gt;"",TRIM(AB609)=""),"INVALID – CA status missing for the recorded corrective action","")&amp;IF(AND(TRIM(U609)="Pass after CA",OR(TRIM(AA609)="",TRIM(AB609)&lt;&gt;"Closed")),"INVALID – corrective action not recorded/closed","")&lt;&gt;"",IF(AND(TRIM(U609)="Pass",ISNUMBER(AF609)),IF(AF609&lt;&gt;0,"INVALID – qty variance: use Fail or Pass after CA",""),"")&amp;IF(AND(TRIM(U609)="Pass",TRIM(AB609)&lt;&gt;"",TRIM(AB609)&lt;&gt;"Closed"),"INVALID – corrective action not closed: use Fail, then Pass after CA","")&amp;IF(AND(TRIM(AA609)&lt;&gt;"",TRIM(AB609)=""),"INVALID – CA status missing for the recorded corrective action","")&amp;IF(AND(TRIM(U609)="Pass after CA",OR(TRIM(AA609)="",TRIM(AB609)&lt;&gt;"Closed")),"INVALID – corrective action not recorded/closed",""),IF(AND(AS609=1,Documents!$J$22&lt;&gt;"ON FILE"),"INVALID – GLD not on file (Documents sheet)",IF(AND(AS609=2,Documents!$O$22&lt;&gt;"ON FILE"),"INVALID – menu checklist not on file (Documents sheet)",IF(AND(AS609=3,NOT(ISNUMBER(Flights!$AX$22))),"INVALID – enter carrying flight KUL departure (Flights AX)",IF(AND(AS609=3,OR(Flights!$AX$22&gt;=Flights!$AA$22,Flights!$AX$22&lt;Flights!$AA$22-3)),"INVALID – Flights AX must be before this leg's STD (within 3 days)",IF(AG609&gt;AsOfUTC,"INVALID – completion time is in the future",IF(AND(ISNUMBER(S609),AG609&lt;S609),IF(H609="Physical uplift","INVALID – before uplift window (cannot confirm loading)","INVALID – before valid window"),IF(AG609&gt;Flights!$AA$22,"INVALID – completed after departure (cannot establish readiness)",IF(AND(H609="Physical uplift",AG609&gt;Q609),"INVALID – recorded after the loading flight departed",IF(AG609&gt;Q609,"COMPLETE – LATE","COMPLETE")))))))))))))))))),IF(TRIM(U609)="Fail","FAIL – DISCREPANCY",IF(AND(TRIM(U609)&lt;&gt;"",TRIM(U609)&lt;&gt;"Not started",TRIM(U609)&lt;&gt;"In progress"),"INVALID – unrecognised status (use the list)",IF(AsOfUTC&gt;Q609,"OVERDUE",IF(N609="Clarification required","OPEN – CLARIFICATION","OPEN")))))))</f>
        <v>OPEN</v>
      </c>
      <c r="AI609" s="61" t="n">
        <f aca="false">IF(OR(AH609="N/A – RULE",AH609="N/A – JUSTIFIED"),0,1)</f>
        <v>1</v>
      </c>
      <c r="AJ609" s="61" t="n">
        <f aca="false">IF(LEFT(AH609,8)="COMPLETE",1,0)</f>
        <v>0</v>
      </c>
      <c r="AK609" s="61" t="n">
        <f aca="false">IF(AND(AI609=1,AJ609=0,AsOfUTC&gt;Q609),1,0)</f>
        <v>0</v>
      </c>
      <c r="AL609" s="61" t="n">
        <f aca="false">IF(AND(AI609=1,OR(TRIM(U609)="Fail",AND(TRIM(AB609)&lt;&gt;"",TRIM(AB609)&lt;&gt;"Closed"),AND(ISNUMBER(AF609),AF609&lt;&gt;0,TRIM(U609)&lt;&gt;"Pass after CA"))),1,0)</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8" t="b">
        <f aca="false">TRUE()</f>
        <v>1</v>
      </c>
    </row>
    <row r="610" customFormat="false" ht="39.75" hidden="false" customHeight="true" outlineLevel="0" collapsed="false">
      <c r="A610" s="57" t="s">
        <v>1281</v>
      </c>
      <c r="B610" s="57" t="s">
        <v>285</v>
      </c>
      <c r="C610" s="57" t="str">
        <f aca="false">Flights!$F$22</f>
        <v>MH0052</v>
      </c>
      <c r="D610" s="58" t="n">
        <f aca="false">Flights!$D$22</f>
        <v>46322</v>
      </c>
      <c r="E610" s="57" t="str">
        <f aca="false">Flights!$G$22&amp;"-"&amp;Flights!$H$22</f>
        <v>KUL-KIX</v>
      </c>
      <c r="F610" s="57" t="str">
        <f aca="false">Flights!$K$22</f>
        <v>BC</v>
      </c>
      <c r="G610" s="57" t="s">
        <v>424</v>
      </c>
      <c r="H610" s="57" t="s">
        <v>425</v>
      </c>
      <c r="I610" s="57" t="s">
        <v>464</v>
      </c>
      <c r="J610" s="57" t="s">
        <v>508</v>
      </c>
      <c r="K610" s="67" t="s">
        <v>466</v>
      </c>
      <c r="L610" s="67" t="s">
        <v>1256</v>
      </c>
      <c r="M610" s="67" t="s">
        <v>416</v>
      </c>
      <c r="N610" s="67" t="s">
        <v>348</v>
      </c>
      <c r="O610" s="67"/>
      <c r="P610" s="57" t="s">
        <v>179</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59" t="n">
        <f aca="false">IF(ISNUMBER(Flights!$AY$22),MAX(Q610-UpliftWindowH/24,Flights!$AY$22+UpliftWindowH/24),Q610-UpliftWindowH/24)</f>
        <v>46322.3506944444</v>
      </c>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IF(N610="N/A – rule","N/A – RULE",IF(TRIM(U610)="N/A",IF(AT610=0,"INVALID – N/A not permitted for this mandatory check",IF(AND(TRIM(AC610)&lt;&gt;"",TRIM(AE610)&lt;&gt;"",TRIM(T610)&lt;&gt;"",TRIM(AE610)&lt;&gt;TRIM(T610)),"N/A – JUSTIFIED","INVALID – N/A needs justification, PIC and a different verifier")),IF(OR(TRIM(U610)="Pass",TRIM(U610)="Pass after CA"),IF(NOT(ISNUMBER(AD610)),"INVALID – completion time missing",IF(TRIM(T610)="","INVALID – PIC missing",IF(TRIM(V610)="","INVALID – result / assessment missing",IF(TRIM(Z610)="","INVALID – evidence missing",IF(TRIM(AE610)="","INVALID – verifier missing",IF(TRIM(AE610)=TRIM(T610),"INVALID – verifier must be someone other than the PIC",IF(AND(AQ610=1,TRIM(W610)=""),"INVALID – batch ID missing",IF(AND(AR610=1,OR(NOT(ISNUMBER(X610)),NOT(ISNUMBER(Y610)))),"INVALID – expected/actual qty missing",IF(IF(AND(TRIM(U610)="Pass",ISNUMBER(AF610)),IF(AF610&lt;&gt;0,"INVALID – qty variance: use Fail or Pass after CA",""),"")&amp;IF(AND(TRIM(U610)="Pass",TRIM(AB610)&lt;&gt;"",TRIM(AB610)&lt;&gt;"Closed"),"INVALID – corrective action not closed: use Fail, then Pass after CA","")&amp;IF(AND(TRIM(AA610)&lt;&gt;"",TRIM(AB610)=""),"INVALID – CA status missing for the recorded corrective action","")&amp;IF(AND(TRIM(U610)="Pass after CA",OR(TRIM(AA610)="",TRIM(AB610)&lt;&gt;"Closed")),"INVALID – corrective action not recorded/closed","")&lt;&gt;"",IF(AND(TRIM(U610)="Pass",ISNUMBER(AF610)),IF(AF610&lt;&gt;0,"INVALID – qty variance: use Fail or Pass after CA",""),"")&amp;IF(AND(TRIM(U610)="Pass",TRIM(AB610)&lt;&gt;"",TRIM(AB610)&lt;&gt;"Closed"),"INVALID – corrective action not closed: use Fail, then Pass after CA","")&amp;IF(AND(TRIM(AA610)&lt;&gt;"",TRIM(AB610)=""),"INVALID – CA status missing for the recorded corrective action","")&amp;IF(AND(TRIM(U610)="Pass after CA",OR(TRIM(AA610)="",TRIM(AB610)&lt;&gt;"Closed")),"INVALID – corrective action not recorded/closed",""),IF(AND(AS610=1,Documents!$J$22&lt;&gt;"ON FILE"),"INVALID – GLD not on file (Documents sheet)",IF(AND(AS610=2,Documents!$O$22&lt;&gt;"ON FILE"),"INVALID – menu checklist not on file (Documents sheet)",IF(AND(AS610=3,NOT(ISNUMBER(Flights!$AX$22))),"INVALID – enter carrying flight KUL departure (Flights AX)",IF(AND(AS610=3,OR(Flights!$AX$22&gt;=Flights!$AA$22,Flights!$AX$22&lt;Flights!$AA$22-3)),"INVALID – Flights AX must be before this leg's STD (within 3 days)",IF(AG610&gt;AsOfUTC,"INVALID – completion time is in the future",IF(AND(ISNUMBER(S610),AG610&lt;S610),IF(H610="Physical uplift","INVALID – before uplift window (cannot confirm loading)","INVALID – before valid window"),IF(AG610&gt;Flights!$AA$22,"INVALID – completed after departure (cannot establish readiness)",IF(AND(H610="Physical uplift",AG610&gt;Q610),"INVALID – recorded after the loading flight departed",IF(AG610&gt;Q610,"COMPLETE – LATE","COMPLETE")))))))))))))))))),IF(TRIM(U610)="Fail","FAIL – DISCREPANCY",IF(AND(TRIM(U610)&lt;&gt;"",TRIM(U610)&lt;&gt;"Not started",TRIM(U610)&lt;&gt;"In progress"),"INVALID – unrecognised status (use the list)",IF(AsOfUTC&gt;Q610,"OVERDUE",IF(N610="Clarification required","OPEN – CLARIFICATION","OPEN")))))))</f>
        <v>OPEN</v>
      </c>
      <c r="AI610" s="61" t="n">
        <f aca="false">IF(OR(AH610="N/A – RULE",AH610="N/A – JUSTIFIED"),0,1)</f>
        <v>1</v>
      </c>
      <c r="AJ610" s="61" t="n">
        <f aca="false">IF(LEFT(AH610,8)="COMPLETE",1,0)</f>
        <v>0</v>
      </c>
      <c r="AK610" s="61" t="n">
        <f aca="false">IF(AND(AI610=1,AJ610=0,AsOfUTC&gt;Q610),1,0)</f>
        <v>0</v>
      </c>
      <c r="AL610" s="61" t="n">
        <f aca="false">IF(AND(AI610=1,OR(TRIM(U610)="Fail",AND(TRIM(AB610)&lt;&gt;"",TRIM(AB610)&lt;&gt;"Closed"),AND(ISNUMBER(AF610),AF610&lt;&gt;0,TRIM(U610)&lt;&gt;"Pass after CA"))),1,0)</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8" t="b">
        <f aca="false">TRUE()</f>
        <v>1</v>
      </c>
    </row>
    <row r="611" customFormat="false" ht="39.75" hidden="false" customHeight="true" outlineLevel="0" collapsed="false">
      <c r="A611" s="57" t="s">
        <v>1282</v>
      </c>
      <c r="B611" s="57" t="s">
        <v>285</v>
      </c>
      <c r="C611" s="57" t="str">
        <f aca="false">Flights!$F$22</f>
        <v>MH0052</v>
      </c>
      <c r="D611" s="58" t="n">
        <f aca="false">Flights!$D$22</f>
        <v>46322</v>
      </c>
      <c r="E611" s="57" t="str">
        <f aca="false">Flights!$G$22&amp;"-"&amp;Flights!$H$22</f>
        <v>KUL-KIX</v>
      </c>
      <c r="F611" s="57" t="str">
        <f aca="false">Flights!$K$22</f>
        <v>BC</v>
      </c>
      <c r="G611" s="57" t="s">
        <v>424</v>
      </c>
      <c r="H611" s="57" t="s">
        <v>425</v>
      </c>
      <c r="I611" s="57" t="s">
        <v>464</v>
      </c>
      <c r="J611" s="57" t="s">
        <v>511</v>
      </c>
      <c r="K611" s="67" t="s">
        <v>466</v>
      </c>
      <c r="L611" s="67" t="s">
        <v>1258</v>
      </c>
      <c r="M611" s="67" t="s">
        <v>416</v>
      </c>
      <c r="N611" s="67" t="s">
        <v>348</v>
      </c>
      <c r="O611" s="67"/>
      <c r="P611" s="57" t="s">
        <v>179</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59" t="n">
        <f aca="false">IF(ISNUMBER(Flights!$AY$22),MAX(Q611-UpliftWindowH/24,Flights!$AY$22+UpliftWindowH/24),Q611-UpliftWindowH/24)</f>
        <v>46322.3506944444</v>
      </c>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IF(N611="N/A – rule","N/A – RULE",IF(TRIM(U611)="N/A",IF(AT611=0,"INVALID – N/A not permitted for this mandatory check",IF(AND(TRIM(AC611)&lt;&gt;"",TRIM(AE611)&lt;&gt;"",TRIM(T611)&lt;&gt;"",TRIM(AE611)&lt;&gt;TRIM(T611)),"N/A – JUSTIFIED","INVALID – N/A needs justification, PIC and a different verifier")),IF(OR(TRIM(U611)="Pass",TRIM(U611)="Pass after CA"),IF(NOT(ISNUMBER(AD611)),"INVALID – completion time missing",IF(TRIM(T611)="","INVALID – PIC missing",IF(TRIM(V611)="","INVALID – result / assessment missing",IF(TRIM(Z611)="","INVALID – evidence missing",IF(TRIM(AE611)="","INVALID – verifier missing",IF(TRIM(AE611)=TRIM(T611),"INVALID – verifier must be someone other than the PIC",IF(AND(AQ611=1,TRIM(W611)=""),"INVALID – batch ID missing",IF(AND(AR611=1,OR(NOT(ISNUMBER(X611)),NOT(ISNUMBER(Y611)))),"INVALID – expected/actual qty missing",IF(IF(AND(TRIM(U611)="Pass",ISNUMBER(AF611)),IF(AF611&lt;&gt;0,"INVALID – qty variance: use Fail or Pass after CA",""),"")&amp;IF(AND(TRIM(U611)="Pass",TRIM(AB611)&lt;&gt;"",TRIM(AB611)&lt;&gt;"Closed"),"INVALID – corrective action not closed: use Fail, then Pass after CA","")&amp;IF(AND(TRIM(AA611)&lt;&gt;"",TRIM(AB611)=""),"INVALID – CA status missing for the recorded corrective action","")&amp;IF(AND(TRIM(U611)="Pass after CA",OR(TRIM(AA611)="",TRIM(AB611)&lt;&gt;"Closed")),"INVALID – corrective action not recorded/closed","")&lt;&gt;"",IF(AND(TRIM(U611)="Pass",ISNUMBER(AF611)),IF(AF611&lt;&gt;0,"INVALID – qty variance: use Fail or Pass after CA",""),"")&amp;IF(AND(TRIM(U611)="Pass",TRIM(AB611)&lt;&gt;"",TRIM(AB611)&lt;&gt;"Closed"),"INVALID – corrective action not closed: use Fail, then Pass after CA","")&amp;IF(AND(TRIM(AA611)&lt;&gt;"",TRIM(AB611)=""),"INVALID – CA status missing for the recorded corrective action","")&amp;IF(AND(TRIM(U611)="Pass after CA",OR(TRIM(AA611)="",TRIM(AB611)&lt;&gt;"Closed")),"INVALID – corrective action not recorded/closed",""),IF(AND(AS611=1,Documents!$J$22&lt;&gt;"ON FILE"),"INVALID – GLD not on file (Documents sheet)",IF(AND(AS611=2,Documents!$O$22&lt;&gt;"ON FILE"),"INVALID – menu checklist not on file (Documents sheet)",IF(AND(AS611=3,NOT(ISNUMBER(Flights!$AX$22))),"INVALID – enter carrying flight KUL departure (Flights AX)",IF(AND(AS611=3,OR(Flights!$AX$22&gt;=Flights!$AA$22,Flights!$AX$22&lt;Flights!$AA$22-3)),"INVALID – Flights AX must be before this leg's STD (within 3 days)",IF(AG611&gt;AsOfUTC,"INVALID – completion time is in the future",IF(AND(ISNUMBER(S611),AG611&lt;S611),IF(H611="Physical uplift","INVALID – before uplift window (cannot confirm loading)","INVALID – before valid window"),IF(AG611&gt;Flights!$AA$22,"INVALID – completed after departure (cannot establish readiness)",IF(AND(H611="Physical uplift",AG611&gt;Q611),"INVALID – recorded after the loading flight departed",IF(AG611&gt;Q611,"COMPLETE – LATE","COMPLETE")))))))))))))))))),IF(TRIM(U611)="Fail","FAIL – DISCREPANCY",IF(AND(TRIM(U611)&lt;&gt;"",TRIM(U611)&lt;&gt;"Not started",TRIM(U611)&lt;&gt;"In progress"),"INVALID – unrecognised status (use the list)",IF(AsOfUTC&gt;Q611,"OVERDUE",IF(N611="Clarification required","OPEN – CLARIFICATION","OPEN")))))))</f>
        <v>OPEN</v>
      </c>
      <c r="AI611" s="61" t="n">
        <f aca="false">IF(OR(AH611="N/A – RULE",AH611="N/A – JUSTIFIED"),0,1)</f>
        <v>1</v>
      </c>
      <c r="AJ611" s="61" t="n">
        <f aca="false">IF(LEFT(AH611,8)="COMPLETE",1,0)</f>
        <v>0</v>
      </c>
      <c r="AK611" s="61" t="n">
        <f aca="false">IF(AND(AI611=1,AJ611=0,AsOfUTC&gt;Q611),1,0)</f>
        <v>0</v>
      </c>
      <c r="AL611" s="61" t="n">
        <f aca="false">IF(AND(AI611=1,OR(TRIM(U611)="Fail",AND(TRIM(AB611)&lt;&gt;"",TRIM(AB611)&lt;&gt;"Closed"),AND(ISNUMBER(AF611),AF611&lt;&gt;0,TRIM(U611)&lt;&gt;"Pass after CA"))),1,0)</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8" t="b">
        <f aca="false">TRUE()</f>
        <v>1</v>
      </c>
    </row>
    <row r="612" customFormat="false" ht="39.75" hidden="false" customHeight="true" outlineLevel="0" collapsed="false">
      <c r="A612" s="57" t="s">
        <v>1283</v>
      </c>
      <c r="B612" s="57" t="s">
        <v>285</v>
      </c>
      <c r="C612" s="57" t="str">
        <f aca="false">Flights!$F$22</f>
        <v>MH0052</v>
      </c>
      <c r="D612" s="58" t="n">
        <f aca="false">Flights!$D$22</f>
        <v>46322</v>
      </c>
      <c r="E612" s="57" t="str">
        <f aca="false">Flights!$G$22&amp;"-"&amp;Flights!$H$22</f>
        <v>KUL-KIX</v>
      </c>
      <c r="F612" s="57" t="str">
        <f aca="false">Flights!$K$22</f>
        <v>BC</v>
      </c>
      <c r="G612" s="57" t="s">
        <v>424</v>
      </c>
      <c r="H612" s="57" t="s">
        <v>425</v>
      </c>
      <c r="I612" s="57" t="s">
        <v>464</v>
      </c>
      <c r="J612" s="57" t="s">
        <v>513</v>
      </c>
      <c r="K612" s="67" t="s">
        <v>581</v>
      </c>
      <c r="L612" s="67" t="s">
        <v>1260</v>
      </c>
      <c r="M612" s="67" t="s">
        <v>416</v>
      </c>
      <c r="N612" s="67" t="s">
        <v>348</v>
      </c>
      <c r="O612" s="67" t="s">
        <v>514</v>
      </c>
      <c r="P612" s="57" t="s">
        <v>179</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59" t="n">
        <f aca="false">IF(ISNUMBER(Flights!$AY$22),MAX(Q612-UpliftWindowH/24,Flights!$AY$22+UpliftWindowH/24),Q612-UpliftWindowH/24)</f>
        <v>46322.3506944444</v>
      </c>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IF(N612="N/A – rule","N/A – RULE",IF(TRIM(U612)="N/A",IF(AT612=0,"INVALID – N/A not permitted for this mandatory check",IF(AND(TRIM(AC612)&lt;&gt;"",TRIM(AE612)&lt;&gt;"",TRIM(T612)&lt;&gt;"",TRIM(AE612)&lt;&gt;TRIM(T612)),"N/A – JUSTIFIED","INVALID – N/A needs justification, PIC and a different verifier")),IF(OR(TRIM(U612)="Pass",TRIM(U612)="Pass after CA"),IF(NOT(ISNUMBER(AD612)),"INVALID – completion time missing",IF(TRIM(T612)="","INVALID – PIC missing",IF(TRIM(V612)="","INVALID – result / assessment missing",IF(TRIM(Z612)="","INVALID – evidence missing",IF(TRIM(AE612)="","INVALID – verifier missing",IF(TRIM(AE612)=TRIM(T612),"INVALID – verifier must be someone other than the PIC",IF(AND(AQ612=1,TRIM(W612)=""),"INVALID – batch ID missing",IF(AND(AR612=1,OR(NOT(ISNUMBER(X612)),NOT(ISNUMBER(Y612)))),"INVALID – expected/actual qty missing",IF(IF(AND(TRIM(U612)="Pass",ISNUMBER(AF612)),IF(AF612&lt;&gt;0,"INVALID – qty variance: use Fail or Pass after CA",""),"")&amp;IF(AND(TRIM(U612)="Pass",TRIM(AB612)&lt;&gt;"",TRIM(AB612)&lt;&gt;"Closed"),"INVALID – corrective action not closed: use Fail, then Pass after CA","")&amp;IF(AND(TRIM(AA612)&lt;&gt;"",TRIM(AB612)=""),"INVALID – CA status missing for the recorded corrective action","")&amp;IF(AND(TRIM(U612)="Pass after CA",OR(TRIM(AA612)="",TRIM(AB612)&lt;&gt;"Closed")),"INVALID – corrective action not recorded/closed","")&lt;&gt;"",IF(AND(TRIM(U612)="Pass",ISNUMBER(AF612)),IF(AF612&lt;&gt;0,"INVALID – qty variance: use Fail or Pass after CA",""),"")&amp;IF(AND(TRIM(U612)="Pass",TRIM(AB612)&lt;&gt;"",TRIM(AB612)&lt;&gt;"Closed"),"INVALID – corrective action not closed: use Fail, then Pass after CA","")&amp;IF(AND(TRIM(AA612)&lt;&gt;"",TRIM(AB612)=""),"INVALID – CA status missing for the recorded corrective action","")&amp;IF(AND(TRIM(U612)="Pass after CA",OR(TRIM(AA612)="",TRIM(AB612)&lt;&gt;"Closed")),"INVALID – corrective action not recorded/closed",""),IF(AND(AS612=1,Documents!$J$22&lt;&gt;"ON FILE"),"INVALID – GLD not on file (Documents sheet)",IF(AND(AS612=2,Documents!$O$22&lt;&gt;"ON FILE"),"INVALID – menu checklist not on file (Documents sheet)",IF(AND(AS612=3,NOT(ISNUMBER(Flights!$AX$22))),"INVALID – enter carrying flight KUL departure (Flights AX)",IF(AND(AS612=3,OR(Flights!$AX$22&gt;=Flights!$AA$22,Flights!$AX$22&lt;Flights!$AA$22-3)),"INVALID – Flights AX must be before this leg's STD (within 3 days)",IF(AG612&gt;AsOfUTC,"INVALID – completion time is in the future",IF(AND(ISNUMBER(S612),AG612&lt;S612),IF(H612="Physical uplift","INVALID – before uplift window (cannot confirm loading)","INVALID – before valid window"),IF(AG612&gt;Flights!$AA$22,"INVALID – completed after departure (cannot establish readiness)",IF(AND(H612="Physical uplift",AG612&gt;Q612),"INVALID – recorded after the loading flight departed",IF(AG612&gt;Q612,"COMPLETE – LATE","COMPLETE")))))))))))))))))),IF(TRIM(U612)="Fail","FAIL – DISCREPANCY",IF(AND(TRIM(U612)&lt;&gt;"",TRIM(U612)&lt;&gt;"Not started",TRIM(U612)&lt;&gt;"In progress"),"INVALID – unrecognised status (use the list)",IF(AsOfUTC&gt;Q612,"OVERDUE",IF(N612="Clarification required","OPEN – CLARIFICATION","OPEN")))))))</f>
        <v>OPEN</v>
      </c>
      <c r="AI612" s="61" t="n">
        <f aca="false">IF(OR(AH612="N/A – RULE",AH612="N/A – JUSTIFIED"),0,1)</f>
        <v>1</v>
      </c>
      <c r="AJ612" s="61" t="n">
        <f aca="false">IF(LEFT(AH612,8)="COMPLETE",1,0)</f>
        <v>0</v>
      </c>
      <c r="AK612" s="61" t="n">
        <f aca="false">IF(AND(AI612=1,AJ612=0,AsOfUTC&gt;Q612),1,0)</f>
        <v>0</v>
      </c>
      <c r="AL612" s="61" t="n">
        <f aca="false">IF(AND(AI612=1,OR(TRIM(U612)="Fail",AND(TRIM(AB612)&lt;&gt;"",TRIM(AB612)&lt;&gt;"Closed"),AND(ISNUMBER(AF612),AF612&lt;&gt;0,TRIM(U612)&lt;&gt;"Pass after CA"))),1,0)</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8" t="b">
        <f aca="false">TRUE()</f>
        <v>1</v>
      </c>
    </row>
    <row r="613" customFormat="false" ht="39.75" hidden="false" customHeight="true" outlineLevel="0" collapsed="false">
      <c r="A613" s="57" t="s">
        <v>1284</v>
      </c>
      <c r="B613" s="57" t="s">
        <v>285</v>
      </c>
      <c r="C613" s="57" t="str">
        <f aca="false">Flights!$F$22</f>
        <v>MH0052</v>
      </c>
      <c r="D613" s="58" t="n">
        <f aca="false">Flights!$D$22</f>
        <v>46322</v>
      </c>
      <c r="E613" s="57" t="str">
        <f aca="false">Flights!$G$22&amp;"-"&amp;Flights!$H$22</f>
        <v>KUL-KIX</v>
      </c>
      <c r="F613" s="57" t="str">
        <f aca="false">Flights!$K$22</f>
        <v>BC</v>
      </c>
      <c r="G613" s="57" t="s">
        <v>424</v>
      </c>
      <c r="H613" s="57" t="s">
        <v>425</v>
      </c>
      <c r="I613" s="57" t="s">
        <v>464</v>
      </c>
      <c r="J613" s="57" t="s">
        <v>516</v>
      </c>
      <c r="K613" s="67" t="s">
        <v>466</v>
      </c>
      <c r="L613" s="67" t="s">
        <v>1262</v>
      </c>
      <c r="M613" s="67" t="s">
        <v>416</v>
      </c>
      <c r="N613" s="67" t="s">
        <v>348</v>
      </c>
      <c r="O613" s="67"/>
      <c r="P613" s="57" t="s">
        <v>179</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59" t="n">
        <f aca="false">IF(ISNUMBER(Flights!$AY$22),MAX(Q613-UpliftWindowH/24,Flights!$AY$22+UpliftWindowH/24),Q613-UpliftWindowH/24)</f>
        <v>46322.3506944444</v>
      </c>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IF(N613="N/A – rule","N/A – RULE",IF(TRIM(U613)="N/A",IF(AT613=0,"INVALID – N/A not permitted for this mandatory check",IF(AND(TRIM(AC613)&lt;&gt;"",TRIM(AE613)&lt;&gt;"",TRIM(T613)&lt;&gt;"",TRIM(AE613)&lt;&gt;TRIM(T613)),"N/A – JUSTIFIED","INVALID – N/A needs justification, PIC and a different verifier")),IF(OR(TRIM(U613)="Pass",TRIM(U613)="Pass after CA"),IF(NOT(ISNUMBER(AD613)),"INVALID – completion time missing",IF(TRIM(T613)="","INVALID – PIC missing",IF(TRIM(V613)="","INVALID – result / assessment missing",IF(TRIM(Z613)="","INVALID – evidence missing",IF(TRIM(AE613)="","INVALID – verifier missing",IF(TRIM(AE613)=TRIM(T613),"INVALID – verifier must be someone other than the PIC",IF(AND(AQ613=1,TRIM(W613)=""),"INVALID – batch ID missing",IF(AND(AR613=1,OR(NOT(ISNUMBER(X613)),NOT(ISNUMBER(Y613)))),"INVALID – expected/actual qty missing",IF(IF(AND(TRIM(U613)="Pass",ISNUMBER(AF613)),IF(AF613&lt;&gt;0,"INVALID – qty variance: use Fail or Pass after CA",""),"")&amp;IF(AND(TRIM(U613)="Pass",TRIM(AB613)&lt;&gt;"",TRIM(AB613)&lt;&gt;"Closed"),"INVALID – corrective action not closed: use Fail, then Pass after CA","")&amp;IF(AND(TRIM(AA613)&lt;&gt;"",TRIM(AB613)=""),"INVALID – CA status missing for the recorded corrective action","")&amp;IF(AND(TRIM(U613)="Pass after CA",OR(TRIM(AA613)="",TRIM(AB613)&lt;&gt;"Closed")),"INVALID – corrective action not recorded/closed","")&lt;&gt;"",IF(AND(TRIM(U613)="Pass",ISNUMBER(AF613)),IF(AF613&lt;&gt;0,"INVALID – qty variance: use Fail or Pass after CA",""),"")&amp;IF(AND(TRIM(U613)="Pass",TRIM(AB613)&lt;&gt;"",TRIM(AB613)&lt;&gt;"Closed"),"INVALID – corrective action not closed: use Fail, then Pass after CA","")&amp;IF(AND(TRIM(AA613)&lt;&gt;"",TRIM(AB613)=""),"INVALID – CA status missing for the recorded corrective action","")&amp;IF(AND(TRIM(U613)="Pass after CA",OR(TRIM(AA613)="",TRIM(AB613)&lt;&gt;"Closed")),"INVALID – corrective action not recorded/closed",""),IF(AND(AS613=1,Documents!$J$22&lt;&gt;"ON FILE"),"INVALID – GLD not on file (Documents sheet)",IF(AND(AS613=2,Documents!$O$22&lt;&gt;"ON FILE"),"INVALID – menu checklist not on file (Documents sheet)",IF(AND(AS613=3,NOT(ISNUMBER(Flights!$AX$22))),"INVALID – enter carrying flight KUL departure (Flights AX)",IF(AND(AS613=3,OR(Flights!$AX$22&gt;=Flights!$AA$22,Flights!$AX$22&lt;Flights!$AA$22-3)),"INVALID – Flights AX must be before this leg's STD (within 3 days)",IF(AG613&gt;AsOfUTC,"INVALID – completion time is in the future",IF(AND(ISNUMBER(S613),AG613&lt;S613),IF(H613="Physical uplift","INVALID – before uplift window (cannot confirm loading)","INVALID – before valid window"),IF(AG613&gt;Flights!$AA$22,"INVALID – completed after departure (cannot establish readiness)",IF(AND(H613="Physical uplift",AG613&gt;Q613),"INVALID – recorded after the loading flight departed",IF(AG613&gt;Q613,"COMPLETE – LATE","COMPLETE")))))))))))))))))),IF(TRIM(U613)="Fail","FAIL – DISCREPANCY",IF(AND(TRIM(U613)&lt;&gt;"",TRIM(U613)&lt;&gt;"Not started",TRIM(U613)&lt;&gt;"In progress"),"INVALID – unrecognised status (use the list)",IF(AsOfUTC&gt;Q613,"OVERDUE",IF(N613="Clarification required","OPEN – CLARIFICATION","OPEN")))))))</f>
        <v>OPEN</v>
      </c>
      <c r="AI613" s="61" t="n">
        <f aca="false">IF(OR(AH613="N/A – RULE",AH613="N/A – JUSTIFIED"),0,1)</f>
        <v>1</v>
      </c>
      <c r="AJ613" s="61" t="n">
        <f aca="false">IF(LEFT(AH613,8)="COMPLETE",1,0)</f>
        <v>0</v>
      </c>
      <c r="AK613" s="61" t="n">
        <f aca="false">IF(AND(AI613=1,AJ613=0,AsOfUTC&gt;Q613),1,0)</f>
        <v>0</v>
      </c>
      <c r="AL613" s="61" t="n">
        <f aca="false">IF(AND(AI613=1,OR(TRIM(U613)="Fail",AND(TRIM(AB613)&lt;&gt;"",TRIM(AB613)&lt;&gt;"Closed"),AND(ISNUMBER(AF613),AF613&lt;&gt;0,TRIM(U613)&lt;&gt;"Pass after CA"))),1,0)</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8" t="b">
        <f aca="false">TRUE()</f>
        <v>1</v>
      </c>
    </row>
    <row r="614" customFormat="false" ht="39.75" hidden="false" customHeight="true" outlineLevel="0" collapsed="false">
      <c r="A614" s="57" t="s">
        <v>1285</v>
      </c>
      <c r="B614" s="57" t="s">
        <v>285</v>
      </c>
      <c r="C614" s="57" t="str">
        <f aca="false">Flights!$F$22</f>
        <v>MH0052</v>
      </c>
      <c r="D614" s="58" t="n">
        <f aca="false">Flights!$D$22</f>
        <v>46322</v>
      </c>
      <c r="E614" s="57" t="str">
        <f aca="false">Flights!$G$22&amp;"-"&amp;Flights!$H$22</f>
        <v>KUL-KIX</v>
      </c>
      <c r="F614" s="57" t="str">
        <f aca="false">Flights!$K$22</f>
        <v>BC</v>
      </c>
      <c r="G614" s="57" t="s">
        <v>424</v>
      </c>
      <c r="H614" s="57" t="s">
        <v>425</v>
      </c>
      <c r="I614" s="57" t="s">
        <v>412</v>
      </c>
      <c r="J614" s="57" t="s">
        <v>518</v>
      </c>
      <c r="K614" s="67" t="s">
        <v>414</v>
      </c>
      <c r="L614" s="67" t="s">
        <v>1264</v>
      </c>
      <c r="M614" s="67" t="s">
        <v>416</v>
      </c>
      <c r="N614" s="67" t="s">
        <v>348</v>
      </c>
      <c r="O614" s="67"/>
      <c r="P614" s="57" t="s">
        <v>179</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59" t="n">
        <f aca="false">IF(ISNUMBER(Flights!$AY$22),MAX(Q614-UpliftWindowH/24,Flights!$AY$22+UpliftWindowH/24),Q614-UpliftWindowH/24)</f>
        <v>46322.3506944444</v>
      </c>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IF(N614="N/A – rule","N/A – RULE",IF(TRIM(U614)="N/A",IF(AT614=0,"INVALID – N/A not permitted for this mandatory check",IF(AND(TRIM(AC614)&lt;&gt;"",TRIM(AE614)&lt;&gt;"",TRIM(T614)&lt;&gt;"",TRIM(AE614)&lt;&gt;TRIM(T614)),"N/A – JUSTIFIED","INVALID – N/A needs justification, PIC and a different verifier")),IF(OR(TRIM(U614)="Pass",TRIM(U614)="Pass after CA"),IF(NOT(ISNUMBER(AD614)),"INVALID – completion time missing",IF(TRIM(T614)="","INVALID – PIC missing",IF(TRIM(V614)="","INVALID – result / assessment missing",IF(TRIM(Z614)="","INVALID – evidence missing",IF(TRIM(AE614)="","INVALID – verifier missing",IF(TRIM(AE614)=TRIM(T614),"INVALID – verifier must be someone other than the PIC",IF(AND(AQ614=1,TRIM(W614)=""),"INVALID – batch ID missing",IF(AND(AR614=1,OR(NOT(ISNUMBER(X614)),NOT(ISNUMBER(Y614)))),"INVALID – expected/actual qty missing",IF(IF(AND(TRIM(U614)="Pass",ISNUMBER(AF614)),IF(AF614&lt;&gt;0,"INVALID – qty variance: use Fail or Pass after CA",""),"")&amp;IF(AND(TRIM(U614)="Pass",TRIM(AB614)&lt;&gt;"",TRIM(AB614)&lt;&gt;"Closed"),"INVALID – corrective action not closed: use Fail, then Pass after CA","")&amp;IF(AND(TRIM(AA614)&lt;&gt;"",TRIM(AB614)=""),"INVALID – CA status missing for the recorded corrective action","")&amp;IF(AND(TRIM(U614)="Pass after CA",OR(TRIM(AA614)="",TRIM(AB614)&lt;&gt;"Closed")),"INVALID – corrective action not recorded/closed","")&lt;&gt;"",IF(AND(TRIM(U614)="Pass",ISNUMBER(AF614)),IF(AF614&lt;&gt;0,"INVALID – qty variance: use Fail or Pass after CA",""),"")&amp;IF(AND(TRIM(U614)="Pass",TRIM(AB614)&lt;&gt;"",TRIM(AB614)&lt;&gt;"Closed"),"INVALID – corrective action not closed: use Fail, then Pass after CA","")&amp;IF(AND(TRIM(AA614)&lt;&gt;"",TRIM(AB614)=""),"INVALID – CA status missing for the recorded corrective action","")&amp;IF(AND(TRIM(U614)="Pass after CA",OR(TRIM(AA614)="",TRIM(AB614)&lt;&gt;"Closed")),"INVALID – corrective action not recorded/closed",""),IF(AND(AS614=1,Documents!$J$22&lt;&gt;"ON FILE"),"INVALID – GLD not on file (Documents sheet)",IF(AND(AS614=2,Documents!$O$22&lt;&gt;"ON FILE"),"INVALID – menu checklist not on file (Documents sheet)",IF(AND(AS614=3,NOT(ISNUMBER(Flights!$AX$22))),"INVALID – enter carrying flight KUL departure (Flights AX)",IF(AND(AS614=3,OR(Flights!$AX$22&gt;=Flights!$AA$22,Flights!$AX$22&lt;Flights!$AA$22-3)),"INVALID – Flights AX must be before this leg's STD (within 3 days)",IF(AG614&gt;AsOfUTC,"INVALID – completion time is in the future",IF(AND(ISNUMBER(S614),AG614&lt;S614),IF(H614="Physical uplift","INVALID – before uplift window (cannot confirm loading)","INVALID – before valid window"),IF(AG614&gt;Flights!$AA$22,"INVALID – completed after departure (cannot establish readiness)",IF(AND(H614="Physical uplift",AG614&gt;Q614),"INVALID – recorded after the loading flight departed",IF(AG614&gt;Q614,"COMPLETE – LATE","COMPLETE")))))))))))))))))),IF(TRIM(U614)="Fail","FAIL – DISCREPANCY",IF(AND(TRIM(U614)&lt;&gt;"",TRIM(U614)&lt;&gt;"Not started",TRIM(U614)&lt;&gt;"In progress"),"INVALID – unrecognised status (use the list)",IF(AsOfUTC&gt;Q614,"OVERDUE",IF(N614="Clarification required","OPEN – CLARIFICATION","OPEN")))))))</f>
        <v>OPEN</v>
      </c>
      <c r="AI614" s="61" t="n">
        <f aca="false">IF(OR(AH614="N/A – RULE",AH614="N/A – JUSTIFIED"),0,1)</f>
        <v>1</v>
      </c>
      <c r="AJ614" s="61" t="n">
        <f aca="false">IF(LEFT(AH614,8)="COMPLETE",1,0)</f>
        <v>0</v>
      </c>
      <c r="AK614" s="61" t="n">
        <f aca="false">IF(AND(AI614=1,AJ614=0,AsOfUTC&gt;Q614),1,0)</f>
        <v>0</v>
      </c>
      <c r="AL614" s="61" t="n">
        <f aca="false">IF(AND(AI614=1,OR(TRIM(U614)="Fail",AND(TRIM(AB614)&lt;&gt;"",TRIM(AB614)&lt;&gt;"Closed"),AND(ISNUMBER(AF614),AF614&lt;&gt;0,TRIM(U614)&lt;&gt;"Pass after CA"))),1,0)</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8" t="b">
        <f aca="false">TRUE()</f>
        <v>1</v>
      </c>
    </row>
    <row r="615" customFormat="false" ht="39.75" hidden="false" customHeight="true" outlineLevel="0" collapsed="false">
      <c r="A615" s="57" t="s">
        <v>1286</v>
      </c>
      <c r="B615" s="57" t="s">
        <v>285</v>
      </c>
      <c r="C615" s="57" t="str">
        <f aca="false">Flights!$F$22</f>
        <v>MH0052</v>
      </c>
      <c r="D615" s="58" t="n">
        <f aca="false">Flights!$D$22</f>
        <v>46322</v>
      </c>
      <c r="E615" s="57" t="str">
        <f aca="false">Flights!$G$22&amp;"-"&amp;Flights!$H$22</f>
        <v>KUL-KIX</v>
      </c>
      <c r="F615" s="57" t="str">
        <f aca="false">Flights!$K$22</f>
        <v>BC</v>
      </c>
      <c r="G615" s="57" t="s">
        <v>424</v>
      </c>
      <c r="H615" s="57" t="s">
        <v>425</v>
      </c>
      <c r="I615" s="57" t="s">
        <v>412</v>
      </c>
      <c r="J615" s="57" t="s">
        <v>618</v>
      </c>
      <c r="K615" s="67" t="s">
        <v>414</v>
      </c>
      <c r="L615" s="67" t="s">
        <v>1266</v>
      </c>
      <c r="M615" s="67" t="s">
        <v>416</v>
      </c>
      <c r="N615" s="67" t="s">
        <v>348</v>
      </c>
      <c r="O615" s="67"/>
      <c r="P615" s="57" t="s">
        <v>179</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59" t="n">
        <f aca="false">IF(ISNUMBER(Flights!$AY$22),MAX(Q615-UpliftWindowH/24,Flights!$AY$22+UpliftWindowH/24),Q615-UpliftWindowH/24)</f>
        <v>46322.3506944444</v>
      </c>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IF(N615="N/A – rule","N/A – RULE",IF(TRIM(U615)="N/A",IF(AT615=0,"INVALID – N/A not permitted for this mandatory check",IF(AND(TRIM(AC615)&lt;&gt;"",TRIM(AE615)&lt;&gt;"",TRIM(T615)&lt;&gt;"",TRIM(AE615)&lt;&gt;TRIM(T615)),"N/A – JUSTIFIED","INVALID – N/A needs justification, PIC and a different verifier")),IF(OR(TRIM(U615)="Pass",TRIM(U615)="Pass after CA"),IF(NOT(ISNUMBER(AD615)),"INVALID – completion time missing",IF(TRIM(T615)="","INVALID – PIC missing",IF(TRIM(V615)="","INVALID – result / assessment missing",IF(TRIM(Z615)="","INVALID – evidence missing",IF(TRIM(AE615)="","INVALID – verifier missing",IF(TRIM(AE615)=TRIM(T615),"INVALID – verifier must be someone other than the PIC",IF(AND(AQ615=1,TRIM(W615)=""),"INVALID – batch ID missing",IF(AND(AR615=1,OR(NOT(ISNUMBER(X615)),NOT(ISNUMBER(Y615)))),"INVALID – expected/actual qty missing",IF(IF(AND(TRIM(U615)="Pass",ISNUMBER(AF615)),IF(AF615&lt;&gt;0,"INVALID – qty variance: use Fail or Pass after CA",""),"")&amp;IF(AND(TRIM(U615)="Pass",TRIM(AB615)&lt;&gt;"",TRIM(AB615)&lt;&gt;"Closed"),"INVALID – corrective action not closed: use Fail, then Pass after CA","")&amp;IF(AND(TRIM(AA615)&lt;&gt;"",TRIM(AB615)=""),"INVALID – CA status missing for the recorded corrective action","")&amp;IF(AND(TRIM(U615)="Pass after CA",OR(TRIM(AA615)="",TRIM(AB615)&lt;&gt;"Closed")),"INVALID – corrective action not recorded/closed","")&lt;&gt;"",IF(AND(TRIM(U615)="Pass",ISNUMBER(AF615)),IF(AF615&lt;&gt;0,"INVALID – qty variance: use Fail or Pass after CA",""),"")&amp;IF(AND(TRIM(U615)="Pass",TRIM(AB615)&lt;&gt;"",TRIM(AB615)&lt;&gt;"Closed"),"INVALID – corrective action not closed: use Fail, then Pass after CA","")&amp;IF(AND(TRIM(AA615)&lt;&gt;"",TRIM(AB615)=""),"INVALID – CA status missing for the recorded corrective action","")&amp;IF(AND(TRIM(U615)="Pass after CA",OR(TRIM(AA615)="",TRIM(AB615)&lt;&gt;"Closed")),"INVALID – corrective action not recorded/closed",""),IF(AND(AS615=1,Documents!$J$22&lt;&gt;"ON FILE"),"INVALID – GLD not on file (Documents sheet)",IF(AND(AS615=2,Documents!$O$22&lt;&gt;"ON FILE"),"INVALID – menu checklist not on file (Documents sheet)",IF(AND(AS615=3,NOT(ISNUMBER(Flights!$AX$22))),"INVALID – enter carrying flight KUL departure (Flights AX)",IF(AND(AS615=3,OR(Flights!$AX$22&gt;=Flights!$AA$22,Flights!$AX$22&lt;Flights!$AA$22-3)),"INVALID – Flights AX must be before this leg's STD (within 3 days)",IF(AG615&gt;AsOfUTC,"INVALID – completion time is in the future",IF(AND(ISNUMBER(S615),AG615&lt;S615),IF(H615="Physical uplift","INVALID – before uplift window (cannot confirm loading)","INVALID – before valid window"),IF(AG615&gt;Flights!$AA$22,"INVALID – completed after departure (cannot establish readiness)",IF(AND(H615="Physical uplift",AG615&gt;Q615),"INVALID – recorded after the loading flight departed",IF(AG615&gt;Q615,"COMPLETE – LATE","COMPLETE")))))))))))))))))),IF(TRIM(U615)="Fail","FAIL – DISCREPANCY",IF(AND(TRIM(U615)&lt;&gt;"",TRIM(U615)&lt;&gt;"Not started",TRIM(U615)&lt;&gt;"In progress"),"INVALID – unrecognised status (use the list)",IF(AsOfUTC&gt;Q615,"OVERDUE",IF(N615="Clarification required","OPEN – CLARIFICATION","OPEN")))))))</f>
        <v>OPEN</v>
      </c>
      <c r="AI615" s="61" t="n">
        <f aca="false">IF(OR(AH615="N/A – RULE",AH615="N/A – JUSTIFIED"),0,1)</f>
        <v>1</v>
      </c>
      <c r="AJ615" s="61" t="n">
        <f aca="false">IF(LEFT(AH615,8)="COMPLETE",1,0)</f>
        <v>0</v>
      </c>
      <c r="AK615" s="61" t="n">
        <f aca="false">IF(AND(AI615=1,AJ615=0,AsOfUTC&gt;Q615),1,0)</f>
        <v>0</v>
      </c>
      <c r="AL615" s="61" t="n">
        <f aca="false">IF(AND(AI615=1,OR(TRIM(U615)="Fail",AND(TRIM(AB615)&lt;&gt;"",TRIM(AB615)&lt;&gt;"Closed"),AND(ISNUMBER(AF615),AF615&lt;&gt;0,TRIM(U615)&lt;&gt;"Pass after CA"))),1,0)</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8" t="b">
        <f aca="false">TRUE()</f>
        <v>1</v>
      </c>
    </row>
    <row r="616" customFormat="false" ht="39.75" hidden="false" customHeight="true" outlineLevel="0" collapsed="false">
      <c r="A616" s="57" t="s">
        <v>1287</v>
      </c>
      <c r="B616" s="57" t="s">
        <v>285</v>
      </c>
      <c r="C616" s="57" t="str">
        <f aca="false">Flights!$F$22</f>
        <v>MH0052</v>
      </c>
      <c r="D616" s="58" t="n">
        <f aca="false">Flights!$D$22</f>
        <v>46322</v>
      </c>
      <c r="E616" s="57" t="str">
        <f aca="false">Flights!$G$22&amp;"-"&amp;Flights!$H$22</f>
        <v>KUL-KIX</v>
      </c>
      <c r="F616" s="57" t="str">
        <f aca="false">Flights!$K$22</f>
        <v>BC</v>
      </c>
      <c r="G616" s="57" t="s">
        <v>424</v>
      </c>
      <c r="H616" s="57" t="s">
        <v>425</v>
      </c>
      <c r="I616" s="57" t="s">
        <v>412</v>
      </c>
      <c r="J616" s="57" t="s">
        <v>620</v>
      </c>
      <c r="K616" s="67" t="s">
        <v>414</v>
      </c>
      <c r="L616" s="67" t="s">
        <v>1268</v>
      </c>
      <c r="M616" s="67" t="s">
        <v>416</v>
      </c>
      <c r="N616" s="67" t="s">
        <v>348</v>
      </c>
      <c r="O616" s="67"/>
      <c r="P616" s="57" t="s">
        <v>179</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59" t="n">
        <f aca="false">IF(ISNUMBER(Flights!$AY$22),MAX(Q616-UpliftWindowH/24,Flights!$AY$22+UpliftWindowH/24),Q616-UpliftWindowH/24)</f>
        <v>46322.3506944444</v>
      </c>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IF(N616="N/A – rule","N/A – RULE",IF(TRIM(U616)="N/A",IF(AT616=0,"INVALID – N/A not permitted for this mandatory check",IF(AND(TRIM(AC616)&lt;&gt;"",TRIM(AE616)&lt;&gt;"",TRIM(T616)&lt;&gt;"",TRIM(AE616)&lt;&gt;TRIM(T616)),"N/A – JUSTIFIED","INVALID – N/A needs justification, PIC and a different verifier")),IF(OR(TRIM(U616)="Pass",TRIM(U616)="Pass after CA"),IF(NOT(ISNUMBER(AD616)),"INVALID – completion time missing",IF(TRIM(T616)="","INVALID – PIC missing",IF(TRIM(V616)="","INVALID – result / assessment missing",IF(TRIM(Z616)="","INVALID – evidence missing",IF(TRIM(AE616)="","INVALID – verifier missing",IF(TRIM(AE616)=TRIM(T616),"INVALID – verifier must be someone other than the PIC",IF(AND(AQ616=1,TRIM(W616)=""),"INVALID – batch ID missing",IF(AND(AR616=1,OR(NOT(ISNUMBER(X616)),NOT(ISNUMBER(Y616)))),"INVALID – expected/actual qty missing",IF(IF(AND(TRIM(U616)="Pass",ISNUMBER(AF616)),IF(AF616&lt;&gt;0,"INVALID – qty variance: use Fail or Pass after CA",""),"")&amp;IF(AND(TRIM(U616)="Pass",TRIM(AB616)&lt;&gt;"",TRIM(AB616)&lt;&gt;"Closed"),"INVALID – corrective action not closed: use Fail, then Pass after CA","")&amp;IF(AND(TRIM(AA616)&lt;&gt;"",TRIM(AB616)=""),"INVALID – CA status missing for the recorded corrective action","")&amp;IF(AND(TRIM(U616)="Pass after CA",OR(TRIM(AA616)="",TRIM(AB616)&lt;&gt;"Closed")),"INVALID – corrective action not recorded/closed","")&lt;&gt;"",IF(AND(TRIM(U616)="Pass",ISNUMBER(AF616)),IF(AF616&lt;&gt;0,"INVALID – qty variance: use Fail or Pass after CA",""),"")&amp;IF(AND(TRIM(U616)="Pass",TRIM(AB616)&lt;&gt;"",TRIM(AB616)&lt;&gt;"Closed"),"INVALID – corrective action not closed: use Fail, then Pass after CA","")&amp;IF(AND(TRIM(AA616)&lt;&gt;"",TRIM(AB616)=""),"INVALID – CA status missing for the recorded corrective action","")&amp;IF(AND(TRIM(U616)="Pass after CA",OR(TRIM(AA616)="",TRIM(AB616)&lt;&gt;"Closed")),"INVALID – corrective action not recorded/closed",""),IF(AND(AS616=1,Documents!$J$22&lt;&gt;"ON FILE"),"INVALID – GLD not on file (Documents sheet)",IF(AND(AS616=2,Documents!$O$22&lt;&gt;"ON FILE"),"INVALID – menu checklist not on file (Documents sheet)",IF(AND(AS616=3,NOT(ISNUMBER(Flights!$AX$22))),"INVALID – enter carrying flight KUL departure (Flights AX)",IF(AND(AS616=3,OR(Flights!$AX$22&gt;=Flights!$AA$22,Flights!$AX$22&lt;Flights!$AA$22-3)),"INVALID – Flights AX must be before this leg's STD (within 3 days)",IF(AG616&gt;AsOfUTC,"INVALID – completion time is in the future",IF(AND(ISNUMBER(S616),AG616&lt;S616),IF(H616="Physical uplift","INVALID – before uplift window (cannot confirm loading)","INVALID – before valid window"),IF(AG616&gt;Flights!$AA$22,"INVALID – completed after departure (cannot establish readiness)",IF(AND(H616="Physical uplift",AG616&gt;Q616),"INVALID – recorded after the loading flight departed",IF(AG616&gt;Q616,"COMPLETE – LATE","COMPLETE")))))))))))))))))),IF(TRIM(U616)="Fail","FAIL – DISCREPANCY",IF(AND(TRIM(U616)&lt;&gt;"",TRIM(U616)&lt;&gt;"Not started",TRIM(U616)&lt;&gt;"In progress"),"INVALID – unrecognised status (use the list)",IF(AsOfUTC&gt;Q616,"OVERDUE",IF(N616="Clarification required","OPEN – CLARIFICATION","OPEN")))))))</f>
        <v>OPEN</v>
      </c>
      <c r="AI616" s="61" t="n">
        <f aca="false">IF(OR(AH616="N/A – RULE",AH616="N/A – JUSTIFIED"),0,1)</f>
        <v>1</v>
      </c>
      <c r="AJ616" s="61" t="n">
        <f aca="false">IF(LEFT(AH616,8)="COMPLETE",1,0)</f>
        <v>0</v>
      </c>
      <c r="AK616" s="61" t="n">
        <f aca="false">IF(AND(AI616=1,AJ616=0,AsOfUTC&gt;Q616),1,0)</f>
        <v>0</v>
      </c>
      <c r="AL616" s="61" t="n">
        <f aca="false">IF(AND(AI616=1,OR(TRIM(U616)="Fail",AND(TRIM(AB616)&lt;&gt;"",TRIM(AB616)&lt;&gt;"Closed"),AND(ISNUMBER(AF616),AF616&lt;&gt;0,TRIM(U616)&lt;&gt;"Pass after CA"))),1,0)</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8" t="b">
        <f aca="false">TRUE()</f>
        <v>1</v>
      </c>
    </row>
    <row r="617" customFormat="false" ht="39.75" hidden="false" customHeight="true" outlineLevel="0" collapsed="false">
      <c r="A617" s="57" t="s">
        <v>1288</v>
      </c>
      <c r="B617" s="57" t="s">
        <v>285</v>
      </c>
      <c r="C617" s="57" t="str">
        <f aca="false">Flights!$F$22</f>
        <v>MH0052</v>
      </c>
      <c r="D617" s="58" t="n">
        <f aca="false">Flights!$D$22</f>
        <v>46322</v>
      </c>
      <c r="E617" s="57" t="str">
        <f aca="false">Flights!$G$22&amp;"-"&amp;Flights!$H$22</f>
        <v>KUL-KIX</v>
      </c>
      <c r="F617" s="57" t="str">
        <f aca="false">Flights!$K$22</f>
        <v>BC</v>
      </c>
      <c r="G617" s="57" t="s">
        <v>424</v>
      </c>
      <c r="H617" s="57" t="s">
        <v>425</v>
      </c>
      <c r="I617" s="57" t="s">
        <v>594</v>
      </c>
      <c r="J617" s="57" t="s">
        <v>622</v>
      </c>
      <c r="K617" s="67" t="s">
        <v>466</v>
      </c>
      <c r="L617" s="67" t="s">
        <v>1270</v>
      </c>
      <c r="M617" s="67" t="s">
        <v>179</v>
      </c>
      <c r="N617" s="67" t="s">
        <v>348</v>
      </c>
      <c r="O617" s="67" t="s">
        <v>597</v>
      </c>
      <c r="P617" s="57" t="s">
        <v>179</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59" t="n">
        <f aca="false">IF(ISNUMBER(Flights!$AY$22),MAX(Q617-UpliftWindowH/24,Flights!$AY$22+UpliftWindowH/24),Q617-UpliftWindowH/24)</f>
        <v>46322.3506944444</v>
      </c>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IF(N617="N/A – rule","N/A – RULE",IF(TRIM(U617)="N/A",IF(AT617=0,"INVALID – N/A not permitted for this mandatory check",IF(AND(TRIM(AC617)&lt;&gt;"",TRIM(AE617)&lt;&gt;"",TRIM(T617)&lt;&gt;"",TRIM(AE617)&lt;&gt;TRIM(T617)),"N/A – JUSTIFIED","INVALID – N/A needs justification, PIC and a different verifier")),IF(OR(TRIM(U617)="Pass",TRIM(U617)="Pass after CA"),IF(NOT(ISNUMBER(AD617)),"INVALID – completion time missing",IF(TRIM(T617)="","INVALID – PIC missing",IF(TRIM(V617)="","INVALID – result / assessment missing",IF(TRIM(Z617)="","INVALID – evidence missing",IF(TRIM(AE617)="","INVALID – verifier missing",IF(TRIM(AE617)=TRIM(T617),"INVALID – verifier must be someone other than the PIC",IF(AND(AQ617=1,TRIM(W617)=""),"INVALID – batch ID missing",IF(AND(AR617=1,OR(NOT(ISNUMBER(X617)),NOT(ISNUMBER(Y617)))),"INVALID – expected/actual qty missing",IF(IF(AND(TRIM(U617)="Pass",ISNUMBER(AF617)),IF(AF617&lt;&gt;0,"INVALID – qty variance: use Fail or Pass after CA",""),"")&amp;IF(AND(TRIM(U617)="Pass",TRIM(AB617)&lt;&gt;"",TRIM(AB617)&lt;&gt;"Closed"),"INVALID – corrective action not closed: use Fail, then Pass after CA","")&amp;IF(AND(TRIM(AA617)&lt;&gt;"",TRIM(AB617)=""),"INVALID – CA status missing for the recorded corrective action","")&amp;IF(AND(TRIM(U617)="Pass after CA",OR(TRIM(AA617)="",TRIM(AB617)&lt;&gt;"Closed")),"INVALID – corrective action not recorded/closed","")&lt;&gt;"",IF(AND(TRIM(U617)="Pass",ISNUMBER(AF617)),IF(AF617&lt;&gt;0,"INVALID – qty variance: use Fail or Pass after CA",""),"")&amp;IF(AND(TRIM(U617)="Pass",TRIM(AB617)&lt;&gt;"",TRIM(AB617)&lt;&gt;"Closed"),"INVALID – corrective action not closed: use Fail, then Pass after CA","")&amp;IF(AND(TRIM(AA617)&lt;&gt;"",TRIM(AB617)=""),"INVALID – CA status missing for the recorded corrective action","")&amp;IF(AND(TRIM(U617)="Pass after CA",OR(TRIM(AA617)="",TRIM(AB617)&lt;&gt;"Closed")),"INVALID – corrective action not recorded/closed",""),IF(AND(AS617=1,Documents!$J$22&lt;&gt;"ON FILE"),"INVALID – GLD not on file (Documents sheet)",IF(AND(AS617=2,Documents!$O$22&lt;&gt;"ON FILE"),"INVALID – menu checklist not on file (Documents sheet)",IF(AND(AS617=3,NOT(ISNUMBER(Flights!$AX$22))),"INVALID – enter carrying flight KUL departure (Flights AX)",IF(AND(AS617=3,OR(Flights!$AX$22&gt;=Flights!$AA$22,Flights!$AX$22&lt;Flights!$AA$22-3)),"INVALID – Flights AX must be before this leg's STD (within 3 days)",IF(AG617&gt;AsOfUTC,"INVALID – completion time is in the future",IF(AND(ISNUMBER(S617),AG617&lt;S617),IF(H617="Physical uplift","INVALID – before uplift window (cannot confirm loading)","INVALID – before valid window"),IF(AG617&gt;Flights!$AA$22,"INVALID – completed after departure (cannot establish readiness)",IF(AND(H617="Physical uplift",AG617&gt;Q617),"INVALID – recorded after the loading flight departed",IF(AG617&gt;Q617,"COMPLETE – LATE","COMPLETE")))))))))))))))))),IF(TRIM(U617)="Fail","FAIL – DISCREPANCY",IF(AND(TRIM(U617)&lt;&gt;"",TRIM(U617)&lt;&gt;"Not started",TRIM(U617)&lt;&gt;"In progress"),"INVALID – unrecognised status (use the list)",IF(AsOfUTC&gt;Q617,"OVERDUE",IF(N617="Clarification required","OPEN – CLARIFICATION","OPEN")))))))</f>
        <v>OPEN</v>
      </c>
      <c r="AI617" s="61" t="n">
        <f aca="false">IF(OR(AH617="N/A – RULE",AH617="N/A – JUSTIFIED"),0,1)</f>
        <v>1</v>
      </c>
      <c r="AJ617" s="61" t="n">
        <f aca="false">IF(LEFT(AH617,8)="COMPLETE",1,0)</f>
        <v>0</v>
      </c>
      <c r="AK617" s="61" t="n">
        <f aca="false">IF(AND(AI617=1,AJ617=0,AsOfUTC&gt;Q617),1,0)</f>
        <v>0</v>
      </c>
      <c r="AL617" s="61" t="n">
        <f aca="false">IF(AND(AI617=1,OR(TRIM(U617)="Fail",AND(TRIM(AB617)&lt;&gt;"",TRIM(AB617)&lt;&gt;"Closed"),AND(ISNUMBER(AF617),AF617&lt;&gt;0,TRIM(U617)&lt;&gt;"Pass after CA"))),1,0)</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8" t="b">
        <f aca="false">TRUE()</f>
        <v>1</v>
      </c>
    </row>
    <row r="618" customFormat="false" ht="39.75" hidden="false" customHeight="true" outlineLevel="0" collapsed="false">
      <c r="A618" s="57" t="s">
        <v>1289</v>
      </c>
      <c r="B618" s="57" t="s">
        <v>285</v>
      </c>
      <c r="C618" s="57" t="str">
        <f aca="false">Flights!$F$22</f>
        <v>MH0052</v>
      </c>
      <c r="D618" s="58" t="n">
        <f aca="false">Flights!$D$22</f>
        <v>46322</v>
      </c>
      <c r="E618" s="57" t="str">
        <f aca="false">Flights!$G$22&amp;"-"&amp;Flights!$H$22</f>
        <v>KUL-KIX</v>
      </c>
      <c r="F618" s="57" t="str">
        <f aca="false">Flights!$K$22</f>
        <v>BC</v>
      </c>
      <c r="G618" s="57" t="s">
        <v>424</v>
      </c>
      <c r="H618" s="57" t="s">
        <v>425</v>
      </c>
      <c r="I618" s="57" t="s">
        <v>599</v>
      </c>
      <c r="J618" s="57" t="s">
        <v>624</v>
      </c>
      <c r="K618" s="67" t="s">
        <v>1272</v>
      </c>
      <c r="L618" s="67" t="s">
        <v>1273</v>
      </c>
      <c r="M618" s="67" t="s">
        <v>416</v>
      </c>
      <c r="N618" s="67" t="s">
        <v>348</v>
      </c>
      <c r="O618" s="67" t="s">
        <v>1290</v>
      </c>
      <c r="P618" s="57" t="s">
        <v>179</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59" t="n">
        <f aca="false">IF(ISNUMBER(Flights!$AY$22),MAX(Q618-UpliftWindowH/24,Flights!$AY$22+UpliftWindowH/24),Q618-UpliftWindowH/24)</f>
        <v>46322.3506944444</v>
      </c>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IF(N618="N/A – rule","N/A – RULE",IF(TRIM(U618)="N/A",IF(AT618=0,"INVALID – N/A not permitted for this mandatory check",IF(AND(TRIM(AC618)&lt;&gt;"",TRIM(AE618)&lt;&gt;"",TRIM(T618)&lt;&gt;"",TRIM(AE618)&lt;&gt;TRIM(T618)),"N/A – JUSTIFIED","INVALID – N/A needs justification, PIC and a different verifier")),IF(OR(TRIM(U618)="Pass",TRIM(U618)="Pass after CA"),IF(NOT(ISNUMBER(AD618)),"INVALID – completion time missing",IF(TRIM(T618)="","INVALID – PIC missing",IF(TRIM(V618)="","INVALID – result / assessment missing",IF(TRIM(Z618)="","INVALID – evidence missing",IF(TRIM(AE618)="","INVALID – verifier missing",IF(TRIM(AE618)=TRIM(T618),"INVALID – verifier must be someone other than the PIC",IF(AND(AQ618=1,TRIM(W618)=""),"INVALID – batch ID missing",IF(AND(AR618=1,OR(NOT(ISNUMBER(X618)),NOT(ISNUMBER(Y618)))),"INVALID – expected/actual qty missing",IF(IF(AND(TRIM(U618)="Pass",ISNUMBER(AF618)),IF(AF618&lt;&gt;0,"INVALID – qty variance: use Fail or Pass after CA",""),"")&amp;IF(AND(TRIM(U618)="Pass",TRIM(AB618)&lt;&gt;"",TRIM(AB618)&lt;&gt;"Closed"),"INVALID – corrective action not closed: use Fail, then Pass after CA","")&amp;IF(AND(TRIM(AA618)&lt;&gt;"",TRIM(AB618)=""),"INVALID – CA status missing for the recorded corrective action","")&amp;IF(AND(TRIM(U618)="Pass after CA",OR(TRIM(AA618)="",TRIM(AB618)&lt;&gt;"Closed")),"INVALID – corrective action not recorded/closed","")&lt;&gt;"",IF(AND(TRIM(U618)="Pass",ISNUMBER(AF618)),IF(AF618&lt;&gt;0,"INVALID – qty variance: use Fail or Pass after CA",""),"")&amp;IF(AND(TRIM(U618)="Pass",TRIM(AB618)&lt;&gt;"",TRIM(AB618)&lt;&gt;"Closed"),"INVALID – corrective action not closed: use Fail, then Pass after CA","")&amp;IF(AND(TRIM(AA618)&lt;&gt;"",TRIM(AB618)=""),"INVALID – CA status missing for the recorded corrective action","")&amp;IF(AND(TRIM(U618)="Pass after CA",OR(TRIM(AA618)="",TRIM(AB618)&lt;&gt;"Closed")),"INVALID – corrective action not recorded/closed",""),IF(AND(AS618=1,Documents!$J$22&lt;&gt;"ON FILE"),"INVALID – GLD not on file (Documents sheet)",IF(AND(AS618=2,Documents!$O$22&lt;&gt;"ON FILE"),"INVALID – menu checklist not on file (Documents sheet)",IF(AND(AS618=3,NOT(ISNUMBER(Flights!$AX$22))),"INVALID – enter carrying flight KUL departure (Flights AX)",IF(AND(AS618=3,OR(Flights!$AX$22&gt;=Flights!$AA$22,Flights!$AX$22&lt;Flights!$AA$22-3)),"INVALID – Flights AX must be before this leg's STD (within 3 days)",IF(AG618&gt;AsOfUTC,"INVALID – completion time is in the future",IF(AND(ISNUMBER(S618),AG618&lt;S618),IF(H618="Physical uplift","INVALID – before uplift window (cannot confirm loading)","INVALID – before valid window"),IF(AG618&gt;Flights!$AA$22,"INVALID – completed after departure (cannot establish readiness)",IF(AND(H618="Physical uplift",AG618&gt;Q618),"INVALID – recorded after the loading flight departed",IF(AG618&gt;Q618,"COMPLETE – LATE","COMPLETE")))))))))))))))))),IF(TRIM(U618)="Fail","FAIL – DISCREPANCY",IF(AND(TRIM(U618)&lt;&gt;"",TRIM(U618)&lt;&gt;"Not started",TRIM(U618)&lt;&gt;"In progress"),"INVALID – unrecognised status (use the list)",IF(AsOfUTC&gt;Q618,"OVERDUE",IF(N618="Clarification required","OPEN – CLARIFICATION","OPEN")))))))</f>
        <v>OPEN</v>
      </c>
      <c r="AI618" s="61" t="n">
        <f aca="false">IF(OR(AH618="N/A – RULE",AH618="N/A – JUSTIFIED"),0,1)</f>
        <v>1</v>
      </c>
      <c r="AJ618" s="61" t="n">
        <f aca="false">IF(LEFT(AH618,8)="COMPLETE",1,0)</f>
        <v>0</v>
      </c>
      <c r="AK618" s="61" t="n">
        <f aca="false">IF(AND(AI618=1,AJ618=0,AsOfUTC&gt;Q618),1,0)</f>
        <v>0</v>
      </c>
      <c r="AL618" s="61" t="n">
        <f aca="false">IF(AND(AI618=1,OR(TRIM(U618)="Fail",AND(TRIM(AB618)&lt;&gt;"",TRIM(AB618)&lt;&gt;"Closed"),AND(ISNUMBER(AF618),AF618&lt;&gt;0,TRIM(U618)&lt;&gt;"Pass after CA"))),1,0)</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8" t="b">
        <f aca="false">TRUE()</f>
        <v>1</v>
      </c>
    </row>
    <row r="619" customFormat="false" ht="39.75" hidden="false" customHeight="true" outlineLevel="0" collapsed="false">
      <c r="A619" s="57" t="s">
        <v>1291</v>
      </c>
      <c r="B619" s="57" t="s">
        <v>293</v>
      </c>
      <c r="C619" s="57" t="str">
        <f aca="false">Flights!$F$23</f>
        <v>MH0053</v>
      </c>
      <c r="D619" s="58" t="n">
        <f aca="false">Flights!$D$23</f>
        <v>46324</v>
      </c>
      <c r="E619" s="57" t="str">
        <f aca="false">Flights!$G$23&amp;"-"&amp;Flights!$H$23</f>
        <v>KIX-KUL</v>
      </c>
      <c r="F619" s="57" t="str">
        <f aca="false">Flights!$K$23</f>
        <v>EY</v>
      </c>
      <c r="G619" s="57" t="s">
        <v>76</v>
      </c>
      <c r="H619" s="57" t="s">
        <v>343</v>
      </c>
      <c r="I619" s="57" t="s">
        <v>344</v>
      </c>
      <c r="J619" s="57" t="s">
        <v>345</v>
      </c>
      <c r="K619" s="67" t="s">
        <v>346</v>
      </c>
      <c r="L619" s="67" t="s">
        <v>347</v>
      </c>
      <c r="M619" s="67"/>
      <c r="N619" s="67" t="s">
        <v>348</v>
      </c>
      <c r="O619" s="67"/>
      <c r="P619" s="57" t="s">
        <v>287</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59" t="n">
        <f aca="false">Q619-T7EarlyD*24/24</f>
        <v>46303.0277777778</v>
      </c>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IF(N619="N/A – rule","N/A – RULE",IF(TRIM(U619)="N/A",IF(AT619=0,"INVALID – N/A not permitted for this mandatory check",IF(AND(TRIM(AC619)&lt;&gt;"",TRIM(AE619)&lt;&gt;"",TRIM(T619)&lt;&gt;"",TRIM(AE619)&lt;&gt;TRIM(T619)),"N/A – JUSTIFIED","INVALID – N/A needs justification, PIC and a different verifier")),IF(OR(TRIM(U619)="Pass",TRIM(U619)="Pass after CA"),IF(NOT(ISNUMBER(AD619)),"INVALID – completion time missing",IF(TRIM(T619)="","INVALID – PIC missing",IF(TRIM(V619)="","INVALID – result / assessment missing",IF(TRIM(Z619)="","INVALID – evidence missing",IF(TRIM(AE619)="","INVALID – verifier missing",IF(TRIM(AE619)=TRIM(T619),"INVALID – verifier must be someone other than the PIC",IF(AND(AQ619=1,TRIM(W619)=""),"INVALID – batch ID missing",IF(AND(AR619=1,OR(NOT(ISNUMBER(X619)),NOT(ISNUMBER(Y619)))),"INVALID – expected/actual qty missing",IF(IF(AND(TRIM(U619)="Pass",ISNUMBER(AF619)),IF(AF619&lt;&gt;0,"INVALID – qty variance: use Fail or Pass after CA",""),"")&amp;IF(AND(TRIM(U619)="Pass",TRIM(AB619)&lt;&gt;"",TRIM(AB619)&lt;&gt;"Closed"),"INVALID – corrective action not closed: use Fail, then Pass after CA","")&amp;IF(AND(TRIM(AA619)&lt;&gt;"",TRIM(AB619)=""),"INVALID – CA status missing for the recorded corrective action","")&amp;IF(AND(TRIM(U619)="Pass after CA",OR(TRIM(AA619)="",TRIM(AB619)&lt;&gt;"Closed")),"INVALID – corrective action not recorded/closed","")&lt;&gt;"",IF(AND(TRIM(U619)="Pass",ISNUMBER(AF619)),IF(AF619&lt;&gt;0,"INVALID – qty variance: use Fail or Pass after CA",""),"")&amp;IF(AND(TRIM(U619)="Pass",TRIM(AB619)&lt;&gt;"",TRIM(AB619)&lt;&gt;"Closed"),"INVALID – corrective action not closed: use Fail, then Pass after CA","")&amp;IF(AND(TRIM(AA619)&lt;&gt;"",TRIM(AB619)=""),"INVALID – CA status missing for the recorded corrective action","")&amp;IF(AND(TRIM(U619)="Pass after CA",OR(TRIM(AA619)="",TRIM(AB619)&lt;&gt;"Closed")),"INVALID – corrective action not recorded/closed",""),IF(AND(AS619=1,Documents!$J$23&lt;&gt;"ON FILE"),"INVALID – GLD not on file (Documents sheet)",IF(AND(AS619=2,Documents!$O$23&lt;&gt;"ON FILE"),"INVALID – menu checklist not on file (Documents sheet)",IF(AND(AS619=3,NOT(ISNUMBER(Flights!$AX$23))),"INVALID – enter carrying flight KUL departure (Flights AX)",IF(AND(AS619=3,OR(Flights!$AX$23&gt;=Flights!$AA$23,Flights!$AX$23&lt;Flights!$AA$23-3)),"INVALID – Flights AX must be before this leg's STD (within 3 days)",IF(AG619&gt;AsOfUTC,"INVALID – completion time is in the future",IF(AND(ISNUMBER(S619),AG619&lt;S619),IF(H619="Physical uplift","INVALID – before uplift window (cannot confirm loading)","INVALID – before valid window"),IF(AG619&gt;Flights!$AA$23,"INVALID – completed after departure (cannot establish readiness)",IF(AND(H619="Physical uplift",AG619&gt;Q619),"INVALID – recorded after the loading flight departed",IF(AG619&gt;Q619,"COMPLETE – LATE","COMPLETE")))))))))))))))))),IF(TRIM(U619)="Fail","FAIL – DISCREPANCY",IF(AND(TRIM(U619)&lt;&gt;"",TRIM(U619)&lt;&gt;"Not started",TRIM(U619)&lt;&gt;"In progress"),"INVALID – unrecognised status (use the list)",IF(AsOfUTC&gt;Q619,"OVERDUE",IF(N619="Clarification required","OPEN – CLARIFICATION","OPEN")))))))</f>
        <v>OPEN</v>
      </c>
      <c r="AI619" s="61" t="n">
        <f aca="false">IF(OR(AH619="N/A – RULE",AH619="N/A – JUSTIFIED"),0,1)</f>
        <v>1</v>
      </c>
      <c r="AJ619" s="61" t="n">
        <f aca="false">IF(LEFT(AH619,8)="COMPLETE",1,0)</f>
        <v>0</v>
      </c>
      <c r="AK619" s="61" t="n">
        <f aca="false">IF(AND(AI619=1,AJ619=0,AsOfUTC&gt;Q619),1,0)</f>
        <v>0</v>
      </c>
      <c r="AL619" s="61" t="n">
        <f aca="false">IF(AND(AI619=1,OR(TRIM(U619)="Fail",AND(TRIM(AB619)&lt;&gt;"",TRIM(AB619)&lt;&gt;"Closed"),AND(ISNUMBER(AF619),AF619&lt;&gt;0,TRIM(U619)&lt;&gt;"Pass after CA"))),1,0)</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row>
    <row r="620" customFormat="false" ht="39.75" hidden="false" customHeight="true" outlineLevel="0" collapsed="false">
      <c r="A620" s="57" t="s">
        <v>1292</v>
      </c>
      <c r="B620" s="57" t="s">
        <v>293</v>
      </c>
      <c r="C620" s="57" t="str">
        <f aca="false">Flights!$F$23</f>
        <v>MH0053</v>
      </c>
      <c r="D620" s="58" t="n">
        <f aca="false">Flights!$D$23</f>
        <v>46324</v>
      </c>
      <c r="E620" s="57" t="str">
        <f aca="false">Flights!$G$23&amp;"-"&amp;Flights!$H$23</f>
        <v>KIX-KUL</v>
      </c>
      <c r="F620" s="57" t="str">
        <f aca="false">Flights!$K$23</f>
        <v>EY</v>
      </c>
      <c r="G620" s="57" t="s">
        <v>76</v>
      </c>
      <c r="H620" s="57" t="s">
        <v>343</v>
      </c>
      <c r="I620" s="57" t="s">
        <v>350</v>
      </c>
      <c r="J620" s="57" t="s">
        <v>351</v>
      </c>
      <c r="K620" s="67" t="s">
        <v>352</v>
      </c>
      <c r="L620" s="67" t="s">
        <v>347</v>
      </c>
      <c r="M620" s="67"/>
      <c r="N620" s="67" t="s">
        <v>348</v>
      </c>
      <c r="O620" s="67"/>
      <c r="P620" s="57" t="s">
        <v>287</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59" t="n">
        <f aca="false">Q620-T7EarlyD*24/24</f>
        <v>46303.0277777778</v>
      </c>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IF(N620="N/A – rule","N/A – RULE",IF(TRIM(U620)="N/A",IF(AT620=0,"INVALID – N/A not permitted for this mandatory check",IF(AND(TRIM(AC620)&lt;&gt;"",TRIM(AE620)&lt;&gt;"",TRIM(T620)&lt;&gt;"",TRIM(AE620)&lt;&gt;TRIM(T620)),"N/A – JUSTIFIED","INVALID – N/A needs justification, PIC and a different verifier")),IF(OR(TRIM(U620)="Pass",TRIM(U620)="Pass after CA"),IF(NOT(ISNUMBER(AD620)),"INVALID – completion time missing",IF(TRIM(T620)="","INVALID – PIC missing",IF(TRIM(V620)="","INVALID – result / assessment missing",IF(TRIM(Z620)="","INVALID – evidence missing",IF(TRIM(AE620)="","INVALID – verifier missing",IF(TRIM(AE620)=TRIM(T620),"INVALID – verifier must be someone other than the PIC",IF(AND(AQ620=1,TRIM(W620)=""),"INVALID – batch ID missing",IF(AND(AR620=1,OR(NOT(ISNUMBER(X620)),NOT(ISNUMBER(Y620)))),"INVALID – expected/actual qty missing",IF(IF(AND(TRIM(U620)="Pass",ISNUMBER(AF620)),IF(AF620&lt;&gt;0,"INVALID – qty variance: use Fail or Pass after CA",""),"")&amp;IF(AND(TRIM(U620)="Pass",TRIM(AB620)&lt;&gt;"",TRIM(AB620)&lt;&gt;"Closed"),"INVALID – corrective action not closed: use Fail, then Pass after CA","")&amp;IF(AND(TRIM(AA620)&lt;&gt;"",TRIM(AB620)=""),"INVALID – CA status missing for the recorded corrective action","")&amp;IF(AND(TRIM(U620)="Pass after CA",OR(TRIM(AA620)="",TRIM(AB620)&lt;&gt;"Closed")),"INVALID – corrective action not recorded/closed","")&lt;&gt;"",IF(AND(TRIM(U620)="Pass",ISNUMBER(AF620)),IF(AF620&lt;&gt;0,"INVALID – qty variance: use Fail or Pass after CA",""),"")&amp;IF(AND(TRIM(U620)="Pass",TRIM(AB620)&lt;&gt;"",TRIM(AB620)&lt;&gt;"Closed"),"INVALID – corrective action not closed: use Fail, then Pass after CA","")&amp;IF(AND(TRIM(AA620)&lt;&gt;"",TRIM(AB620)=""),"INVALID – CA status missing for the recorded corrective action","")&amp;IF(AND(TRIM(U620)="Pass after CA",OR(TRIM(AA620)="",TRIM(AB620)&lt;&gt;"Closed")),"INVALID – corrective action not recorded/closed",""),IF(AND(AS620=1,Documents!$J$23&lt;&gt;"ON FILE"),"INVALID – GLD not on file (Documents sheet)",IF(AND(AS620=2,Documents!$O$23&lt;&gt;"ON FILE"),"INVALID – menu checklist not on file (Documents sheet)",IF(AND(AS620=3,NOT(ISNUMBER(Flights!$AX$23))),"INVALID – enter carrying flight KUL departure (Flights AX)",IF(AND(AS620=3,OR(Flights!$AX$23&gt;=Flights!$AA$23,Flights!$AX$23&lt;Flights!$AA$23-3)),"INVALID – Flights AX must be before this leg's STD (within 3 days)",IF(AG620&gt;AsOfUTC,"INVALID – completion time is in the future",IF(AND(ISNUMBER(S620),AG620&lt;S620),IF(H620="Physical uplift","INVALID – before uplift window (cannot confirm loading)","INVALID – before valid window"),IF(AG620&gt;Flights!$AA$23,"INVALID – completed after departure (cannot establish readiness)",IF(AND(H620="Physical uplift",AG620&gt;Q620),"INVALID – recorded after the loading flight departed",IF(AG620&gt;Q620,"COMPLETE – LATE","COMPLETE")))))))))))))))))),IF(TRIM(U620)="Fail","FAIL – DISCREPANCY",IF(AND(TRIM(U620)&lt;&gt;"",TRIM(U620)&lt;&gt;"Not started",TRIM(U620)&lt;&gt;"In progress"),"INVALID – unrecognised status (use the list)",IF(AsOfUTC&gt;Q620,"OVERDUE",IF(N620="Clarification required","OPEN – CLARIFICATION","OPEN")))))))</f>
        <v>OPEN</v>
      </c>
      <c r="AI620" s="61" t="n">
        <f aca="false">IF(OR(AH620="N/A – RULE",AH620="N/A – JUSTIFIED"),0,1)</f>
        <v>1</v>
      </c>
      <c r="AJ620" s="61" t="n">
        <f aca="false">IF(LEFT(AH620,8)="COMPLETE",1,0)</f>
        <v>0</v>
      </c>
      <c r="AK620" s="61" t="n">
        <f aca="false">IF(AND(AI620=1,AJ620=0,AsOfUTC&gt;Q620),1,0)</f>
        <v>0</v>
      </c>
      <c r="AL620" s="61" t="n">
        <f aca="false">IF(AND(AI620=1,OR(TRIM(U620)="Fail",AND(TRIM(AB620)&lt;&gt;"",TRIM(AB620)&lt;&gt;"Closed"),AND(ISNUMBER(AF620),AF620&lt;&gt;0,TRIM(U620)&lt;&gt;"Pass after CA"))),1,0)</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8" t="b">
        <f aca="false">TRUE()</f>
        <v>1</v>
      </c>
    </row>
    <row r="621" customFormat="false" ht="41.25" hidden="false" customHeight="true" outlineLevel="0" collapsed="false">
      <c r="A621" s="57" t="s">
        <v>1293</v>
      </c>
      <c r="B621" s="57" t="s">
        <v>293</v>
      </c>
      <c r="C621" s="57" t="str">
        <f aca="false">Flights!$F$23</f>
        <v>MH0053</v>
      </c>
      <c r="D621" s="58" t="n">
        <f aca="false">Flights!$D$23</f>
        <v>46324</v>
      </c>
      <c r="E621" s="57" t="str">
        <f aca="false">Flights!$G$23&amp;"-"&amp;Flights!$H$23</f>
        <v>KIX-KUL</v>
      </c>
      <c r="F621" s="57" t="str">
        <f aca="false">Flights!$K$23</f>
        <v>EY</v>
      </c>
      <c r="G621" s="57" t="s">
        <v>76</v>
      </c>
      <c r="H621" s="57" t="s">
        <v>343</v>
      </c>
      <c r="I621" s="57" t="s">
        <v>354</v>
      </c>
      <c r="J621" s="57" t="s">
        <v>355</v>
      </c>
      <c r="K621" s="67" t="s">
        <v>356</v>
      </c>
      <c r="L621" s="67" t="s">
        <v>347</v>
      </c>
      <c r="M621" s="67"/>
      <c r="N621" s="67" t="str">
        <f aca="false">IF(TRIM(Flights!$L$23)="A339","Required","N/A – rule")</f>
        <v>N/A – rule</v>
      </c>
      <c r="O621" s="67" t="s">
        <v>357</v>
      </c>
      <c r="P621" s="57" t="s">
        <v>287</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59" t="n">
        <f aca="false">Q621-T7EarlyD*24/24</f>
        <v>46303.0277777778</v>
      </c>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IF(N621="N/A – rule","N/A – RULE",IF(TRIM(U621)="N/A",IF(AT621=0,"INVALID – N/A not permitted for this mandatory check",IF(AND(TRIM(AC621)&lt;&gt;"",TRIM(AE621)&lt;&gt;"",TRIM(T621)&lt;&gt;"",TRIM(AE621)&lt;&gt;TRIM(T621)),"N/A – JUSTIFIED","INVALID – N/A needs justification, PIC and a different verifier")),IF(OR(TRIM(U621)="Pass",TRIM(U621)="Pass after CA"),IF(NOT(ISNUMBER(AD621)),"INVALID – completion time missing",IF(TRIM(T621)="","INVALID – PIC missing",IF(TRIM(V621)="","INVALID – result / assessment missing",IF(TRIM(Z621)="","INVALID – evidence missing",IF(TRIM(AE621)="","INVALID – verifier missing",IF(TRIM(AE621)=TRIM(T621),"INVALID – verifier must be someone other than the PIC",IF(AND(AQ621=1,TRIM(W621)=""),"INVALID – batch ID missing",IF(AND(AR621=1,OR(NOT(ISNUMBER(X621)),NOT(ISNUMBER(Y621)))),"INVALID – expected/actual qty missing",IF(IF(AND(TRIM(U621)="Pass",ISNUMBER(AF621)),IF(AF621&lt;&gt;0,"INVALID – qty variance: use Fail or Pass after CA",""),"")&amp;IF(AND(TRIM(U621)="Pass",TRIM(AB621)&lt;&gt;"",TRIM(AB621)&lt;&gt;"Closed"),"INVALID – corrective action not closed: use Fail, then Pass after CA","")&amp;IF(AND(TRIM(AA621)&lt;&gt;"",TRIM(AB621)=""),"INVALID – CA status missing for the recorded corrective action","")&amp;IF(AND(TRIM(U621)="Pass after CA",OR(TRIM(AA621)="",TRIM(AB621)&lt;&gt;"Closed")),"INVALID – corrective action not recorded/closed","")&lt;&gt;"",IF(AND(TRIM(U621)="Pass",ISNUMBER(AF621)),IF(AF621&lt;&gt;0,"INVALID – qty variance: use Fail or Pass after CA",""),"")&amp;IF(AND(TRIM(U621)="Pass",TRIM(AB621)&lt;&gt;"",TRIM(AB621)&lt;&gt;"Closed"),"INVALID – corrective action not closed: use Fail, then Pass after CA","")&amp;IF(AND(TRIM(AA621)&lt;&gt;"",TRIM(AB621)=""),"INVALID – CA status missing for the recorded corrective action","")&amp;IF(AND(TRIM(U621)="Pass after CA",OR(TRIM(AA621)="",TRIM(AB621)&lt;&gt;"Closed")),"INVALID – corrective action not recorded/closed",""),IF(AND(AS621=1,Documents!$J$23&lt;&gt;"ON FILE"),"INVALID – GLD not on file (Documents sheet)",IF(AND(AS621=2,Documents!$O$23&lt;&gt;"ON FILE"),"INVALID – menu checklist not on file (Documents sheet)",IF(AND(AS621=3,NOT(ISNUMBER(Flights!$AX$23))),"INVALID – enter carrying flight KUL departure (Flights AX)",IF(AND(AS621=3,OR(Flights!$AX$23&gt;=Flights!$AA$23,Flights!$AX$23&lt;Flights!$AA$23-3)),"INVALID – Flights AX must be before this leg's STD (within 3 days)",IF(AG621&gt;AsOfUTC,"INVALID – completion time is in the future",IF(AND(ISNUMBER(S621),AG621&lt;S621),IF(H621="Physical uplift","INVALID – before uplift window (cannot confirm loading)","INVALID – before valid window"),IF(AG621&gt;Flights!$AA$23,"INVALID – completed after departure (cannot establish readiness)",IF(AND(H621="Physical uplift",AG621&gt;Q621),"INVALID – recorded after the loading flight departed",IF(AG621&gt;Q621,"COMPLETE – LATE","COMPLETE")))))))))))))))))),IF(TRIM(U621)="Fail","FAIL – DISCREPANCY",IF(AND(TRIM(U621)&lt;&gt;"",TRIM(U621)&lt;&gt;"Not started",TRIM(U621)&lt;&gt;"In progress"),"INVALID – unrecognised status (use the list)",IF(AsOfUTC&gt;Q621,"OVERDUE",IF(N621="Clarification required","OPEN – CLARIFICATION","OPEN")))))))</f>
        <v>N/A – RULE</v>
      </c>
      <c r="AI621" s="61" t="n">
        <f aca="false">IF(OR(AH621="N/A – RULE",AH621="N/A – JUSTIFIED"),0,1)</f>
        <v>0</v>
      </c>
      <c r="AJ621" s="61" t="n">
        <f aca="false">IF(LEFT(AH621,8)="COMPLETE",1,0)</f>
        <v>0</v>
      </c>
      <c r="AK621" s="61" t="n">
        <f aca="false">IF(AND(AI621=1,AJ621=0,AsOfUTC&gt;Q621),1,0)</f>
        <v>0</v>
      </c>
      <c r="AL621" s="61" t="n">
        <f aca="false">IF(AND(AI621=1,OR(TRIM(U621)="Fail",AND(TRIM(AB621)&lt;&gt;"",TRIM(AB621)&lt;&gt;"Closed"),AND(ISNUMBER(AF621),AF621&lt;&gt;0,TRIM(U621)&lt;&gt;"Pass after CA"))),1,0)</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row>
    <row r="622" customFormat="false" ht="39.75" hidden="false" customHeight="true" outlineLevel="0" collapsed="false">
      <c r="A622" s="57" t="s">
        <v>1294</v>
      </c>
      <c r="B622" s="57" t="s">
        <v>293</v>
      </c>
      <c r="C622" s="57" t="str">
        <f aca="false">Flights!$F$23</f>
        <v>MH0053</v>
      </c>
      <c r="D622" s="58" t="n">
        <f aca="false">Flights!$D$23</f>
        <v>46324</v>
      </c>
      <c r="E622" s="57" t="str">
        <f aca="false">Flights!$G$23&amp;"-"&amp;Flights!$H$23</f>
        <v>KIX-KUL</v>
      </c>
      <c r="F622" s="57" t="str">
        <f aca="false">Flights!$K$23</f>
        <v>EY</v>
      </c>
      <c r="G622" s="57" t="s">
        <v>76</v>
      </c>
      <c r="H622" s="57" t="s">
        <v>343</v>
      </c>
      <c r="I622" s="57" t="s">
        <v>359</v>
      </c>
      <c r="J622" s="57" t="s">
        <v>360</v>
      </c>
      <c r="K622" s="67" t="s">
        <v>361</v>
      </c>
      <c r="L622" s="67" t="s">
        <v>347</v>
      </c>
      <c r="M622" s="67"/>
      <c r="N622" s="67" t="s">
        <v>348</v>
      </c>
      <c r="O622" s="67"/>
      <c r="P622" s="57" t="s">
        <v>287</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59" t="n">
        <f aca="false">Q622-T7EarlyD*24/24</f>
        <v>46303.0277777778</v>
      </c>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IF(N622="N/A – rule","N/A – RULE",IF(TRIM(U622)="N/A",IF(AT622=0,"INVALID – N/A not permitted for this mandatory check",IF(AND(TRIM(AC622)&lt;&gt;"",TRIM(AE622)&lt;&gt;"",TRIM(T622)&lt;&gt;"",TRIM(AE622)&lt;&gt;TRIM(T622)),"N/A – JUSTIFIED","INVALID – N/A needs justification, PIC and a different verifier")),IF(OR(TRIM(U622)="Pass",TRIM(U622)="Pass after CA"),IF(NOT(ISNUMBER(AD622)),"INVALID – completion time missing",IF(TRIM(T622)="","INVALID – PIC missing",IF(TRIM(V622)="","INVALID – result / assessment missing",IF(TRIM(Z622)="","INVALID – evidence missing",IF(TRIM(AE622)="","INVALID – verifier missing",IF(TRIM(AE622)=TRIM(T622),"INVALID – verifier must be someone other than the PIC",IF(AND(AQ622=1,TRIM(W622)=""),"INVALID – batch ID missing",IF(AND(AR622=1,OR(NOT(ISNUMBER(X622)),NOT(ISNUMBER(Y622)))),"INVALID – expected/actual qty missing",IF(IF(AND(TRIM(U622)="Pass",ISNUMBER(AF622)),IF(AF622&lt;&gt;0,"INVALID – qty variance: use Fail or Pass after CA",""),"")&amp;IF(AND(TRIM(U622)="Pass",TRIM(AB622)&lt;&gt;"",TRIM(AB622)&lt;&gt;"Closed"),"INVALID – corrective action not closed: use Fail, then Pass after CA","")&amp;IF(AND(TRIM(AA622)&lt;&gt;"",TRIM(AB622)=""),"INVALID – CA status missing for the recorded corrective action","")&amp;IF(AND(TRIM(U622)="Pass after CA",OR(TRIM(AA622)="",TRIM(AB622)&lt;&gt;"Closed")),"INVALID – corrective action not recorded/closed","")&lt;&gt;"",IF(AND(TRIM(U622)="Pass",ISNUMBER(AF622)),IF(AF622&lt;&gt;0,"INVALID – qty variance: use Fail or Pass after CA",""),"")&amp;IF(AND(TRIM(U622)="Pass",TRIM(AB622)&lt;&gt;"",TRIM(AB622)&lt;&gt;"Closed"),"INVALID – corrective action not closed: use Fail, then Pass after CA","")&amp;IF(AND(TRIM(AA622)&lt;&gt;"",TRIM(AB622)=""),"INVALID – CA status missing for the recorded corrective action","")&amp;IF(AND(TRIM(U622)="Pass after CA",OR(TRIM(AA622)="",TRIM(AB622)&lt;&gt;"Closed")),"INVALID – corrective action not recorded/closed",""),IF(AND(AS622=1,Documents!$J$23&lt;&gt;"ON FILE"),"INVALID – GLD not on file (Documents sheet)",IF(AND(AS622=2,Documents!$O$23&lt;&gt;"ON FILE"),"INVALID – menu checklist not on file (Documents sheet)",IF(AND(AS622=3,NOT(ISNUMBER(Flights!$AX$23))),"INVALID – enter carrying flight KUL departure (Flights AX)",IF(AND(AS622=3,OR(Flights!$AX$23&gt;=Flights!$AA$23,Flights!$AX$23&lt;Flights!$AA$23-3)),"INVALID – Flights AX must be before this leg's STD (within 3 days)",IF(AG622&gt;AsOfUTC,"INVALID – completion time is in the future",IF(AND(ISNUMBER(S622),AG622&lt;S622),IF(H622="Physical uplift","INVALID – before uplift window (cannot confirm loading)","INVALID – before valid window"),IF(AG622&gt;Flights!$AA$23,"INVALID – completed after departure (cannot establish readiness)",IF(AND(H622="Physical uplift",AG622&gt;Q622),"INVALID – recorded after the loading flight departed",IF(AG622&gt;Q622,"COMPLETE – LATE","COMPLETE")))))))))))))))))),IF(TRIM(U622)="Fail","FAIL – DISCREPANCY",IF(AND(TRIM(U622)&lt;&gt;"",TRIM(U622)&lt;&gt;"Not started",TRIM(U622)&lt;&gt;"In progress"),"INVALID – unrecognised status (use the list)",IF(AsOfUTC&gt;Q622,"OVERDUE",IF(N622="Clarification required","OPEN – CLARIFICATION","OPEN")))))))</f>
        <v>OPEN</v>
      </c>
      <c r="AI622" s="61" t="n">
        <f aca="false">IF(OR(AH622="N/A – RULE",AH622="N/A – JUSTIFIED"),0,1)</f>
        <v>1</v>
      </c>
      <c r="AJ622" s="61" t="n">
        <f aca="false">IF(LEFT(AH622,8)="COMPLETE",1,0)</f>
        <v>0</v>
      </c>
      <c r="AK622" s="61" t="n">
        <f aca="false">IF(AND(AI622=1,AJ622=0,AsOfUTC&gt;Q622),1,0)</f>
        <v>0</v>
      </c>
      <c r="AL622" s="61" t="n">
        <f aca="false">IF(AND(AI622=1,OR(TRIM(U622)="Fail",AND(TRIM(AB622)&lt;&gt;"",TRIM(AB622)&lt;&gt;"Closed"),AND(ISNUMBER(AF622),AF622&lt;&gt;0,TRIM(U622)&lt;&gt;"Pass after CA"))),1,0)</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row>
    <row r="623" customFormat="false" ht="39.75" hidden="false" customHeight="true" outlineLevel="0" collapsed="false">
      <c r="A623" s="57" t="s">
        <v>1295</v>
      </c>
      <c r="B623" s="57" t="s">
        <v>293</v>
      </c>
      <c r="C623" s="57" t="str">
        <f aca="false">Flights!$F$23</f>
        <v>MH0053</v>
      </c>
      <c r="D623" s="58" t="n">
        <f aca="false">Flights!$D$23</f>
        <v>46324</v>
      </c>
      <c r="E623" s="57" t="str">
        <f aca="false">Flights!$G$23&amp;"-"&amp;Flights!$H$23</f>
        <v>KIX-KUL</v>
      </c>
      <c r="F623" s="57" t="str">
        <f aca="false">Flights!$K$23</f>
        <v>EY</v>
      </c>
      <c r="G623" s="57" t="s">
        <v>76</v>
      </c>
      <c r="H623" s="57" t="s">
        <v>343</v>
      </c>
      <c r="I623" s="57" t="s">
        <v>363</v>
      </c>
      <c r="J623" s="57" t="s">
        <v>364</v>
      </c>
      <c r="K623" s="67" t="s">
        <v>365</v>
      </c>
      <c r="L623" s="67" t="s">
        <v>347</v>
      </c>
      <c r="M623" s="67"/>
      <c r="N623" s="67" t="s">
        <v>348</v>
      </c>
      <c r="O623" s="67"/>
      <c r="P623" s="57" t="s">
        <v>287</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59" t="n">
        <f aca="false">Q623-T7EarlyD*24/24</f>
        <v>46303.0277777778</v>
      </c>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IF(N623="N/A – rule","N/A – RULE",IF(TRIM(U623)="N/A",IF(AT623=0,"INVALID – N/A not permitted for this mandatory check",IF(AND(TRIM(AC623)&lt;&gt;"",TRIM(AE623)&lt;&gt;"",TRIM(T623)&lt;&gt;"",TRIM(AE623)&lt;&gt;TRIM(T623)),"N/A – JUSTIFIED","INVALID – N/A needs justification, PIC and a different verifier")),IF(OR(TRIM(U623)="Pass",TRIM(U623)="Pass after CA"),IF(NOT(ISNUMBER(AD623)),"INVALID – completion time missing",IF(TRIM(T623)="","INVALID – PIC missing",IF(TRIM(V623)="","INVALID – result / assessment missing",IF(TRIM(Z623)="","INVALID – evidence missing",IF(TRIM(AE623)="","INVALID – verifier missing",IF(TRIM(AE623)=TRIM(T623),"INVALID – verifier must be someone other than the PIC",IF(AND(AQ623=1,TRIM(W623)=""),"INVALID – batch ID missing",IF(AND(AR623=1,OR(NOT(ISNUMBER(X623)),NOT(ISNUMBER(Y623)))),"INVALID – expected/actual qty missing",IF(IF(AND(TRIM(U623)="Pass",ISNUMBER(AF623)),IF(AF623&lt;&gt;0,"INVALID – qty variance: use Fail or Pass after CA",""),"")&amp;IF(AND(TRIM(U623)="Pass",TRIM(AB623)&lt;&gt;"",TRIM(AB623)&lt;&gt;"Closed"),"INVALID – corrective action not closed: use Fail, then Pass after CA","")&amp;IF(AND(TRIM(AA623)&lt;&gt;"",TRIM(AB623)=""),"INVALID – CA status missing for the recorded corrective action","")&amp;IF(AND(TRIM(U623)="Pass after CA",OR(TRIM(AA623)="",TRIM(AB623)&lt;&gt;"Closed")),"INVALID – corrective action not recorded/closed","")&lt;&gt;"",IF(AND(TRIM(U623)="Pass",ISNUMBER(AF623)),IF(AF623&lt;&gt;0,"INVALID – qty variance: use Fail or Pass after CA",""),"")&amp;IF(AND(TRIM(U623)="Pass",TRIM(AB623)&lt;&gt;"",TRIM(AB623)&lt;&gt;"Closed"),"INVALID – corrective action not closed: use Fail, then Pass after CA","")&amp;IF(AND(TRIM(AA623)&lt;&gt;"",TRIM(AB623)=""),"INVALID – CA status missing for the recorded corrective action","")&amp;IF(AND(TRIM(U623)="Pass after CA",OR(TRIM(AA623)="",TRIM(AB623)&lt;&gt;"Closed")),"INVALID – corrective action not recorded/closed",""),IF(AND(AS623=1,Documents!$J$23&lt;&gt;"ON FILE"),"INVALID – GLD not on file (Documents sheet)",IF(AND(AS623=2,Documents!$O$23&lt;&gt;"ON FILE"),"INVALID – menu checklist not on file (Documents sheet)",IF(AND(AS623=3,NOT(ISNUMBER(Flights!$AX$23))),"INVALID – enter carrying flight KUL departure (Flights AX)",IF(AND(AS623=3,OR(Flights!$AX$23&gt;=Flights!$AA$23,Flights!$AX$23&lt;Flights!$AA$23-3)),"INVALID – Flights AX must be before this leg's STD (within 3 days)",IF(AG623&gt;AsOfUTC,"INVALID – completion time is in the future",IF(AND(ISNUMBER(S623),AG623&lt;S623),IF(H623="Physical uplift","INVALID – before uplift window (cannot confirm loading)","INVALID – before valid window"),IF(AG623&gt;Flights!$AA$23,"INVALID – completed after departure (cannot establish readiness)",IF(AND(H623="Physical uplift",AG623&gt;Q623),"INVALID – recorded after the loading flight departed",IF(AG623&gt;Q623,"COMPLETE – LATE","COMPLETE")))))))))))))))))),IF(TRIM(U623)="Fail","FAIL – DISCREPANCY",IF(AND(TRIM(U623)&lt;&gt;"",TRIM(U623)&lt;&gt;"Not started",TRIM(U623)&lt;&gt;"In progress"),"INVALID – unrecognised status (use the list)",IF(AsOfUTC&gt;Q623,"OVERDUE",IF(N623="Clarification required","OPEN – CLARIFICATION","OPEN")))))))</f>
        <v>OPEN</v>
      </c>
      <c r="AI623" s="61" t="n">
        <f aca="false">IF(OR(AH623="N/A – RULE",AH623="N/A – JUSTIFIED"),0,1)</f>
        <v>1</v>
      </c>
      <c r="AJ623" s="61" t="n">
        <f aca="false">IF(LEFT(AH623,8)="COMPLETE",1,0)</f>
        <v>0</v>
      </c>
      <c r="AK623" s="61" t="n">
        <f aca="false">IF(AND(AI623=1,AJ623=0,AsOfUTC&gt;Q623),1,0)</f>
        <v>0</v>
      </c>
      <c r="AL623" s="61" t="n">
        <f aca="false">IF(AND(AI623=1,OR(TRIM(U623)="Fail",AND(TRIM(AB623)&lt;&gt;"",TRIM(AB623)&lt;&gt;"Closed"),AND(ISNUMBER(AF623),AF623&lt;&gt;0,TRIM(U623)&lt;&gt;"Pass after CA"))),1,0)</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row>
    <row r="624" customFormat="false" ht="39.75" hidden="false" customHeight="true" outlineLevel="0" collapsed="false">
      <c r="A624" s="57" t="s">
        <v>1296</v>
      </c>
      <c r="B624" s="57" t="s">
        <v>293</v>
      </c>
      <c r="C624" s="57" t="str">
        <f aca="false">Flights!$F$23</f>
        <v>MH0053</v>
      </c>
      <c r="D624" s="58" t="n">
        <f aca="false">Flights!$D$23</f>
        <v>46324</v>
      </c>
      <c r="E624" s="57" t="str">
        <f aca="false">Flights!$G$23&amp;"-"&amp;Flights!$H$23</f>
        <v>KIX-KUL</v>
      </c>
      <c r="F624" s="57" t="str">
        <f aca="false">Flights!$K$23</f>
        <v>EY</v>
      </c>
      <c r="G624" s="57" t="s">
        <v>76</v>
      </c>
      <c r="H624" s="57" t="s">
        <v>343</v>
      </c>
      <c r="I624" s="57" t="s">
        <v>363</v>
      </c>
      <c r="J624" s="57" t="s">
        <v>367</v>
      </c>
      <c r="K624" s="67" t="s">
        <v>368</v>
      </c>
      <c r="L624" s="67" t="s">
        <v>347</v>
      </c>
      <c r="M624" s="67"/>
      <c r="N624" s="67" t="s">
        <v>348</v>
      </c>
      <c r="O624" s="67"/>
      <c r="P624" s="57" t="s">
        <v>287</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59" t="n">
        <f aca="false">Q624-T7EarlyD*24/24</f>
        <v>46303.0277777778</v>
      </c>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IF(N624="N/A – rule","N/A – RULE",IF(TRIM(U624)="N/A",IF(AT624=0,"INVALID – N/A not permitted for this mandatory check",IF(AND(TRIM(AC624)&lt;&gt;"",TRIM(AE624)&lt;&gt;"",TRIM(T624)&lt;&gt;"",TRIM(AE624)&lt;&gt;TRIM(T624)),"N/A – JUSTIFIED","INVALID – N/A needs justification, PIC and a different verifier")),IF(OR(TRIM(U624)="Pass",TRIM(U624)="Pass after CA"),IF(NOT(ISNUMBER(AD624)),"INVALID – completion time missing",IF(TRIM(T624)="","INVALID – PIC missing",IF(TRIM(V624)="","INVALID – result / assessment missing",IF(TRIM(Z624)="","INVALID – evidence missing",IF(TRIM(AE624)="","INVALID – verifier missing",IF(TRIM(AE624)=TRIM(T624),"INVALID – verifier must be someone other than the PIC",IF(AND(AQ624=1,TRIM(W624)=""),"INVALID – batch ID missing",IF(AND(AR624=1,OR(NOT(ISNUMBER(X624)),NOT(ISNUMBER(Y624)))),"INVALID – expected/actual qty missing",IF(IF(AND(TRIM(U624)="Pass",ISNUMBER(AF624)),IF(AF624&lt;&gt;0,"INVALID – qty variance: use Fail or Pass after CA",""),"")&amp;IF(AND(TRIM(U624)="Pass",TRIM(AB624)&lt;&gt;"",TRIM(AB624)&lt;&gt;"Closed"),"INVALID – corrective action not closed: use Fail, then Pass after CA","")&amp;IF(AND(TRIM(AA624)&lt;&gt;"",TRIM(AB624)=""),"INVALID – CA status missing for the recorded corrective action","")&amp;IF(AND(TRIM(U624)="Pass after CA",OR(TRIM(AA624)="",TRIM(AB624)&lt;&gt;"Closed")),"INVALID – corrective action not recorded/closed","")&lt;&gt;"",IF(AND(TRIM(U624)="Pass",ISNUMBER(AF624)),IF(AF624&lt;&gt;0,"INVALID – qty variance: use Fail or Pass after CA",""),"")&amp;IF(AND(TRIM(U624)="Pass",TRIM(AB624)&lt;&gt;"",TRIM(AB624)&lt;&gt;"Closed"),"INVALID – corrective action not closed: use Fail, then Pass after CA","")&amp;IF(AND(TRIM(AA624)&lt;&gt;"",TRIM(AB624)=""),"INVALID – CA status missing for the recorded corrective action","")&amp;IF(AND(TRIM(U624)="Pass after CA",OR(TRIM(AA624)="",TRIM(AB624)&lt;&gt;"Closed")),"INVALID – corrective action not recorded/closed",""),IF(AND(AS624=1,Documents!$J$23&lt;&gt;"ON FILE"),"INVALID – GLD not on file (Documents sheet)",IF(AND(AS624=2,Documents!$O$23&lt;&gt;"ON FILE"),"INVALID – menu checklist not on file (Documents sheet)",IF(AND(AS624=3,NOT(ISNUMBER(Flights!$AX$23))),"INVALID – enter carrying flight KUL departure (Flights AX)",IF(AND(AS624=3,OR(Flights!$AX$23&gt;=Flights!$AA$23,Flights!$AX$23&lt;Flights!$AA$23-3)),"INVALID – Flights AX must be before this leg's STD (within 3 days)",IF(AG624&gt;AsOfUTC,"INVALID – completion time is in the future",IF(AND(ISNUMBER(S624),AG624&lt;S624),IF(H624="Physical uplift","INVALID – before uplift window (cannot confirm loading)","INVALID – before valid window"),IF(AG624&gt;Flights!$AA$23,"INVALID – completed after departure (cannot establish readiness)",IF(AND(H624="Physical uplift",AG624&gt;Q624),"INVALID – recorded after the loading flight departed",IF(AG624&gt;Q624,"COMPLETE – LATE","COMPLETE")))))))))))))))))),IF(TRIM(U624)="Fail","FAIL – DISCREPANCY",IF(AND(TRIM(U624)&lt;&gt;"",TRIM(U624)&lt;&gt;"Not started",TRIM(U624)&lt;&gt;"In progress"),"INVALID – unrecognised status (use the list)",IF(AsOfUTC&gt;Q624,"OVERDUE",IF(N624="Clarification required","OPEN – CLARIFICATION","OPEN")))))))</f>
        <v>OPEN</v>
      </c>
      <c r="AI624" s="61" t="n">
        <f aca="false">IF(OR(AH624="N/A – RULE",AH624="N/A – JUSTIFIED"),0,1)</f>
        <v>1</v>
      </c>
      <c r="AJ624" s="61" t="n">
        <f aca="false">IF(LEFT(AH624,8)="COMPLETE",1,0)</f>
        <v>0</v>
      </c>
      <c r="AK624" s="61" t="n">
        <f aca="false">IF(AND(AI624=1,AJ624=0,AsOfUTC&gt;Q624),1,0)</f>
        <v>0</v>
      </c>
      <c r="AL624" s="61" t="n">
        <f aca="false">IF(AND(AI624=1,OR(TRIM(U624)="Fail",AND(TRIM(AB624)&lt;&gt;"",TRIM(AB624)&lt;&gt;"Closed"),AND(ISNUMBER(AF624),AF624&lt;&gt;0,TRIM(U624)&lt;&gt;"Pass after CA"))),1,0)</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row>
    <row r="625" customFormat="false" ht="39.75" hidden="false" customHeight="true" outlineLevel="0" collapsed="false">
      <c r="A625" s="57" t="s">
        <v>1297</v>
      </c>
      <c r="B625" s="57" t="s">
        <v>293</v>
      </c>
      <c r="C625" s="57" t="str">
        <f aca="false">Flights!$F$23</f>
        <v>MH0053</v>
      </c>
      <c r="D625" s="58" t="n">
        <f aca="false">Flights!$D$23</f>
        <v>46324</v>
      </c>
      <c r="E625" s="57" t="str">
        <f aca="false">Flights!$G$23&amp;"-"&amp;Flights!$H$23</f>
        <v>KIX-KUL</v>
      </c>
      <c r="F625" s="57" t="str">
        <f aca="false">Flights!$K$23</f>
        <v>EY</v>
      </c>
      <c r="G625" s="57" t="s">
        <v>76</v>
      </c>
      <c r="H625" s="57" t="s">
        <v>343</v>
      </c>
      <c r="I625" s="57" t="s">
        <v>370</v>
      </c>
      <c r="J625" s="57" t="s">
        <v>371</v>
      </c>
      <c r="K625" s="67" t="s">
        <v>372</v>
      </c>
      <c r="L625" s="67" t="s">
        <v>347</v>
      </c>
      <c r="M625" s="67"/>
      <c r="N625" s="67" t="s">
        <v>348</v>
      </c>
      <c r="O625" s="67"/>
      <c r="P625" s="57" t="s">
        <v>287</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59" t="n">
        <f aca="false">Q625-T7EarlyD*24/24</f>
        <v>46303.0277777778</v>
      </c>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IF(N625="N/A – rule","N/A – RULE",IF(TRIM(U625)="N/A",IF(AT625=0,"INVALID – N/A not permitted for this mandatory check",IF(AND(TRIM(AC625)&lt;&gt;"",TRIM(AE625)&lt;&gt;"",TRIM(T625)&lt;&gt;"",TRIM(AE625)&lt;&gt;TRIM(T625)),"N/A – JUSTIFIED","INVALID – N/A needs justification, PIC and a different verifier")),IF(OR(TRIM(U625)="Pass",TRIM(U625)="Pass after CA"),IF(NOT(ISNUMBER(AD625)),"INVALID – completion time missing",IF(TRIM(T625)="","INVALID – PIC missing",IF(TRIM(V625)="","INVALID – result / assessment missing",IF(TRIM(Z625)="","INVALID – evidence missing",IF(TRIM(AE625)="","INVALID – verifier missing",IF(TRIM(AE625)=TRIM(T625),"INVALID – verifier must be someone other than the PIC",IF(AND(AQ625=1,TRIM(W625)=""),"INVALID – batch ID missing",IF(AND(AR625=1,OR(NOT(ISNUMBER(X625)),NOT(ISNUMBER(Y625)))),"INVALID – expected/actual qty missing",IF(IF(AND(TRIM(U625)="Pass",ISNUMBER(AF625)),IF(AF625&lt;&gt;0,"INVALID – qty variance: use Fail or Pass after CA",""),"")&amp;IF(AND(TRIM(U625)="Pass",TRIM(AB625)&lt;&gt;"",TRIM(AB625)&lt;&gt;"Closed"),"INVALID – corrective action not closed: use Fail, then Pass after CA","")&amp;IF(AND(TRIM(AA625)&lt;&gt;"",TRIM(AB625)=""),"INVALID – CA status missing for the recorded corrective action","")&amp;IF(AND(TRIM(U625)="Pass after CA",OR(TRIM(AA625)="",TRIM(AB625)&lt;&gt;"Closed")),"INVALID – corrective action not recorded/closed","")&lt;&gt;"",IF(AND(TRIM(U625)="Pass",ISNUMBER(AF625)),IF(AF625&lt;&gt;0,"INVALID – qty variance: use Fail or Pass after CA",""),"")&amp;IF(AND(TRIM(U625)="Pass",TRIM(AB625)&lt;&gt;"",TRIM(AB625)&lt;&gt;"Closed"),"INVALID – corrective action not closed: use Fail, then Pass after CA","")&amp;IF(AND(TRIM(AA625)&lt;&gt;"",TRIM(AB625)=""),"INVALID – CA status missing for the recorded corrective action","")&amp;IF(AND(TRIM(U625)="Pass after CA",OR(TRIM(AA625)="",TRIM(AB625)&lt;&gt;"Closed")),"INVALID – corrective action not recorded/closed",""),IF(AND(AS625=1,Documents!$J$23&lt;&gt;"ON FILE"),"INVALID – GLD not on file (Documents sheet)",IF(AND(AS625=2,Documents!$O$23&lt;&gt;"ON FILE"),"INVALID – menu checklist not on file (Documents sheet)",IF(AND(AS625=3,NOT(ISNUMBER(Flights!$AX$23))),"INVALID – enter carrying flight KUL departure (Flights AX)",IF(AND(AS625=3,OR(Flights!$AX$23&gt;=Flights!$AA$23,Flights!$AX$23&lt;Flights!$AA$23-3)),"INVALID – Flights AX must be before this leg's STD (within 3 days)",IF(AG625&gt;AsOfUTC,"INVALID – completion time is in the future",IF(AND(ISNUMBER(S625),AG625&lt;S625),IF(H625="Physical uplift","INVALID – before uplift window (cannot confirm loading)","INVALID – before valid window"),IF(AG625&gt;Flights!$AA$23,"INVALID – completed after departure (cannot establish readiness)",IF(AND(H625="Physical uplift",AG625&gt;Q625),"INVALID – recorded after the loading flight departed",IF(AG625&gt;Q625,"COMPLETE – LATE","COMPLETE")))))))))))))))))),IF(TRIM(U625)="Fail","FAIL – DISCREPANCY",IF(AND(TRIM(U625)&lt;&gt;"",TRIM(U625)&lt;&gt;"Not started",TRIM(U625)&lt;&gt;"In progress"),"INVALID – unrecognised status (use the list)",IF(AsOfUTC&gt;Q625,"OVERDUE",IF(N625="Clarification required","OPEN – CLARIFICATION","OPEN")))))))</f>
        <v>OPEN</v>
      </c>
      <c r="AI625" s="61" t="n">
        <f aca="false">IF(OR(AH625="N/A – RULE",AH625="N/A – JUSTIFIED"),0,1)</f>
        <v>1</v>
      </c>
      <c r="AJ625" s="61" t="n">
        <f aca="false">IF(LEFT(AH625,8)="COMPLETE",1,0)</f>
        <v>0</v>
      </c>
      <c r="AK625" s="61" t="n">
        <f aca="false">IF(AND(AI625=1,AJ625=0,AsOfUTC&gt;Q625),1,0)</f>
        <v>0</v>
      </c>
      <c r="AL625" s="61" t="n">
        <f aca="false">IF(AND(AI625=1,OR(TRIM(U625)="Fail",AND(TRIM(AB625)&lt;&gt;"",TRIM(AB625)&lt;&gt;"Closed"),AND(ISNUMBER(AF625),AF625&lt;&gt;0,TRIM(U625)&lt;&gt;"Pass after CA"))),1,0)</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row>
    <row r="626" customFormat="false" ht="39.75" hidden="false" customHeight="true" outlineLevel="0" collapsed="false">
      <c r="A626" s="57" t="s">
        <v>1298</v>
      </c>
      <c r="B626" s="57" t="s">
        <v>293</v>
      </c>
      <c r="C626" s="57" t="str">
        <f aca="false">Flights!$F$23</f>
        <v>MH0053</v>
      </c>
      <c r="D626" s="58" t="n">
        <f aca="false">Flights!$D$23</f>
        <v>46324</v>
      </c>
      <c r="E626" s="57" t="str">
        <f aca="false">Flights!$G$23&amp;"-"&amp;Flights!$H$23</f>
        <v>KIX-KUL</v>
      </c>
      <c r="F626" s="57" t="str">
        <f aca="false">Flights!$K$23</f>
        <v>EY</v>
      </c>
      <c r="G626" s="57" t="s">
        <v>76</v>
      </c>
      <c r="H626" s="57" t="s">
        <v>343</v>
      </c>
      <c r="I626" s="57" t="s">
        <v>370</v>
      </c>
      <c r="J626" s="57" t="s">
        <v>374</v>
      </c>
      <c r="K626" s="67" t="s">
        <v>372</v>
      </c>
      <c r="L626" s="67" t="s">
        <v>347</v>
      </c>
      <c r="M626" s="67"/>
      <c r="N626" s="67" t="s">
        <v>348</v>
      </c>
      <c r="O626" s="67"/>
      <c r="P626" s="57" t="s">
        <v>287</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59" t="n">
        <f aca="false">Q626-T7EarlyD*24/24</f>
        <v>46303.0277777778</v>
      </c>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IF(N626="N/A – rule","N/A – RULE",IF(TRIM(U626)="N/A",IF(AT626=0,"INVALID – N/A not permitted for this mandatory check",IF(AND(TRIM(AC626)&lt;&gt;"",TRIM(AE626)&lt;&gt;"",TRIM(T626)&lt;&gt;"",TRIM(AE626)&lt;&gt;TRIM(T626)),"N/A – JUSTIFIED","INVALID – N/A needs justification, PIC and a different verifier")),IF(OR(TRIM(U626)="Pass",TRIM(U626)="Pass after CA"),IF(NOT(ISNUMBER(AD626)),"INVALID – completion time missing",IF(TRIM(T626)="","INVALID – PIC missing",IF(TRIM(V626)="","INVALID – result / assessment missing",IF(TRIM(Z626)="","INVALID – evidence missing",IF(TRIM(AE626)="","INVALID – verifier missing",IF(TRIM(AE626)=TRIM(T626),"INVALID – verifier must be someone other than the PIC",IF(AND(AQ626=1,TRIM(W626)=""),"INVALID – batch ID missing",IF(AND(AR626=1,OR(NOT(ISNUMBER(X626)),NOT(ISNUMBER(Y626)))),"INVALID – expected/actual qty missing",IF(IF(AND(TRIM(U626)="Pass",ISNUMBER(AF626)),IF(AF626&lt;&gt;0,"INVALID – qty variance: use Fail or Pass after CA",""),"")&amp;IF(AND(TRIM(U626)="Pass",TRIM(AB626)&lt;&gt;"",TRIM(AB626)&lt;&gt;"Closed"),"INVALID – corrective action not closed: use Fail, then Pass after CA","")&amp;IF(AND(TRIM(AA626)&lt;&gt;"",TRIM(AB626)=""),"INVALID – CA status missing for the recorded corrective action","")&amp;IF(AND(TRIM(U626)="Pass after CA",OR(TRIM(AA626)="",TRIM(AB626)&lt;&gt;"Closed")),"INVALID – corrective action not recorded/closed","")&lt;&gt;"",IF(AND(TRIM(U626)="Pass",ISNUMBER(AF626)),IF(AF626&lt;&gt;0,"INVALID – qty variance: use Fail or Pass after CA",""),"")&amp;IF(AND(TRIM(U626)="Pass",TRIM(AB626)&lt;&gt;"",TRIM(AB626)&lt;&gt;"Closed"),"INVALID – corrective action not closed: use Fail, then Pass after CA","")&amp;IF(AND(TRIM(AA626)&lt;&gt;"",TRIM(AB626)=""),"INVALID – CA status missing for the recorded corrective action","")&amp;IF(AND(TRIM(U626)="Pass after CA",OR(TRIM(AA626)="",TRIM(AB626)&lt;&gt;"Closed")),"INVALID – corrective action not recorded/closed",""),IF(AND(AS626=1,Documents!$J$23&lt;&gt;"ON FILE"),"INVALID – GLD not on file (Documents sheet)",IF(AND(AS626=2,Documents!$O$23&lt;&gt;"ON FILE"),"INVALID – menu checklist not on file (Documents sheet)",IF(AND(AS626=3,NOT(ISNUMBER(Flights!$AX$23))),"INVALID – enter carrying flight KUL departure (Flights AX)",IF(AND(AS626=3,OR(Flights!$AX$23&gt;=Flights!$AA$23,Flights!$AX$23&lt;Flights!$AA$23-3)),"INVALID – Flights AX must be before this leg's STD (within 3 days)",IF(AG626&gt;AsOfUTC,"INVALID – completion time is in the future",IF(AND(ISNUMBER(S626),AG626&lt;S626),IF(H626="Physical uplift","INVALID – before uplift window (cannot confirm loading)","INVALID – before valid window"),IF(AG626&gt;Flights!$AA$23,"INVALID – completed after departure (cannot establish readiness)",IF(AND(H626="Physical uplift",AG626&gt;Q626),"INVALID – recorded after the loading flight departed",IF(AG626&gt;Q626,"COMPLETE – LATE","COMPLETE")))))))))))))))))),IF(TRIM(U626)="Fail","FAIL – DISCREPANCY",IF(AND(TRIM(U626)&lt;&gt;"",TRIM(U626)&lt;&gt;"Not started",TRIM(U626)&lt;&gt;"In progress"),"INVALID – unrecognised status (use the list)",IF(AsOfUTC&gt;Q626,"OVERDUE",IF(N626="Clarification required","OPEN – CLARIFICATION","OPEN")))))))</f>
        <v>OPEN</v>
      </c>
      <c r="AI626" s="61" t="n">
        <f aca="false">IF(OR(AH626="N/A – RULE",AH626="N/A – JUSTIFIED"),0,1)</f>
        <v>1</v>
      </c>
      <c r="AJ626" s="61" t="n">
        <f aca="false">IF(LEFT(AH626,8)="COMPLETE",1,0)</f>
        <v>0</v>
      </c>
      <c r="AK626" s="61" t="n">
        <f aca="false">IF(AND(AI626=1,AJ626=0,AsOfUTC&gt;Q626),1,0)</f>
        <v>0</v>
      </c>
      <c r="AL626" s="61" t="n">
        <f aca="false">IF(AND(AI626=1,OR(TRIM(U626)="Fail",AND(TRIM(AB626)&lt;&gt;"",TRIM(AB626)&lt;&gt;"Closed"),AND(ISNUMBER(AF626),AF626&lt;&gt;0,TRIM(U626)&lt;&gt;"Pass after CA"))),1,0)</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row>
    <row r="627" customFormat="false" ht="39.75" hidden="false" customHeight="true" outlineLevel="0" collapsed="false">
      <c r="A627" s="57" t="s">
        <v>1299</v>
      </c>
      <c r="B627" s="57" t="s">
        <v>293</v>
      </c>
      <c r="C627" s="57" t="str">
        <f aca="false">Flights!$F$23</f>
        <v>MH0053</v>
      </c>
      <c r="D627" s="58" t="n">
        <f aca="false">Flights!$D$23</f>
        <v>46324</v>
      </c>
      <c r="E627" s="57" t="str">
        <f aca="false">Flights!$G$23&amp;"-"&amp;Flights!$H$23</f>
        <v>KIX-KUL</v>
      </c>
      <c r="F627" s="57" t="str">
        <f aca="false">Flights!$K$23</f>
        <v>EY</v>
      </c>
      <c r="G627" s="57" t="s">
        <v>76</v>
      </c>
      <c r="H627" s="57" t="s">
        <v>343</v>
      </c>
      <c r="I627" s="57" t="s">
        <v>376</v>
      </c>
      <c r="J627" s="57" t="s">
        <v>377</v>
      </c>
      <c r="K627" s="67" t="s">
        <v>1300</v>
      </c>
      <c r="L627" s="67" t="s">
        <v>1238</v>
      </c>
      <c r="M627" s="67"/>
      <c r="N627" s="67" t="s">
        <v>348</v>
      </c>
      <c r="O627" s="67"/>
      <c r="P627" s="57" t="s">
        <v>287</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59" t="n">
        <f aca="false">Q627-T7EarlyD*24/24</f>
        <v>46303.0277777778</v>
      </c>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IF(N627="N/A – rule","N/A – RULE",IF(TRIM(U627)="N/A",IF(AT627=0,"INVALID – N/A not permitted for this mandatory check",IF(AND(TRIM(AC627)&lt;&gt;"",TRIM(AE627)&lt;&gt;"",TRIM(T627)&lt;&gt;"",TRIM(AE627)&lt;&gt;TRIM(T627)),"N/A – JUSTIFIED","INVALID – N/A needs justification, PIC and a different verifier")),IF(OR(TRIM(U627)="Pass",TRIM(U627)="Pass after CA"),IF(NOT(ISNUMBER(AD627)),"INVALID – completion time missing",IF(TRIM(T627)="","INVALID – PIC missing",IF(TRIM(V627)="","INVALID – result / assessment missing",IF(TRIM(Z627)="","INVALID – evidence missing",IF(TRIM(AE627)="","INVALID – verifier missing",IF(TRIM(AE627)=TRIM(T627),"INVALID – verifier must be someone other than the PIC",IF(AND(AQ627=1,TRIM(W627)=""),"INVALID – batch ID missing",IF(AND(AR627=1,OR(NOT(ISNUMBER(X627)),NOT(ISNUMBER(Y627)))),"INVALID – expected/actual qty missing",IF(IF(AND(TRIM(U627)="Pass",ISNUMBER(AF627)),IF(AF627&lt;&gt;0,"INVALID – qty variance: use Fail or Pass after CA",""),"")&amp;IF(AND(TRIM(U627)="Pass",TRIM(AB627)&lt;&gt;"",TRIM(AB627)&lt;&gt;"Closed"),"INVALID – corrective action not closed: use Fail, then Pass after CA","")&amp;IF(AND(TRIM(AA627)&lt;&gt;"",TRIM(AB627)=""),"INVALID – CA status missing for the recorded corrective action","")&amp;IF(AND(TRIM(U627)="Pass after CA",OR(TRIM(AA627)="",TRIM(AB627)&lt;&gt;"Closed")),"INVALID – corrective action not recorded/closed","")&lt;&gt;"",IF(AND(TRIM(U627)="Pass",ISNUMBER(AF627)),IF(AF627&lt;&gt;0,"INVALID – qty variance: use Fail or Pass after CA",""),"")&amp;IF(AND(TRIM(U627)="Pass",TRIM(AB627)&lt;&gt;"",TRIM(AB627)&lt;&gt;"Closed"),"INVALID – corrective action not closed: use Fail, then Pass after CA","")&amp;IF(AND(TRIM(AA627)&lt;&gt;"",TRIM(AB627)=""),"INVALID – CA status missing for the recorded corrective action","")&amp;IF(AND(TRIM(U627)="Pass after CA",OR(TRIM(AA627)="",TRIM(AB627)&lt;&gt;"Closed")),"INVALID – corrective action not recorded/closed",""),IF(AND(AS627=1,Documents!$J$23&lt;&gt;"ON FILE"),"INVALID – GLD not on file (Documents sheet)",IF(AND(AS627=2,Documents!$O$23&lt;&gt;"ON FILE"),"INVALID – menu checklist not on file (Documents sheet)",IF(AND(AS627=3,NOT(ISNUMBER(Flights!$AX$23))),"INVALID – enter carrying flight KUL departure (Flights AX)",IF(AND(AS627=3,OR(Flights!$AX$23&gt;=Flights!$AA$23,Flights!$AX$23&lt;Flights!$AA$23-3)),"INVALID – Flights AX must be before this leg's STD (within 3 days)",IF(AG627&gt;AsOfUTC,"INVALID – completion time is in the future",IF(AND(ISNUMBER(S627),AG627&lt;S627),IF(H627="Physical uplift","INVALID – before uplift window (cannot confirm loading)","INVALID – before valid window"),IF(AG627&gt;Flights!$AA$23,"INVALID – completed after departure (cannot establish readiness)",IF(AND(H627="Physical uplift",AG627&gt;Q627),"INVALID – recorded after the loading flight departed",IF(AG627&gt;Q627,"COMPLETE – LATE","COMPLETE")))))))))))))))))),IF(TRIM(U627)="Fail","FAIL – DISCREPANCY",IF(AND(TRIM(U627)&lt;&gt;"",TRIM(U627)&lt;&gt;"Not started",TRIM(U627)&lt;&gt;"In progress"),"INVALID – unrecognised status (use the list)",IF(AsOfUTC&gt;Q627,"OVERDUE",IF(N627="Clarification required","OPEN – CLARIFICATION","OPEN")))))))</f>
        <v>OPEN</v>
      </c>
      <c r="AI627" s="61" t="n">
        <f aca="false">IF(OR(AH627="N/A – RULE",AH627="N/A – JUSTIFIED"),0,1)</f>
        <v>1</v>
      </c>
      <c r="AJ627" s="61" t="n">
        <f aca="false">IF(LEFT(AH627,8)="COMPLETE",1,0)</f>
        <v>0</v>
      </c>
      <c r="AK627" s="61" t="n">
        <f aca="false">IF(AND(AI627=1,AJ627=0,AsOfUTC&gt;Q627),1,0)</f>
        <v>0</v>
      </c>
      <c r="AL627" s="61" t="n">
        <f aca="false">IF(AND(AI627=1,OR(TRIM(U627)="Fail",AND(TRIM(AB627)&lt;&gt;"",TRIM(AB627)&lt;&gt;"Closed"),AND(ISNUMBER(AF627),AF627&lt;&gt;0,TRIM(U627)&lt;&gt;"Pass after CA"))),1,0)</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row>
    <row r="628" customFormat="false" ht="39.75" hidden="false" customHeight="true" outlineLevel="0" collapsed="false">
      <c r="A628" s="57" t="s">
        <v>1301</v>
      </c>
      <c r="B628" s="57" t="s">
        <v>293</v>
      </c>
      <c r="C628" s="57" t="str">
        <f aca="false">Flights!$F$23</f>
        <v>MH0053</v>
      </c>
      <c r="D628" s="58" t="n">
        <f aca="false">Flights!$D$23</f>
        <v>46324</v>
      </c>
      <c r="E628" s="57" t="str">
        <f aca="false">Flights!$G$23&amp;"-"&amp;Flights!$H$23</f>
        <v>KIX-KUL</v>
      </c>
      <c r="F628" s="57" t="str">
        <f aca="false">Flights!$K$23</f>
        <v>EY</v>
      </c>
      <c r="G628" s="57" t="s">
        <v>78</v>
      </c>
      <c r="H628" s="57" t="s">
        <v>343</v>
      </c>
      <c r="I628" s="57" t="s">
        <v>344</v>
      </c>
      <c r="J628" s="57" t="s">
        <v>381</v>
      </c>
      <c r="K628" s="67" t="s">
        <v>382</v>
      </c>
      <c r="L628" s="67" t="s">
        <v>383</v>
      </c>
      <c r="M628" s="67"/>
      <c r="N628" s="67" t="s">
        <v>348</v>
      </c>
      <c r="O628" s="67"/>
      <c r="P628" s="57" t="s">
        <v>287</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59" t="n">
        <f aca="false">Q628-T24EarlyH/24</f>
        <v>46322.0277777778</v>
      </c>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IF(N628="N/A – rule","N/A – RULE",IF(TRIM(U628)="N/A",IF(AT628=0,"INVALID – N/A not permitted for this mandatory check",IF(AND(TRIM(AC628)&lt;&gt;"",TRIM(AE628)&lt;&gt;"",TRIM(T628)&lt;&gt;"",TRIM(AE628)&lt;&gt;TRIM(T628)),"N/A – JUSTIFIED","INVALID – N/A needs justification, PIC and a different verifier")),IF(OR(TRIM(U628)="Pass",TRIM(U628)="Pass after CA"),IF(NOT(ISNUMBER(AD628)),"INVALID – completion time missing",IF(TRIM(T628)="","INVALID – PIC missing",IF(TRIM(V628)="","INVALID – result / assessment missing",IF(TRIM(Z628)="","INVALID – evidence missing",IF(TRIM(AE628)="","INVALID – verifier missing",IF(TRIM(AE628)=TRIM(T628),"INVALID – verifier must be someone other than the PIC",IF(AND(AQ628=1,TRIM(W628)=""),"INVALID – batch ID missing",IF(AND(AR628=1,OR(NOT(ISNUMBER(X628)),NOT(ISNUMBER(Y628)))),"INVALID – expected/actual qty missing",IF(IF(AND(TRIM(U628)="Pass",ISNUMBER(AF628)),IF(AF628&lt;&gt;0,"INVALID – qty variance: use Fail or Pass after CA",""),"")&amp;IF(AND(TRIM(U628)="Pass",TRIM(AB628)&lt;&gt;"",TRIM(AB628)&lt;&gt;"Closed"),"INVALID – corrective action not closed: use Fail, then Pass after CA","")&amp;IF(AND(TRIM(AA628)&lt;&gt;"",TRIM(AB628)=""),"INVALID – CA status missing for the recorded corrective action","")&amp;IF(AND(TRIM(U628)="Pass after CA",OR(TRIM(AA628)="",TRIM(AB628)&lt;&gt;"Closed")),"INVALID – corrective action not recorded/closed","")&lt;&gt;"",IF(AND(TRIM(U628)="Pass",ISNUMBER(AF628)),IF(AF628&lt;&gt;0,"INVALID – qty variance: use Fail or Pass after CA",""),"")&amp;IF(AND(TRIM(U628)="Pass",TRIM(AB628)&lt;&gt;"",TRIM(AB628)&lt;&gt;"Closed"),"INVALID – corrective action not closed: use Fail, then Pass after CA","")&amp;IF(AND(TRIM(AA628)&lt;&gt;"",TRIM(AB628)=""),"INVALID – CA status missing for the recorded corrective action","")&amp;IF(AND(TRIM(U628)="Pass after CA",OR(TRIM(AA628)="",TRIM(AB628)&lt;&gt;"Closed")),"INVALID – corrective action not recorded/closed",""),IF(AND(AS628=1,Documents!$J$23&lt;&gt;"ON FILE"),"INVALID – GLD not on file (Documents sheet)",IF(AND(AS628=2,Documents!$O$23&lt;&gt;"ON FILE"),"INVALID – menu checklist not on file (Documents sheet)",IF(AND(AS628=3,NOT(ISNUMBER(Flights!$AX$23))),"INVALID – enter carrying flight KUL departure (Flights AX)",IF(AND(AS628=3,OR(Flights!$AX$23&gt;=Flights!$AA$23,Flights!$AX$23&lt;Flights!$AA$23-3)),"INVALID – Flights AX must be before this leg's STD (within 3 days)",IF(AG628&gt;AsOfUTC,"INVALID – completion time is in the future",IF(AND(ISNUMBER(S628),AG628&lt;S628),IF(H628="Physical uplift","INVALID – before uplift window (cannot confirm loading)","INVALID – before valid window"),IF(AG628&gt;Flights!$AA$23,"INVALID – completed after departure (cannot establish readiness)",IF(AND(H628="Physical uplift",AG628&gt;Q628),"INVALID – recorded after the loading flight departed",IF(AG628&gt;Q628,"COMPLETE – LATE","COMPLETE")))))))))))))))))),IF(TRIM(U628)="Fail","FAIL – DISCREPANCY",IF(AND(TRIM(U628)&lt;&gt;"",TRIM(U628)&lt;&gt;"Not started",TRIM(U628)&lt;&gt;"In progress"),"INVALID – unrecognised status (use the list)",IF(AsOfUTC&gt;Q628,"OVERDUE",IF(N628="Clarification required","OPEN – CLARIFICATION","OPEN")))))))</f>
        <v>OPEN</v>
      </c>
      <c r="AI628" s="61" t="n">
        <f aca="false">IF(OR(AH628="N/A – RULE",AH628="N/A – JUSTIFIED"),0,1)</f>
        <v>1</v>
      </c>
      <c r="AJ628" s="61" t="n">
        <f aca="false">IF(LEFT(AH628,8)="COMPLETE",1,0)</f>
        <v>0</v>
      </c>
      <c r="AK628" s="61" t="n">
        <f aca="false">IF(AND(AI628=1,AJ628=0,AsOfUTC&gt;Q628),1,0)</f>
        <v>0</v>
      </c>
      <c r="AL628" s="61" t="n">
        <f aca="false">IF(AND(AI628=1,OR(TRIM(U628)="Fail",AND(TRIM(AB628)&lt;&gt;"",TRIM(AB628)&lt;&gt;"Closed"),AND(ISNUMBER(AF628),AF628&lt;&gt;0,TRIM(U628)&lt;&gt;"Pass after CA"))),1,0)</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row>
    <row r="629" customFormat="false" ht="39.75" hidden="false" customHeight="true" outlineLevel="0" collapsed="false">
      <c r="A629" s="57" t="s">
        <v>1302</v>
      </c>
      <c r="B629" s="57" t="s">
        <v>293</v>
      </c>
      <c r="C629" s="57" t="str">
        <f aca="false">Flights!$F$23</f>
        <v>MH0053</v>
      </c>
      <c r="D629" s="58" t="n">
        <f aca="false">Flights!$D$23</f>
        <v>46324</v>
      </c>
      <c r="E629" s="57" t="str">
        <f aca="false">Flights!$G$23&amp;"-"&amp;Flights!$H$23</f>
        <v>KIX-KUL</v>
      </c>
      <c r="F629" s="57" t="str">
        <f aca="false">Flights!$K$23</f>
        <v>EY</v>
      </c>
      <c r="G629" s="57" t="s">
        <v>385</v>
      </c>
      <c r="H629" s="57" t="s">
        <v>343</v>
      </c>
      <c r="I629" s="57" t="s">
        <v>344</v>
      </c>
      <c r="J629" s="57" t="s">
        <v>386</v>
      </c>
      <c r="K629" s="67"/>
      <c r="L629" s="67" t="s">
        <v>387</v>
      </c>
      <c r="M629" s="67"/>
      <c r="N629" s="67" t="s">
        <v>348</v>
      </c>
      <c r="O629" s="67" t="s">
        <v>388</v>
      </c>
      <c r="P629" s="57" t="s">
        <v>287</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59" t="n">
        <f aca="false">Q629-T12EarlyH/24</f>
        <v>46323.0277777778</v>
      </c>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IF(N629="N/A – rule","N/A – RULE",IF(TRIM(U629)="N/A",IF(AT629=0,"INVALID – N/A not permitted for this mandatory check",IF(AND(TRIM(AC629)&lt;&gt;"",TRIM(AE629)&lt;&gt;"",TRIM(T629)&lt;&gt;"",TRIM(AE629)&lt;&gt;TRIM(T629)),"N/A – JUSTIFIED","INVALID – N/A needs justification, PIC and a different verifier")),IF(OR(TRIM(U629)="Pass",TRIM(U629)="Pass after CA"),IF(NOT(ISNUMBER(AD629)),"INVALID – completion time missing",IF(TRIM(T629)="","INVALID – PIC missing",IF(TRIM(V629)="","INVALID – result / assessment missing",IF(TRIM(Z629)="","INVALID – evidence missing",IF(TRIM(AE629)="","INVALID – verifier missing",IF(TRIM(AE629)=TRIM(T629),"INVALID – verifier must be someone other than the PIC",IF(AND(AQ629=1,TRIM(W629)=""),"INVALID – batch ID missing",IF(AND(AR629=1,OR(NOT(ISNUMBER(X629)),NOT(ISNUMBER(Y629)))),"INVALID – expected/actual qty missing",IF(IF(AND(TRIM(U629)="Pass",ISNUMBER(AF629)),IF(AF629&lt;&gt;0,"INVALID – qty variance: use Fail or Pass after CA",""),"")&amp;IF(AND(TRIM(U629)="Pass",TRIM(AB629)&lt;&gt;"",TRIM(AB629)&lt;&gt;"Closed"),"INVALID – corrective action not closed: use Fail, then Pass after CA","")&amp;IF(AND(TRIM(AA629)&lt;&gt;"",TRIM(AB629)=""),"INVALID – CA status missing for the recorded corrective action","")&amp;IF(AND(TRIM(U629)="Pass after CA",OR(TRIM(AA629)="",TRIM(AB629)&lt;&gt;"Closed")),"INVALID – corrective action not recorded/closed","")&lt;&gt;"",IF(AND(TRIM(U629)="Pass",ISNUMBER(AF629)),IF(AF629&lt;&gt;0,"INVALID – qty variance: use Fail or Pass after CA",""),"")&amp;IF(AND(TRIM(U629)="Pass",TRIM(AB629)&lt;&gt;"",TRIM(AB629)&lt;&gt;"Closed"),"INVALID – corrective action not closed: use Fail, then Pass after CA","")&amp;IF(AND(TRIM(AA629)&lt;&gt;"",TRIM(AB629)=""),"INVALID – CA status missing for the recorded corrective action","")&amp;IF(AND(TRIM(U629)="Pass after CA",OR(TRIM(AA629)="",TRIM(AB629)&lt;&gt;"Closed")),"INVALID – corrective action not recorded/closed",""),IF(AND(AS629=1,Documents!$J$23&lt;&gt;"ON FILE"),"INVALID – GLD not on file (Documents sheet)",IF(AND(AS629=2,Documents!$O$23&lt;&gt;"ON FILE"),"INVALID – menu checklist not on file (Documents sheet)",IF(AND(AS629=3,NOT(ISNUMBER(Flights!$AX$23))),"INVALID – enter carrying flight KUL departure (Flights AX)",IF(AND(AS629=3,OR(Flights!$AX$23&gt;=Flights!$AA$23,Flights!$AX$23&lt;Flights!$AA$23-3)),"INVALID – Flights AX must be before this leg's STD (within 3 days)",IF(AG629&gt;AsOfUTC,"INVALID – completion time is in the future",IF(AND(ISNUMBER(S629),AG629&lt;S629),IF(H629="Physical uplift","INVALID – before uplift window (cannot confirm loading)","INVALID – before valid window"),IF(AG629&gt;Flights!$AA$23,"INVALID – completed after departure (cannot establish readiness)",IF(AND(H629="Physical uplift",AG629&gt;Q629),"INVALID – recorded after the loading flight departed",IF(AG629&gt;Q629,"COMPLETE – LATE","COMPLETE")))))))))))))))))),IF(TRIM(U629)="Fail","FAIL – DISCREPANCY",IF(AND(TRIM(U629)&lt;&gt;"",TRIM(U629)&lt;&gt;"Not started",TRIM(U629)&lt;&gt;"In progress"),"INVALID – unrecognised status (use the list)",IF(AsOfUTC&gt;Q629,"OVERDUE",IF(N629="Clarification required","OPEN – CLARIFICATION","OPEN")))))))</f>
        <v>OPEN</v>
      </c>
      <c r="AI629" s="61" t="n">
        <f aca="false">IF(OR(AH629="N/A – RULE",AH629="N/A – JUSTIFIED"),0,1)</f>
        <v>1</v>
      </c>
      <c r="AJ629" s="61" t="n">
        <f aca="false">IF(LEFT(AH629,8)="COMPLETE",1,0)</f>
        <v>0</v>
      </c>
      <c r="AK629" s="61" t="n">
        <f aca="false">IF(AND(AI629=1,AJ629=0,AsOfUTC&gt;Q629),1,0)</f>
        <v>0</v>
      </c>
      <c r="AL629" s="61" t="n">
        <f aca="false">IF(AND(AI629=1,OR(TRIM(U629)="Fail",AND(TRIM(AB629)&lt;&gt;"",TRIM(AB629)&lt;&gt;"Closed"),AND(ISNUMBER(AF629),AF629&lt;&gt;0,TRIM(U629)&lt;&gt;"Pass after CA"))),1,0)</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row>
    <row r="630" customFormat="false" ht="39.75" hidden="false" customHeight="true" outlineLevel="0" collapsed="false">
      <c r="A630" s="57" t="s">
        <v>1303</v>
      </c>
      <c r="B630" s="57" t="s">
        <v>293</v>
      </c>
      <c r="C630" s="57" t="str">
        <f aca="false">Flights!$F$23</f>
        <v>MH0053</v>
      </c>
      <c r="D630" s="58" t="n">
        <f aca="false">Flights!$D$23</f>
        <v>46324</v>
      </c>
      <c r="E630" s="57" t="str">
        <f aca="false">Flights!$G$23&amp;"-"&amp;Flights!$H$23</f>
        <v>KIX-KUL</v>
      </c>
      <c r="F630" s="57" t="str">
        <f aca="false">Flights!$K$23</f>
        <v>EY</v>
      </c>
      <c r="G630" s="57" t="s">
        <v>385</v>
      </c>
      <c r="H630" s="57" t="s">
        <v>343</v>
      </c>
      <c r="I630" s="57" t="s">
        <v>344</v>
      </c>
      <c r="J630" s="57" t="s">
        <v>390</v>
      </c>
      <c r="K630" s="67" t="s">
        <v>391</v>
      </c>
      <c r="L630" s="67" t="s">
        <v>387</v>
      </c>
      <c r="M630" s="67"/>
      <c r="N630" s="67" t="s">
        <v>348</v>
      </c>
      <c r="O630" s="67" t="s">
        <v>388</v>
      </c>
      <c r="P630" s="57" t="s">
        <v>287</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59" t="n">
        <f aca="false">Q630-T12EarlyH/24</f>
        <v>46323.0277777778</v>
      </c>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IF(N630="N/A – rule","N/A – RULE",IF(TRIM(U630)="N/A",IF(AT630=0,"INVALID – N/A not permitted for this mandatory check",IF(AND(TRIM(AC630)&lt;&gt;"",TRIM(AE630)&lt;&gt;"",TRIM(T630)&lt;&gt;"",TRIM(AE630)&lt;&gt;TRIM(T630)),"N/A – JUSTIFIED","INVALID – N/A needs justification, PIC and a different verifier")),IF(OR(TRIM(U630)="Pass",TRIM(U630)="Pass after CA"),IF(NOT(ISNUMBER(AD630)),"INVALID – completion time missing",IF(TRIM(T630)="","INVALID – PIC missing",IF(TRIM(V630)="","INVALID – result / assessment missing",IF(TRIM(Z630)="","INVALID – evidence missing",IF(TRIM(AE630)="","INVALID – verifier missing",IF(TRIM(AE630)=TRIM(T630),"INVALID – verifier must be someone other than the PIC",IF(AND(AQ630=1,TRIM(W630)=""),"INVALID – batch ID missing",IF(AND(AR630=1,OR(NOT(ISNUMBER(X630)),NOT(ISNUMBER(Y630)))),"INVALID – expected/actual qty missing",IF(IF(AND(TRIM(U630)="Pass",ISNUMBER(AF630)),IF(AF630&lt;&gt;0,"INVALID – qty variance: use Fail or Pass after CA",""),"")&amp;IF(AND(TRIM(U630)="Pass",TRIM(AB630)&lt;&gt;"",TRIM(AB630)&lt;&gt;"Closed"),"INVALID – corrective action not closed: use Fail, then Pass after CA","")&amp;IF(AND(TRIM(AA630)&lt;&gt;"",TRIM(AB630)=""),"INVALID – CA status missing for the recorded corrective action","")&amp;IF(AND(TRIM(U630)="Pass after CA",OR(TRIM(AA630)="",TRIM(AB630)&lt;&gt;"Closed")),"INVALID – corrective action not recorded/closed","")&lt;&gt;"",IF(AND(TRIM(U630)="Pass",ISNUMBER(AF630)),IF(AF630&lt;&gt;0,"INVALID – qty variance: use Fail or Pass after CA",""),"")&amp;IF(AND(TRIM(U630)="Pass",TRIM(AB630)&lt;&gt;"",TRIM(AB630)&lt;&gt;"Closed"),"INVALID – corrective action not closed: use Fail, then Pass after CA","")&amp;IF(AND(TRIM(AA630)&lt;&gt;"",TRIM(AB630)=""),"INVALID – CA status missing for the recorded corrective action","")&amp;IF(AND(TRIM(U630)="Pass after CA",OR(TRIM(AA630)="",TRIM(AB630)&lt;&gt;"Closed")),"INVALID – corrective action not recorded/closed",""),IF(AND(AS630=1,Documents!$J$23&lt;&gt;"ON FILE"),"INVALID – GLD not on file (Documents sheet)",IF(AND(AS630=2,Documents!$O$23&lt;&gt;"ON FILE"),"INVALID – menu checklist not on file (Documents sheet)",IF(AND(AS630=3,NOT(ISNUMBER(Flights!$AX$23))),"INVALID – enter carrying flight KUL departure (Flights AX)",IF(AND(AS630=3,OR(Flights!$AX$23&gt;=Flights!$AA$23,Flights!$AX$23&lt;Flights!$AA$23-3)),"INVALID – Flights AX must be before this leg's STD (within 3 days)",IF(AG630&gt;AsOfUTC,"INVALID – completion time is in the future",IF(AND(ISNUMBER(S630),AG630&lt;S630),IF(H630="Physical uplift","INVALID – before uplift window (cannot confirm loading)","INVALID – before valid window"),IF(AG630&gt;Flights!$AA$23,"INVALID – completed after departure (cannot establish readiness)",IF(AND(H630="Physical uplift",AG630&gt;Q630),"INVALID – recorded after the loading flight departed",IF(AG630&gt;Q630,"COMPLETE – LATE","COMPLETE")))))))))))))))))),IF(TRIM(U630)="Fail","FAIL – DISCREPANCY",IF(AND(TRIM(U630)&lt;&gt;"",TRIM(U630)&lt;&gt;"Not started",TRIM(U630)&lt;&gt;"In progress"),"INVALID – unrecognised status (use the list)",IF(AsOfUTC&gt;Q630,"OVERDUE",IF(N630="Clarification required","OPEN – CLARIFICATION","OPEN")))))))</f>
        <v>OPEN</v>
      </c>
      <c r="AI630" s="61" t="n">
        <f aca="false">IF(OR(AH630="N/A – RULE",AH630="N/A – JUSTIFIED"),0,1)</f>
        <v>1</v>
      </c>
      <c r="AJ630" s="61" t="n">
        <f aca="false">IF(LEFT(AH630,8)="COMPLETE",1,0)</f>
        <v>0</v>
      </c>
      <c r="AK630" s="61" t="n">
        <f aca="false">IF(AND(AI630=1,AJ630=0,AsOfUTC&gt;Q630),1,0)</f>
        <v>0</v>
      </c>
      <c r="AL630" s="61" t="n">
        <f aca="false">IF(AND(AI630=1,OR(TRIM(U630)="Fail",AND(TRIM(AB630)&lt;&gt;"",TRIM(AB630)&lt;&gt;"Closed"),AND(ISNUMBER(AF630),AF630&lt;&gt;0,TRIM(U630)&lt;&gt;"Pass after CA"))),1,0)</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row>
    <row r="631" customFormat="false" ht="39.75" hidden="false" customHeight="true" outlineLevel="0" collapsed="false">
      <c r="A631" s="57" t="s">
        <v>1304</v>
      </c>
      <c r="B631" s="57" t="s">
        <v>293</v>
      </c>
      <c r="C631" s="57" t="str">
        <f aca="false">Flights!$F$23</f>
        <v>MH0053</v>
      </c>
      <c r="D631" s="58" t="n">
        <f aca="false">Flights!$D$23</f>
        <v>46324</v>
      </c>
      <c r="E631" s="57" t="str">
        <f aca="false">Flights!$G$23&amp;"-"&amp;Flights!$H$23</f>
        <v>KIX-KUL</v>
      </c>
      <c r="F631" s="57" t="str">
        <f aca="false">Flights!$K$23</f>
        <v>EY</v>
      </c>
      <c r="G631" s="57" t="s">
        <v>385</v>
      </c>
      <c r="H631" s="57" t="s">
        <v>343</v>
      </c>
      <c r="I631" s="57" t="s">
        <v>393</v>
      </c>
      <c r="J631" s="57" t="s">
        <v>394</v>
      </c>
      <c r="K631" s="67"/>
      <c r="L631" s="67" t="s">
        <v>387</v>
      </c>
      <c r="M631" s="67"/>
      <c r="N631" s="67" t="s">
        <v>348</v>
      </c>
      <c r="O631" s="67" t="s">
        <v>388</v>
      </c>
      <c r="P631" s="57" t="s">
        <v>287</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59" t="n">
        <f aca="false">Q631-T12EarlyH/24</f>
        <v>46323.0277777778</v>
      </c>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IF(N631="N/A – rule","N/A – RULE",IF(TRIM(U631)="N/A",IF(AT631=0,"INVALID – N/A not permitted for this mandatory check",IF(AND(TRIM(AC631)&lt;&gt;"",TRIM(AE631)&lt;&gt;"",TRIM(T631)&lt;&gt;"",TRIM(AE631)&lt;&gt;TRIM(T631)),"N/A – JUSTIFIED","INVALID – N/A needs justification, PIC and a different verifier")),IF(OR(TRIM(U631)="Pass",TRIM(U631)="Pass after CA"),IF(NOT(ISNUMBER(AD631)),"INVALID – completion time missing",IF(TRIM(T631)="","INVALID – PIC missing",IF(TRIM(V631)="","INVALID – result / assessment missing",IF(TRIM(Z631)="","INVALID – evidence missing",IF(TRIM(AE631)="","INVALID – verifier missing",IF(TRIM(AE631)=TRIM(T631),"INVALID – verifier must be someone other than the PIC",IF(AND(AQ631=1,TRIM(W631)=""),"INVALID – batch ID missing",IF(AND(AR631=1,OR(NOT(ISNUMBER(X631)),NOT(ISNUMBER(Y631)))),"INVALID – expected/actual qty missing",IF(IF(AND(TRIM(U631)="Pass",ISNUMBER(AF631)),IF(AF631&lt;&gt;0,"INVALID – qty variance: use Fail or Pass after CA",""),"")&amp;IF(AND(TRIM(U631)="Pass",TRIM(AB631)&lt;&gt;"",TRIM(AB631)&lt;&gt;"Closed"),"INVALID – corrective action not closed: use Fail, then Pass after CA","")&amp;IF(AND(TRIM(AA631)&lt;&gt;"",TRIM(AB631)=""),"INVALID – CA status missing for the recorded corrective action","")&amp;IF(AND(TRIM(U631)="Pass after CA",OR(TRIM(AA631)="",TRIM(AB631)&lt;&gt;"Closed")),"INVALID – corrective action not recorded/closed","")&lt;&gt;"",IF(AND(TRIM(U631)="Pass",ISNUMBER(AF631)),IF(AF631&lt;&gt;0,"INVALID – qty variance: use Fail or Pass after CA",""),"")&amp;IF(AND(TRIM(U631)="Pass",TRIM(AB631)&lt;&gt;"",TRIM(AB631)&lt;&gt;"Closed"),"INVALID – corrective action not closed: use Fail, then Pass after CA","")&amp;IF(AND(TRIM(AA631)&lt;&gt;"",TRIM(AB631)=""),"INVALID – CA status missing for the recorded corrective action","")&amp;IF(AND(TRIM(U631)="Pass after CA",OR(TRIM(AA631)="",TRIM(AB631)&lt;&gt;"Closed")),"INVALID – corrective action not recorded/closed",""),IF(AND(AS631=1,Documents!$J$23&lt;&gt;"ON FILE"),"INVALID – GLD not on file (Documents sheet)",IF(AND(AS631=2,Documents!$O$23&lt;&gt;"ON FILE"),"INVALID – menu checklist not on file (Documents sheet)",IF(AND(AS631=3,NOT(ISNUMBER(Flights!$AX$23))),"INVALID – enter carrying flight KUL departure (Flights AX)",IF(AND(AS631=3,OR(Flights!$AX$23&gt;=Flights!$AA$23,Flights!$AX$23&lt;Flights!$AA$23-3)),"INVALID – Flights AX must be before this leg's STD (within 3 days)",IF(AG631&gt;AsOfUTC,"INVALID – completion time is in the future",IF(AND(ISNUMBER(S631),AG631&lt;S631),IF(H631="Physical uplift","INVALID – before uplift window (cannot confirm loading)","INVALID – before valid window"),IF(AG631&gt;Flights!$AA$23,"INVALID – completed after departure (cannot establish readiness)",IF(AND(H631="Physical uplift",AG631&gt;Q631),"INVALID – recorded after the loading flight departed",IF(AG631&gt;Q631,"COMPLETE – LATE","COMPLETE")))))))))))))))))),IF(TRIM(U631)="Fail","FAIL – DISCREPANCY",IF(AND(TRIM(U631)&lt;&gt;"",TRIM(U631)&lt;&gt;"Not started",TRIM(U631)&lt;&gt;"In progress"),"INVALID – unrecognised status (use the list)",IF(AsOfUTC&gt;Q631,"OVERDUE",IF(N631="Clarification required","OPEN – CLARIFICATION","OPEN")))))))</f>
        <v>OPEN</v>
      </c>
      <c r="AI631" s="61" t="n">
        <f aca="false">IF(OR(AH631="N/A – RULE",AH631="N/A – JUSTIFIED"),0,1)</f>
        <v>1</v>
      </c>
      <c r="AJ631" s="61" t="n">
        <f aca="false">IF(LEFT(AH631,8)="COMPLETE",1,0)</f>
        <v>0</v>
      </c>
      <c r="AK631" s="61" t="n">
        <f aca="false">IF(AND(AI631=1,AJ631=0,AsOfUTC&gt;Q631),1,0)</f>
        <v>0</v>
      </c>
      <c r="AL631" s="61" t="n">
        <f aca="false">IF(AND(AI631=1,OR(TRIM(U631)="Fail",AND(TRIM(AB631)&lt;&gt;"",TRIM(AB631)&lt;&gt;"Closed"),AND(ISNUMBER(AF631),AF631&lt;&gt;0,TRIM(U631)&lt;&gt;"Pass after CA"))),1,0)</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row>
    <row r="632" customFormat="false" ht="39.75" hidden="false" customHeight="true" outlineLevel="0" collapsed="false">
      <c r="A632" s="57" t="s">
        <v>1305</v>
      </c>
      <c r="B632" s="57" t="s">
        <v>293</v>
      </c>
      <c r="C632" s="57" t="str">
        <f aca="false">Flights!$F$23</f>
        <v>MH0053</v>
      </c>
      <c r="D632" s="58" t="n">
        <f aca="false">Flights!$D$23</f>
        <v>46324</v>
      </c>
      <c r="E632" s="57" t="str">
        <f aca="false">Flights!$G$23&amp;"-"&amp;Flights!$H$23</f>
        <v>KIX-KUL</v>
      </c>
      <c r="F632" s="57" t="str">
        <f aca="false">Flights!$K$23</f>
        <v>EY</v>
      </c>
      <c r="G632" s="57" t="s">
        <v>385</v>
      </c>
      <c r="H632" s="57" t="s">
        <v>343</v>
      </c>
      <c r="I632" s="57" t="s">
        <v>393</v>
      </c>
      <c r="J632" s="57" t="s">
        <v>396</v>
      </c>
      <c r="K632" s="67"/>
      <c r="L632" s="67" t="s">
        <v>387</v>
      </c>
      <c r="M632" s="67"/>
      <c r="N632" s="67" t="s">
        <v>348</v>
      </c>
      <c r="O632" s="67" t="s">
        <v>388</v>
      </c>
      <c r="P632" s="57" t="s">
        <v>287</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59" t="n">
        <f aca="false">Q632-T12EarlyH/24</f>
        <v>46323.0277777778</v>
      </c>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IF(N632="N/A – rule","N/A – RULE",IF(TRIM(U632)="N/A",IF(AT632=0,"INVALID – N/A not permitted for this mandatory check",IF(AND(TRIM(AC632)&lt;&gt;"",TRIM(AE632)&lt;&gt;"",TRIM(T632)&lt;&gt;"",TRIM(AE632)&lt;&gt;TRIM(T632)),"N/A – JUSTIFIED","INVALID – N/A needs justification, PIC and a different verifier")),IF(OR(TRIM(U632)="Pass",TRIM(U632)="Pass after CA"),IF(NOT(ISNUMBER(AD632)),"INVALID – completion time missing",IF(TRIM(T632)="","INVALID – PIC missing",IF(TRIM(V632)="","INVALID – result / assessment missing",IF(TRIM(Z632)="","INVALID – evidence missing",IF(TRIM(AE632)="","INVALID – verifier missing",IF(TRIM(AE632)=TRIM(T632),"INVALID – verifier must be someone other than the PIC",IF(AND(AQ632=1,TRIM(W632)=""),"INVALID – batch ID missing",IF(AND(AR632=1,OR(NOT(ISNUMBER(X632)),NOT(ISNUMBER(Y632)))),"INVALID – expected/actual qty missing",IF(IF(AND(TRIM(U632)="Pass",ISNUMBER(AF632)),IF(AF632&lt;&gt;0,"INVALID – qty variance: use Fail or Pass after CA",""),"")&amp;IF(AND(TRIM(U632)="Pass",TRIM(AB632)&lt;&gt;"",TRIM(AB632)&lt;&gt;"Closed"),"INVALID – corrective action not closed: use Fail, then Pass after CA","")&amp;IF(AND(TRIM(AA632)&lt;&gt;"",TRIM(AB632)=""),"INVALID – CA status missing for the recorded corrective action","")&amp;IF(AND(TRIM(U632)="Pass after CA",OR(TRIM(AA632)="",TRIM(AB632)&lt;&gt;"Closed")),"INVALID – corrective action not recorded/closed","")&lt;&gt;"",IF(AND(TRIM(U632)="Pass",ISNUMBER(AF632)),IF(AF632&lt;&gt;0,"INVALID – qty variance: use Fail or Pass after CA",""),"")&amp;IF(AND(TRIM(U632)="Pass",TRIM(AB632)&lt;&gt;"",TRIM(AB632)&lt;&gt;"Closed"),"INVALID – corrective action not closed: use Fail, then Pass after CA","")&amp;IF(AND(TRIM(AA632)&lt;&gt;"",TRIM(AB632)=""),"INVALID – CA status missing for the recorded corrective action","")&amp;IF(AND(TRIM(U632)="Pass after CA",OR(TRIM(AA632)="",TRIM(AB632)&lt;&gt;"Closed")),"INVALID – corrective action not recorded/closed",""),IF(AND(AS632=1,Documents!$J$23&lt;&gt;"ON FILE"),"INVALID – GLD not on file (Documents sheet)",IF(AND(AS632=2,Documents!$O$23&lt;&gt;"ON FILE"),"INVALID – menu checklist not on file (Documents sheet)",IF(AND(AS632=3,NOT(ISNUMBER(Flights!$AX$23))),"INVALID – enter carrying flight KUL departure (Flights AX)",IF(AND(AS632=3,OR(Flights!$AX$23&gt;=Flights!$AA$23,Flights!$AX$23&lt;Flights!$AA$23-3)),"INVALID – Flights AX must be before this leg's STD (within 3 days)",IF(AG632&gt;AsOfUTC,"INVALID – completion time is in the future",IF(AND(ISNUMBER(S632),AG632&lt;S632),IF(H632="Physical uplift","INVALID – before uplift window (cannot confirm loading)","INVALID – before valid window"),IF(AG632&gt;Flights!$AA$23,"INVALID – completed after departure (cannot establish readiness)",IF(AND(H632="Physical uplift",AG632&gt;Q632),"INVALID – recorded after the loading flight departed",IF(AG632&gt;Q632,"COMPLETE – LATE","COMPLETE")))))))))))))))))),IF(TRIM(U632)="Fail","FAIL – DISCREPANCY",IF(AND(TRIM(U632)&lt;&gt;"",TRIM(U632)&lt;&gt;"Not started",TRIM(U632)&lt;&gt;"In progress"),"INVALID – unrecognised status (use the list)",IF(AsOfUTC&gt;Q632,"OVERDUE",IF(N632="Clarification required","OPEN – CLARIFICATION","OPEN")))))))</f>
        <v>OPEN</v>
      </c>
      <c r="AI632" s="61" t="n">
        <f aca="false">IF(OR(AH632="N/A – RULE",AH632="N/A – JUSTIFIED"),0,1)</f>
        <v>1</v>
      </c>
      <c r="AJ632" s="61" t="n">
        <f aca="false">IF(LEFT(AH632,8)="COMPLETE",1,0)</f>
        <v>0</v>
      </c>
      <c r="AK632" s="61" t="n">
        <f aca="false">IF(AND(AI632=1,AJ632=0,AsOfUTC&gt;Q632),1,0)</f>
        <v>0</v>
      </c>
      <c r="AL632" s="61" t="n">
        <f aca="false">IF(AND(AI632=1,OR(TRIM(U632)="Fail",AND(TRIM(AB632)&lt;&gt;"",TRIM(AB632)&lt;&gt;"Closed"),AND(ISNUMBER(AF632),AF632&lt;&gt;0,TRIM(U632)&lt;&gt;"Pass after CA"))),1,0)</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row>
    <row r="633" customFormat="false" ht="39.75" hidden="false" customHeight="true" outlineLevel="0" collapsed="false">
      <c r="A633" s="57" t="s">
        <v>1306</v>
      </c>
      <c r="B633" s="57" t="s">
        <v>293</v>
      </c>
      <c r="C633" s="57" t="str">
        <f aca="false">Flights!$F$23</f>
        <v>MH0053</v>
      </c>
      <c r="D633" s="58" t="n">
        <f aca="false">Flights!$D$23</f>
        <v>46324</v>
      </c>
      <c r="E633" s="57" t="str">
        <f aca="false">Flights!$G$23&amp;"-"&amp;Flights!$H$23</f>
        <v>KIX-KUL</v>
      </c>
      <c r="F633" s="57" t="str">
        <f aca="false">Flights!$K$23</f>
        <v>EY</v>
      </c>
      <c r="G633" s="57" t="s">
        <v>385</v>
      </c>
      <c r="H633" s="57" t="s">
        <v>343</v>
      </c>
      <c r="I633" s="57" t="s">
        <v>393</v>
      </c>
      <c r="J633" s="57" t="s">
        <v>398</v>
      </c>
      <c r="K633" s="67"/>
      <c r="L633" s="67" t="s">
        <v>387</v>
      </c>
      <c r="M633" s="67"/>
      <c r="N633" s="67" t="s">
        <v>348</v>
      </c>
      <c r="O633" s="67" t="s">
        <v>388</v>
      </c>
      <c r="P633" s="57" t="s">
        <v>287</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59" t="n">
        <f aca="false">Q633-T12EarlyH/24</f>
        <v>46323.0277777778</v>
      </c>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IF(N633="N/A – rule","N/A – RULE",IF(TRIM(U633)="N/A",IF(AT633=0,"INVALID – N/A not permitted for this mandatory check",IF(AND(TRIM(AC633)&lt;&gt;"",TRIM(AE633)&lt;&gt;"",TRIM(T633)&lt;&gt;"",TRIM(AE633)&lt;&gt;TRIM(T633)),"N/A – JUSTIFIED","INVALID – N/A needs justification, PIC and a different verifier")),IF(OR(TRIM(U633)="Pass",TRIM(U633)="Pass after CA"),IF(NOT(ISNUMBER(AD633)),"INVALID – completion time missing",IF(TRIM(T633)="","INVALID – PIC missing",IF(TRIM(V633)="","INVALID – result / assessment missing",IF(TRIM(Z633)="","INVALID – evidence missing",IF(TRIM(AE633)="","INVALID – verifier missing",IF(TRIM(AE633)=TRIM(T633),"INVALID – verifier must be someone other than the PIC",IF(AND(AQ633=1,TRIM(W633)=""),"INVALID – batch ID missing",IF(AND(AR633=1,OR(NOT(ISNUMBER(X633)),NOT(ISNUMBER(Y633)))),"INVALID – expected/actual qty missing",IF(IF(AND(TRIM(U633)="Pass",ISNUMBER(AF633)),IF(AF633&lt;&gt;0,"INVALID – qty variance: use Fail or Pass after CA",""),"")&amp;IF(AND(TRIM(U633)="Pass",TRIM(AB633)&lt;&gt;"",TRIM(AB633)&lt;&gt;"Closed"),"INVALID – corrective action not closed: use Fail, then Pass after CA","")&amp;IF(AND(TRIM(AA633)&lt;&gt;"",TRIM(AB633)=""),"INVALID – CA status missing for the recorded corrective action","")&amp;IF(AND(TRIM(U633)="Pass after CA",OR(TRIM(AA633)="",TRIM(AB633)&lt;&gt;"Closed")),"INVALID – corrective action not recorded/closed","")&lt;&gt;"",IF(AND(TRIM(U633)="Pass",ISNUMBER(AF633)),IF(AF633&lt;&gt;0,"INVALID – qty variance: use Fail or Pass after CA",""),"")&amp;IF(AND(TRIM(U633)="Pass",TRIM(AB633)&lt;&gt;"",TRIM(AB633)&lt;&gt;"Closed"),"INVALID – corrective action not closed: use Fail, then Pass after CA","")&amp;IF(AND(TRIM(AA633)&lt;&gt;"",TRIM(AB633)=""),"INVALID – CA status missing for the recorded corrective action","")&amp;IF(AND(TRIM(U633)="Pass after CA",OR(TRIM(AA633)="",TRIM(AB633)&lt;&gt;"Closed")),"INVALID – corrective action not recorded/closed",""),IF(AND(AS633=1,Documents!$J$23&lt;&gt;"ON FILE"),"INVALID – GLD not on file (Documents sheet)",IF(AND(AS633=2,Documents!$O$23&lt;&gt;"ON FILE"),"INVALID – menu checklist not on file (Documents sheet)",IF(AND(AS633=3,NOT(ISNUMBER(Flights!$AX$23))),"INVALID – enter carrying flight KUL departure (Flights AX)",IF(AND(AS633=3,OR(Flights!$AX$23&gt;=Flights!$AA$23,Flights!$AX$23&lt;Flights!$AA$23-3)),"INVALID – Flights AX must be before this leg's STD (within 3 days)",IF(AG633&gt;AsOfUTC,"INVALID – completion time is in the future",IF(AND(ISNUMBER(S633),AG633&lt;S633),IF(H633="Physical uplift","INVALID – before uplift window (cannot confirm loading)","INVALID – before valid window"),IF(AG633&gt;Flights!$AA$23,"INVALID – completed after departure (cannot establish readiness)",IF(AND(H633="Physical uplift",AG633&gt;Q633),"INVALID – recorded after the loading flight departed",IF(AG633&gt;Q633,"COMPLETE – LATE","COMPLETE")))))))))))))))))),IF(TRIM(U633)="Fail","FAIL – DISCREPANCY",IF(AND(TRIM(U633)&lt;&gt;"",TRIM(U633)&lt;&gt;"Not started",TRIM(U633)&lt;&gt;"In progress"),"INVALID – unrecognised status (use the list)",IF(AsOfUTC&gt;Q633,"OVERDUE",IF(N633="Clarification required","OPEN – CLARIFICATION","OPEN")))))))</f>
        <v>OPEN</v>
      </c>
      <c r="AI633" s="61" t="n">
        <f aca="false">IF(OR(AH633="N/A – RULE",AH633="N/A – JUSTIFIED"),0,1)</f>
        <v>1</v>
      </c>
      <c r="AJ633" s="61" t="n">
        <f aca="false">IF(LEFT(AH633,8)="COMPLETE",1,0)</f>
        <v>0</v>
      </c>
      <c r="AK633" s="61" t="n">
        <f aca="false">IF(AND(AI633=1,AJ633=0,AsOfUTC&gt;Q633),1,0)</f>
        <v>0</v>
      </c>
      <c r="AL633" s="61" t="n">
        <f aca="false">IF(AND(AI633=1,OR(TRIM(U633)="Fail",AND(TRIM(AB633)&lt;&gt;"",TRIM(AB633)&lt;&gt;"Closed"),AND(ISNUMBER(AF633),AF633&lt;&gt;0,TRIM(U633)&lt;&gt;"Pass after CA"))),1,0)</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row>
    <row r="634" customFormat="false" ht="78.75" hidden="false" customHeight="true" outlineLevel="0" collapsed="false">
      <c r="A634" s="57" t="s">
        <v>1307</v>
      </c>
      <c r="B634" s="57" t="s">
        <v>293</v>
      </c>
      <c r="C634" s="57" t="str">
        <f aca="false">Flights!$F$23</f>
        <v>MH0053</v>
      </c>
      <c r="D634" s="58" t="n">
        <f aca="false">Flights!$D$23</f>
        <v>46324</v>
      </c>
      <c r="E634" s="57" t="str">
        <f aca="false">Flights!$G$23&amp;"-"&amp;Flights!$H$23</f>
        <v>KIX-KUL</v>
      </c>
      <c r="F634" s="57" t="str">
        <f aca="false">Flights!$K$23</f>
        <v>EY</v>
      </c>
      <c r="G634" s="57" t="s">
        <v>385</v>
      </c>
      <c r="H634" s="57" t="s">
        <v>343</v>
      </c>
      <c r="I634" s="57" t="s">
        <v>393</v>
      </c>
      <c r="J634" s="57" t="s">
        <v>400</v>
      </c>
      <c r="K634" s="67" t="s">
        <v>538</v>
      </c>
      <c r="L634" s="67" t="s">
        <v>387</v>
      </c>
      <c r="M634" s="67"/>
      <c r="N634" s="67" t="s">
        <v>348</v>
      </c>
      <c r="O634" s="67" t="s">
        <v>388</v>
      </c>
      <c r="P634" s="57" t="s">
        <v>287</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59" t="n">
        <f aca="false">Q634-T12EarlyH/24</f>
        <v>46323.0277777778</v>
      </c>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IF(N634="N/A – rule","N/A – RULE",IF(TRIM(U634)="N/A",IF(AT634=0,"INVALID – N/A not permitted for this mandatory check",IF(AND(TRIM(AC634)&lt;&gt;"",TRIM(AE634)&lt;&gt;"",TRIM(T634)&lt;&gt;"",TRIM(AE634)&lt;&gt;TRIM(T634)),"N/A – JUSTIFIED","INVALID – N/A needs justification, PIC and a different verifier")),IF(OR(TRIM(U634)="Pass",TRIM(U634)="Pass after CA"),IF(NOT(ISNUMBER(AD634)),"INVALID – completion time missing",IF(TRIM(T634)="","INVALID – PIC missing",IF(TRIM(V634)="","INVALID – result / assessment missing",IF(TRIM(Z634)="","INVALID – evidence missing",IF(TRIM(AE634)="","INVALID – verifier missing",IF(TRIM(AE634)=TRIM(T634),"INVALID – verifier must be someone other than the PIC",IF(AND(AQ634=1,TRIM(W634)=""),"INVALID – batch ID missing",IF(AND(AR634=1,OR(NOT(ISNUMBER(X634)),NOT(ISNUMBER(Y634)))),"INVALID – expected/actual qty missing",IF(IF(AND(TRIM(U634)="Pass",ISNUMBER(AF634)),IF(AF634&lt;&gt;0,"INVALID – qty variance: use Fail or Pass after CA",""),"")&amp;IF(AND(TRIM(U634)="Pass",TRIM(AB634)&lt;&gt;"",TRIM(AB634)&lt;&gt;"Closed"),"INVALID – corrective action not closed: use Fail, then Pass after CA","")&amp;IF(AND(TRIM(AA634)&lt;&gt;"",TRIM(AB634)=""),"INVALID – CA status missing for the recorded corrective action","")&amp;IF(AND(TRIM(U634)="Pass after CA",OR(TRIM(AA634)="",TRIM(AB634)&lt;&gt;"Closed")),"INVALID – corrective action not recorded/closed","")&lt;&gt;"",IF(AND(TRIM(U634)="Pass",ISNUMBER(AF634)),IF(AF634&lt;&gt;0,"INVALID – qty variance: use Fail or Pass after CA",""),"")&amp;IF(AND(TRIM(U634)="Pass",TRIM(AB634)&lt;&gt;"",TRIM(AB634)&lt;&gt;"Closed"),"INVALID – corrective action not closed: use Fail, then Pass after CA","")&amp;IF(AND(TRIM(AA634)&lt;&gt;"",TRIM(AB634)=""),"INVALID – CA status missing for the recorded corrective action","")&amp;IF(AND(TRIM(U634)="Pass after CA",OR(TRIM(AA634)="",TRIM(AB634)&lt;&gt;"Closed")),"INVALID – corrective action not recorded/closed",""),IF(AND(AS634=1,Documents!$J$23&lt;&gt;"ON FILE"),"INVALID – GLD not on file (Documents sheet)",IF(AND(AS634=2,Documents!$O$23&lt;&gt;"ON FILE"),"INVALID – menu checklist not on file (Documents sheet)",IF(AND(AS634=3,NOT(ISNUMBER(Flights!$AX$23))),"INVALID – enter carrying flight KUL departure (Flights AX)",IF(AND(AS634=3,OR(Flights!$AX$23&gt;=Flights!$AA$23,Flights!$AX$23&lt;Flights!$AA$23-3)),"INVALID – Flights AX must be before this leg's STD (within 3 days)",IF(AG634&gt;AsOfUTC,"INVALID – completion time is in the future",IF(AND(ISNUMBER(S634),AG634&lt;S634),IF(H634="Physical uplift","INVALID – before uplift window (cannot confirm loading)","INVALID – before valid window"),IF(AG634&gt;Flights!$AA$23,"INVALID – completed after departure (cannot establish readiness)",IF(AND(H634="Physical uplift",AG634&gt;Q634),"INVALID – recorded after the loading flight departed",IF(AG634&gt;Q634,"COMPLETE – LATE","COMPLETE")))))))))))))))))),IF(TRIM(U634)="Fail","FAIL – DISCREPANCY",IF(AND(TRIM(U634)&lt;&gt;"",TRIM(U634)&lt;&gt;"Not started",TRIM(U634)&lt;&gt;"In progress"),"INVALID – unrecognised status (use the list)",IF(AsOfUTC&gt;Q634,"OVERDUE",IF(N634="Clarification required","OPEN – CLARIFICATION","OPEN")))))))</f>
        <v>OPEN</v>
      </c>
      <c r="AI634" s="61" t="n">
        <f aca="false">IF(OR(AH634="N/A – RULE",AH634="N/A – JUSTIFIED"),0,1)</f>
        <v>1</v>
      </c>
      <c r="AJ634" s="61" t="n">
        <f aca="false">IF(LEFT(AH634,8)="COMPLETE",1,0)</f>
        <v>0</v>
      </c>
      <c r="AK634" s="61" t="n">
        <f aca="false">IF(AND(AI634=1,AJ634=0,AsOfUTC&gt;Q634),1,0)</f>
        <v>0</v>
      </c>
      <c r="AL634" s="61" t="n">
        <f aca="false">IF(AND(AI634=1,OR(TRIM(U634)="Fail",AND(TRIM(AB634)&lt;&gt;"",TRIM(AB634)&lt;&gt;"Closed"),AND(ISNUMBER(AF634),AF634&lt;&gt;0,TRIM(U634)&lt;&gt;"Pass after CA"))),1,0)</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row>
    <row r="635" customFormat="false" ht="39.75" hidden="false" customHeight="true" outlineLevel="0" collapsed="false">
      <c r="A635" s="57" t="s">
        <v>1308</v>
      </c>
      <c r="B635" s="57" t="s">
        <v>293</v>
      </c>
      <c r="C635" s="57" t="str">
        <f aca="false">Flights!$F$23</f>
        <v>MH0053</v>
      </c>
      <c r="D635" s="58" t="n">
        <f aca="false">Flights!$D$23</f>
        <v>46324</v>
      </c>
      <c r="E635" s="57" t="str">
        <f aca="false">Flights!$G$23&amp;"-"&amp;Flights!$H$23</f>
        <v>KIX-KUL</v>
      </c>
      <c r="F635" s="57" t="str">
        <f aca="false">Flights!$K$23</f>
        <v>EY</v>
      </c>
      <c r="G635" s="57" t="s">
        <v>385</v>
      </c>
      <c r="H635" s="57" t="s">
        <v>343</v>
      </c>
      <c r="I635" s="57" t="s">
        <v>393</v>
      </c>
      <c r="J635" s="57" t="s">
        <v>403</v>
      </c>
      <c r="K635" s="67"/>
      <c r="L635" s="67" t="s">
        <v>387</v>
      </c>
      <c r="M635" s="67"/>
      <c r="N635" s="67" t="s">
        <v>348</v>
      </c>
      <c r="O635" s="67" t="s">
        <v>388</v>
      </c>
      <c r="P635" s="57" t="s">
        <v>287</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59" t="n">
        <f aca="false">Q635-T12EarlyH/24</f>
        <v>46323.0277777778</v>
      </c>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IF(N635="N/A – rule","N/A – RULE",IF(TRIM(U635)="N/A",IF(AT635=0,"INVALID – N/A not permitted for this mandatory check",IF(AND(TRIM(AC635)&lt;&gt;"",TRIM(AE635)&lt;&gt;"",TRIM(T635)&lt;&gt;"",TRIM(AE635)&lt;&gt;TRIM(T635)),"N/A – JUSTIFIED","INVALID – N/A needs justification, PIC and a different verifier")),IF(OR(TRIM(U635)="Pass",TRIM(U635)="Pass after CA"),IF(NOT(ISNUMBER(AD635)),"INVALID – completion time missing",IF(TRIM(T635)="","INVALID – PIC missing",IF(TRIM(V635)="","INVALID – result / assessment missing",IF(TRIM(Z635)="","INVALID – evidence missing",IF(TRIM(AE635)="","INVALID – verifier missing",IF(TRIM(AE635)=TRIM(T635),"INVALID – verifier must be someone other than the PIC",IF(AND(AQ635=1,TRIM(W635)=""),"INVALID – batch ID missing",IF(AND(AR635=1,OR(NOT(ISNUMBER(X635)),NOT(ISNUMBER(Y635)))),"INVALID – expected/actual qty missing",IF(IF(AND(TRIM(U635)="Pass",ISNUMBER(AF635)),IF(AF635&lt;&gt;0,"INVALID – qty variance: use Fail or Pass after CA",""),"")&amp;IF(AND(TRIM(U635)="Pass",TRIM(AB635)&lt;&gt;"",TRIM(AB635)&lt;&gt;"Closed"),"INVALID – corrective action not closed: use Fail, then Pass after CA","")&amp;IF(AND(TRIM(AA635)&lt;&gt;"",TRIM(AB635)=""),"INVALID – CA status missing for the recorded corrective action","")&amp;IF(AND(TRIM(U635)="Pass after CA",OR(TRIM(AA635)="",TRIM(AB635)&lt;&gt;"Closed")),"INVALID – corrective action not recorded/closed","")&lt;&gt;"",IF(AND(TRIM(U635)="Pass",ISNUMBER(AF635)),IF(AF635&lt;&gt;0,"INVALID – qty variance: use Fail or Pass after CA",""),"")&amp;IF(AND(TRIM(U635)="Pass",TRIM(AB635)&lt;&gt;"",TRIM(AB635)&lt;&gt;"Closed"),"INVALID – corrective action not closed: use Fail, then Pass after CA","")&amp;IF(AND(TRIM(AA635)&lt;&gt;"",TRIM(AB635)=""),"INVALID – CA status missing for the recorded corrective action","")&amp;IF(AND(TRIM(U635)="Pass after CA",OR(TRIM(AA635)="",TRIM(AB635)&lt;&gt;"Closed")),"INVALID – corrective action not recorded/closed",""),IF(AND(AS635=1,Documents!$J$23&lt;&gt;"ON FILE"),"INVALID – GLD not on file (Documents sheet)",IF(AND(AS635=2,Documents!$O$23&lt;&gt;"ON FILE"),"INVALID – menu checklist not on file (Documents sheet)",IF(AND(AS635=3,NOT(ISNUMBER(Flights!$AX$23))),"INVALID – enter carrying flight KUL departure (Flights AX)",IF(AND(AS635=3,OR(Flights!$AX$23&gt;=Flights!$AA$23,Flights!$AX$23&lt;Flights!$AA$23-3)),"INVALID – Flights AX must be before this leg's STD (within 3 days)",IF(AG635&gt;AsOfUTC,"INVALID – completion time is in the future",IF(AND(ISNUMBER(S635),AG635&lt;S635),IF(H635="Physical uplift","INVALID – before uplift window (cannot confirm loading)","INVALID – before valid window"),IF(AG635&gt;Flights!$AA$23,"INVALID – completed after departure (cannot establish readiness)",IF(AND(H635="Physical uplift",AG635&gt;Q635),"INVALID – recorded after the loading flight departed",IF(AG635&gt;Q635,"COMPLETE – LATE","COMPLETE")))))))))))))))))),IF(TRIM(U635)="Fail","FAIL – DISCREPANCY",IF(AND(TRIM(U635)&lt;&gt;"",TRIM(U635)&lt;&gt;"Not started",TRIM(U635)&lt;&gt;"In progress"),"INVALID – unrecognised status (use the list)",IF(AsOfUTC&gt;Q635,"OVERDUE",IF(N635="Clarification required","OPEN – CLARIFICATION","OPEN")))))))</f>
        <v>OPEN</v>
      </c>
      <c r="AI635" s="61" t="n">
        <f aca="false">IF(OR(AH635="N/A – RULE",AH635="N/A – JUSTIFIED"),0,1)</f>
        <v>1</v>
      </c>
      <c r="AJ635" s="61" t="n">
        <f aca="false">IF(LEFT(AH635,8)="COMPLETE",1,0)</f>
        <v>0</v>
      </c>
      <c r="AK635" s="61" t="n">
        <f aca="false">IF(AND(AI635=1,AJ635=0,AsOfUTC&gt;Q635),1,0)</f>
        <v>0</v>
      </c>
      <c r="AL635" s="61" t="n">
        <f aca="false">IF(AND(AI635=1,OR(TRIM(U635)="Fail",AND(TRIM(AB635)&lt;&gt;"",TRIM(AB635)&lt;&gt;"Closed"),AND(ISNUMBER(AF635),AF635&lt;&gt;0,TRIM(U635)&lt;&gt;"Pass after CA"))),1,0)</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row>
    <row r="636" customFormat="false" ht="41.25" hidden="false" customHeight="true" outlineLevel="0" collapsed="false">
      <c r="A636" s="57" t="s">
        <v>1309</v>
      </c>
      <c r="B636" s="57" t="s">
        <v>293</v>
      </c>
      <c r="C636" s="57" t="str">
        <f aca="false">Flights!$F$23</f>
        <v>MH0053</v>
      </c>
      <c r="D636" s="58" t="n">
        <f aca="false">Flights!$D$23</f>
        <v>46324</v>
      </c>
      <c r="E636" s="57" t="str">
        <f aca="false">Flights!$G$23&amp;"-"&amp;Flights!$H$23</f>
        <v>KIX-KUL</v>
      </c>
      <c r="F636" s="57" t="str">
        <f aca="false">Flights!$K$23</f>
        <v>EY</v>
      </c>
      <c r="G636" s="57" t="s">
        <v>385</v>
      </c>
      <c r="H636" s="57" t="s">
        <v>343</v>
      </c>
      <c r="I636" s="57" t="s">
        <v>412</v>
      </c>
      <c r="J636" s="57" t="s">
        <v>413</v>
      </c>
      <c r="K636" s="67" t="s">
        <v>414</v>
      </c>
      <c r="L636" s="67" t="s">
        <v>1310</v>
      </c>
      <c r="M636" s="67" t="s">
        <v>416</v>
      </c>
      <c r="N636" s="67" t="s">
        <v>348</v>
      </c>
      <c r="O636" s="67" t="s">
        <v>1311</v>
      </c>
      <c r="P636" s="57" t="s">
        <v>287</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59" t="n">
        <f aca="false">Q636-T12EarlyH/24</f>
        <v>46323.0277777778</v>
      </c>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IF(N636="N/A – rule","N/A – RULE",IF(TRIM(U636)="N/A",IF(AT636=0,"INVALID – N/A not permitted for this mandatory check",IF(AND(TRIM(AC636)&lt;&gt;"",TRIM(AE636)&lt;&gt;"",TRIM(T636)&lt;&gt;"",TRIM(AE636)&lt;&gt;TRIM(T636)),"N/A – JUSTIFIED","INVALID – N/A needs justification, PIC and a different verifier")),IF(OR(TRIM(U636)="Pass",TRIM(U636)="Pass after CA"),IF(NOT(ISNUMBER(AD636)),"INVALID – completion time missing",IF(TRIM(T636)="","INVALID – PIC missing",IF(TRIM(V636)="","INVALID – result / assessment missing",IF(TRIM(Z636)="","INVALID – evidence missing",IF(TRIM(AE636)="","INVALID – verifier missing",IF(TRIM(AE636)=TRIM(T636),"INVALID – verifier must be someone other than the PIC",IF(AND(AQ636=1,TRIM(W636)=""),"INVALID – batch ID missing",IF(AND(AR636=1,OR(NOT(ISNUMBER(X636)),NOT(ISNUMBER(Y636)))),"INVALID – expected/actual qty missing",IF(IF(AND(TRIM(U636)="Pass",ISNUMBER(AF636)),IF(AF636&lt;&gt;0,"INVALID – qty variance: use Fail or Pass after CA",""),"")&amp;IF(AND(TRIM(U636)="Pass",TRIM(AB636)&lt;&gt;"",TRIM(AB636)&lt;&gt;"Closed"),"INVALID – corrective action not closed: use Fail, then Pass after CA","")&amp;IF(AND(TRIM(AA636)&lt;&gt;"",TRIM(AB636)=""),"INVALID – CA status missing for the recorded corrective action","")&amp;IF(AND(TRIM(U636)="Pass after CA",OR(TRIM(AA636)="",TRIM(AB636)&lt;&gt;"Closed")),"INVALID – corrective action not recorded/closed","")&lt;&gt;"",IF(AND(TRIM(U636)="Pass",ISNUMBER(AF636)),IF(AF636&lt;&gt;0,"INVALID – qty variance: use Fail or Pass after CA",""),"")&amp;IF(AND(TRIM(U636)="Pass",TRIM(AB636)&lt;&gt;"",TRIM(AB636)&lt;&gt;"Closed"),"INVALID – corrective action not closed: use Fail, then Pass after CA","")&amp;IF(AND(TRIM(AA636)&lt;&gt;"",TRIM(AB636)=""),"INVALID – CA status missing for the recorded corrective action","")&amp;IF(AND(TRIM(U636)="Pass after CA",OR(TRIM(AA636)="",TRIM(AB636)&lt;&gt;"Closed")),"INVALID – corrective action not recorded/closed",""),IF(AND(AS636=1,Documents!$J$23&lt;&gt;"ON FILE"),"INVALID – GLD not on file (Documents sheet)",IF(AND(AS636=2,Documents!$O$23&lt;&gt;"ON FILE"),"INVALID – menu checklist not on file (Documents sheet)",IF(AND(AS636=3,NOT(ISNUMBER(Flights!$AX$23))),"INVALID – enter carrying flight KUL departure (Flights AX)",IF(AND(AS636=3,OR(Flights!$AX$23&gt;=Flights!$AA$23,Flights!$AX$23&lt;Flights!$AA$23-3)),"INVALID – Flights AX must be before this leg's STD (within 3 days)",IF(AG636&gt;AsOfUTC,"INVALID – completion time is in the future",IF(AND(ISNUMBER(S636),AG636&lt;S636),IF(H636="Physical uplift","INVALID – before uplift window (cannot confirm loading)","INVALID – before valid window"),IF(AG636&gt;Flights!$AA$23,"INVALID – completed after departure (cannot establish readiness)",IF(AND(H636="Physical uplift",AG636&gt;Q636),"INVALID – recorded after the loading flight departed",IF(AG636&gt;Q636,"COMPLETE – LATE","COMPLETE")))))))))))))))))),IF(TRIM(U636)="Fail","FAIL – DISCREPANCY",IF(AND(TRIM(U636)&lt;&gt;"",TRIM(U636)&lt;&gt;"Not started",TRIM(U636)&lt;&gt;"In progress"),"INVALID – unrecognised status (use the list)",IF(AsOfUTC&gt;Q636,"OVERDUE",IF(N636="Clarification required","OPEN – CLARIFICATION","OPEN")))))))</f>
        <v>OPEN</v>
      </c>
      <c r="AI636" s="61" t="n">
        <f aca="false">IF(OR(AH636="N/A – RULE",AH636="N/A – JUSTIFIED"),0,1)</f>
        <v>1</v>
      </c>
      <c r="AJ636" s="61" t="n">
        <f aca="false">IF(LEFT(AH636,8)="COMPLETE",1,0)</f>
        <v>0</v>
      </c>
      <c r="AK636" s="61" t="n">
        <f aca="false">IF(AND(AI636=1,AJ636=0,AsOfUTC&gt;Q636),1,0)</f>
        <v>0</v>
      </c>
      <c r="AL636" s="61" t="n">
        <f aca="false">IF(AND(AI636=1,OR(TRIM(U636)="Fail",AND(TRIM(AB636)&lt;&gt;"",TRIM(AB636)&lt;&gt;"Closed"),AND(ISNUMBER(AF636),AF636&lt;&gt;0,TRIM(U636)&lt;&gt;"Pass after CA"))),1,0)</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8" t="b">
        <f aca="false">TRUE()</f>
        <v>1</v>
      </c>
    </row>
    <row r="637" customFormat="false" ht="78.75" hidden="false" customHeight="true" outlineLevel="0" collapsed="false">
      <c r="A637" s="57" t="s">
        <v>1312</v>
      </c>
      <c r="B637" s="57" t="s">
        <v>293</v>
      </c>
      <c r="C637" s="57" t="str">
        <f aca="false">Flights!$F$23</f>
        <v>MH0053</v>
      </c>
      <c r="D637" s="58" t="n">
        <f aca="false">Flights!$D$23</f>
        <v>46324</v>
      </c>
      <c r="E637" s="57" t="str">
        <f aca="false">Flights!$G$23&amp;"-"&amp;Flights!$H$23</f>
        <v>KIX-KUL</v>
      </c>
      <c r="F637" s="57" t="str">
        <f aca="false">Flights!$K$23</f>
        <v>EY</v>
      </c>
      <c r="G637" s="57" t="s">
        <v>385</v>
      </c>
      <c r="H637" s="57" t="s">
        <v>343</v>
      </c>
      <c r="I637" s="57" t="s">
        <v>412</v>
      </c>
      <c r="J637" s="57" t="s">
        <v>419</v>
      </c>
      <c r="K637" s="67" t="s">
        <v>1053</v>
      </c>
      <c r="L637" s="67" t="s">
        <v>1313</v>
      </c>
      <c r="M637" s="67" t="s">
        <v>416</v>
      </c>
      <c r="N637" s="67" t="s">
        <v>348</v>
      </c>
      <c r="O637" s="67" t="s">
        <v>1314</v>
      </c>
      <c r="P637" s="57" t="s">
        <v>287</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59" t="n">
        <f aca="false">Q637-T12EarlyH/24</f>
        <v>46323.0277777778</v>
      </c>
      <c r="T637" s="60"/>
      <c r="U637" s="60"/>
      <c r="V637" s="60"/>
      <c r="W637" s="61"/>
      <c r="X637" s="69"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IF(N637="N/A – rule","N/A – RULE",IF(TRIM(U637)="N/A",IF(AT637=0,"INVALID – N/A not permitted for this mandatory check",IF(AND(TRIM(AC637)&lt;&gt;"",TRIM(AE637)&lt;&gt;"",TRIM(T637)&lt;&gt;"",TRIM(AE637)&lt;&gt;TRIM(T637)),"N/A – JUSTIFIED","INVALID – N/A needs justification, PIC and a different verifier")),IF(OR(TRIM(U637)="Pass",TRIM(U637)="Pass after CA"),IF(NOT(ISNUMBER(AD637)),"INVALID – completion time missing",IF(TRIM(T637)="","INVALID – PIC missing",IF(TRIM(V637)="","INVALID – result / assessment missing",IF(TRIM(Z637)="","INVALID – evidence missing",IF(TRIM(AE637)="","INVALID – verifier missing",IF(TRIM(AE637)=TRIM(T637),"INVALID – verifier must be someone other than the PIC",IF(AND(AQ637=1,TRIM(W637)=""),"INVALID – batch ID missing",IF(AND(AR637=1,OR(NOT(ISNUMBER(X637)),NOT(ISNUMBER(Y637)))),"INVALID – expected/actual qty missing",IF(IF(AND(TRIM(U637)="Pass",ISNUMBER(AF637)),IF(AF637&lt;&gt;0,"INVALID – qty variance: use Fail or Pass after CA",""),"")&amp;IF(AND(TRIM(U637)="Pass",TRIM(AB637)&lt;&gt;"",TRIM(AB637)&lt;&gt;"Closed"),"INVALID – corrective action not closed: use Fail, then Pass after CA","")&amp;IF(AND(TRIM(AA637)&lt;&gt;"",TRIM(AB637)=""),"INVALID – CA status missing for the recorded corrective action","")&amp;IF(AND(TRIM(U637)="Pass after CA",OR(TRIM(AA637)="",TRIM(AB637)&lt;&gt;"Closed")),"INVALID – corrective action not recorded/closed","")&lt;&gt;"",IF(AND(TRIM(U637)="Pass",ISNUMBER(AF637)),IF(AF637&lt;&gt;0,"INVALID – qty variance: use Fail or Pass after CA",""),"")&amp;IF(AND(TRIM(U637)="Pass",TRIM(AB637)&lt;&gt;"",TRIM(AB637)&lt;&gt;"Closed"),"INVALID – corrective action not closed: use Fail, then Pass after CA","")&amp;IF(AND(TRIM(AA637)&lt;&gt;"",TRIM(AB637)=""),"INVALID – CA status missing for the recorded corrective action","")&amp;IF(AND(TRIM(U637)="Pass after CA",OR(TRIM(AA637)="",TRIM(AB637)&lt;&gt;"Closed")),"INVALID – corrective action not recorded/closed",""),IF(AND(AS637=1,Documents!$J$23&lt;&gt;"ON FILE"),"INVALID – GLD not on file (Documents sheet)",IF(AND(AS637=2,Documents!$O$23&lt;&gt;"ON FILE"),"INVALID – menu checklist not on file (Documents sheet)",IF(AND(AS637=3,NOT(ISNUMBER(Flights!$AX$23))),"INVALID – enter carrying flight KUL departure (Flights AX)",IF(AND(AS637=3,OR(Flights!$AX$23&gt;=Flights!$AA$23,Flights!$AX$23&lt;Flights!$AA$23-3)),"INVALID – Flights AX must be before this leg's STD (within 3 days)",IF(AG637&gt;AsOfUTC,"INVALID – completion time is in the future",IF(AND(ISNUMBER(S637),AG637&lt;S637),IF(H637="Physical uplift","INVALID – before uplift window (cannot confirm loading)","INVALID – before valid window"),IF(AG637&gt;Flights!$AA$23,"INVALID – completed after departure (cannot establish readiness)",IF(AND(H637="Physical uplift",AG637&gt;Q637),"INVALID – recorded after the loading flight departed",IF(AG637&gt;Q637,"COMPLETE – LATE","COMPLETE")))))))))))))))))),IF(TRIM(U637)="Fail","FAIL – DISCREPANCY",IF(AND(TRIM(U637)&lt;&gt;"",TRIM(U637)&lt;&gt;"Not started",TRIM(U637)&lt;&gt;"In progress"),"INVALID – unrecognised status (use the list)",IF(AsOfUTC&gt;Q637,"OVERDUE",IF(N637="Clarification required","OPEN – CLARIFICATION","OPEN")))))))</f>
        <v>OPEN</v>
      </c>
      <c r="AI637" s="61" t="n">
        <f aca="false">IF(OR(AH637="N/A – RULE",AH637="N/A – JUSTIFIED"),0,1)</f>
        <v>1</v>
      </c>
      <c r="AJ637" s="61" t="n">
        <f aca="false">IF(LEFT(AH637,8)="COMPLETE",1,0)</f>
        <v>0</v>
      </c>
      <c r="AK637" s="61" t="n">
        <f aca="false">IF(AND(AI637=1,AJ637=0,AsOfUTC&gt;Q637),1,0)</f>
        <v>0</v>
      </c>
      <c r="AL637" s="61" t="n">
        <f aca="false">IF(AND(AI637=1,OR(TRIM(U637)="Fail",AND(TRIM(AB637)&lt;&gt;"",TRIM(AB637)&lt;&gt;"Closed"),AND(ISNUMBER(AF637),AF637&lt;&gt;0,TRIM(U637)&lt;&gt;"Pass after CA"))),1,0)</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8" t="b">
        <f aca="false">TRUE()</f>
        <v>1</v>
      </c>
    </row>
    <row r="638" customFormat="false" ht="91.5" hidden="false" customHeight="true" outlineLevel="0" collapsed="false">
      <c r="A638" s="57" t="s">
        <v>1315</v>
      </c>
      <c r="B638" s="57" t="s">
        <v>293</v>
      </c>
      <c r="C638" s="57" t="str">
        <f aca="false">Flights!$F$23</f>
        <v>MH0053</v>
      </c>
      <c r="D638" s="58" t="n">
        <f aca="false">Flights!$D$23</f>
        <v>46324</v>
      </c>
      <c r="E638" s="57" t="str">
        <f aca="false">Flights!$G$23&amp;"-"&amp;Flights!$H$23</f>
        <v>KIX-KUL</v>
      </c>
      <c r="F638" s="57" t="str">
        <f aca="false">Flights!$K$23</f>
        <v>EY</v>
      </c>
      <c r="G638" s="57" t="s">
        <v>385</v>
      </c>
      <c r="H638" s="57" t="s">
        <v>343</v>
      </c>
      <c r="I638" s="57" t="s">
        <v>599</v>
      </c>
      <c r="J638" s="57" t="s">
        <v>600</v>
      </c>
      <c r="K638" s="67" t="s">
        <v>1272</v>
      </c>
      <c r="L638" s="67" t="s">
        <v>1273</v>
      </c>
      <c r="M638" s="67" t="s">
        <v>416</v>
      </c>
      <c r="N638" s="67" t="s">
        <v>409</v>
      </c>
      <c r="O638" s="67" t="s">
        <v>1316</v>
      </c>
      <c r="P638" s="57" t="s">
        <v>287</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59" t="n">
        <f aca="false">Q638-T12EarlyH/24</f>
        <v>46323.0277777778</v>
      </c>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IF(N638="N/A – rule","N/A – RULE",IF(TRIM(U638)="N/A",IF(AT638=0,"INVALID – N/A not permitted for this mandatory check",IF(AND(TRIM(AC638)&lt;&gt;"",TRIM(AE638)&lt;&gt;"",TRIM(T638)&lt;&gt;"",TRIM(AE638)&lt;&gt;TRIM(T638)),"N/A – JUSTIFIED","INVALID – N/A needs justification, PIC and a different verifier")),IF(OR(TRIM(U638)="Pass",TRIM(U638)="Pass after CA"),IF(NOT(ISNUMBER(AD638)),"INVALID – completion time missing",IF(TRIM(T638)="","INVALID – PIC missing",IF(TRIM(V638)="","INVALID – result / assessment missing",IF(TRIM(Z638)="","INVALID – evidence missing",IF(TRIM(AE638)="","INVALID – verifier missing",IF(TRIM(AE638)=TRIM(T638),"INVALID – verifier must be someone other than the PIC",IF(AND(AQ638=1,TRIM(W638)=""),"INVALID – batch ID missing",IF(AND(AR638=1,OR(NOT(ISNUMBER(X638)),NOT(ISNUMBER(Y638)))),"INVALID – expected/actual qty missing",IF(IF(AND(TRIM(U638)="Pass",ISNUMBER(AF638)),IF(AF638&lt;&gt;0,"INVALID – qty variance: use Fail or Pass after CA",""),"")&amp;IF(AND(TRIM(U638)="Pass",TRIM(AB638)&lt;&gt;"",TRIM(AB638)&lt;&gt;"Closed"),"INVALID – corrective action not closed: use Fail, then Pass after CA","")&amp;IF(AND(TRIM(AA638)&lt;&gt;"",TRIM(AB638)=""),"INVALID – CA status missing for the recorded corrective action","")&amp;IF(AND(TRIM(U638)="Pass after CA",OR(TRIM(AA638)="",TRIM(AB638)&lt;&gt;"Closed")),"INVALID – corrective action not recorded/closed","")&lt;&gt;"",IF(AND(TRIM(U638)="Pass",ISNUMBER(AF638)),IF(AF638&lt;&gt;0,"INVALID – qty variance: use Fail or Pass after CA",""),"")&amp;IF(AND(TRIM(U638)="Pass",TRIM(AB638)&lt;&gt;"",TRIM(AB638)&lt;&gt;"Closed"),"INVALID – corrective action not closed: use Fail, then Pass after CA","")&amp;IF(AND(TRIM(AA638)&lt;&gt;"",TRIM(AB638)=""),"INVALID – CA status missing for the recorded corrective action","")&amp;IF(AND(TRIM(U638)="Pass after CA",OR(TRIM(AA638)="",TRIM(AB638)&lt;&gt;"Closed")),"INVALID – corrective action not recorded/closed",""),IF(AND(AS638=1,Documents!$J$23&lt;&gt;"ON FILE"),"INVALID – GLD not on file (Documents sheet)",IF(AND(AS638=2,Documents!$O$23&lt;&gt;"ON FILE"),"INVALID – menu checklist not on file (Documents sheet)",IF(AND(AS638=3,NOT(ISNUMBER(Flights!$AX$23))),"INVALID – enter carrying flight KUL departure (Flights AX)",IF(AND(AS638=3,OR(Flights!$AX$23&gt;=Flights!$AA$23,Flights!$AX$23&lt;Flights!$AA$23-3)),"INVALID – Flights AX must be before this leg's STD (within 3 days)",IF(AG638&gt;AsOfUTC,"INVALID – completion time is in the future",IF(AND(ISNUMBER(S638),AG638&lt;S638),IF(H638="Physical uplift","INVALID – before uplift window (cannot confirm loading)","INVALID – before valid window"),IF(AG638&gt;Flights!$AA$23,"INVALID – completed after departure (cannot establish readiness)",IF(AND(H638="Physical uplift",AG638&gt;Q638),"INVALID – recorded after the loading flight departed",IF(AG638&gt;Q638,"COMPLETE – LATE","COMPLETE")))))))))))))))))),IF(TRIM(U638)="Fail","FAIL – DISCREPANCY",IF(AND(TRIM(U638)&lt;&gt;"",TRIM(U638)&lt;&gt;"Not started",TRIM(U638)&lt;&gt;"In progress"),"INVALID – unrecognised status (use the list)",IF(AsOfUTC&gt;Q638,"OVERDUE",IF(N638="Clarification required","OPEN – CLARIFICATION","OPEN")))))))</f>
        <v>OPEN – CLARIFICATION</v>
      </c>
      <c r="AI638" s="61" t="n">
        <f aca="false">IF(OR(AH638="N/A – RULE",AH638="N/A – JUSTIFIED"),0,1)</f>
        <v>1</v>
      </c>
      <c r="AJ638" s="61" t="n">
        <f aca="false">IF(LEFT(AH638,8)="COMPLETE",1,0)</f>
        <v>0</v>
      </c>
      <c r="AK638" s="61" t="n">
        <f aca="false">IF(AND(AI638=1,AJ638=0,AsOfUTC&gt;Q638),1,0)</f>
        <v>0</v>
      </c>
      <c r="AL638" s="61" t="n">
        <f aca="false">IF(AND(AI638=1,OR(TRIM(U638)="Fail",AND(TRIM(AB638)&lt;&gt;"",TRIM(AB638)&lt;&gt;"Closed"),AND(ISNUMBER(AF638),AF638&lt;&gt;0,TRIM(U638)&lt;&gt;"Pass after CA"))),1,0)</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8" t="b">
        <f aca="false">TRUE()</f>
        <v>1</v>
      </c>
    </row>
    <row r="639" customFormat="false" ht="39.75" hidden="false" customHeight="true" outlineLevel="0" collapsed="false">
      <c r="A639" s="57" t="s">
        <v>1317</v>
      </c>
      <c r="B639" s="57" t="s">
        <v>293</v>
      </c>
      <c r="C639" s="57" t="str">
        <f aca="false">Flights!$F$23</f>
        <v>MH0053</v>
      </c>
      <c r="D639" s="58" t="n">
        <f aca="false">Flights!$D$23</f>
        <v>46324</v>
      </c>
      <c r="E639" s="57" t="str">
        <f aca="false">Flights!$G$23&amp;"-"&amp;Flights!$H$23</f>
        <v>KIX-KUL</v>
      </c>
      <c r="F639" s="57" t="str">
        <f aca="false">Flights!$K$23</f>
        <v>EY</v>
      </c>
      <c r="G639" s="57" t="s">
        <v>424</v>
      </c>
      <c r="H639" s="57" t="s">
        <v>425</v>
      </c>
      <c r="I639" s="57" t="s">
        <v>344</v>
      </c>
      <c r="J639" s="57" t="s">
        <v>426</v>
      </c>
      <c r="K639" s="67" t="s">
        <v>391</v>
      </c>
      <c r="L639" s="67" t="s">
        <v>427</v>
      </c>
      <c r="M639" s="67"/>
      <c r="N639" s="67" t="s">
        <v>348</v>
      </c>
      <c r="O639" s="67" t="s">
        <v>428</v>
      </c>
      <c r="P639" s="57" t="s">
        <v>287</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59" t="n">
        <f aca="false">IF(ISNUMBER(Flights!$AY$23),MAX(Q639-UpliftWindowH/24,Flights!$AY$23+UpliftWindowH/24),Q639-UpliftWindowH/24)</f>
        <v>46323.7777777778</v>
      </c>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IF(N639="N/A – rule","N/A – RULE",IF(TRIM(U639)="N/A",IF(AT639=0,"INVALID – N/A not permitted for this mandatory check",IF(AND(TRIM(AC639)&lt;&gt;"",TRIM(AE639)&lt;&gt;"",TRIM(T639)&lt;&gt;"",TRIM(AE639)&lt;&gt;TRIM(T639)),"N/A – JUSTIFIED","INVALID – N/A needs justification, PIC and a different verifier")),IF(OR(TRIM(U639)="Pass",TRIM(U639)="Pass after CA"),IF(NOT(ISNUMBER(AD639)),"INVALID – completion time missing",IF(TRIM(T639)="","INVALID – PIC missing",IF(TRIM(V639)="","INVALID – result / assessment missing",IF(TRIM(Z639)="","INVALID – evidence missing",IF(TRIM(AE639)="","INVALID – verifier missing",IF(TRIM(AE639)=TRIM(T639),"INVALID – verifier must be someone other than the PIC",IF(AND(AQ639=1,TRIM(W639)=""),"INVALID – batch ID missing",IF(AND(AR639=1,OR(NOT(ISNUMBER(X639)),NOT(ISNUMBER(Y639)))),"INVALID – expected/actual qty missing",IF(IF(AND(TRIM(U639)="Pass",ISNUMBER(AF639)),IF(AF639&lt;&gt;0,"INVALID – qty variance: use Fail or Pass after CA",""),"")&amp;IF(AND(TRIM(U639)="Pass",TRIM(AB639)&lt;&gt;"",TRIM(AB639)&lt;&gt;"Closed"),"INVALID – corrective action not closed: use Fail, then Pass after CA","")&amp;IF(AND(TRIM(AA639)&lt;&gt;"",TRIM(AB639)=""),"INVALID – CA status missing for the recorded corrective action","")&amp;IF(AND(TRIM(U639)="Pass after CA",OR(TRIM(AA639)="",TRIM(AB639)&lt;&gt;"Closed")),"INVALID – corrective action not recorded/closed","")&lt;&gt;"",IF(AND(TRIM(U639)="Pass",ISNUMBER(AF639)),IF(AF639&lt;&gt;0,"INVALID – qty variance: use Fail or Pass after CA",""),"")&amp;IF(AND(TRIM(U639)="Pass",TRIM(AB639)&lt;&gt;"",TRIM(AB639)&lt;&gt;"Closed"),"INVALID – corrective action not closed: use Fail, then Pass after CA","")&amp;IF(AND(TRIM(AA639)&lt;&gt;"",TRIM(AB639)=""),"INVALID – CA status missing for the recorded corrective action","")&amp;IF(AND(TRIM(U639)="Pass after CA",OR(TRIM(AA639)="",TRIM(AB639)&lt;&gt;"Closed")),"INVALID – corrective action not recorded/closed",""),IF(AND(AS639=1,Documents!$J$23&lt;&gt;"ON FILE"),"INVALID – GLD not on file (Documents sheet)",IF(AND(AS639=2,Documents!$O$23&lt;&gt;"ON FILE"),"INVALID – menu checklist not on file (Documents sheet)",IF(AND(AS639=3,NOT(ISNUMBER(Flights!$AX$23))),"INVALID – enter carrying flight KUL departure (Flights AX)",IF(AND(AS639=3,OR(Flights!$AX$23&gt;=Flights!$AA$23,Flights!$AX$23&lt;Flights!$AA$23-3)),"INVALID – Flights AX must be before this leg's STD (within 3 days)",IF(AG639&gt;AsOfUTC,"INVALID – completion time is in the future",IF(AND(ISNUMBER(S639),AG639&lt;S639),IF(H639="Physical uplift","INVALID – before uplift window (cannot confirm loading)","INVALID – before valid window"),IF(AG639&gt;Flights!$AA$23,"INVALID – completed after departure (cannot establish readiness)",IF(AND(H639="Physical uplift",AG639&gt;Q639),"INVALID – recorded after the loading flight departed",IF(AG639&gt;Q639,"COMPLETE – LATE","COMPLETE")))))))))))))))))),IF(TRIM(U639)="Fail","FAIL – DISCREPANCY",IF(AND(TRIM(U639)&lt;&gt;"",TRIM(U639)&lt;&gt;"Not started",TRIM(U639)&lt;&gt;"In progress"),"INVALID – unrecognised status (use the list)",IF(AsOfUTC&gt;Q639,"OVERDUE",IF(N639="Clarification required","OPEN – CLARIFICATION","OPEN")))))))</f>
        <v>OPEN</v>
      </c>
      <c r="AI639" s="61" t="n">
        <f aca="false">IF(OR(AH639="N/A – RULE",AH639="N/A – JUSTIFIED"),0,1)</f>
        <v>1</v>
      </c>
      <c r="AJ639" s="61" t="n">
        <f aca="false">IF(LEFT(AH639,8)="COMPLETE",1,0)</f>
        <v>0</v>
      </c>
      <c r="AK639" s="61" t="n">
        <f aca="false">IF(AND(AI639=1,AJ639=0,AsOfUTC&gt;Q639),1,0)</f>
        <v>0</v>
      </c>
      <c r="AL639" s="61" t="n">
        <f aca="false">IF(AND(AI639=1,OR(TRIM(U639)="Fail",AND(TRIM(AB639)&lt;&gt;"",TRIM(AB639)&lt;&gt;"Closed"),AND(ISNUMBER(AF639),AF639&lt;&gt;0,TRIM(U639)&lt;&gt;"Pass after CA"))),1,0)</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row>
    <row r="640" customFormat="false" ht="39.75" hidden="false" customHeight="true" outlineLevel="0" collapsed="false">
      <c r="A640" s="57" t="s">
        <v>1318</v>
      </c>
      <c r="B640" s="57" t="s">
        <v>293</v>
      </c>
      <c r="C640" s="57" t="str">
        <f aca="false">Flights!$F$23</f>
        <v>MH0053</v>
      </c>
      <c r="D640" s="58" t="n">
        <f aca="false">Flights!$D$23</f>
        <v>46324</v>
      </c>
      <c r="E640" s="57" t="str">
        <f aca="false">Flights!$G$23&amp;"-"&amp;Flights!$H$23</f>
        <v>KIX-KUL</v>
      </c>
      <c r="F640" s="57" t="str">
        <f aca="false">Flights!$K$23</f>
        <v>EY</v>
      </c>
      <c r="G640" s="57" t="s">
        <v>424</v>
      </c>
      <c r="H640" s="57" t="s">
        <v>425</v>
      </c>
      <c r="I640" s="57" t="s">
        <v>393</v>
      </c>
      <c r="J640" s="57" t="s">
        <v>430</v>
      </c>
      <c r="K640" s="67" t="s">
        <v>391</v>
      </c>
      <c r="L640" s="67" t="s">
        <v>427</v>
      </c>
      <c r="M640" s="67"/>
      <c r="N640" s="67" t="s">
        <v>348</v>
      </c>
      <c r="O640" s="67" t="s">
        <v>428</v>
      </c>
      <c r="P640" s="57" t="s">
        <v>287</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59" t="n">
        <f aca="false">IF(ISNUMBER(Flights!$AY$23),MAX(Q640-UpliftWindowH/24,Flights!$AY$23+UpliftWindowH/24),Q640-UpliftWindowH/24)</f>
        <v>46323.7777777778</v>
      </c>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IF(N640="N/A – rule","N/A – RULE",IF(TRIM(U640)="N/A",IF(AT640=0,"INVALID – N/A not permitted for this mandatory check",IF(AND(TRIM(AC640)&lt;&gt;"",TRIM(AE640)&lt;&gt;"",TRIM(T640)&lt;&gt;"",TRIM(AE640)&lt;&gt;TRIM(T640)),"N/A – JUSTIFIED","INVALID – N/A needs justification, PIC and a different verifier")),IF(OR(TRIM(U640)="Pass",TRIM(U640)="Pass after CA"),IF(NOT(ISNUMBER(AD640)),"INVALID – completion time missing",IF(TRIM(T640)="","INVALID – PIC missing",IF(TRIM(V640)="","INVALID – result / assessment missing",IF(TRIM(Z640)="","INVALID – evidence missing",IF(TRIM(AE640)="","INVALID – verifier missing",IF(TRIM(AE640)=TRIM(T640),"INVALID – verifier must be someone other than the PIC",IF(AND(AQ640=1,TRIM(W640)=""),"INVALID – batch ID missing",IF(AND(AR640=1,OR(NOT(ISNUMBER(X640)),NOT(ISNUMBER(Y640)))),"INVALID – expected/actual qty missing",IF(IF(AND(TRIM(U640)="Pass",ISNUMBER(AF640)),IF(AF640&lt;&gt;0,"INVALID – qty variance: use Fail or Pass after CA",""),"")&amp;IF(AND(TRIM(U640)="Pass",TRIM(AB640)&lt;&gt;"",TRIM(AB640)&lt;&gt;"Closed"),"INVALID – corrective action not closed: use Fail, then Pass after CA","")&amp;IF(AND(TRIM(AA640)&lt;&gt;"",TRIM(AB640)=""),"INVALID – CA status missing for the recorded corrective action","")&amp;IF(AND(TRIM(U640)="Pass after CA",OR(TRIM(AA640)="",TRIM(AB640)&lt;&gt;"Closed")),"INVALID – corrective action not recorded/closed","")&lt;&gt;"",IF(AND(TRIM(U640)="Pass",ISNUMBER(AF640)),IF(AF640&lt;&gt;0,"INVALID – qty variance: use Fail or Pass after CA",""),"")&amp;IF(AND(TRIM(U640)="Pass",TRIM(AB640)&lt;&gt;"",TRIM(AB640)&lt;&gt;"Closed"),"INVALID – corrective action not closed: use Fail, then Pass after CA","")&amp;IF(AND(TRIM(AA640)&lt;&gt;"",TRIM(AB640)=""),"INVALID – CA status missing for the recorded corrective action","")&amp;IF(AND(TRIM(U640)="Pass after CA",OR(TRIM(AA640)="",TRIM(AB640)&lt;&gt;"Closed")),"INVALID – corrective action not recorded/closed",""),IF(AND(AS640=1,Documents!$J$23&lt;&gt;"ON FILE"),"INVALID – GLD not on file (Documents sheet)",IF(AND(AS640=2,Documents!$O$23&lt;&gt;"ON FILE"),"INVALID – menu checklist not on file (Documents sheet)",IF(AND(AS640=3,NOT(ISNUMBER(Flights!$AX$23))),"INVALID – enter carrying flight KUL departure (Flights AX)",IF(AND(AS640=3,OR(Flights!$AX$23&gt;=Flights!$AA$23,Flights!$AX$23&lt;Flights!$AA$23-3)),"INVALID – Flights AX must be before this leg's STD (within 3 days)",IF(AG640&gt;AsOfUTC,"INVALID – completion time is in the future",IF(AND(ISNUMBER(S640),AG640&lt;S640),IF(H640="Physical uplift","INVALID – before uplift window (cannot confirm loading)","INVALID – before valid window"),IF(AG640&gt;Flights!$AA$23,"INVALID – completed after departure (cannot establish readiness)",IF(AND(H640="Physical uplift",AG640&gt;Q640),"INVALID – recorded after the loading flight departed",IF(AG640&gt;Q640,"COMPLETE – LATE","COMPLETE")))))))))))))))))),IF(TRIM(U640)="Fail","FAIL – DISCREPANCY",IF(AND(TRIM(U640)&lt;&gt;"",TRIM(U640)&lt;&gt;"Not started",TRIM(U640)&lt;&gt;"In progress"),"INVALID – unrecognised status (use the list)",IF(AsOfUTC&gt;Q640,"OVERDUE",IF(N640="Clarification required","OPEN – CLARIFICATION","OPEN")))))))</f>
        <v>OPEN</v>
      </c>
      <c r="AI640" s="61" t="n">
        <f aca="false">IF(OR(AH640="N/A – RULE",AH640="N/A – JUSTIFIED"),0,1)</f>
        <v>1</v>
      </c>
      <c r="AJ640" s="61" t="n">
        <f aca="false">IF(LEFT(AH640,8)="COMPLETE",1,0)</f>
        <v>0</v>
      </c>
      <c r="AK640" s="61" t="n">
        <f aca="false">IF(AND(AI640=1,AJ640=0,AsOfUTC&gt;Q640),1,0)</f>
        <v>0</v>
      </c>
      <c r="AL640" s="61" t="n">
        <f aca="false">IF(AND(AI640=1,OR(TRIM(U640)="Fail",AND(TRIM(AB640)&lt;&gt;"",TRIM(AB640)&lt;&gt;"Closed"),AND(ISNUMBER(AF640),AF640&lt;&gt;0,TRIM(U640)&lt;&gt;"Pass after CA"))),1,0)</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row>
    <row r="641" customFormat="false" ht="39.75" hidden="false" customHeight="true" outlineLevel="0" collapsed="false">
      <c r="A641" s="57" t="s">
        <v>1319</v>
      </c>
      <c r="B641" s="57" t="s">
        <v>293</v>
      </c>
      <c r="C641" s="57" t="str">
        <f aca="false">Flights!$F$23</f>
        <v>MH0053</v>
      </c>
      <c r="D641" s="58" t="n">
        <f aca="false">Flights!$D$23</f>
        <v>46324</v>
      </c>
      <c r="E641" s="57" t="str">
        <f aca="false">Flights!$G$23&amp;"-"&amp;Flights!$H$23</f>
        <v>KIX-KUL</v>
      </c>
      <c r="F641" s="57" t="str">
        <f aca="false">Flights!$K$23</f>
        <v>EY</v>
      </c>
      <c r="G641" s="57" t="s">
        <v>424</v>
      </c>
      <c r="H641" s="57" t="s">
        <v>425</v>
      </c>
      <c r="I641" s="57" t="s">
        <v>412</v>
      </c>
      <c r="J641" s="57" t="s">
        <v>434</v>
      </c>
      <c r="K641" s="67" t="s">
        <v>414</v>
      </c>
      <c r="L641" s="67" t="s">
        <v>1310</v>
      </c>
      <c r="M641" s="67" t="s">
        <v>416</v>
      </c>
      <c r="N641" s="67" t="s">
        <v>348</v>
      </c>
      <c r="O641" s="67"/>
      <c r="P641" s="57" t="s">
        <v>287</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59" t="n">
        <f aca="false">IF(ISNUMBER(Flights!$AY$23),MAX(Q641-UpliftWindowH/24,Flights!$AY$23+UpliftWindowH/24),Q641-UpliftWindowH/24)</f>
        <v>46323.7777777778</v>
      </c>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IF(N641="N/A – rule","N/A – RULE",IF(TRIM(U641)="N/A",IF(AT641=0,"INVALID – N/A not permitted for this mandatory check",IF(AND(TRIM(AC641)&lt;&gt;"",TRIM(AE641)&lt;&gt;"",TRIM(T641)&lt;&gt;"",TRIM(AE641)&lt;&gt;TRIM(T641)),"N/A – JUSTIFIED","INVALID – N/A needs justification, PIC and a different verifier")),IF(OR(TRIM(U641)="Pass",TRIM(U641)="Pass after CA"),IF(NOT(ISNUMBER(AD641)),"INVALID – completion time missing",IF(TRIM(T641)="","INVALID – PIC missing",IF(TRIM(V641)="","INVALID – result / assessment missing",IF(TRIM(Z641)="","INVALID – evidence missing",IF(TRIM(AE641)="","INVALID – verifier missing",IF(TRIM(AE641)=TRIM(T641),"INVALID – verifier must be someone other than the PIC",IF(AND(AQ641=1,TRIM(W641)=""),"INVALID – batch ID missing",IF(AND(AR641=1,OR(NOT(ISNUMBER(X641)),NOT(ISNUMBER(Y641)))),"INVALID – expected/actual qty missing",IF(IF(AND(TRIM(U641)="Pass",ISNUMBER(AF641)),IF(AF641&lt;&gt;0,"INVALID – qty variance: use Fail or Pass after CA",""),"")&amp;IF(AND(TRIM(U641)="Pass",TRIM(AB641)&lt;&gt;"",TRIM(AB641)&lt;&gt;"Closed"),"INVALID – corrective action not closed: use Fail, then Pass after CA","")&amp;IF(AND(TRIM(AA641)&lt;&gt;"",TRIM(AB641)=""),"INVALID – CA status missing for the recorded corrective action","")&amp;IF(AND(TRIM(U641)="Pass after CA",OR(TRIM(AA641)="",TRIM(AB641)&lt;&gt;"Closed")),"INVALID – corrective action not recorded/closed","")&lt;&gt;"",IF(AND(TRIM(U641)="Pass",ISNUMBER(AF641)),IF(AF641&lt;&gt;0,"INVALID – qty variance: use Fail or Pass after CA",""),"")&amp;IF(AND(TRIM(U641)="Pass",TRIM(AB641)&lt;&gt;"",TRIM(AB641)&lt;&gt;"Closed"),"INVALID – corrective action not closed: use Fail, then Pass after CA","")&amp;IF(AND(TRIM(AA641)&lt;&gt;"",TRIM(AB641)=""),"INVALID – CA status missing for the recorded corrective action","")&amp;IF(AND(TRIM(U641)="Pass after CA",OR(TRIM(AA641)="",TRIM(AB641)&lt;&gt;"Closed")),"INVALID – corrective action not recorded/closed",""),IF(AND(AS641=1,Documents!$J$23&lt;&gt;"ON FILE"),"INVALID – GLD not on file (Documents sheet)",IF(AND(AS641=2,Documents!$O$23&lt;&gt;"ON FILE"),"INVALID – menu checklist not on file (Documents sheet)",IF(AND(AS641=3,NOT(ISNUMBER(Flights!$AX$23))),"INVALID – enter carrying flight KUL departure (Flights AX)",IF(AND(AS641=3,OR(Flights!$AX$23&gt;=Flights!$AA$23,Flights!$AX$23&lt;Flights!$AA$23-3)),"INVALID – Flights AX must be before this leg's STD (within 3 days)",IF(AG641&gt;AsOfUTC,"INVALID – completion time is in the future",IF(AND(ISNUMBER(S641),AG641&lt;S641),IF(H641="Physical uplift","INVALID – before uplift window (cannot confirm loading)","INVALID – before valid window"),IF(AG641&gt;Flights!$AA$23,"INVALID – completed after departure (cannot establish readiness)",IF(AND(H641="Physical uplift",AG641&gt;Q641),"INVALID – recorded after the loading flight departed",IF(AG641&gt;Q641,"COMPLETE – LATE","COMPLETE")))))))))))))))))),IF(TRIM(U641)="Fail","FAIL – DISCREPANCY",IF(AND(TRIM(U641)&lt;&gt;"",TRIM(U641)&lt;&gt;"Not started",TRIM(U641)&lt;&gt;"In progress"),"INVALID – unrecognised status (use the list)",IF(AsOfUTC&gt;Q641,"OVERDUE",IF(N641="Clarification required","OPEN – CLARIFICATION","OPEN")))))))</f>
        <v>OPEN</v>
      </c>
      <c r="AI641" s="61" t="n">
        <f aca="false">IF(OR(AH641="N/A – RULE",AH641="N/A – JUSTIFIED"),0,1)</f>
        <v>1</v>
      </c>
      <c r="AJ641" s="61" t="n">
        <f aca="false">IF(LEFT(AH641,8)="COMPLETE",1,0)</f>
        <v>0</v>
      </c>
      <c r="AK641" s="61" t="n">
        <f aca="false">IF(AND(AI641=1,AJ641=0,AsOfUTC&gt;Q641),1,0)</f>
        <v>0</v>
      </c>
      <c r="AL641" s="61" t="n">
        <f aca="false">IF(AND(AI641=1,OR(TRIM(U641)="Fail",AND(TRIM(AB641)&lt;&gt;"",TRIM(AB641)&lt;&gt;"Closed"),AND(ISNUMBER(AF641),AF641&lt;&gt;0,TRIM(U641)&lt;&gt;"Pass after CA"))),1,0)</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8" t="b">
        <f aca="false">TRUE()</f>
        <v>1</v>
      </c>
    </row>
    <row r="642" customFormat="false" ht="54" hidden="false" customHeight="true" outlineLevel="0" collapsed="false">
      <c r="A642" s="57" t="s">
        <v>1320</v>
      </c>
      <c r="B642" s="57" t="s">
        <v>293</v>
      </c>
      <c r="C642" s="57" t="str">
        <f aca="false">Flights!$F$23</f>
        <v>MH0053</v>
      </c>
      <c r="D642" s="58" t="n">
        <f aca="false">Flights!$D$23</f>
        <v>46324</v>
      </c>
      <c r="E642" s="57" t="str">
        <f aca="false">Flights!$G$23&amp;"-"&amp;Flights!$H$23</f>
        <v>KIX-KUL</v>
      </c>
      <c r="F642" s="57" t="str">
        <f aca="false">Flights!$K$23</f>
        <v>EY</v>
      </c>
      <c r="G642" s="57" t="s">
        <v>424</v>
      </c>
      <c r="H642" s="57" t="s">
        <v>425</v>
      </c>
      <c r="I642" s="57" t="s">
        <v>412</v>
      </c>
      <c r="J642" s="57" t="s">
        <v>436</v>
      </c>
      <c r="K642" s="67" t="s">
        <v>1053</v>
      </c>
      <c r="L642" s="67" t="s">
        <v>1313</v>
      </c>
      <c r="M642" s="67" t="s">
        <v>416</v>
      </c>
      <c r="N642" s="67" t="s">
        <v>348</v>
      </c>
      <c r="O642" s="67" t="s">
        <v>1321</v>
      </c>
      <c r="P642" s="57" t="s">
        <v>287</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59" t="n">
        <f aca="false">IF(ISNUMBER(Flights!$AY$23),MAX(Q642-UpliftWindowH/24,Flights!$AY$23+UpliftWindowH/24),Q642-UpliftWindowH/24)</f>
        <v>46323.7777777778</v>
      </c>
      <c r="T642" s="60"/>
      <c r="U642" s="60"/>
      <c r="V642" s="60"/>
      <c r="W642" s="61"/>
      <c r="X642" s="69"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IF(N642="N/A – rule","N/A – RULE",IF(TRIM(U642)="N/A",IF(AT642=0,"INVALID – N/A not permitted for this mandatory check",IF(AND(TRIM(AC642)&lt;&gt;"",TRIM(AE642)&lt;&gt;"",TRIM(T642)&lt;&gt;"",TRIM(AE642)&lt;&gt;TRIM(T642)),"N/A – JUSTIFIED","INVALID – N/A needs justification, PIC and a different verifier")),IF(OR(TRIM(U642)="Pass",TRIM(U642)="Pass after CA"),IF(NOT(ISNUMBER(AD642)),"INVALID – completion time missing",IF(TRIM(T642)="","INVALID – PIC missing",IF(TRIM(V642)="","INVALID – result / assessment missing",IF(TRIM(Z642)="","INVALID – evidence missing",IF(TRIM(AE642)="","INVALID – verifier missing",IF(TRIM(AE642)=TRIM(T642),"INVALID – verifier must be someone other than the PIC",IF(AND(AQ642=1,TRIM(W642)=""),"INVALID – batch ID missing",IF(AND(AR642=1,OR(NOT(ISNUMBER(X642)),NOT(ISNUMBER(Y642)))),"INVALID – expected/actual qty missing",IF(IF(AND(TRIM(U642)="Pass",ISNUMBER(AF642)),IF(AF642&lt;&gt;0,"INVALID – qty variance: use Fail or Pass after CA",""),"")&amp;IF(AND(TRIM(U642)="Pass",TRIM(AB642)&lt;&gt;"",TRIM(AB642)&lt;&gt;"Closed"),"INVALID – corrective action not closed: use Fail, then Pass after CA","")&amp;IF(AND(TRIM(AA642)&lt;&gt;"",TRIM(AB642)=""),"INVALID – CA status missing for the recorded corrective action","")&amp;IF(AND(TRIM(U642)="Pass after CA",OR(TRIM(AA642)="",TRIM(AB642)&lt;&gt;"Closed")),"INVALID – corrective action not recorded/closed","")&lt;&gt;"",IF(AND(TRIM(U642)="Pass",ISNUMBER(AF642)),IF(AF642&lt;&gt;0,"INVALID – qty variance: use Fail or Pass after CA",""),"")&amp;IF(AND(TRIM(U642)="Pass",TRIM(AB642)&lt;&gt;"",TRIM(AB642)&lt;&gt;"Closed"),"INVALID – corrective action not closed: use Fail, then Pass after CA","")&amp;IF(AND(TRIM(AA642)&lt;&gt;"",TRIM(AB642)=""),"INVALID – CA status missing for the recorded corrective action","")&amp;IF(AND(TRIM(U642)="Pass after CA",OR(TRIM(AA642)="",TRIM(AB642)&lt;&gt;"Closed")),"INVALID – corrective action not recorded/closed",""),IF(AND(AS642=1,Documents!$J$23&lt;&gt;"ON FILE"),"INVALID – GLD not on file (Documents sheet)",IF(AND(AS642=2,Documents!$O$23&lt;&gt;"ON FILE"),"INVALID – menu checklist not on file (Documents sheet)",IF(AND(AS642=3,NOT(ISNUMBER(Flights!$AX$23))),"INVALID – enter carrying flight KUL departure (Flights AX)",IF(AND(AS642=3,OR(Flights!$AX$23&gt;=Flights!$AA$23,Flights!$AX$23&lt;Flights!$AA$23-3)),"INVALID – Flights AX must be before this leg's STD (within 3 days)",IF(AG642&gt;AsOfUTC,"INVALID – completion time is in the future",IF(AND(ISNUMBER(S642),AG642&lt;S642),IF(H642="Physical uplift","INVALID – before uplift window (cannot confirm loading)","INVALID – before valid window"),IF(AG642&gt;Flights!$AA$23,"INVALID – completed after departure (cannot establish readiness)",IF(AND(H642="Physical uplift",AG642&gt;Q642),"INVALID – recorded after the loading flight departed",IF(AG642&gt;Q642,"COMPLETE – LATE","COMPLETE")))))))))))))))))),IF(TRIM(U642)="Fail","FAIL – DISCREPANCY",IF(AND(TRIM(U642)&lt;&gt;"",TRIM(U642)&lt;&gt;"Not started",TRIM(U642)&lt;&gt;"In progress"),"INVALID – unrecognised status (use the list)",IF(AsOfUTC&gt;Q642,"OVERDUE",IF(N642="Clarification required","OPEN – CLARIFICATION","OPEN")))))))</f>
        <v>OPEN</v>
      </c>
      <c r="AI642" s="61" t="n">
        <f aca="false">IF(OR(AH642="N/A – RULE",AH642="N/A – JUSTIFIED"),0,1)</f>
        <v>1</v>
      </c>
      <c r="AJ642" s="61" t="n">
        <f aca="false">IF(LEFT(AH642,8)="COMPLETE",1,0)</f>
        <v>0</v>
      </c>
      <c r="AK642" s="61" t="n">
        <f aca="false">IF(AND(AI642=1,AJ642=0,AsOfUTC&gt;Q642),1,0)</f>
        <v>0</v>
      </c>
      <c r="AL642" s="61" t="n">
        <f aca="false">IF(AND(AI642=1,OR(TRIM(U642)="Fail",AND(TRIM(AB642)&lt;&gt;"",TRIM(AB642)&lt;&gt;"Closed"),AND(ISNUMBER(AF642),AF642&lt;&gt;0,TRIM(U642)&lt;&gt;"Pass after CA"))),1,0)</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8" t="b">
        <f aca="false">TRUE()</f>
        <v>1</v>
      </c>
    </row>
    <row r="643" customFormat="false" ht="54" hidden="false" customHeight="true" outlineLevel="0" collapsed="false">
      <c r="A643" s="57" t="s">
        <v>1322</v>
      </c>
      <c r="B643" s="57" t="s">
        <v>293</v>
      </c>
      <c r="C643" s="57" t="str">
        <f aca="false">Flights!$F$23</f>
        <v>MH0053</v>
      </c>
      <c r="D643" s="58" t="n">
        <f aca="false">Flights!$D$23</f>
        <v>46324</v>
      </c>
      <c r="E643" s="57" t="str">
        <f aca="false">Flights!$G$23&amp;"-"&amp;Flights!$H$23</f>
        <v>KIX-KUL</v>
      </c>
      <c r="F643" s="57" t="str">
        <f aca="false">Flights!$K$23</f>
        <v>EY</v>
      </c>
      <c r="G643" s="57" t="s">
        <v>424</v>
      </c>
      <c r="H643" s="57" t="s">
        <v>425</v>
      </c>
      <c r="I643" s="57" t="s">
        <v>599</v>
      </c>
      <c r="J643" s="57" t="s">
        <v>624</v>
      </c>
      <c r="K643" s="67" t="s">
        <v>1272</v>
      </c>
      <c r="L643" s="67" t="s">
        <v>1273</v>
      </c>
      <c r="M643" s="67" t="s">
        <v>416</v>
      </c>
      <c r="N643" s="67" t="s">
        <v>409</v>
      </c>
      <c r="O643" s="67" t="s">
        <v>1323</v>
      </c>
      <c r="P643" s="57" t="s">
        <v>287</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59" t="n">
        <f aca="false">IF(ISNUMBER(Flights!$AY$23),MAX(Q643-UpliftWindowH/24,Flights!$AY$23+UpliftWindowH/24),Q643-UpliftWindowH/24)</f>
        <v>46323.7777777778</v>
      </c>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IF(N643="N/A – rule","N/A – RULE",IF(TRIM(U643)="N/A",IF(AT643=0,"INVALID – N/A not permitted for this mandatory check",IF(AND(TRIM(AC643)&lt;&gt;"",TRIM(AE643)&lt;&gt;"",TRIM(T643)&lt;&gt;"",TRIM(AE643)&lt;&gt;TRIM(T643)),"N/A – JUSTIFIED","INVALID – N/A needs justification, PIC and a different verifier")),IF(OR(TRIM(U643)="Pass",TRIM(U643)="Pass after CA"),IF(NOT(ISNUMBER(AD643)),"INVALID – completion time missing",IF(TRIM(T643)="","INVALID – PIC missing",IF(TRIM(V643)="","INVALID – result / assessment missing",IF(TRIM(Z643)="","INVALID – evidence missing",IF(TRIM(AE643)="","INVALID – verifier missing",IF(TRIM(AE643)=TRIM(T643),"INVALID – verifier must be someone other than the PIC",IF(AND(AQ643=1,TRIM(W643)=""),"INVALID – batch ID missing",IF(AND(AR643=1,OR(NOT(ISNUMBER(X643)),NOT(ISNUMBER(Y643)))),"INVALID – expected/actual qty missing",IF(IF(AND(TRIM(U643)="Pass",ISNUMBER(AF643)),IF(AF643&lt;&gt;0,"INVALID – qty variance: use Fail or Pass after CA",""),"")&amp;IF(AND(TRIM(U643)="Pass",TRIM(AB643)&lt;&gt;"",TRIM(AB643)&lt;&gt;"Closed"),"INVALID – corrective action not closed: use Fail, then Pass after CA","")&amp;IF(AND(TRIM(AA643)&lt;&gt;"",TRIM(AB643)=""),"INVALID – CA status missing for the recorded corrective action","")&amp;IF(AND(TRIM(U643)="Pass after CA",OR(TRIM(AA643)="",TRIM(AB643)&lt;&gt;"Closed")),"INVALID – corrective action not recorded/closed","")&lt;&gt;"",IF(AND(TRIM(U643)="Pass",ISNUMBER(AF643)),IF(AF643&lt;&gt;0,"INVALID – qty variance: use Fail or Pass after CA",""),"")&amp;IF(AND(TRIM(U643)="Pass",TRIM(AB643)&lt;&gt;"",TRIM(AB643)&lt;&gt;"Closed"),"INVALID – corrective action not closed: use Fail, then Pass after CA","")&amp;IF(AND(TRIM(AA643)&lt;&gt;"",TRIM(AB643)=""),"INVALID – CA status missing for the recorded corrective action","")&amp;IF(AND(TRIM(U643)="Pass after CA",OR(TRIM(AA643)="",TRIM(AB643)&lt;&gt;"Closed")),"INVALID – corrective action not recorded/closed",""),IF(AND(AS643=1,Documents!$J$23&lt;&gt;"ON FILE"),"INVALID – GLD not on file (Documents sheet)",IF(AND(AS643=2,Documents!$O$23&lt;&gt;"ON FILE"),"INVALID – menu checklist not on file (Documents sheet)",IF(AND(AS643=3,NOT(ISNUMBER(Flights!$AX$23))),"INVALID – enter carrying flight KUL departure (Flights AX)",IF(AND(AS643=3,OR(Flights!$AX$23&gt;=Flights!$AA$23,Flights!$AX$23&lt;Flights!$AA$23-3)),"INVALID – Flights AX must be before this leg's STD (within 3 days)",IF(AG643&gt;AsOfUTC,"INVALID – completion time is in the future",IF(AND(ISNUMBER(S643),AG643&lt;S643),IF(H643="Physical uplift","INVALID – before uplift window (cannot confirm loading)","INVALID – before valid window"),IF(AG643&gt;Flights!$AA$23,"INVALID – completed after departure (cannot establish readiness)",IF(AND(H643="Physical uplift",AG643&gt;Q643),"INVALID – recorded after the loading flight departed",IF(AG643&gt;Q643,"COMPLETE – LATE","COMPLETE")))))))))))))))))),IF(TRIM(U643)="Fail","FAIL – DISCREPANCY",IF(AND(TRIM(U643)&lt;&gt;"",TRIM(U643)&lt;&gt;"Not started",TRIM(U643)&lt;&gt;"In progress"),"INVALID – unrecognised status (use the list)",IF(AsOfUTC&gt;Q643,"OVERDUE",IF(N643="Clarification required","OPEN – CLARIFICATION","OPEN")))))))</f>
        <v>OPEN – CLARIFICATION</v>
      </c>
      <c r="AI643" s="61" t="n">
        <f aca="false">IF(OR(AH643="N/A – RULE",AH643="N/A – JUSTIFIED"),0,1)</f>
        <v>1</v>
      </c>
      <c r="AJ643" s="61" t="n">
        <f aca="false">IF(LEFT(AH643,8)="COMPLETE",1,0)</f>
        <v>0</v>
      </c>
      <c r="AK643" s="61" t="n">
        <f aca="false">IF(AND(AI643=1,AJ643=0,AsOfUTC&gt;Q643),1,0)</f>
        <v>0</v>
      </c>
      <c r="AL643" s="61" t="n">
        <f aca="false">IF(AND(AI643=1,OR(TRIM(U643)="Fail",AND(TRIM(AB643)&lt;&gt;"",TRIM(AB643)&lt;&gt;"Closed"),AND(ISNUMBER(AF643),AF643&lt;&gt;0,TRIM(U643)&lt;&gt;"Pass after CA"))),1,0)</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8" t="b">
        <f aca="false">TRUE()</f>
        <v>1</v>
      </c>
    </row>
    <row r="644" customFormat="false" ht="39.75" hidden="false" customHeight="true" outlineLevel="0" collapsed="false">
      <c r="A644" s="57" t="s">
        <v>1324</v>
      </c>
      <c r="B644" s="57" t="s">
        <v>296</v>
      </c>
      <c r="C644" s="57" t="str">
        <f aca="false">Flights!$F$24</f>
        <v>MH1450</v>
      </c>
      <c r="D644" s="58" t="n">
        <f aca="false">Flights!$D$24</f>
        <v>46324</v>
      </c>
      <c r="E644" s="57" t="str">
        <f aca="false">Flights!$G$24&amp;"-"&amp;Flights!$H$24</f>
        <v>KUL-LGK</v>
      </c>
      <c r="F644" s="57" t="str">
        <f aca="false">Flights!$K$24</f>
        <v>EY</v>
      </c>
      <c r="G644" s="57" t="s">
        <v>76</v>
      </c>
      <c r="H644" s="57" t="s">
        <v>343</v>
      </c>
      <c r="I644" s="57" t="s">
        <v>344</v>
      </c>
      <c r="J644" s="57" t="s">
        <v>345</v>
      </c>
      <c r="K644" s="67" t="s">
        <v>346</v>
      </c>
      <c r="L644" s="67" t="s">
        <v>347</v>
      </c>
      <c r="M644" s="67"/>
      <c r="N644" s="67" t="s">
        <v>348</v>
      </c>
      <c r="O644" s="67" t="s">
        <v>877</v>
      </c>
      <c r="P644" s="57" t="s">
        <v>179</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59" t="n">
        <f aca="false">Q644-T7EarlyD*24/24</f>
        <v>46303.4375</v>
      </c>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IF(N644="N/A – rule","N/A – RULE",IF(TRIM(U644)="N/A",IF(AT644=0,"INVALID – N/A not permitted for this mandatory check",IF(AND(TRIM(AC644)&lt;&gt;"",TRIM(AE644)&lt;&gt;"",TRIM(T644)&lt;&gt;"",TRIM(AE644)&lt;&gt;TRIM(T644)),"N/A – JUSTIFIED","INVALID – N/A needs justification, PIC and a different verifier")),IF(OR(TRIM(U644)="Pass",TRIM(U644)="Pass after CA"),IF(NOT(ISNUMBER(AD644)),"INVALID – completion time missing",IF(TRIM(T644)="","INVALID – PIC missing",IF(TRIM(V644)="","INVALID – result / assessment missing",IF(TRIM(Z644)="","INVALID – evidence missing",IF(TRIM(AE644)="","INVALID – verifier missing",IF(TRIM(AE644)=TRIM(T644),"INVALID – verifier must be someone other than the PIC",IF(AND(AQ644=1,TRIM(W644)=""),"INVALID – batch ID missing",IF(AND(AR644=1,OR(NOT(ISNUMBER(X644)),NOT(ISNUMBER(Y644)))),"INVALID – expected/actual qty missing",IF(IF(AND(TRIM(U644)="Pass",ISNUMBER(AF644)),IF(AF644&lt;&gt;0,"INVALID – qty variance: use Fail or Pass after CA",""),"")&amp;IF(AND(TRIM(U644)="Pass",TRIM(AB644)&lt;&gt;"",TRIM(AB644)&lt;&gt;"Closed"),"INVALID – corrective action not closed: use Fail, then Pass after CA","")&amp;IF(AND(TRIM(AA644)&lt;&gt;"",TRIM(AB644)=""),"INVALID – CA status missing for the recorded corrective action","")&amp;IF(AND(TRIM(U644)="Pass after CA",OR(TRIM(AA644)="",TRIM(AB644)&lt;&gt;"Closed")),"INVALID – corrective action not recorded/closed","")&lt;&gt;"",IF(AND(TRIM(U644)="Pass",ISNUMBER(AF644)),IF(AF644&lt;&gt;0,"INVALID – qty variance: use Fail or Pass after CA",""),"")&amp;IF(AND(TRIM(U644)="Pass",TRIM(AB644)&lt;&gt;"",TRIM(AB644)&lt;&gt;"Closed"),"INVALID – corrective action not closed: use Fail, then Pass after CA","")&amp;IF(AND(TRIM(AA644)&lt;&gt;"",TRIM(AB644)=""),"INVALID – CA status missing for the recorded corrective action","")&amp;IF(AND(TRIM(U644)="Pass after CA",OR(TRIM(AA644)="",TRIM(AB644)&lt;&gt;"Closed")),"INVALID – corrective action not recorded/closed",""),IF(AND(AS644=1,Documents!$J$24&lt;&gt;"ON FILE"),"INVALID – GLD not on file (Documents sheet)",IF(AND(AS644=2,Documents!$O$24&lt;&gt;"ON FILE"),"INVALID – menu checklist not on file (Documents sheet)",IF(AND(AS644=3,NOT(ISNUMBER(Flights!$AX$24))),"INVALID – enter carrying flight KUL departure (Flights AX)",IF(AND(AS644=3,OR(Flights!$AX$24&gt;=Flights!$AA$24,Flights!$AX$24&lt;Flights!$AA$24-3)),"INVALID – Flights AX must be before this leg's STD (within 3 days)",IF(AG644&gt;AsOfUTC,"INVALID – completion time is in the future",IF(AND(ISNUMBER(S644),AG644&lt;S644),IF(H644="Physical uplift","INVALID – before uplift window (cannot confirm loading)","INVALID – before valid window"),IF(AG644&gt;Flights!$AA$24,"INVALID – completed after departure (cannot establish readiness)",IF(AND(H644="Physical uplift",AG644&gt;Q644),"INVALID – recorded after the loading flight departed",IF(AG644&gt;Q644,"COMPLETE – LATE","COMPLETE")))))))))))))))))),IF(TRIM(U644)="Fail","FAIL – DISCREPANCY",IF(AND(TRIM(U644)&lt;&gt;"",TRIM(U644)&lt;&gt;"Not started",TRIM(U644)&lt;&gt;"In progress"),"INVALID – unrecognised status (use the list)",IF(AsOfUTC&gt;Q644,"OVERDUE",IF(N644="Clarification required","OPEN – CLARIFICATION","OPEN")))))))</f>
        <v>OPEN</v>
      </c>
      <c r="AI644" s="61" t="n">
        <f aca="false">IF(OR(AH644="N/A – RULE",AH644="N/A – JUSTIFIED"),0,1)</f>
        <v>1</v>
      </c>
      <c r="AJ644" s="61" t="n">
        <f aca="false">IF(LEFT(AH644,8)="COMPLETE",1,0)</f>
        <v>0</v>
      </c>
      <c r="AK644" s="61" t="n">
        <f aca="false">IF(AND(AI644=1,AJ644=0,AsOfUTC&gt;Q644),1,0)</f>
        <v>0</v>
      </c>
      <c r="AL644" s="61" t="n">
        <f aca="false">IF(AND(AI644=1,OR(TRIM(U644)="Fail",AND(TRIM(AB644)&lt;&gt;"",TRIM(AB644)&lt;&gt;"Closed"),AND(ISNUMBER(AF644),AF644&lt;&gt;0,TRIM(U644)&lt;&gt;"Pass after CA"))),1,0)</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row>
    <row r="645" customFormat="false" ht="41.25" hidden="false" customHeight="true" outlineLevel="0" collapsed="false">
      <c r="A645" s="57" t="s">
        <v>1325</v>
      </c>
      <c r="B645" s="57" t="s">
        <v>296</v>
      </c>
      <c r="C645" s="57" t="str">
        <f aca="false">Flights!$F$24</f>
        <v>MH1450</v>
      </c>
      <c r="D645" s="58" t="n">
        <f aca="false">Flights!$D$24</f>
        <v>46324</v>
      </c>
      <c r="E645" s="57" t="str">
        <f aca="false">Flights!$G$24&amp;"-"&amp;Flights!$H$24</f>
        <v>KUL-LGK</v>
      </c>
      <c r="F645" s="57" t="str">
        <f aca="false">Flights!$K$24</f>
        <v>EY</v>
      </c>
      <c r="G645" s="57" t="s">
        <v>76</v>
      </c>
      <c r="H645" s="57" t="s">
        <v>343</v>
      </c>
      <c r="I645" s="57" t="s">
        <v>350</v>
      </c>
      <c r="J645" s="57" t="s">
        <v>351</v>
      </c>
      <c r="K645" s="67" t="s">
        <v>352</v>
      </c>
      <c r="L645" s="67" t="s">
        <v>347</v>
      </c>
      <c r="M645" s="67"/>
      <c r="N645" s="67" t="s">
        <v>348</v>
      </c>
      <c r="O645" s="67" t="s">
        <v>879</v>
      </c>
      <c r="P645" s="57" t="s">
        <v>179</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59" t="n">
        <f aca="false">Q645-T7EarlyD*24/24</f>
        <v>46303.4375</v>
      </c>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IF(N645="N/A – rule","N/A – RULE",IF(TRIM(U645)="N/A",IF(AT645=0,"INVALID – N/A not permitted for this mandatory check",IF(AND(TRIM(AC645)&lt;&gt;"",TRIM(AE645)&lt;&gt;"",TRIM(T645)&lt;&gt;"",TRIM(AE645)&lt;&gt;TRIM(T645)),"N/A – JUSTIFIED","INVALID – N/A needs justification, PIC and a different verifier")),IF(OR(TRIM(U645)="Pass",TRIM(U645)="Pass after CA"),IF(NOT(ISNUMBER(AD645)),"INVALID – completion time missing",IF(TRIM(T645)="","INVALID – PIC missing",IF(TRIM(V645)="","INVALID – result / assessment missing",IF(TRIM(Z645)="","INVALID – evidence missing",IF(TRIM(AE645)="","INVALID – verifier missing",IF(TRIM(AE645)=TRIM(T645),"INVALID – verifier must be someone other than the PIC",IF(AND(AQ645=1,TRIM(W645)=""),"INVALID – batch ID missing",IF(AND(AR645=1,OR(NOT(ISNUMBER(X645)),NOT(ISNUMBER(Y645)))),"INVALID – expected/actual qty missing",IF(IF(AND(TRIM(U645)="Pass",ISNUMBER(AF645)),IF(AF645&lt;&gt;0,"INVALID – qty variance: use Fail or Pass after CA",""),"")&amp;IF(AND(TRIM(U645)="Pass",TRIM(AB645)&lt;&gt;"",TRIM(AB645)&lt;&gt;"Closed"),"INVALID – corrective action not closed: use Fail, then Pass after CA","")&amp;IF(AND(TRIM(AA645)&lt;&gt;"",TRIM(AB645)=""),"INVALID – CA status missing for the recorded corrective action","")&amp;IF(AND(TRIM(U645)="Pass after CA",OR(TRIM(AA645)="",TRIM(AB645)&lt;&gt;"Closed")),"INVALID – corrective action not recorded/closed","")&lt;&gt;"",IF(AND(TRIM(U645)="Pass",ISNUMBER(AF645)),IF(AF645&lt;&gt;0,"INVALID – qty variance: use Fail or Pass after CA",""),"")&amp;IF(AND(TRIM(U645)="Pass",TRIM(AB645)&lt;&gt;"",TRIM(AB645)&lt;&gt;"Closed"),"INVALID – corrective action not closed: use Fail, then Pass after CA","")&amp;IF(AND(TRIM(AA645)&lt;&gt;"",TRIM(AB645)=""),"INVALID – CA status missing for the recorded corrective action","")&amp;IF(AND(TRIM(U645)="Pass after CA",OR(TRIM(AA645)="",TRIM(AB645)&lt;&gt;"Closed")),"INVALID – corrective action not recorded/closed",""),IF(AND(AS645=1,Documents!$J$24&lt;&gt;"ON FILE"),"INVALID – GLD not on file (Documents sheet)",IF(AND(AS645=2,Documents!$O$24&lt;&gt;"ON FILE"),"INVALID – menu checklist not on file (Documents sheet)",IF(AND(AS645=3,NOT(ISNUMBER(Flights!$AX$24))),"INVALID – enter carrying flight KUL departure (Flights AX)",IF(AND(AS645=3,OR(Flights!$AX$24&gt;=Flights!$AA$24,Flights!$AX$24&lt;Flights!$AA$24-3)),"INVALID – Flights AX must be before this leg's STD (within 3 days)",IF(AG645&gt;AsOfUTC,"INVALID – completion time is in the future",IF(AND(ISNUMBER(S645),AG645&lt;S645),IF(H645="Physical uplift","INVALID – before uplift window (cannot confirm loading)","INVALID – before valid window"),IF(AG645&gt;Flights!$AA$24,"INVALID – completed after departure (cannot establish readiness)",IF(AND(H645="Physical uplift",AG645&gt;Q645),"INVALID – recorded after the loading flight departed",IF(AG645&gt;Q645,"COMPLETE – LATE","COMPLETE")))))))))))))))))),IF(TRIM(U645)="Fail","FAIL – DISCREPANCY",IF(AND(TRIM(U645)&lt;&gt;"",TRIM(U645)&lt;&gt;"Not started",TRIM(U645)&lt;&gt;"In progress"),"INVALID – unrecognised status (use the list)",IF(AsOfUTC&gt;Q645,"OVERDUE",IF(N645="Clarification required","OPEN – CLARIFICATION","OPEN")))))))</f>
        <v>OPEN</v>
      </c>
      <c r="AI645" s="61" t="n">
        <f aca="false">IF(OR(AH645="N/A – RULE",AH645="N/A – JUSTIFIED"),0,1)</f>
        <v>1</v>
      </c>
      <c r="AJ645" s="61" t="n">
        <f aca="false">IF(LEFT(AH645,8)="COMPLETE",1,0)</f>
        <v>0</v>
      </c>
      <c r="AK645" s="61" t="n">
        <f aca="false">IF(AND(AI645=1,AJ645=0,AsOfUTC&gt;Q645),1,0)</f>
        <v>0</v>
      </c>
      <c r="AL645" s="61" t="n">
        <f aca="false">IF(AND(AI645=1,OR(TRIM(U645)="Fail",AND(TRIM(AB645)&lt;&gt;"",TRIM(AB645)&lt;&gt;"Closed"),AND(ISNUMBER(AF645),AF645&lt;&gt;0,TRIM(U645)&lt;&gt;"Pass after CA"))),1,0)</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8" t="b">
        <f aca="false">TRUE()</f>
        <v>1</v>
      </c>
    </row>
    <row r="646" customFormat="false" ht="41.25" hidden="false" customHeight="true" outlineLevel="0" collapsed="false">
      <c r="A646" s="57" t="s">
        <v>1326</v>
      </c>
      <c r="B646" s="57" t="s">
        <v>296</v>
      </c>
      <c r="C646" s="57" t="str">
        <f aca="false">Flights!$F$24</f>
        <v>MH1450</v>
      </c>
      <c r="D646" s="58" t="n">
        <f aca="false">Flights!$D$24</f>
        <v>46324</v>
      </c>
      <c r="E646" s="57" t="str">
        <f aca="false">Flights!$G$24&amp;"-"&amp;Flights!$H$24</f>
        <v>KUL-LGK</v>
      </c>
      <c r="F646" s="57" t="str">
        <f aca="false">Flights!$K$24</f>
        <v>EY</v>
      </c>
      <c r="G646" s="57" t="s">
        <v>76</v>
      </c>
      <c r="H646" s="57" t="s">
        <v>343</v>
      </c>
      <c r="I646" s="57" t="s">
        <v>354</v>
      </c>
      <c r="J646" s="57" t="s">
        <v>355</v>
      </c>
      <c r="K646" s="67" t="s">
        <v>356</v>
      </c>
      <c r="L646" s="67" t="s">
        <v>347</v>
      </c>
      <c r="M646" s="67"/>
      <c r="N646" s="67" t="str">
        <f aca="false">IF(TRIM(Flights!$L$24)="A339","Required","N/A – rule")</f>
        <v>N/A – rule</v>
      </c>
      <c r="O646" s="67" t="s">
        <v>357</v>
      </c>
      <c r="P646" s="57" t="s">
        <v>179</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59" t="n">
        <f aca="false">Q646-T7EarlyD*24/24</f>
        <v>46303.4375</v>
      </c>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IF(N646="N/A – rule","N/A – RULE",IF(TRIM(U646)="N/A",IF(AT646=0,"INVALID – N/A not permitted for this mandatory check",IF(AND(TRIM(AC646)&lt;&gt;"",TRIM(AE646)&lt;&gt;"",TRIM(T646)&lt;&gt;"",TRIM(AE646)&lt;&gt;TRIM(T646)),"N/A – JUSTIFIED","INVALID – N/A needs justification, PIC and a different verifier")),IF(OR(TRIM(U646)="Pass",TRIM(U646)="Pass after CA"),IF(NOT(ISNUMBER(AD646)),"INVALID – completion time missing",IF(TRIM(T646)="","INVALID – PIC missing",IF(TRIM(V646)="","INVALID – result / assessment missing",IF(TRIM(Z646)="","INVALID – evidence missing",IF(TRIM(AE646)="","INVALID – verifier missing",IF(TRIM(AE646)=TRIM(T646),"INVALID – verifier must be someone other than the PIC",IF(AND(AQ646=1,TRIM(W646)=""),"INVALID – batch ID missing",IF(AND(AR646=1,OR(NOT(ISNUMBER(X646)),NOT(ISNUMBER(Y646)))),"INVALID – expected/actual qty missing",IF(IF(AND(TRIM(U646)="Pass",ISNUMBER(AF646)),IF(AF646&lt;&gt;0,"INVALID – qty variance: use Fail or Pass after CA",""),"")&amp;IF(AND(TRIM(U646)="Pass",TRIM(AB646)&lt;&gt;"",TRIM(AB646)&lt;&gt;"Closed"),"INVALID – corrective action not closed: use Fail, then Pass after CA","")&amp;IF(AND(TRIM(AA646)&lt;&gt;"",TRIM(AB646)=""),"INVALID – CA status missing for the recorded corrective action","")&amp;IF(AND(TRIM(U646)="Pass after CA",OR(TRIM(AA646)="",TRIM(AB646)&lt;&gt;"Closed")),"INVALID – corrective action not recorded/closed","")&lt;&gt;"",IF(AND(TRIM(U646)="Pass",ISNUMBER(AF646)),IF(AF646&lt;&gt;0,"INVALID – qty variance: use Fail or Pass after CA",""),"")&amp;IF(AND(TRIM(U646)="Pass",TRIM(AB646)&lt;&gt;"",TRIM(AB646)&lt;&gt;"Closed"),"INVALID – corrective action not closed: use Fail, then Pass after CA","")&amp;IF(AND(TRIM(AA646)&lt;&gt;"",TRIM(AB646)=""),"INVALID – CA status missing for the recorded corrective action","")&amp;IF(AND(TRIM(U646)="Pass after CA",OR(TRIM(AA646)="",TRIM(AB646)&lt;&gt;"Closed")),"INVALID – corrective action not recorded/closed",""),IF(AND(AS646=1,Documents!$J$24&lt;&gt;"ON FILE"),"INVALID – GLD not on file (Documents sheet)",IF(AND(AS646=2,Documents!$O$24&lt;&gt;"ON FILE"),"INVALID – menu checklist not on file (Documents sheet)",IF(AND(AS646=3,NOT(ISNUMBER(Flights!$AX$24))),"INVALID – enter carrying flight KUL departure (Flights AX)",IF(AND(AS646=3,OR(Flights!$AX$24&gt;=Flights!$AA$24,Flights!$AX$24&lt;Flights!$AA$24-3)),"INVALID – Flights AX must be before this leg's STD (within 3 days)",IF(AG646&gt;AsOfUTC,"INVALID – completion time is in the future",IF(AND(ISNUMBER(S646),AG646&lt;S646),IF(H646="Physical uplift","INVALID – before uplift window (cannot confirm loading)","INVALID – before valid window"),IF(AG646&gt;Flights!$AA$24,"INVALID – completed after departure (cannot establish readiness)",IF(AND(H646="Physical uplift",AG646&gt;Q646),"INVALID – recorded after the loading flight departed",IF(AG646&gt;Q646,"COMPLETE – LATE","COMPLETE")))))))))))))))))),IF(TRIM(U646)="Fail","FAIL – DISCREPANCY",IF(AND(TRIM(U646)&lt;&gt;"",TRIM(U646)&lt;&gt;"Not started",TRIM(U646)&lt;&gt;"In progress"),"INVALID – unrecognised status (use the list)",IF(AsOfUTC&gt;Q646,"OVERDUE",IF(N646="Clarification required","OPEN – CLARIFICATION","OPEN")))))))</f>
        <v>N/A – RULE</v>
      </c>
      <c r="AI646" s="61" t="n">
        <f aca="false">IF(OR(AH646="N/A – RULE",AH646="N/A – JUSTIFIED"),0,1)</f>
        <v>0</v>
      </c>
      <c r="AJ646" s="61" t="n">
        <f aca="false">IF(LEFT(AH646,8)="COMPLETE",1,0)</f>
        <v>0</v>
      </c>
      <c r="AK646" s="61" t="n">
        <f aca="false">IF(AND(AI646=1,AJ646=0,AsOfUTC&gt;Q646),1,0)</f>
        <v>0</v>
      </c>
      <c r="AL646" s="61" t="n">
        <f aca="false">IF(AND(AI646=1,OR(TRIM(U646)="Fail",AND(TRIM(AB646)&lt;&gt;"",TRIM(AB646)&lt;&gt;"Closed"),AND(ISNUMBER(AF646),AF646&lt;&gt;0,TRIM(U646)&lt;&gt;"Pass after CA"))),1,0)</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row>
    <row r="647" customFormat="false" ht="39.75" hidden="false" customHeight="true" outlineLevel="0" collapsed="false">
      <c r="A647" s="57" t="s">
        <v>1327</v>
      </c>
      <c r="B647" s="57" t="s">
        <v>296</v>
      </c>
      <c r="C647" s="57" t="str">
        <f aca="false">Flights!$F$24</f>
        <v>MH1450</v>
      </c>
      <c r="D647" s="58" t="n">
        <f aca="false">Flights!$D$24</f>
        <v>46324</v>
      </c>
      <c r="E647" s="57" t="str">
        <f aca="false">Flights!$G$24&amp;"-"&amp;Flights!$H$24</f>
        <v>KUL-LGK</v>
      </c>
      <c r="F647" s="57" t="str">
        <f aca="false">Flights!$K$24</f>
        <v>EY</v>
      </c>
      <c r="G647" s="57" t="s">
        <v>76</v>
      </c>
      <c r="H647" s="57" t="s">
        <v>343</v>
      </c>
      <c r="I647" s="57" t="s">
        <v>359</v>
      </c>
      <c r="J647" s="57" t="s">
        <v>360</v>
      </c>
      <c r="K647" s="67" t="s">
        <v>361</v>
      </c>
      <c r="L647" s="67" t="s">
        <v>347</v>
      </c>
      <c r="M647" s="67"/>
      <c r="N647" s="67" t="s">
        <v>348</v>
      </c>
      <c r="O647" s="67"/>
      <c r="P647" s="57" t="s">
        <v>179</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59" t="n">
        <f aca="false">Q647-T7EarlyD*24/24</f>
        <v>46303.4375</v>
      </c>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IF(N647="N/A – rule","N/A – RULE",IF(TRIM(U647)="N/A",IF(AT647=0,"INVALID – N/A not permitted for this mandatory check",IF(AND(TRIM(AC647)&lt;&gt;"",TRIM(AE647)&lt;&gt;"",TRIM(T647)&lt;&gt;"",TRIM(AE647)&lt;&gt;TRIM(T647)),"N/A – JUSTIFIED","INVALID – N/A needs justification, PIC and a different verifier")),IF(OR(TRIM(U647)="Pass",TRIM(U647)="Pass after CA"),IF(NOT(ISNUMBER(AD647)),"INVALID – completion time missing",IF(TRIM(T647)="","INVALID – PIC missing",IF(TRIM(V647)="","INVALID – result / assessment missing",IF(TRIM(Z647)="","INVALID – evidence missing",IF(TRIM(AE647)="","INVALID – verifier missing",IF(TRIM(AE647)=TRIM(T647),"INVALID – verifier must be someone other than the PIC",IF(AND(AQ647=1,TRIM(W647)=""),"INVALID – batch ID missing",IF(AND(AR647=1,OR(NOT(ISNUMBER(X647)),NOT(ISNUMBER(Y647)))),"INVALID – expected/actual qty missing",IF(IF(AND(TRIM(U647)="Pass",ISNUMBER(AF647)),IF(AF647&lt;&gt;0,"INVALID – qty variance: use Fail or Pass after CA",""),"")&amp;IF(AND(TRIM(U647)="Pass",TRIM(AB647)&lt;&gt;"",TRIM(AB647)&lt;&gt;"Closed"),"INVALID – corrective action not closed: use Fail, then Pass after CA","")&amp;IF(AND(TRIM(AA647)&lt;&gt;"",TRIM(AB647)=""),"INVALID – CA status missing for the recorded corrective action","")&amp;IF(AND(TRIM(U647)="Pass after CA",OR(TRIM(AA647)="",TRIM(AB647)&lt;&gt;"Closed")),"INVALID – corrective action not recorded/closed","")&lt;&gt;"",IF(AND(TRIM(U647)="Pass",ISNUMBER(AF647)),IF(AF647&lt;&gt;0,"INVALID – qty variance: use Fail or Pass after CA",""),"")&amp;IF(AND(TRIM(U647)="Pass",TRIM(AB647)&lt;&gt;"",TRIM(AB647)&lt;&gt;"Closed"),"INVALID – corrective action not closed: use Fail, then Pass after CA","")&amp;IF(AND(TRIM(AA647)&lt;&gt;"",TRIM(AB647)=""),"INVALID – CA status missing for the recorded corrective action","")&amp;IF(AND(TRIM(U647)="Pass after CA",OR(TRIM(AA647)="",TRIM(AB647)&lt;&gt;"Closed")),"INVALID – corrective action not recorded/closed",""),IF(AND(AS647=1,Documents!$J$24&lt;&gt;"ON FILE"),"INVALID – GLD not on file (Documents sheet)",IF(AND(AS647=2,Documents!$O$24&lt;&gt;"ON FILE"),"INVALID – menu checklist not on file (Documents sheet)",IF(AND(AS647=3,NOT(ISNUMBER(Flights!$AX$24))),"INVALID – enter carrying flight KUL departure (Flights AX)",IF(AND(AS647=3,OR(Flights!$AX$24&gt;=Flights!$AA$24,Flights!$AX$24&lt;Flights!$AA$24-3)),"INVALID – Flights AX must be before this leg's STD (within 3 days)",IF(AG647&gt;AsOfUTC,"INVALID – completion time is in the future",IF(AND(ISNUMBER(S647),AG647&lt;S647),IF(H647="Physical uplift","INVALID – before uplift window (cannot confirm loading)","INVALID – before valid window"),IF(AG647&gt;Flights!$AA$24,"INVALID – completed after departure (cannot establish readiness)",IF(AND(H647="Physical uplift",AG647&gt;Q647),"INVALID – recorded after the loading flight departed",IF(AG647&gt;Q647,"COMPLETE – LATE","COMPLETE")))))))))))))))))),IF(TRIM(U647)="Fail","FAIL – DISCREPANCY",IF(AND(TRIM(U647)&lt;&gt;"",TRIM(U647)&lt;&gt;"Not started",TRIM(U647)&lt;&gt;"In progress"),"INVALID – unrecognised status (use the list)",IF(AsOfUTC&gt;Q647,"OVERDUE",IF(N647="Clarification required","OPEN – CLARIFICATION","OPEN")))))))</f>
        <v>OPEN</v>
      </c>
      <c r="AI647" s="61" t="n">
        <f aca="false">IF(OR(AH647="N/A – RULE",AH647="N/A – JUSTIFIED"),0,1)</f>
        <v>1</v>
      </c>
      <c r="AJ647" s="61" t="n">
        <f aca="false">IF(LEFT(AH647,8)="COMPLETE",1,0)</f>
        <v>0</v>
      </c>
      <c r="AK647" s="61" t="n">
        <f aca="false">IF(AND(AI647=1,AJ647=0,AsOfUTC&gt;Q647),1,0)</f>
        <v>0</v>
      </c>
      <c r="AL647" s="61" t="n">
        <f aca="false">IF(AND(AI647=1,OR(TRIM(U647)="Fail",AND(TRIM(AB647)&lt;&gt;"",TRIM(AB647)&lt;&gt;"Closed"),AND(ISNUMBER(AF647),AF647&lt;&gt;0,TRIM(U647)&lt;&gt;"Pass after CA"))),1,0)</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row>
    <row r="648" customFormat="false" ht="39.75" hidden="false" customHeight="true" outlineLevel="0" collapsed="false">
      <c r="A648" s="57" t="s">
        <v>1328</v>
      </c>
      <c r="B648" s="57" t="s">
        <v>296</v>
      </c>
      <c r="C648" s="57" t="str">
        <f aca="false">Flights!$F$24</f>
        <v>MH1450</v>
      </c>
      <c r="D648" s="58" t="n">
        <f aca="false">Flights!$D$24</f>
        <v>46324</v>
      </c>
      <c r="E648" s="57" t="str">
        <f aca="false">Flights!$G$24&amp;"-"&amp;Flights!$H$24</f>
        <v>KUL-LGK</v>
      </c>
      <c r="F648" s="57" t="str">
        <f aca="false">Flights!$K$24</f>
        <v>EY</v>
      </c>
      <c r="G648" s="57" t="s">
        <v>76</v>
      </c>
      <c r="H648" s="57" t="s">
        <v>343</v>
      </c>
      <c r="I648" s="57" t="s">
        <v>363</v>
      </c>
      <c r="J648" s="57" t="s">
        <v>364</v>
      </c>
      <c r="K648" s="67" t="s">
        <v>365</v>
      </c>
      <c r="L648" s="67" t="s">
        <v>347</v>
      </c>
      <c r="M648" s="67"/>
      <c r="N648" s="67" t="s">
        <v>348</v>
      </c>
      <c r="O648" s="67"/>
      <c r="P648" s="57" t="s">
        <v>179</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59" t="n">
        <f aca="false">Q648-T7EarlyD*24/24</f>
        <v>46303.4375</v>
      </c>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IF(N648="N/A – rule","N/A – RULE",IF(TRIM(U648)="N/A",IF(AT648=0,"INVALID – N/A not permitted for this mandatory check",IF(AND(TRIM(AC648)&lt;&gt;"",TRIM(AE648)&lt;&gt;"",TRIM(T648)&lt;&gt;"",TRIM(AE648)&lt;&gt;TRIM(T648)),"N/A – JUSTIFIED","INVALID – N/A needs justification, PIC and a different verifier")),IF(OR(TRIM(U648)="Pass",TRIM(U648)="Pass after CA"),IF(NOT(ISNUMBER(AD648)),"INVALID – completion time missing",IF(TRIM(T648)="","INVALID – PIC missing",IF(TRIM(V648)="","INVALID – result / assessment missing",IF(TRIM(Z648)="","INVALID – evidence missing",IF(TRIM(AE648)="","INVALID – verifier missing",IF(TRIM(AE648)=TRIM(T648),"INVALID – verifier must be someone other than the PIC",IF(AND(AQ648=1,TRIM(W648)=""),"INVALID – batch ID missing",IF(AND(AR648=1,OR(NOT(ISNUMBER(X648)),NOT(ISNUMBER(Y648)))),"INVALID – expected/actual qty missing",IF(IF(AND(TRIM(U648)="Pass",ISNUMBER(AF648)),IF(AF648&lt;&gt;0,"INVALID – qty variance: use Fail or Pass after CA",""),"")&amp;IF(AND(TRIM(U648)="Pass",TRIM(AB648)&lt;&gt;"",TRIM(AB648)&lt;&gt;"Closed"),"INVALID – corrective action not closed: use Fail, then Pass after CA","")&amp;IF(AND(TRIM(AA648)&lt;&gt;"",TRIM(AB648)=""),"INVALID – CA status missing for the recorded corrective action","")&amp;IF(AND(TRIM(U648)="Pass after CA",OR(TRIM(AA648)="",TRIM(AB648)&lt;&gt;"Closed")),"INVALID – corrective action not recorded/closed","")&lt;&gt;"",IF(AND(TRIM(U648)="Pass",ISNUMBER(AF648)),IF(AF648&lt;&gt;0,"INVALID – qty variance: use Fail or Pass after CA",""),"")&amp;IF(AND(TRIM(U648)="Pass",TRIM(AB648)&lt;&gt;"",TRIM(AB648)&lt;&gt;"Closed"),"INVALID – corrective action not closed: use Fail, then Pass after CA","")&amp;IF(AND(TRIM(AA648)&lt;&gt;"",TRIM(AB648)=""),"INVALID – CA status missing for the recorded corrective action","")&amp;IF(AND(TRIM(U648)="Pass after CA",OR(TRIM(AA648)="",TRIM(AB648)&lt;&gt;"Closed")),"INVALID – corrective action not recorded/closed",""),IF(AND(AS648=1,Documents!$J$24&lt;&gt;"ON FILE"),"INVALID – GLD not on file (Documents sheet)",IF(AND(AS648=2,Documents!$O$24&lt;&gt;"ON FILE"),"INVALID – menu checklist not on file (Documents sheet)",IF(AND(AS648=3,NOT(ISNUMBER(Flights!$AX$24))),"INVALID – enter carrying flight KUL departure (Flights AX)",IF(AND(AS648=3,OR(Flights!$AX$24&gt;=Flights!$AA$24,Flights!$AX$24&lt;Flights!$AA$24-3)),"INVALID – Flights AX must be before this leg's STD (within 3 days)",IF(AG648&gt;AsOfUTC,"INVALID – completion time is in the future",IF(AND(ISNUMBER(S648),AG648&lt;S648),IF(H648="Physical uplift","INVALID – before uplift window (cannot confirm loading)","INVALID – before valid window"),IF(AG648&gt;Flights!$AA$24,"INVALID – completed after departure (cannot establish readiness)",IF(AND(H648="Physical uplift",AG648&gt;Q648),"INVALID – recorded after the loading flight departed",IF(AG648&gt;Q648,"COMPLETE – LATE","COMPLETE")))))))))))))))))),IF(TRIM(U648)="Fail","FAIL – DISCREPANCY",IF(AND(TRIM(U648)&lt;&gt;"",TRIM(U648)&lt;&gt;"Not started",TRIM(U648)&lt;&gt;"In progress"),"INVALID – unrecognised status (use the list)",IF(AsOfUTC&gt;Q648,"OVERDUE",IF(N648="Clarification required","OPEN – CLARIFICATION","OPEN")))))))</f>
        <v>OPEN</v>
      </c>
      <c r="AI648" s="61" t="n">
        <f aca="false">IF(OR(AH648="N/A – RULE",AH648="N/A – JUSTIFIED"),0,1)</f>
        <v>1</v>
      </c>
      <c r="AJ648" s="61" t="n">
        <f aca="false">IF(LEFT(AH648,8)="COMPLETE",1,0)</f>
        <v>0</v>
      </c>
      <c r="AK648" s="61" t="n">
        <f aca="false">IF(AND(AI648=1,AJ648=0,AsOfUTC&gt;Q648),1,0)</f>
        <v>0</v>
      </c>
      <c r="AL648" s="61" t="n">
        <f aca="false">IF(AND(AI648=1,OR(TRIM(U648)="Fail",AND(TRIM(AB648)&lt;&gt;"",TRIM(AB648)&lt;&gt;"Closed"),AND(ISNUMBER(AF648),AF648&lt;&gt;0,TRIM(U648)&lt;&gt;"Pass after CA"))),1,0)</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row>
    <row r="649" customFormat="false" ht="39.75" hidden="false" customHeight="true" outlineLevel="0" collapsed="false">
      <c r="A649" s="57" t="s">
        <v>1329</v>
      </c>
      <c r="B649" s="57" t="s">
        <v>296</v>
      </c>
      <c r="C649" s="57" t="str">
        <f aca="false">Flights!$F$24</f>
        <v>MH1450</v>
      </c>
      <c r="D649" s="58" t="n">
        <f aca="false">Flights!$D$24</f>
        <v>46324</v>
      </c>
      <c r="E649" s="57" t="str">
        <f aca="false">Flights!$G$24&amp;"-"&amp;Flights!$H$24</f>
        <v>KUL-LGK</v>
      </c>
      <c r="F649" s="57" t="str">
        <f aca="false">Flights!$K$24</f>
        <v>EY</v>
      </c>
      <c r="G649" s="57" t="s">
        <v>76</v>
      </c>
      <c r="H649" s="57" t="s">
        <v>343</v>
      </c>
      <c r="I649" s="57" t="s">
        <v>363</v>
      </c>
      <c r="J649" s="57" t="s">
        <v>367</v>
      </c>
      <c r="K649" s="67" t="s">
        <v>368</v>
      </c>
      <c r="L649" s="67" t="s">
        <v>347</v>
      </c>
      <c r="M649" s="67"/>
      <c r="N649" s="67" t="s">
        <v>348</v>
      </c>
      <c r="O649" s="67"/>
      <c r="P649" s="57" t="s">
        <v>179</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59" t="n">
        <f aca="false">Q649-T7EarlyD*24/24</f>
        <v>46303.4375</v>
      </c>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IF(N649="N/A – rule","N/A – RULE",IF(TRIM(U649)="N/A",IF(AT649=0,"INVALID – N/A not permitted for this mandatory check",IF(AND(TRIM(AC649)&lt;&gt;"",TRIM(AE649)&lt;&gt;"",TRIM(T649)&lt;&gt;"",TRIM(AE649)&lt;&gt;TRIM(T649)),"N/A – JUSTIFIED","INVALID – N/A needs justification, PIC and a different verifier")),IF(OR(TRIM(U649)="Pass",TRIM(U649)="Pass after CA"),IF(NOT(ISNUMBER(AD649)),"INVALID – completion time missing",IF(TRIM(T649)="","INVALID – PIC missing",IF(TRIM(V649)="","INVALID – result / assessment missing",IF(TRIM(Z649)="","INVALID – evidence missing",IF(TRIM(AE649)="","INVALID – verifier missing",IF(TRIM(AE649)=TRIM(T649),"INVALID – verifier must be someone other than the PIC",IF(AND(AQ649=1,TRIM(W649)=""),"INVALID – batch ID missing",IF(AND(AR649=1,OR(NOT(ISNUMBER(X649)),NOT(ISNUMBER(Y649)))),"INVALID – expected/actual qty missing",IF(IF(AND(TRIM(U649)="Pass",ISNUMBER(AF649)),IF(AF649&lt;&gt;0,"INVALID – qty variance: use Fail or Pass after CA",""),"")&amp;IF(AND(TRIM(U649)="Pass",TRIM(AB649)&lt;&gt;"",TRIM(AB649)&lt;&gt;"Closed"),"INVALID – corrective action not closed: use Fail, then Pass after CA","")&amp;IF(AND(TRIM(AA649)&lt;&gt;"",TRIM(AB649)=""),"INVALID – CA status missing for the recorded corrective action","")&amp;IF(AND(TRIM(U649)="Pass after CA",OR(TRIM(AA649)="",TRIM(AB649)&lt;&gt;"Closed")),"INVALID – corrective action not recorded/closed","")&lt;&gt;"",IF(AND(TRIM(U649)="Pass",ISNUMBER(AF649)),IF(AF649&lt;&gt;0,"INVALID – qty variance: use Fail or Pass after CA",""),"")&amp;IF(AND(TRIM(U649)="Pass",TRIM(AB649)&lt;&gt;"",TRIM(AB649)&lt;&gt;"Closed"),"INVALID – corrective action not closed: use Fail, then Pass after CA","")&amp;IF(AND(TRIM(AA649)&lt;&gt;"",TRIM(AB649)=""),"INVALID – CA status missing for the recorded corrective action","")&amp;IF(AND(TRIM(U649)="Pass after CA",OR(TRIM(AA649)="",TRIM(AB649)&lt;&gt;"Closed")),"INVALID – corrective action not recorded/closed",""),IF(AND(AS649=1,Documents!$J$24&lt;&gt;"ON FILE"),"INVALID – GLD not on file (Documents sheet)",IF(AND(AS649=2,Documents!$O$24&lt;&gt;"ON FILE"),"INVALID – menu checklist not on file (Documents sheet)",IF(AND(AS649=3,NOT(ISNUMBER(Flights!$AX$24))),"INVALID – enter carrying flight KUL departure (Flights AX)",IF(AND(AS649=3,OR(Flights!$AX$24&gt;=Flights!$AA$24,Flights!$AX$24&lt;Flights!$AA$24-3)),"INVALID – Flights AX must be before this leg's STD (within 3 days)",IF(AG649&gt;AsOfUTC,"INVALID – completion time is in the future",IF(AND(ISNUMBER(S649),AG649&lt;S649),IF(H649="Physical uplift","INVALID – before uplift window (cannot confirm loading)","INVALID – before valid window"),IF(AG649&gt;Flights!$AA$24,"INVALID – completed after departure (cannot establish readiness)",IF(AND(H649="Physical uplift",AG649&gt;Q649),"INVALID – recorded after the loading flight departed",IF(AG649&gt;Q649,"COMPLETE – LATE","COMPLETE")))))))))))))))))),IF(TRIM(U649)="Fail","FAIL – DISCREPANCY",IF(AND(TRIM(U649)&lt;&gt;"",TRIM(U649)&lt;&gt;"Not started",TRIM(U649)&lt;&gt;"In progress"),"INVALID – unrecognised status (use the list)",IF(AsOfUTC&gt;Q649,"OVERDUE",IF(N649="Clarification required","OPEN – CLARIFICATION","OPEN")))))))</f>
        <v>OPEN</v>
      </c>
      <c r="AI649" s="61" t="n">
        <f aca="false">IF(OR(AH649="N/A – RULE",AH649="N/A – JUSTIFIED"),0,1)</f>
        <v>1</v>
      </c>
      <c r="AJ649" s="61" t="n">
        <f aca="false">IF(LEFT(AH649,8)="COMPLETE",1,0)</f>
        <v>0</v>
      </c>
      <c r="AK649" s="61" t="n">
        <f aca="false">IF(AND(AI649=1,AJ649=0,AsOfUTC&gt;Q649),1,0)</f>
        <v>0</v>
      </c>
      <c r="AL649" s="61" t="n">
        <f aca="false">IF(AND(AI649=1,OR(TRIM(U649)="Fail",AND(TRIM(AB649)&lt;&gt;"",TRIM(AB649)&lt;&gt;"Closed"),AND(ISNUMBER(AF649),AF649&lt;&gt;0,TRIM(U649)&lt;&gt;"Pass after CA"))),1,0)</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row>
    <row r="650" customFormat="false" ht="39.75" hidden="false" customHeight="true" outlineLevel="0" collapsed="false">
      <c r="A650" s="57" t="s">
        <v>1330</v>
      </c>
      <c r="B650" s="57" t="s">
        <v>296</v>
      </c>
      <c r="C650" s="57" t="str">
        <f aca="false">Flights!$F$24</f>
        <v>MH1450</v>
      </c>
      <c r="D650" s="58" t="n">
        <f aca="false">Flights!$D$24</f>
        <v>46324</v>
      </c>
      <c r="E650" s="57" t="str">
        <f aca="false">Flights!$G$24&amp;"-"&amp;Flights!$H$24</f>
        <v>KUL-LGK</v>
      </c>
      <c r="F650" s="57" t="str">
        <f aca="false">Flights!$K$24</f>
        <v>EY</v>
      </c>
      <c r="G650" s="57" t="s">
        <v>76</v>
      </c>
      <c r="H650" s="57" t="s">
        <v>343</v>
      </c>
      <c r="I650" s="57" t="s">
        <v>370</v>
      </c>
      <c r="J650" s="57" t="s">
        <v>371</v>
      </c>
      <c r="K650" s="67" t="s">
        <v>372</v>
      </c>
      <c r="L650" s="67" t="s">
        <v>347</v>
      </c>
      <c r="M650" s="67"/>
      <c r="N650" s="67" t="s">
        <v>348</v>
      </c>
      <c r="O650" s="67"/>
      <c r="P650" s="57" t="s">
        <v>179</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59" t="n">
        <f aca="false">Q650-T7EarlyD*24/24</f>
        <v>46303.4375</v>
      </c>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IF(N650="N/A – rule","N/A – RULE",IF(TRIM(U650)="N/A",IF(AT650=0,"INVALID – N/A not permitted for this mandatory check",IF(AND(TRIM(AC650)&lt;&gt;"",TRIM(AE650)&lt;&gt;"",TRIM(T650)&lt;&gt;"",TRIM(AE650)&lt;&gt;TRIM(T650)),"N/A – JUSTIFIED","INVALID – N/A needs justification, PIC and a different verifier")),IF(OR(TRIM(U650)="Pass",TRIM(U650)="Pass after CA"),IF(NOT(ISNUMBER(AD650)),"INVALID – completion time missing",IF(TRIM(T650)="","INVALID – PIC missing",IF(TRIM(V650)="","INVALID – result / assessment missing",IF(TRIM(Z650)="","INVALID – evidence missing",IF(TRIM(AE650)="","INVALID – verifier missing",IF(TRIM(AE650)=TRIM(T650),"INVALID – verifier must be someone other than the PIC",IF(AND(AQ650=1,TRIM(W650)=""),"INVALID – batch ID missing",IF(AND(AR650=1,OR(NOT(ISNUMBER(X650)),NOT(ISNUMBER(Y650)))),"INVALID – expected/actual qty missing",IF(IF(AND(TRIM(U650)="Pass",ISNUMBER(AF650)),IF(AF650&lt;&gt;0,"INVALID – qty variance: use Fail or Pass after CA",""),"")&amp;IF(AND(TRIM(U650)="Pass",TRIM(AB650)&lt;&gt;"",TRIM(AB650)&lt;&gt;"Closed"),"INVALID – corrective action not closed: use Fail, then Pass after CA","")&amp;IF(AND(TRIM(AA650)&lt;&gt;"",TRIM(AB650)=""),"INVALID – CA status missing for the recorded corrective action","")&amp;IF(AND(TRIM(U650)="Pass after CA",OR(TRIM(AA650)="",TRIM(AB650)&lt;&gt;"Closed")),"INVALID – corrective action not recorded/closed","")&lt;&gt;"",IF(AND(TRIM(U650)="Pass",ISNUMBER(AF650)),IF(AF650&lt;&gt;0,"INVALID – qty variance: use Fail or Pass after CA",""),"")&amp;IF(AND(TRIM(U650)="Pass",TRIM(AB650)&lt;&gt;"",TRIM(AB650)&lt;&gt;"Closed"),"INVALID – corrective action not closed: use Fail, then Pass after CA","")&amp;IF(AND(TRIM(AA650)&lt;&gt;"",TRIM(AB650)=""),"INVALID – CA status missing for the recorded corrective action","")&amp;IF(AND(TRIM(U650)="Pass after CA",OR(TRIM(AA650)="",TRIM(AB650)&lt;&gt;"Closed")),"INVALID – corrective action not recorded/closed",""),IF(AND(AS650=1,Documents!$J$24&lt;&gt;"ON FILE"),"INVALID – GLD not on file (Documents sheet)",IF(AND(AS650=2,Documents!$O$24&lt;&gt;"ON FILE"),"INVALID – menu checklist not on file (Documents sheet)",IF(AND(AS650=3,NOT(ISNUMBER(Flights!$AX$24))),"INVALID – enter carrying flight KUL departure (Flights AX)",IF(AND(AS650=3,OR(Flights!$AX$24&gt;=Flights!$AA$24,Flights!$AX$24&lt;Flights!$AA$24-3)),"INVALID – Flights AX must be before this leg's STD (within 3 days)",IF(AG650&gt;AsOfUTC,"INVALID – completion time is in the future",IF(AND(ISNUMBER(S650),AG650&lt;S650),IF(H650="Physical uplift","INVALID – before uplift window (cannot confirm loading)","INVALID – before valid window"),IF(AG650&gt;Flights!$AA$24,"INVALID – completed after departure (cannot establish readiness)",IF(AND(H650="Physical uplift",AG650&gt;Q650),"INVALID – recorded after the loading flight departed",IF(AG650&gt;Q650,"COMPLETE – LATE","COMPLETE")))))))))))))))))),IF(TRIM(U650)="Fail","FAIL – DISCREPANCY",IF(AND(TRIM(U650)&lt;&gt;"",TRIM(U650)&lt;&gt;"Not started",TRIM(U650)&lt;&gt;"In progress"),"INVALID – unrecognised status (use the list)",IF(AsOfUTC&gt;Q650,"OVERDUE",IF(N650="Clarification required","OPEN – CLARIFICATION","OPEN")))))))</f>
        <v>OPEN</v>
      </c>
      <c r="AI650" s="61" t="n">
        <f aca="false">IF(OR(AH650="N/A – RULE",AH650="N/A – JUSTIFIED"),0,1)</f>
        <v>1</v>
      </c>
      <c r="AJ650" s="61" t="n">
        <f aca="false">IF(LEFT(AH650,8)="COMPLETE",1,0)</f>
        <v>0</v>
      </c>
      <c r="AK650" s="61" t="n">
        <f aca="false">IF(AND(AI650=1,AJ650=0,AsOfUTC&gt;Q650),1,0)</f>
        <v>0</v>
      </c>
      <c r="AL650" s="61" t="n">
        <f aca="false">IF(AND(AI650=1,OR(TRIM(U650)="Fail",AND(TRIM(AB650)&lt;&gt;"",TRIM(AB650)&lt;&gt;"Closed"),AND(ISNUMBER(AF650),AF650&lt;&gt;0,TRIM(U650)&lt;&gt;"Pass after CA"))),1,0)</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row>
    <row r="651" customFormat="false" ht="39.75" hidden="false" customHeight="true" outlineLevel="0" collapsed="false">
      <c r="A651" s="57" t="s">
        <v>1331</v>
      </c>
      <c r="B651" s="57" t="s">
        <v>296</v>
      </c>
      <c r="C651" s="57" t="str">
        <f aca="false">Flights!$F$24</f>
        <v>MH1450</v>
      </c>
      <c r="D651" s="58" t="n">
        <f aca="false">Flights!$D$24</f>
        <v>46324</v>
      </c>
      <c r="E651" s="57" t="str">
        <f aca="false">Flights!$G$24&amp;"-"&amp;Flights!$H$24</f>
        <v>KUL-LGK</v>
      </c>
      <c r="F651" s="57" t="str">
        <f aca="false">Flights!$K$24</f>
        <v>EY</v>
      </c>
      <c r="G651" s="57" t="s">
        <v>76</v>
      </c>
      <c r="H651" s="57" t="s">
        <v>343</v>
      </c>
      <c r="I651" s="57" t="s">
        <v>370</v>
      </c>
      <c r="J651" s="57" t="s">
        <v>374</v>
      </c>
      <c r="K651" s="67" t="s">
        <v>372</v>
      </c>
      <c r="L651" s="67" t="s">
        <v>347</v>
      </c>
      <c r="M651" s="67"/>
      <c r="N651" s="67" t="s">
        <v>348</v>
      </c>
      <c r="O651" s="67"/>
      <c r="P651" s="57" t="s">
        <v>179</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59" t="n">
        <f aca="false">Q651-T7EarlyD*24/24</f>
        <v>46303.4375</v>
      </c>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IF(N651="N/A – rule","N/A – RULE",IF(TRIM(U651)="N/A",IF(AT651=0,"INVALID – N/A not permitted for this mandatory check",IF(AND(TRIM(AC651)&lt;&gt;"",TRIM(AE651)&lt;&gt;"",TRIM(T651)&lt;&gt;"",TRIM(AE651)&lt;&gt;TRIM(T651)),"N/A – JUSTIFIED","INVALID – N/A needs justification, PIC and a different verifier")),IF(OR(TRIM(U651)="Pass",TRIM(U651)="Pass after CA"),IF(NOT(ISNUMBER(AD651)),"INVALID – completion time missing",IF(TRIM(T651)="","INVALID – PIC missing",IF(TRIM(V651)="","INVALID – result / assessment missing",IF(TRIM(Z651)="","INVALID – evidence missing",IF(TRIM(AE651)="","INVALID – verifier missing",IF(TRIM(AE651)=TRIM(T651),"INVALID – verifier must be someone other than the PIC",IF(AND(AQ651=1,TRIM(W651)=""),"INVALID – batch ID missing",IF(AND(AR651=1,OR(NOT(ISNUMBER(X651)),NOT(ISNUMBER(Y651)))),"INVALID – expected/actual qty missing",IF(IF(AND(TRIM(U651)="Pass",ISNUMBER(AF651)),IF(AF651&lt;&gt;0,"INVALID – qty variance: use Fail or Pass after CA",""),"")&amp;IF(AND(TRIM(U651)="Pass",TRIM(AB651)&lt;&gt;"",TRIM(AB651)&lt;&gt;"Closed"),"INVALID – corrective action not closed: use Fail, then Pass after CA","")&amp;IF(AND(TRIM(AA651)&lt;&gt;"",TRIM(AB651)=""),"INVALID – CA status missing for the recorded corrective action","")&amp;IF(AND(TRIM(U651)="Pass after CA",OR(TRIM(AA651)="",TRIM(AB651)&lt;&gt;"Closed")),"INVALID – corrective action not recorded/closed","")&lt;&gt;"",IF(AND(TRIM(U651)="Pass",ISNUMBER(AF651)),IF(AF651&lt;&gt;0,"INVALID – qty variance: use Fail or Pass after CA",""),"")&amp;IF(AND(TRIM(U651)="Pass",TRIM(AB651)&lt;&gt;"",TRIM(AB651)&lt;&gt;"Closed"),"INVALID – corrective action not closed: use Fail, then Pass after CA","")&amp;IF(AND(TRIM(AA651)&lt;&gt;"",TRIM(AB651)=""),"INVALID – CA status missing for the recorded corrective action","")&amp;IF(AND(TRIM(U651)="Pass after CA",OR(TRIM(AA651)="",TRIM(AB651)&lt;&gt;"Closed")),"INVALID – corrective action not recorded/closed",""),IF(AND(AS651=1,Documents!$J$24&lt;&gt;"ON FILE"),"INVALID – GLD not on file (Documents sheet)",IF(AND(AS651=2,Documents!$O$24&lt;&gt;"ON FILE"),"INVALID – menu checklist not on file (Documents sheet)",IF(AND(AS651=3,NOT(ISNUMBER(Flights!$AX$24))),"INVALID – enter carrying flight KUL departure (Flights AX)",IF(AND(AS651=3,OR(Flights!$AX$24&gt;=Flights!$AA$24,Flights!$AX$24&lt;Flights!$AA$24-3)),"INVALID – Flights AX must be before this leg's STD (within 3 days)",IF(AG651&gt;AsOfUTC,"INVALID – completion time is in the future",IF(AND(ISNUMBER(S651),AG651&lt;S651),IF(H651="Physical uplift","INVALID – before uplift window (cannot confirm loading)","INVALID – before valid window"),IF(AG651&gt;Flights!$AA$24,"INVALID – completed after departure (cannot establish readiness)",IF(AND(H651="Physical uplift",AG651&gt;Q651),"INVALID – recorded after the loading flight departed",IF(AG651&gt;Q651,"COMPLETE – LATE","COMPLETE")))))))))))))))))),IF(TRIM(U651)="Fail","FAIL – DISCREPANCY",IF(AND(TRIM(U651)&lt;&gt;"",TRIM(U651)&lt;&gt;"Not started",TRIM(U651)&lt;&gt;"In progress"),"INVALID – unrecognised status (use the list)",IF(AsOfUTC&gt;Q651,"OVERDUE",IF(N651="Clarification required","OPEN – CLARIFICATION","OPEN")))))))</f>
        <v>OPEN</v>
      </c>
      <c r="AI651" s="61" t="n">
        <f aca="false">IF(OR(AH651="N/A – RULE",AH651="N/A – JUSTIFIED"),0,1)</f>
        <v>1</v>
      </c>
      <c r="AJ651" s="61" t="n">
        <f aca="false">IF(LEFT(AH651,8)="COMPLETE",1,0)</f>
        <v>0</v>
      </c>
      <c r="AK651" s="61" t="n">
        <f aca="false">IF(AND(AI651=1,AJ651=0,AsOfUTC&gt;Q651),1,0)</f>
        <v>0</v>
      </c>
      <c r="AL651" s="61" t="n">
        <f aca="false">IF(AND(AI651=1,OR(TRIM(U651)="Fail",AND(TRIM(AB651)&lt;&gt;"",TRIM(AB651)&lt;&gt;"Closed"),AND(ISNUMBER(AF651),AF651&lt;&gt;0,TRIM(U651)&lt;&gt;"Pass after CA"))),1,0)</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row>
    <row r="652" customFormat="false" ht="39.75" hidden="false" customHeight="true" outlineLevel="0" collapsed="false">
      <c r="A652" s="57" t="s">
        <v>1332</v>
      </c>
      <c r="B652" s="57" t="s">
        <v>296</v>
      </c>
      <c r="C652" s="57" t="str">
        <f aca="false">Flights!$F$24</f>
        <v>MH1450</v>
      </c>
      <c r="D652" s="58" t="n">
        <f aca="false">Flights!$D$24</f>
        <v>46324</v>
      </c>
      <c r="E652" s="57" t="str">
        <f aca="false">Flights!$G$24&amp;"-"&amp;Flights!$H$24</f>
        <v>KUL-LGK</v>
      </c>
      <c r="F652" s="57" t="str">
        <f aca="false">Flights!$K$24</f>
        <v>EY</v>
      </c>
      <c r="G652" s="57" t="s">
        <v>76</v>
      </c>
      <c r="H652" s="57" t="s">
        <v>343</v>
      </c>
      <c r="I652" s="57" t="s">
        <v>376</v>
      </c>
      <c r="J652" s="57" t="s">
        <v>377</v>
      </c>
      <c r="K652" s="67" t="s">
        <v>887</v>
      </c>
      <c r="L652" s="67" t="s">
        <v>1333</v>
      </c>
      <c r="M652" s="67"/>
      <c r="N652" s="67" t="s">
        <v>348</v>
      </c>
      <c r="O652" s="67"/>
      <c r="P652" s="57" t="s">
        <v>179</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59" t="n">
        <f aca="false">Q652-T7EarlyD*24/24</f>
        <v>46303.4375</v>
      </c>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IF(N652="N/A – rule","N/A – RULE",IF(TRIM(U652)="N/A",IF(AT652=0,"INVALID – N/A not permitted for this mandatory check",IF(AND(TRIM(AC652)&lt;&gt;"",TRIM(AE652)&lt;&gt;"",TRIM(T652)&lt;&gt;"",TRIM(AE652)&lt;&gt;TRIM(T652)),"N/A – JUSTIFIED","INVALID – N/A needs justification, PIC and a different verifier")),IF(OR(TRIM(U652)="Pass",TRIM(U652)="Pass after CA"),IF(NOT(ISNUMBER(AD652)),"INVALID – completion time missing",IF(TRIM(T652)="","INVALID – PIC missing",IF(TRIM(V652)="","INVALID – result / assessment missing",IF(TRIM(Z652)="","INVALID – evidence missing",IF(TRIM(AE652)="","INVALID – verifier missing",IF(TRIM(AE652)=TRIM(T652),"INVALID – verifier must be someone other than the PIC",IF(AND(AQ652=1,TRIM(W652)=""),"INVALID – batch ID missing",IF(AND(AR652=1,OR(NOT(ISNUMBER(X652)),NOT(ISNUMBER(Y652)))),"INVALID – expected/actual qty missing",IF(IF(AND(TRIM(U652)="Pass",ISNUMBER(AF652)),IF(AF652&lt;&gt;0,"INVALID – qty variance: use Fail or Pass after CA",""),"")&amp;IF(AND(TRIM(U652)="Pass",TRIM(AB652)&lt;&gt;"",TRIM(AB652)&lt;&gt;"Closed"),"INVALID – corrective action not closed: use Fail, then Pass after CA","")&amp;IF(AND(TRIM(AA652)&lt;&gt;"",TRIM(AB652)=""),"INVALID – CA status missing for the recorded corrective action","")&amp;IF(AND(TRIM(U652)="Pass after CA",OR(TRIM(AA652)="",TRIM(AB652)&lt;&gt;"Closed")),"INVALID – corrective action not recorded/closed","")&lt;&gt;"",IF(AND(TRIM(U652)="Pass",ISNUMBER(AF652)),IF(AF652&lt;&gt;0,"INVALID – qty variance: use Fail or Pass after CA",""),"")&amp;IF(AND(TRIM(U652)="Pass",TRIM(AB652)&lt;&gt;"",TRIM(AB652)&lt;&gt;"Closed"),"INVALID – corrective action not closed: use Fail, then Pass after CA","")&amp;IF(AND(TRIM(AA652)&lt;&gt;"",TRIM(AB652)=""),"INVALID – CA status missing for the recorded corrective action","")&amp;IF(AND(TRIM(U652)="Pass after CA",OR(TRIM(AA652)="",TRIM(AB652)&lt;&gt;"Closed")),"INVALID – corrective action not recorded/closed",""),IF(AND(AS652=1,Documents!$J$24&lt;&gt;"ON FILE"),"INVALID – GLD not on file (Documents sheet)",IF(AND(AS652=2,Documents!$O$24&lt;&gt;"ON FILE"),"INVALID – menu checklist not on file (Documents sheet)",IF(AND(AS652=3,NOT(ISNUMBER(Flights!$AX$24))),"INVALID – enter carrying flight KUL departure (Flights AX)",IF(AND(AS652=3,OR(Flights!$AX$24&gt;=Flights!$AA$24,Flights!$AX$24&lt;Flights!$AA$24-3)),"INVALID – Flights AX must be before this leg's STD (within 3 days)",IF(AG652&gt;AsOfUTC,"INVALID – completion time is in the future",IF(AND(ISNUMBER(S652),AG652&lt;S652),IF(H652="Physical uplift","INVALID – before uplift window (cannot confirm loading)","INVALID – before valid window"),IF(AG652&gt;Flights!$AA$24,"INVALID – completed after departure (cannot establish readiness)",IF(AND(H652="Physical uplift",AG652&gt;Q652),"INVALID – recorded after the loading flight departed",IF(AG652&gt;Q652,"COMPLETE – LATE","COMPLETE")))))))))))))))))),IF(TRIM(U652)="Fail","FAIL – DISCREPANCY",IF(AND(TRIM(U652)&lt;&gt;"",TRIM(U652)&lt;&gt;"Not started",TRIM(U652)&lt;&gt;"In progress"),"INVALID – unrecognised status (use the list)",IF(AsOfUTC&gt;Q652,"OVERDUE",IF(N652="Clarification required","OPEN – CLARIFICATION","OPEN")))))))</f>
        <v>OPEN</v>
      </c>
      <c r="AI652" s="61" t="n">
        <f aca="false">IF(OR(AH652="N/A – RULE",AH652="N/A – JUSTIFIED"),0,1)</f>
        <v>1</v>
      </c>
      <c r="AJ652" s="61" t="n">
        <f aca="false">IF(LEFT(AH652,8)="COMPLETE",1,0)</f>
        <v>0</v>
      </c>
      <c r="AK652" s="61" t="n">
        <f aca="false">IF(AND(AI652=1,AJ652=0,AsOfUTC&gt;Q652),1,0)</f>
        <v>0</v>
      </c>
      <c r="AL652" s="61" t="n">
        <f aca="false">IF(AND(AI652=1,OR(TRIM(U652)="Fail",AND(TRIM(AB652)&lt;&gt;"",TRIM(AB652)&lt;&gt;"Closed"),AND(ISNUMBER(AF652),AF652&lt;&gt;0,TRIM(U652)&lt;&gt;"Pass after CA"))),1,0)</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row>
    <row r="653" customFormat="false" ht="39.75" hidden="false" customHeight="true" outlineLevel="0" collapsed="false">
      <c r="A653" s="57" t="s">
        <v>1334</v>
      </c>
      <c r="B653" s="57" t="s">
        <v>296</v>
      </c>
      <c r="C653" s="57" t="str">
        <f aca="false">Flights!$F$24</f>
        <v>MH1450</v>
      </c>
      <c r="D653" s="58" t="n">
        <f aca="false">Flights!$D$24</f>
        <v>46324</v>
      </c>
      <c r="E653" s="57" t="str">
        <f aca="false">Flights!$G$24&amp;"-"&amp;Flights!$H$24</f>
        <v>KUL-LGK</v>
      </c>
      <c r="F653" s="57" t="str">
        <f aca="false">Flights!$K$24</f>
        <v>EY</v>
      </c>
      <c r="G653" s="57" t="s">
        <v>78</v>
      </c>
      <c r="H653" s="57" t="s">
        <v>343</v>
      </c>
      <c r="I653" s="57" t="s">
        <v>344</v>
      </c>
      <c r="J653" s="57" t="s">
        <v>381</v>
      </c>
      <c r="K653" s="67" t="s">
        <v>382</v>
      </c>
      <c r="L653" s="67" t="s">
        <v>383</v>
      </c>
      <c r="M653" s="67"/>
      <c r="N653" s="67" t="s">
        <v>348</v>
      </c>
      <c r="O653" s="67"/>
      <c r="P653" s="57" t="s">
        <v>179</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59" t="n">
        <f aca="false">Q653-T24EarlyH/24</f>
        <v>46322.4375</v>
      </c>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IF(N653="N/A – rule","N/A – RULE",IF(TRIM(U653)="N/A",IF(AT653=0,"INVALID – N/A not permitted for this mandatory check",IF(AND(TRIM(AC653)&lt;&gt;"",TRIM(AE653)&lt;&gt;"",TRIM(T653)&lt;&gt;"",TRIM(AE653)&lt;&gt;TRIM(T653)),"N/A – JUSTIFIED","INVALID – N/A needs justification, PIC and a different verifier")),IF(OR(TRIM(U653)="Pass",TRIM(U653)="Pass after CA"),IF(NOT(ISNUMBER(AD653)),"INVALID – completion time missing",IF(TRIM(T653)="","INVALID – PIC missing",IF(TRIM(V653)="","INVALID – result / assessment missing",IF(TRIM(Z653)="","INVALID – evidence missing",IF(TRIM(AE653)="","INVALID – verifier missing",IF(TRIM(AE653)=TRIM(T653),"INVALID – verifier must be someone other than the PIC",IF(AND(AQ653=1,TRIM(W653)=""),"INVALID – batch ID missing",IF(AND(AR653=1,OR(NOT(ISNUMBER(X653)),NOT(ISNUMBER(Y653)))),"INVALID – expected/actual qty missing",IF(IF(AND(TRIM(U653)="Pass",ISNUMBER(AF653)),IF(AF653&lt;&gt;0,"INVALID – qty variance: use Fail or Pass after CA",""),"")&amp;IF(AND(TRIM(U653)="Pass",TRIM(AB653)&lt;&gt;"",TRIM(AB653)&lt;&gt;"Closed"),"INVALID – corrective action not closed: use Fail, then Pass after CA","")&amp;IF(AND(TRIM(AA653)&lt;&gt;"",TRIM(AB653)=""),"INVALID – CA status missing for the recorded corrective action","")&amp;IF(AND(TRIM(U653)="Pass after CA",OR(TRIM(AA653)="",TRIM(AB653)&lt;&gt;"Closed")),"INVALID – corrective action not recorded/closed","")&lt;&gt;"",IF(AND(TRIM(U653)="Pass",ISNUMBER(AF653)),IF(AF653&lt;&gt;0,"INVALID – qty variance: use Fail or Pass after CA",""),"")&amp;IF(AND(TRIM(U653)="Pass",TRIM(AB653)&lt;&gt;"",TRIM(AB653)&lt;&gt;"Closed"),"INVALID – corrective action not closed: use Fail, then Pass after CA","")&amp;IF(AND(TRIM(AA653)&lt;&gt;"",TRIM(AB653)=""),"INVALID – CA status missing for the recorded corrective action","")&amp;IF(AND(TRIM(U653)="Pass after CA",OR(TRIM(AA653)="",TRIM(AB653)&lt;&gt;"Closed")),"INVALID – corrective action not recorded/closed",""),IF(AND(AS653=1,Documents!$J$24&lt;&gt;"ON FILE"),"INVALID – GLD not on file (Documents sheet)",IF(AND(AS653=2,Documents!$O$24&lt;&gt;"ON FILE"),"INVALID – menu checklist not on file (Documents sheet)",IF(AND(AS653=3,NOT(ISNUMBER(Flights!$AX$24))),"INVALID – enter carrying flight KUL departure (Flights AX)",IF(AND(AS653=3,OR(Flights!$AX$24&gt;=Flights!$AA$24,Flights!$AX$24&lt;Flights!$AA$24-3)),"INVALID – Flights AX must be before this leg's STD (within 3 days)",IF(AG653&gt;AsOfUTC,"INVALID – completion time is in the future",IF(AND(ISNUMBER(S653),AG653&lt;S653),IF(H653="Physical uplift","INVALID – before uplift window (cannot confirm loading)","INVALID – before valid window"),IF(AG653&gt;Flights!$AA$24,"INVALID – completed after departure (cannot establish readiness)",IF(AND(H653="Physical uplift",AG653&gt;Q653),"INVALID – recorded after the loading flight departed",IF(AG653&gt;Q653,"COMPLETE – LATE","COMPLETE")))))))))))))))))),IF(TRIM(U653)="Fail","FAIL – DISCREPANCY",IF(AND(TRIM(U653)&lt;&gt;"",TRIM(U653)&lt;&gt;"Not started",TRIM(U653)&lt;&gt;"In progress"),"INVALID – unrecognised status (use the list)",IF(AsOfUTC&gt;Q653,"OVERDUE",IF(N653="Clarification required","OPEN – CLARIFICATION","OPEN")))))))</f>
        <v>OPEN</v>
      </c>
      <c r="AI653" s="61" t="n">
        <f aca="false">IF(OR(AH653="N/A – RULE",AH653="N/A – JUSTIFIED"),0,1)</f>
        <v>1</v>
      </c>
      <c r="AJ653" s="61" t="n">
        <f aca="false">IF(LEFT(AH653,8)="COMPLETE",1,0)</f>
        <v>0</v>
      </c>
      <c r="AK653" s="61" t="n">
        <f aca="false">IF(AND(AI653=1,AJ653=0,AsOfUTC&gt;Q653),1,0)</f>
        <v>0</v>
      </c>
      <c r="AL653" s="61" t="n">
        <f aca="false">IF(AND(AI653=1,OR(TRIM(U653)="Fail",AND(TRIM(AB653)&lt;&gt;"",TRIM(AB653)&lt;&gt;"Closed"),AND(ISNUMBER(AF653),AF653&lt;&gt;0,TRIM(U653)&lt;&gt;"Pass after CA"))),1,0)</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row>
    <row r="654" customFormat="false" ht="39.75" hidden="false" customHeight="true" outlineLevel="0" collapsed="false">
      <c r="A654" s="57" t="s">
        <v>1335</v>
      </c>
      <c r="B654" s="57" t="s">
        <v>296</v>
      </c>
      <c r="C654" s="57" t="str">
        <f aca="false">Flights!$F$24</f>
        <v>MH1450</v>
      </c>
      <c r="D654" s="58" t="n">
        <f aca="false">Flights!$D$24</f>
        <v>46324</v>
      </c>
      <c r="E654" s="57" t="str">
        <f aca="false">Flights!$G$24&amp;"-"&amp;Flights!$H$24</f>
        <v>KUL-LGK</v>
      </c>
      <c r="F654" s="57" t="str">
        <f aca="false">Flights!$K$24</f>
        <v>EY</v>
      </c>
      <c r="G654" s="57" t="s">
        <v>385</v>
      </c>
      <c r="H654" s="57" t="s">
        <v>343</v>
      </c>
      <c r="I654" s="57" t="s">
        <v>344</v>
      </c>
      <c r="J654" s="57" t="s">
        <v>386</v>
      </c>
      <c r="K654" s="67"/>
      <c r="L654" s="67" t="s">
        <v>387</v>
      </c>
      <c r="M654" s="67"/>
      <c r="N654" s="67" t="s">
        <v>348</v>
      </c>
      <c r="O654" s="67" t="s">
        <v>388</v>
      </c>
      <c r="P654" s="57" t="s">
        <v>179</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59" t="n">
        <f aca="false">Q654-T12EarlyH/24</f>
        <v>46323.4375</v>
      </c>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IF(N654="N/A – rule","N/A – RULE",IF(TRIM(U654)="N/A",IF(AT654=0,"INVALID – N/A not permitted for this mandatory check",IF(AND(TRIM(AC654)&lt;&gt;"",TRIM(AE654)&lt;&gt;"",TRIM(T654)&lt;&gt;"",TRIM(AE654)&lt;&gt;TRIM(T654)),"N/A – JUSTIFIED","INVALID – N/A needs justification, PIC and a different verifier")),IF(OR(TRIM(U654)="Pass",TRIM(U654)="Pass after CA"),IF(NOT(ISNUMBER(AD654)),"INVALID – completion time missing",IF(TRIM(T654)="","INVALID – PIC missing",IF(TRIM(V654)="","INVALID – result / assessment missing",IF(TRIM(Z654)="","INVALID – evidence missing",IF(TRIM(AE654)="","INVALID – verifier missing",IF(TRIM(AE654)=TRIM(T654),"INVALID – verifier must be someone other than the PIC",IF(AND(AQ654=1,TRIM(W654)=""),"INVALID – batch ID missing",IF(AND(AR654=1,OR(NOT(ISNUMBER(X654)),NOT(ISNUMBER(Y654)))),"INVALID – expected/actual qty missing",IF(IF(AND(TRIM(U654)="Pass",ISNUMBER(AF654)),IF(AF654&lt;&gt;0,"INVALID – qty variance: use Fail or Pass after CA",""),"")&amp;IF(AND(TRIM(U654)="Pass",TRIM(AB654)&lt;&gt;"",TRIM(AB654)&lt;&gt;"Closed"),"INVALID – corrective action not closed: use Fail, then Pass after CA","")&amp;IF(AND(TRIM(AA654)&lt;&gt;"",TRIM(AB654)=""),"INVALID – CA status missing for the recorded corrective action","")&amp;IF(AND(TRIM(U654)="Pass after CA",OR(TRIM(AA654)="",TRIM(AB654)&lt;&gt;"Closed")),"INVALID – corrective action not recorded/closed","")&lt;&gt;"",IF(AND(TRIM(U654)="Pass",ISNUMBER(AF654)),IF(AF654&lt;&gt;0,"INVALID – qty variance: use Fail or Pass after CA",""),"")&amp;IF(AND(TRIM(U654)="Pass",TRIM(AB654)&lt;&gt;"",TRIM(AB654)&lt;&gt;"Closed"),"INVALID – corrective action not closed: use Fail, then Pass after CA","")&amp;IF(AND(TRIM(AA654)&lt;&gt;"",TRIM(AB654)=""),"INVALID – CA status missing for the recorded corrective action","")&amp;IF(AND(TRIM(U654)="Pass after CA",OR(TRIM(AA654)="",TRIM(AB654)&lt;&gt;"Closed")),"INVALID – corrective action not recorded/closed",""),IF(AND(AS654=1,Documents!$J$24&lt;&gt;"ON FILE"),"INVALID – GLD not on file (Documents sheet)",IF(AND(AS654=2,Documents!$O$24&lt;&gt;"ON FILE"),"INVALID – menu checklist not on file (Documents sheet)",IF(AND(AS654=3,NOT(ISNUMBER(Flights!$AX$24))),"INVALID – enter carrying flight KUL departure (Flights AX)",IF(AND(AS654=3,OR(Flights!$AX$24&gt;=Flights!$AA$24,Flights!$AX$24&lt;Flights!$AA$24-3)),"INVALID – Flights AX must be before this leg's STD (within 3 days)",IF(AG654&gt;AsOfUTC,"INVALID – completion time is in the future",IF(AND(ISNUMBER(S654),AG654&lt;S654),IF(H654="Physical uplift","INVALID – before uplift window (cannot confirm loading)","INVALID – before valid window"),IF(AG654&gt;Flights!$AA$24,"INVALID – completed after departure (cannot establish readiness)",IF(AND(H654="Physical uplift",AG654&gt;Q654),"INVALID – recorded after the loading flight departed",IF(AG654&gt;Q654,"COMPLETE – LATE","COMPLETE")))))))))))))))))),IF(TRIM(U654)="Fail","FAIL – DISCREPANCY",IF(AND(TRIM(U654)&lt;&gt;"",TRIM(U654)&lt;&gt;"Not started",TRIM(U654)&lt;&gt;"In progress"),"INVALID – unrecognised status (use the list)",IF(AsOfUTC&gt;Q654,"OVERDUE",IF(N654="Clarification required","OPEN – CLARIFICATION","OPEN")))))))</f>
        <v>OPEN</v>
      </c>
      <c r="AI654" s="61" t="n">
        <f aca="false">IF(OR(AH654="N/A – RULE",AH654="N/A – JUSTIFIED"),0,1)</f>
        <v>1</v>
      </c>
      <c r="AJ654" s="61" t="n">
        <f aca="false">IF(LEFT(AH654,8)="COMPLETE",1,0)</f>
        <v>0</v>
      </c>
      <c r="AK654" s="61" t="n">
        <f aca="false">IF(AND(AI654=1,AJ654=0,AsOfUTC&gt;Q654),1,0)</f>
        <v>0</v>
      </c>
      <c r="AL654" s="61" t="n">
        <f aca="false">IF(AND(AI654=1,OR(TRIM(U654)="Fail",AND(TRIM(AB654)&lt;&gt;"",TRIM(AB654)&lt;&gt;"Closed"),AND(ISNUMBER(AF654),AF654&lt;&gt;0,TRIM(U654)&lt;&gt;"Pass after CA"))),1,0)</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row>
    <row r="655" customFormat="false" ht="39.75" hidden="false" customHeight="true" outlineLevel="0" collapsed="false">
      <c r="A655" s="57" t="s">
        <v>1336</v>
      </c>
      <c r="B655" s="57" t="s">
        <v>296</v>
      </c>
      <c r="C655" s="57" t="str">
        <f aca="false">Flights!$F$24</f>
        <v>MH1450</v>
      </c>
      <c r="D655" s="58" t="n">
        <f aca="false">Flights!$D$24</f>
        <v>46324</v>
      </c>
      <c r="E655" s="57" t="str">
        <f aca="false">Flights!$G$24&amp;"-"&amp;Flights!$H$24</f>
        <v>KUL-LGK</v>
      </c>
      <c r="F655" s="57" t="str">
        <f aca="false">Flights!$K$24</f>
        <v>EY</v>
      </c>
      <c r="G655" s="57" t="s">
        <v>385</v>
      </c>
      <c r="H655" s="57" t="s">
        <v>343</v>
      </c>
      <c r="I655" s="57" t="s">
        <v>344</v>
      </c>
      <c r="J655" s="57" t="s">
        <v>390</v>
      </c>
      <c r="K655" s="67" t="s">
        <v>391</v>
      </c>
      <c r="L655" s="67" t="s">
        <v>387</v>
      </c>
      <c r="M655" s="67"/>
      <c r="N655" s="67" t="s">
        <v>348</v>
      </c>
      <c r="O655" s="67" t="s">
        <v>388</v>
      </c>
      <c r="P655" s="57" t="s">
        <v>179</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59" t="n">
        <f aca="false">Q655-T12EarlyH/24</f>
        <v>46323.4375</v>
      </c>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IF(N655="N/A – rule","N/A – RULE",IF(TRIM(U655)="N/A",IF(AT655=0,"INVALID – N/A not permitted for this mandatory check",IF(AND(TRIM(AC655)&lt;&gt;"",TRIM(AE655)&lt;&gt;"",TRIM(T655)&lt;&gt;"",TRIM(AE655)&lt;&gt;TRIM(T655)),"N/A – JUSTIFIED","INVALID – N/A needs justification, PIC and a different verifier")),IF(OR(TRIM(U655)="Pass",TRIM(U655)="Pass after CA"),IF(NOT(ISNUMBER(AD655)),"INVALID – completion time missing",IF(TRIM(T655)="","INVALID – PIC missing",IF(TRIM(V655)="","INVALID – result / assessment missing",IF(TRIM(Z655)="","INVALID – evidence missing",IF(TRIM(AE655)="","INVALID – verifier missing",IF(TRIM(AE655)=TRIM(T655),"INVALID – verifier must be someone other than the PIC",IF(AND(AQ655=1,TRIM(W655)=""),"INVALID – batch ID missing",IF(AND(AR655=1,OR(NOT(ISNUMBER(X655)),NOT(ISNUMBER(Y655)))),"INVALID – expected/actual qty missing",IF(IF(AND(TRIM(U655)="Pass",ISNUMBER(AF655)),IF(AF655&lt;&gt;0,"INVALID – qty variance: use Fail or Pass after CA",""),"")&amp;IF(AND(TRIM(U655)="Pass",TRIM(AB655)&lt;&gt;"",TRIM(AB655)&lt;&gt;"Closed"),"INVALID – corrective action not closed: use Fail, then Pass after CA","")&amp;IF(AND(TRIM(AA655)&lt;&gt;"",TRIM(AB655)=""),"INVALID – CA status missing for the recorded corrective action","")&amp;IF(AND(TRIM(U655)="Pass after CA",OR(TRIM(AA655)="",TRIM(AB655)&lt;&gt;"Closed")),"INVALID – corrective action not recorded/closed","")&lt;&gt;"",IF(AND(TRIM(U655)="Pass",ISNUMBER(AF655)),IF(AF655&lt;&gt;0,"INVALID – qty variance: use Fail or Pass after CA",""),"")&amp;IF(AND(TRIM(U655)="Pass",TRIM(AB655)&lt;&gt;"",TRIM(AB655)&lt;&gt;"Closed"),"INVALID – corrective action not closed: use Fail, then Pass after CA","")&amp;IF(AND(TRIM(AA655)&lt;&gt;"",TRIM(AB655)=""),"INVALID – CA status missing for the recorded corrective action","")&amp;IF(AND(TRIM(U655)="Pass after CA",OR(TRIM(AA655)="",TRIM(AB655)&lt;&gt;"Closed")),"INVALID – corrective action not recorded/closed",""),IF(AND(AS655=1,Documents!$J$24&lt;&gt;"ON FILE"),"INVALID – GLD not on file (Documents sheet)",IF(AND(AS655=2,Documents!$O$24&lt;&gt;"ON FILE"),"INVALID – menu checklist not on file (Documents sheet)",IF(AND(AS655=3,NOT(ISNUMBER(Flights!$AX$24))),"INVALID – enter carrying flight KUL departure (Flights AX)",IF(AND(AS655=3,OR(Flights!$AX$24&gt;=Flights!$AA$24,Flights!$AX$24&lt;Flights!$AA$24-3)),"INVALID – Flights AX must be before this leg's STD (within 3 days)",IF(AG655&gt;AsOfUTC,"INVALID – completion time is in the future",IF(AND(ISNUMBER(S655),AG655&lt;S655),IF(H655="Physical uplift","INVALID – before uplift window (cannot confirm loading)","INVALID – before valid window"),IF(AG655&gt;Flights!$AA$24,"INVALID – completed after departure (cannot establish readiness)",IF(AND(H655="Physical uplift",AG655&gt;Q655),"INVALID – recorded after the loading flight departed",IF(AG655&gt;Q655,"COMPLETE – LATE","COMPLETE")))))))))))))))))),IF(TRIM(U655)="Fail","FAIL – DISCREPANCY",IF(AND(TRIM(U655)&lt;&gt;"",TRIM(U655)&lt;&gt;"Not started",TRIM(U655)&lt;&gt;"In progress"),"INVALID – unrecognised status (use the list)",IF(AsOfUTC&gt;Q655,"OVERDUE",IF(N655="Clarification required","OPEN – CLARIFICATION","OPEN")))))))</f>
        <v>OPEN</v>
      </c>
      <c r="AI655" s="61" t="n">
        <f aca="false">IF(OR(AH655="N/A – RULE",AH655="N/A – JUSTIFIED"),0,1)</f>
        <v>1</v>
      </c>
      <c r="AJ655" s="61" t="n">
        <f aca="false">IF(LEFT(AH655,8)="COMPLETE",1,0)</f>
        <v>0</v>
      </c>
      <c r="AK655" s="61" t="n">
        <f aca="false">IF(AND(AI655=1,AJ655=0,AsOfUTC&gt;Q655),1,0)</f>
        <v>0</v>
      </c>
      <c r="AL655" s="61" t="n">
        <f aca="false">IF(AND(AI655=1,OR(TRIM(U655)="Fail",AND(TRIM(AB655)&lt;&gt;"",TRIM(AB655)&lt;&gt;"Closed"),AND(ISNUMBER(AF655),AF655&lt;&gt;0,TRIM(U655)&lt;&gt;"Pass after CA"))),1,0)</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row>
    <row r="656" customFormat="false" ht="39.75" hidden="false" customHeight="true" outlineLevel="0" collapsed="false">
      <c r="A656" s="57" t="s">
        <v>1337</v>
      </c>
      <c r="B656" s="57" t="s">
        <v>296</v>
      </c>
      <c r="C656" s="57" t="str">
        <f aca="false">Flights!$F$24</f>
        <v>MH1450</v>
      </c>
      <c r="D656" s="58" t="n">
        <f aca="false">Flights!$D$24</f>
        <v>46324</v>
      </c>
      <c r="E656" s="57" t="str">
        <f aca="false">Flights!$G$24&amp;"-"&amp;Flights!$H$24</f>
        <v>KUL-LGK</v>
      </c>
      <c r="F656" s="57" t="str">
        <f aca="false">Flights!$K$24</f>
        <v>EY</v>
      </c>
      <c r="G656" s="57" t="s">
        <v>385</v>
      </c>
      <c r="H656" s="57" t="s">
        <v>343</v>
      </c>
      <c r="I656" s="57" t="s">
        <v>393</v>
      </c>
      <c r="J656" s="57" t="s">
        <v>394</v>
      </c>
      <c r="K656" s="67"/>
      <c r="L656" s="67" t="s">
        <v>387</v>
      </c>
      <c r="M656" s="67"/>
      <c r="N656" s="67" t="s">
        <v>348</v>
      </c>
      <c r="O656" s="67" t="s">
        <v>388</v>
      </c>
      <c r="P656" s="57" t="s">
        <v>179</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59" t="n">
        <f aca="false">Q656-T12EarlyH/24</f>
        <v>46323.4375</v>
      </c>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IF(N656="N/A – rule","N/A – RULE",IF(TRIM(U656)="N/A",IF(AT656=0,"INVALID – N/A not permitted for this mandatory check",IF(AND(TRIM(AC656)&lt;&gt;"",TRIM(AE656)&lt;&gt;"",TRIM(T656)&lt;&gt;"",TRIM(AE656)&lt;&gt;TRIM(T656)),"N/A – JUSTIFIED","INVALID – N/A needs justification, PIC and a different verifier")),IF(OR(TRIM(U656)="Pass",TRIM(U656)="Pass after CA"),IF(NOT(ISNUMBER(AD656)),"INVALID – completion time missing",IF(TRIM(T656)="","INVALID – PIC missing",IF(TRIM(V656)="","INVALID – result / assessment missing",IF(TRIM(Z656)="","INVALID – evidence missing",IF(TRIM(AE656)="","INVALID – verifier missing",IF(TRIM(AE656)=TRIM(T656),"INVALID – verifier must be someone other than the PIC",IF(AND(AQ656=1,TRIM(W656)=""),"INVALID – batch ID missing",IF(AND(AR656=1,OR(NOT(ISNUMBER(X656)),NOT(ISNUMBER(Y656)))),"INVALID – expected/actual qty missing",IF(IF(AND(TRIM(U656)="Pass",ISNUMBER(AF656)),IF(AF656&lt;&gt;0,"INVALID – qty variance: use Fail or Pass after CA",""),"")&amp;IF(AND(TRIM(U656)="Pass",TRIM(AB656)&lt;&gt;"",TRIM(AB656)&lt;&gt;"Closed"),"INVALID – corrective action not closed: use Fail, then Pass after CA","")&amp;IF(AND(TRIM(AA656)&lt;&gt;"",TRIM(AB656)=""),"INVALID – CA status missing for the recorded corrective action","")&amp;IF(AND(TRIM(U656)="Pass after CA",OR(TRIM(AA656)="",TRIM(AB656)&lt;&gt;"Closed")),"INVALID – corrective action not recorded/closed","")&lt;&gt;"",IF(AND(TRIM(U656)="Pass",ISNUMBER(AF656)),IF(AF656&lt;&gt;0,"INVALID – qty variance: use Fail or Pass after CA",""),"")&amp;IF(AND(TRIM(U656)="Pass",TRIM(AB656)&lt;&gt;"",TRIM(AB656)&lt;&gt;"Closed"),"INVALID – corrective action not closed: use Fail, then Pass after CA","")&amp;IF(AND(TRIM(AA656)&lt;&gt;"",TRIM(AB656)=""),"INVALID – CA status missing for the recorded corrective action","")&amp;IF(AND(TRIM(U656)="Pass after CA",OR(TRIM(AA656)="",TRIM(AB656)&lt;&gt;"Closed")),"INVALID – corrective action not recorded/closed",""),IF(AND(AS656=1,Documents!$J$24&lt;&gt;"ON FILE"),"INVALID – GLD not on file (Documents sheet)",IF(AND(AS656=2,Documents!$O$24&lt;&gt;"ON FILE"),"INVALID – menu checklist not on file (Documents sheet)",IF(AND(AS656=3,NOT(ISNUMBER(Flights!$AX$24))),"INVALID – enter carrying flight KUL departure (Flights AX)",IF(AND(AS656=3,OR(Flights!$AX$24&gt;=Flights!$AA$24,Flights!$AX$24&lt;Flights!$AA$24-3)),"INVALID – Flights AX must be before this leg's STD (within 3 days)",IF(AG656&gt;AsOfUTC,"INVALID – completion time is in the future",IF(AND(ISNUMBER(S656),AG656&lt;S656),IF(H656="Physical uplift","INVALID – before uplift window (cannot confirm loading)","INVALID – before valid window"),IF(AG656&gt;Flights!$AA$24,"INVALID – completed after departure (cannot establish readiness)",IF(AND(H656="Physical uplift",AG656&gt;Q656),"INVALID – recorded after the loading flight departed",IF(AG656&gt;Q656,"COMPLETE – LATE","COMPLETE")))))))))))))))))),IF(TRIM(U656)="Fail","FAIL – DISCREPANCY",IF(AND(TRIM(U656)&lt;&gt;"",TRIM(U656)&lt;&gt;"Not started",TRIM(U656)&lt;&gt;"In progress"),"INVALID – unrecognised status (use the list)",IF(AsOfUTC&gt;Q656,"OVERDUE",IF(N656="Clarification required","OPEN – CLARIFICATION","OPEN")))))))</f>
        <v>OPEN</v>
      </c>
      <c r="AI656" s="61" t="n">
        <f aca="false">IF(OR(AH656="N/A – RULE",AH656="N/A – JUSTIFIED"),0,1)</f>
        <v>1</v>
      </c>
      <c r="AJ656" s="61" t="n">
        <f aca="false">IF(LEFT(AH656,8)="COMPLETE",1,0)</f>
        <v>0</v>
      </c>
      <c r="AK656" s="61" t="n">
        <f aca="false">IF(AND(AI656=1,AJ656=0,AsOfUTC&gt;Q656),1,0)</f>
        <v>0</v>
      </c>
      <c r="AL656" s="61" t="n">
        <f aca="false">IF(AND(AI656=1,OR(TRIM(U656)="Fail",AND(TRIM(AB656)&lt;&gt;"",TRIM(AB656)&lt;&gt;"Closed"),AND(ISNUMBER(AF656),AF656&lt;&gt;0,TRIM(U656)&lt;&gt;"Pass after CA"))),1,0)</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row>
    <row r="657" customFormat="false" ht="39.75" hidden="false" customHeight="true" outlineLevel="0" collapsed="false">
      <c r="A657" s="57" t="s">
        <v>1338</v>
      </c>
      <c r="B657" s="57" t="s">
        <v>296</v>
      </c>
      <c r="C657" s="57" t="str">
        <f aca="false">Flights!$F$24</f>
        <v>MH1450</v>
      </c>
      <c r="D657" s="58" t="n">
        <f aca="false">Flights!$D$24</f>
        <v>46324</v>
      </c>
      <c r="E657" s="57" t="str">
        <f aca="false">Flights!$G$24&amp;"-"&amp;Flights!$H$24</f>
        <v>KUL-LGK</v>
      </c>
      <c r="F657" s="57" t="str">
        <f aca="false">Flights!$K$24</f>
        <v>EY</v>
      </c>
      <c r="G657" s="57" t="s">
        <v>385</v>
      </c>
      <c r="H657" s="57" t="s">
        <v>343</v>
      </c>
      <c r="I657" s="57" t="s">
        <v>393</v>
      </c>
      <c r="J657" s="57" t="s">
        <v>396</v>
      </c>
      <c r="K657" s="67"/>
      <c r="L657" s="67" t="s">
        <v>387</v>
      </c>
      <c r="M657" s="67"/>
      <c r="N657" s="67" t="s">
        <v>348</v>
      </c>
      <c r="O657" s="67" t="s">
        <v>388</v>
      </c>
      <c r="P657" s="57" t="s">
        <v>179</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59" t="n">
        <f aca="false">Q657-T12EarlyH/24</f>
        <v>46323.4375</v>
      </c>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IF(N657="N/A – rule","N/A – RULE",IF(TRIM(U657)="N/A",IF(AT657=0,"INVALID – N/A not permitted for this mandatory check",IF(AND(TRIM(AC657)&lt;&gt;"",TRIM(AE657)&lt;&gt;"",TRIM(T657)&lt;&gt;"",TRIM(AE657)&lt;&gt;TRIM(T657)),"N/A – JUSTIFIED","INVALID – N/A needs justification, PIC and a different verifier")),IF(OR(TRIM(U657)="Pass",TRIM(U657)="Pass after CA"),IF(NOT(ISNUMBER(AD657)),"INVALID – completion time missing",IF(TRIM(T657)="","INVALID – PIC missing",IF(TRIM(V657)="","INVALID – result / assessment missing",IF(TRIM(Z657)="","INVALID – evidence missing",IF(TRIM(AE657)="","INVALID – verifier missing",IF(TRIM(AE657)=TRIM(T657),"INVALID – verifier must be someone other than the PIC",IF(AND(AQ657=1,TRIM(W657)=""),"INVALID – batch ID missing",IF(AND(AR657=1,OR(NOT(ISNUMBER(X657)),NOT(ISNUMBER(Y657)))),"INVALID – expected/actual qty missing",IF(IF(AND(TRIM(U657)="Pass",ISNUMBER(AF657)),IF(AF657&lt;&gt;0,"INVALID – qty variance: use Fail or Pass after CA",""),"")&amp;IF(AND(TRIM(U657)="Pass",TRIM(AB657)&lt;&gt;"",TRIM(AB657)&lt;&gt;"Closed"),"INVALID – corrective action not closed: use Fail, then Pass after CA","")&amp;IF(AND(TRIM(AA657)&lt;&gt;"",TRIM(AB657)=""),"INVALID – CA status missing for the recorded corrective action","")&amp;IF(AND(TRIM(U657)="Pass after CA",OR(TRIM(AA657)="",TRIM(AB657)&lt;&gt;"Closed")),"INVALID – corrective action not recorded/closed","")&lt;&gt;"",IF(AND(TRIM(U657)="Pass",ISNUMBER(AF657)),IF(AF657&lt;&gt;0,"INVALID – qty variance: use Fail or Pass after CA",""),"")&amp;IF(AND(TRIM(U657)="Pass",TRIM(AB657)&lt;&gt;"",TRIM(AB657)&lt;&gt;"Closed"),"INVALID – corrective action not closed: use Fail, then Pass after CA","")&amp;IF(AND(TRIM(AA657)&lt;&gt;"",TRIM(AB657)=""),"INVALID – CA status missing for the recorded corrective action","")&amp;IF(AND(TRIM(U657)="Pass after CA",OR(TRIM(AA657)="",TRIM(AB657)&lt;&gt;"Closed")),"INVALID – corrective action not recorded/closed",""),IF(AND(AS657=1,Documents!$J$24&lt;&gt;"ON FILE"),"INVALID – GLD not on file (Documents sheet)",IF(AND(AS657=2,Documents!$O$24&lt;&gt;"ON FILE"),"INVALID – menu checklist not on file (Documents sheet)",IF(AND(AS657=3,NOT(ISNUMBER(Flights!$AX$24))),"INVALID – enter carrying flight KUL departure (Flights AX)",IF(AND(AS657=3,OR(Flights!$AX$24&gt;=Flights!$AA$24,Flights!$AX$24&lt;Flights!$AA$24-3)),"INVALID – Flights AX must be before this leg's STD (within 3 days)",IF(AG657&gt;AsOfUTC,"INVALID – completion time is in the future",IF(AND(ISNUMBER(S657),AG657&lt;S657),IF(H657="Physical uplift","INVALID – before uplift window (cannot confirm loading)","INVALID – before valid window"),IF(AG657&gt;Flights!$AA$24,"INVALID – completed after departure (cannot establish readiness)",IF(AND(H657="Physical uplift",AG657&gt;Q657),"INVALID – recorded after the loading flight departed",IF(AG657&gt;Q657,"COMPLETE – LATE","COMPLETE")))))))))))))))))),IF(TRIM(U657)="Fail","FAIL – DISCREPANCY",IF(AND(TRIM(U657)&lt;&gt;"",TRIM(U657)&lt;&gt;"Not started",TRIM(U657)&lt;&gt;"In progress"),"INVALID – unrecognised status (use the list)",IF(AsOfUTC&gt;Q657,"OVERDUE",IF(N657="Clarification required","OPEN – CLARIFICATION","OPEN")))))))</f>
        <v>OPEN</v>
      </c>
      <c r="AI657" s="61" t="n">
        <f aca="false">IF(OR(AH657="N/A – RULE",AH657="N/A – JUSTIFIED"),0,1)</f>
        <v>1</v>
      </c>
      <c r="AJ657" s="61" t="n">
        <f aca="false">IF(LEFT(AH657,8)="COMPLETE",1,0)</f>
        <v>0</v>
      </c>
      <c r="AK657" s="61" t="n">
        <f aca="false">IF(AND(AI657=1,AJ657=0,AsOfUTC&gt;Q657),1,0)</f>
        <v>0</v>
      </c>
      <c r="AL657" s="61" t="n">
        <f aca="false">IF(AND(AI657=1,OR(TRIM(U657)="Fail",AND(TRIM(AB657)&lt;&gt;"",TRIM(AB657)&lt;&gt;"Closed"),AND(ISNUMBER(AF657),AF657&lt;&gt;0,TRIM(U657)&lt;&gt;"Pass after CA"))),1,0)</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row>
    <row r="658" customFormat="false" ht="39.75" hidden="false" customHeight="true" outlineLevel="0" collapsed="false">
      <c r="A658" s="57" t="s">
        <v>1339</v>
      </c>
      <c r="B658" s="57" t="s">
        <v>296</v>
      </c>
      <c r="C658" s="57" t="str">
        <f aca="false">Flights!$F$24</f>
        <v>MH1450</v>
      </c>
      <c r="D658" s="58" t="n">
        <f aca="false">Flights!$D$24</f>
        <v>46324</v>
      </c>
      <c r="E658" s="57" t="str">
        <f aca="false">Flights!$G$24&amp;"-"&amp;Flights!$H$24</f>
        <v>KUL-LGK</v>
      </c>
      <c r="F658" s="57" t="str">
        <f aca="false">Flights!$K$24</f>
        <v>EY</v>
      </c>
      <c r="G658" s="57" t="s">
        <v>385</v>
      </c>
      <c r="H658" s="57" t="s">
        <v>343</v>
      </c>
      <c r="I658" s="57" t="s">
        <v>393</v>
      </c>
      <c r="J658" s="57" t="s">
        <v>398</v>
      </c>
      <c r="K658" s="67"/>
      <c r="L658" s="67" t="s">
        <v>387</v>
      </c>
      <c r="M658" s="67"/>
      <c r="N658" s="67" t="s">
        <v>348</v>
      </c>
      <c r="O658" s="67" t="s">
        <v>388</v>
      </c>
      <c r="P658" s="57" t="s">
        <v>179</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59" t="n">
        <f aca="false">Q658-T12EarlyH/24</f>
        <v>46323.4375</v>
      </c>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IF(N658="N/A – rule","N/A – RULE",IF(TRIM(U658)="N/A",IF(AT658=0,"INVALID – N/A not permitted for this mandatory check",IF(AND(TRIM(AC658)&lt;&gt;"",TRIM(AE658)&lt;&gt;"",TRIM(T658)&lt;&gt;"",TRIM(AE658)&lt;&gt;TRIM(T658)),"N/A – JUSTIFIED","INVALID – N/A needs justification, PIC and a different verifier")),IF(OR(TRIM(U658)="Pass",TRIM(U658)="Pass after CA"),IF(NOT(ISNUMBER(AD658)),"INVALID – completion time missing",IF(TRIM(T658)="","INVALID – PIC missing",IF(TRIM(V658)="","INVALID – result / assessment missing",IF(TRIM(Z658)="","INVALID – evidence missing",IF(TRIM(AE658)="","INVALID – verifier missing",IF(TRIM(AE658)=TRIM(T658),"INVALID – verifier must be someone other than the PIC",IF(AND(AQ658=1,TRIM(W658)=""),"INVALID – batch ID missing",IF(AND(AR658=1,OR(NOT(ISNUMBER(X658)),NOT(ISNUMBER(Y658)))),"INVALID – expected/actual qty missing",IF(IF(AND(TRIM(U658)="Pass",ISNUMBER(AF658)),IF(AF658&lt;&gt;0,"INVALID – qty variance: use Fail or Pass after CA",""),"")&amp;IF(AND(TRIM(U658)="Pass",TRIM(AB658)&lt;&gt;"",TRIM(AB658)&lt;&gt;"Closed"),"INVALID – corrective action not closed: use Fail, then Pass after CA","")&amp;IF(AND(TRIM(AA658)&lt;&gt;"",TRIM(AB658)=""),"INVALID – CA status missing for the recorded corrective action","")&amp;IF(AND(TRIM(U658)="Pass after CA",OR(TRIM(AA658)="",TRIM(AB658)&lt;&gt;"Closed")),"INVALID – corrective action not recorded/closed","")&lt;&gt;"",IF(AND(TRIM(U658)="Pass",ISNUMBER(AF658)),IF(AF658&lt;&gt;0,"INVALID – qty variance: use Fail or Pass after CA",""),"")&amp;IF(AND(TRIM(U658)="Pass",TRIM(AB658)&lt;&gt;"",TRIM(AB658)&lt;&gt;"Closed"),"INVALID – corrective action not closed: use Fail, then Pass after CA","")&amp;IF(AND(TRIM(AA658)&lt;&gt;"",TRIM(AB658)=""),"INVALID – CA status missing for the recorded corrective action","")&amp;IF(AND(TRIM(U658)="Pass after CA",OR(TRIM(AA658)="",TRIM(AB658)&lt;&gt;"Closed")),"INVALID – corrective action not recorded/closed",""),IF(AND(AS658=1,Documents!$J$24&lt;&gt;"ON FILE"),"INVALID – GLD not on file (Documents sheet)",IF(AND(AS658=2,Documents!$O$24&lt;&gt;"ON FILE"),"INVALID – menu checklist not on file (Documents sheet)",IF(AND(AS658=3,NOT(ISNUMBER(Flights!$AX$24))),"INVALID – enter carrying flight KUL departure (Flights AX)",IF(AND(AS658=3,OR(Flights!$AX$24&gt;=Flights!$AA$24,Flights!$AX$24&lt;Flights!$AA$24-3)),"INVALID – Flights AX must be before this leg's STD (within 3 days)",IF(AG658&gt;AsOfUTC,"INVALID – completion time is in the future",IF(AND(ISNUMBER(S658),AG658&lt;S658),IF(H658="Physical uplift","INVALID – before uplift window (cannot confirm loading)","INVALID – before valid window"),IF(AG658&gt;Flights!$AA$24,"INVALID – completed after departure (cannot establish readiness)",IF(AND(H658="Physical uplift",AG658&gt;Q658),"INVALID – recorded after the loading flight departed",IF(AG658&gt;Q658,"COMPLETE – LATE","COMPLETE")))))))))))))))))),IF(TRIM(U658)="Fail","FAIL – DISCREPANCY",IF(AND(TRIM(U658)&lt;&gt;"",TRIM(U658)&lt;&gt;"Not started",TRIM(U658)&lt;&gt;"In progress"),"INVALID – unrecognised status (use the list)",IF(AsOfUTC&gt;Q658,"OVERDUE",IF(N658="Clarification required","OPEN – CLARIFICATION","OPEN")))))))</f>
        <v>OPEN</v>
      </c>
      <c r="AI658" s="61" t="n">
        <f aca="false">IF(OR(AH658="N/A – RULE",AH658="N/A – JUSTIFIED"),0,1)</f>
        <v>1</v>
      </c>
      <c r="AJ658" s="61" t="n">
        <f aca="false">IF(LEFT(AH658,8)="COMPLETE",1,0)</f>
        <v>0</v>
      </c>
      <c r="AK658" s="61" t="n">
        <f aca="false">IF(AND(AI658=1,AJ658=0,AsOfUTC&gt;Q658),1,0)</f>
        <v>0</v>
      </c>
      <c r="AL658" s="61" t="n">
        <f aca="false">IF(AND(AI658=1,OR(TRIM(U658)="Fail",AND(TRIM(AB658)&lt;&gt;"",TRIM(AB658)&lt;&gt;"Closed"),AND(ISNUMBER(AF658),AF658&lt;&gt;0,TRIM(U658)&lt;&gt;"Pass after CA"))),1,0)</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row>
    <row r="659" customFormat="false" ht="78.75" hidden="false" customHeight="true" outlineLevel="0" collapsed="false">
      <c r="A659" s="57" t="s">
        <v>1340</v>
      </c>
      <c r="B659" s="57" t="s">
        <v>296</v>
      </c>
      <c r="C659" s="57" t="str">
        <f aca="false">Flights!$F$24</f>
        <v>MH1450</v>
      </c>
      <c r="D659" s="58" t="n">
        <f aca="false">Flights!$D$24</f>
        <v>46324</v>
      </c>
      <c r="E659" s="57" t="str">
        <f aca="false">Flights!$G$24&amp;"-"&amp;Flights!$H$24</f>
        <v>KUL-LGK</v>
      </c>
      <c r="F659" s="57" t="str">
        <f aca="false">Flights!$K$24</f>
        <v>EY</v>
      </c>
      <c r="G659" s="57" t="s">
        <v>385</v>
      </c>
      <c r="H659" s="57" t="s">
        <v>343</v>
      </c>
      <c r="I659" s="57" t="s">
        <v>393</v>
      </c>
      <c r="J659" s="57" t="s">
        <v>400</v>
      </c>
      <c r="K659" s="67" t="s">
        <v>456</v>
      </c>
      <c r="L659" s="67" t="s">
        <v>387</v>
      </c>
      <c r="M659" s="67"/>
      <c r="N659" s="67" t="s">
        <v>348</v>
      </c>
      <c r="O659" s="67" t="s">
        <v>388</v>
      </c>
      <c r="P659" s="57" t="s">
        <v>179</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59" t="n">
        <f aca="false">Q659-T12EarlyH/24</f>
        <v>46323.4375</v>
      </c>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IF(N659="N/A – rule","N/A – RULE",IF(TRIM(U659)="N/A",IF(AT659=0,"INVALID – N/A not permitted for this mandatory check",IF(AND(TRIM(AC659)&lt;&gt;"",TRIM(AE659)&lt;&gt;"",TRIM(T659)&lt;&gt;"",TRIM(AE659)&lt;&gt;TRIM(T659)),"N/A – JUSTIFIED","INVALID – N/A needs justification, PIC and a different verifier")),IF(OR(TRIM(U659)="Pass",TRIM(U659)="Pass after CA"),IF(NOT(ISNUMBER(AD659)),"INVALID – completion time missing",IF(TRIM(T659)="","INVALID – PIC missing",IF(TRIM(V659)="","INVALID – result / assessment missing",IF(TRIM(Z659)="","INVALID – evidence missing",IF(TRIM(AE659)="","INVALID – verifier missing",IF(TRIM(AE659)=TRIM(T659),"INVALID – verifier must be someone other than the PIC",IF(AND(AQ659=1,TRIM(W659)=""),"INVALID – batch ID missing",IF(AND(AR659=1,OR(NOT(ISNUMBER(X659)),NOT(ISNUMBER(Y659)))),"INVALID – expected/actual qty missing",IF(IF(AND(TRIM(U659)="Pass",ISNUMBER(AF659)),IF(AF659&lt;&gt;0,"INVALID – qty variance: use Fail or Pass after CA",""),"")&amp;IF(AND(TRIM(U659)="Pass",TRIM(AB659)&lt;&gt;"",TRIM(AB659)&lt;&gt;"Closed"),"INVALID – corrective action not closed: use Fail, then Pass after CA","")&amp;IF(AND(TRIM(AA659)&lt;&gt;"",TRIM(AB659)=""),"INVALID – CA status missing for the recorded corrective action","")&amp;IF(AND(TRIM(U659)="Pass after CA",OR(TRIM(AA659)="",TRIM(AB659)&lt;&gt;"Closed")),"INVALID – corrective action not recorded/closed","")&lt;&gt;"",IF(AND(TRIM(U659)="Pass",ISNUMBER(AF659)),IF(AF659&lt;&gt;0,"INVALID – qty variance: use Fail or Pass after CA",""),"")&amp;IF(AND(TRIM(U659)="Pass",TRIM(AB659)&lt;&gt;"",TRIM(AB659)&lt;&gt;"Closed"),"INVALID – corrective action not closed: use Fail, then Pass after CA","")&amp;IF(AND(TRIM(AA659)&lt;&gt;"",TRIM(AB659)=""),"INVALID – CA status missing for the recorded corrective action","")&amp;IF(AND(TRIM(U659)="Pass after CA",OR(TRIM(AA659)="",TRIM(AB659)&lt;&gt;"Closed")),"INVALID – corrective action not recorded/closed",""),IF(AND(AS659=1,Documents!$J$24&lt;&gt;"ON FILE"),"INVALID – GLD not on file (Documents sheet)",IF(AND(AS659=2,Documents!$O$24&lt;&gt;"ON FILE"),"INVALID – menu checklist not on file (Documents sheet)",IF(AND(AS659=3,NOT(ISNUMBER(Flights!$AX$24))),"INVALID – enter carrying flight KUL departure (Flights AX)",IF(AND(AS659=3,OR(Flights!$AX$24&gt;=Flights!$AA$24,Flights!$AX$24&lt;Flights!$AA$24-3)),"INVALID – Flights AX must be before this leg's STD (within 3 days)",IF(AG659&gt;AsOfUTC,"INVALID – completion time is in the future",IF(AND(ISNUMBER(S659),AG659&lt;S659),IF(H659="Physical uplift","INVALID – before uplift window (cannot confirm loading)","INVALID – before valid window"),IF(AG659&gt;Flights!$AA$24,"INVALID – completed after departure (cannot establish readiness)",IF(AND(H659="Physical uplift",AG659&gt;Q659),"INVALID – recorded after the loading flight departed",IF(AG659&gt;Q659,"COMPLETE – LATE","COMPLETE")))))))))))))))))),IF(TRIM(U659)="Fail","FAIL – DISCREPANCY",IF(AND(TRIM(U659)&lt;&gt;"",TRIM(U659)&lt;&gt;"Not started",TRIM(U659)&lt;&gt;"In progress"),"INVALID – unrecognised status (use the list)",IF(AsOfUTC&gt;Q659,"OVERDUE",IF(N659="Clarification required","OPEN – CLARIFICATION","OPEN")))))))</f>
        <v>OPEN</v>
      </c>
      <c r="AI659" s="61" t="n">
        <f aca="false">IF(OR(AH659="N/A – RULE",AH659="N/A – JUSTIFIED"),0,1)</f>
        <v>1</v>
      </c>
      <c r="AJ659" s="61" t="n">
        <f aca="false">IF(LEFT(AH659,8)="COMPLETE",1,0)</f>
        <v>0</v>
      </c>
      <c r="AK659" s="61" t="n">
        <f aca="false">IF(AND(AI659=1,AJ659=0,AsOfUTC&gt;Q659),1,0)</f>
        <v>0</v>
      </c>
      <c r="AL659" s="61" t="n">
        <f aca="false">IF(AND(AI659=1,OR(TRIM(U659)="Fail",AND(TRIM(AB659)&lt;&gt;"",TRIM(AB659)&lt;&gt;"Closed"),AND(ISNUMBER(AF659),AF659&lt;&gt;0,TRIM(U659)&lt;&gt;"Pass after CA"))),1,0)</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row>
    <row r="660" customFormat="false" ht="39.75" hidden="false" customHeight="true" outlineLevel="0" collapsed="false">
      <c r="A660" s="57" t="s">
        <v>1341</v>
      </c>
      <c r="B660" s="57" t="s">
        <v>296</v>
      </c>
      <c r="C660" s="57" t="str">
        <f aca="false">Flights!$F$24</f>
        <v>MH1450</v>
      </c>
      <c r="D660" s="58" t="n">
        <f aca="false">Flights!$D$24</f>
        <v>46324</v>
      </c>
      <c r="E660" s="57" t="str">
        <f aca="false">Flights!$G$24&amp;"-"&amp;Flights!$H$24</f>
        <v>KUL-LGK</v>
      </c>
      <c r="F660" s="57" t="str">
        <f aca="false">Flights!$K$24</f>
        <v>EY</v>
      </c>
      <c r="G660" s="57" t="s">
        <v>385</v>
      </c>
      <c r="H660" s="57" t="s">
        <v>343</v>
      </c>
      <c r="I660" s="57" t="s">
        <v>393</v>
      </c>
      <c r="J660" s="57" t="s">
        <v>403</v>
      </c>
      <c r="K660" s="67"/>
      <c r="L660" s="67" t="s">
        <v>387</v>
      </c>
      <c r="M660" s="67"/>
      <c r="N660" s="67" t="s">
        <v>348</v>
      </c>
      <c r="O660" s="67" t="s">
        <v>388</v>
      </c>
      <c r="P660" s="57" t="s">
        <v>179</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59" t="n">
        <f aca="false">Q660-T12EarlyH/24</f>
        <v>46323.4375</v>
      </c>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IF(N660="N/A – rule","N/A – RULE",IF(TRIM(U660)="N/A",IF(AT660=0,"INVALID – N/A not permitted for this mandatory check",IF(AND(TRIM(AC660)&lt;&gt;"",TRIM(AE660)&lt;&gt;"",TRIM(T660)&lt;&gt;"",TRIM(AE660)&lt;&gt;TRIM(T660)),"N/A – JUSTIFIED","INVALID – N/A needs justification, PIC and a different verifier")),IF(OR(TRIM(U660)="Pass",TRIM(U660)="Pass after CA"),IF(NOT(ISNUMBER(AD660)),"INVALID – completion time missing",IF(TRIM(T660)="","INVALID – PIC missing",IF(TRIM(V660)="","INVALID – result / assessment missing",IF(TRIM(Z660)="","INVALID – evidence missing",IF(TRIM(AE660)="","INVALID – verifier missing",IF(TRIM(AE660)=TRIM(T660),"INVALID – verifier must be someone other than the PIC",IF(AND(AQ660=1,TRIM(W660)=""),"INVALID – batch ID missing",IF(AND(AR660=1,OR(NOT(ISNUMBER(X660)),NOT(ISNUMBER(Y660)))),"INVALID – expected/actual qty missing",IF(IF(AND(TRIM(U660)="Pass",ISNUMBER(AF660)),IF(AF660&lt;&gt;0,"INVALID – qty variance: use Fail or Pass after CA",""),"")&amp;IF(AND(TRIM(U660)="Pass",TRIM(AB660)&lt;&gt;"",TRIM(AB660)&lt;&gt;"Closed"),"INVALID – corrective action not closed: use Fail, then Pass after CA","")&amp;IF(AND(TRIM(AA660)&lt;&gt;"",TRIM(AB660)=""),"INVALID – CA status missing for the recorded corrective action","")&amp;IF(AND(TRIM(U660)="Pass after CA",OR(TRIM(AA660)="",TRIM(AB660)&lt;&gt;"Closed")),"INVALID – corrective action not recorded/closed","")&lt;&gt;"",IF(AND(TRIM(U660)="Pass",ISNUMBER(AF660)),IF(AF660&lt;&gt;0,"INVALID – qty variance: use Fail or Pass after CA",""),"")&amp;IF(AND(TRIM(U660)="Pass",TRIM(AB660)&lt;&gt;"",TRIM(AB660)&lt;&gt;"Closed"),"INVALID – corrective action not closed: use Fail, then Pass after CA","")&amp;IF(AND(TRIM(AA660)&lt;&gt;"",TRIM(AB660)=""),"INVALID – CA status missing for the recorded corrective action","")&amp;IF(AND(TRIM(U660)="Pass after CA",OR(TRIM(AA660)="",TRIM(AB660)&lt;&gt;"Closed")),"INVALID – corrective action not recorded/closed",""),IF(AND(AS660=1,Documents!$J$24&lt;&gt;"ON FILE"),"INVALID – GLD not on file (Documents sheet)",IF(AND(AS660=2,Documents!$O$24&lt;&gt;"ON FILE"),"INVALID – menu checklist not on file (Documents sheet)",IF(AND(AS660=3,NOT(ISNUMBER(Flights!$AX$24))),"INVALID – enter carrying flight KUL departure (Flights AX)",IF(AND(AS660=3,OR(Flights!$AX$24&gt;=Flights!$AA$24,Flights!$AX$24&lt;Flights!$AA$24-3)),"INVALID – Flights AX must be before this leg's STD (within 3 days)",IF(AG660&gt;AsOfUTC,"INVALID – completion time is in the future",IF(AND(ISNUMBER(S660),AG660&lt;S660),IF(H660="Physical uplift","INVALID – before uplift window (cannot confirm loading)","INVALID – before valid window"),IF(AG660&gt;Flights!$AA$24,"INVALID – completed after departure (cannot establish readiness)",IF(AND(H660="Physical uplift",AG660&gt;Q660),"INVALID – recorded after the loading flight departed",IF(AG660&gt;Q660,"COMPLETE – LATE","COMPLETE")))))))))))))))))),IF(TRIM(U660)="Fail","FAIL – DISCREPANCY",IF(AND(TRIM(U660)&lt;&gt;"",TRIM(U660)&lt;&gt;"Not started",TRIM(U660)&lt;&gt;"In progress"),"INVALID – unrecognised status (use the list)",IF(AsOfUTC&gt;Q660,"OVERDUE",IF(N660="Clarification required","OPEN – CLARIFICATION","OPEN")))))))</f>
        <v>OPEN</v>
      </c>
      <c r="AI660" s="61" t="n">
        <f aca="false">IF(OR(AH660="N/A – RULE",AH660="N/A – JUSTIFIED"),0,1)</f>
        <v>1</v>
      </c>
      <c r="AJ660" s="61" t="n">
        <f aca="false">IF(LEFT(AH660,8)="COMPLETE",1,0)</f>
        <v>0</v>
      </c>
      <c r="AK660" s="61" t="n">
        <f aca="false">IF(AND(AI660=1,AJ660=0,AsOfUTC&gt;Q660),1,0)</f>
        <v>0</v>
      </c>
      <c r="AL660" s="61" t="n">
        <f aca="false">IF(AND(AI660=1,OR(TRIM(U660)="Fail",AND(TRIM(AB660)&lt;&gt;"",TRIM(AB660)&lt;&gt;"Closed"),AND(ISNUMBER(AF660),AF660&lt;&gt;0,TRIM(U660)&lt;&gt;"Pass after CA"))),1,0)</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row>
    <row r="661" customFormat="false" ht="41.25" hidden="false" customHeight="true" outlineLevel="0" collapsed="false">
      <c r="A661" s="57" t="s">
        <v>1342</v>
      </c>
      <c r="B661" s="57" t="s">
        <v>296</v>
      </c>
      <c r="C661" s="57" t="str">
        <f aca="false">Flights!$F$24</f>
        <v>MH1450</v>
      </c>
      <c r="D661" s="58" t="n">
        <f aca="false">Flights!$D$24</f>
        <v>46324</v>
      </c>
      <c r="E661" s="57" t="str">
        <f aca="false">Flights!$G$24&amp;"-"&amp;Flights!$H$24</f>
        <v>KUL-LGK</v>
      </c>
      <c r="F661" s="57" t="str">
        <f aca="false">Flights!$K$24</f>
        <v>EY</v>
      </c>
      <c r="G661" s="57" t="s">
        <v>385</v>
      </c>
      <c r="H661" s="57" t="s">
        <v>343</v>
      </c>
      <c r="I661" s="57" t="s">
        <v>412</v>
      </c>
      <c r="J661" s="57" t="s">
        <v>413</v>
      </c>
      <c r="K661" s="67" t="s">
        <v>414</v>
      </c>
      <c r="L661" s="67" t="s">
        <v>1343</v>
      </c>
      <c r="M661" s="67" t="s">
        <v>416</v>
      </c>
      <c r="N661" s="67" t="s">
        <v>348</v>
      </c>
      <c r="O661" s="67" t="s">
        <v>468</v>
      </c>
      <c r="P661" s="57" t="s">
        <v>179</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59" t="n">
        <f aca="false">Q661-T12EarlyH/24</f>
        <v>46323.4375</v>
      </c>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IF(N661="N/A – rule","N/A – RULE",IF(TRIM(U661)="N/A",IF(AT661=0,"INVALID – N/A not permitted for this mandatory check",IF(AND(TRIM(AC661)&lt;&gt;"",TRIM(AE661)&lt;&gt;"",TRIM(T661)&lt;&gt;"",TRIM(AE661)&lt;&gt;TRIM(T661)),"N/A – JUSTIFIED","INVALID – N/A needs justification, PIC and a different verifier")),IF(OR(TRIM(U661)="Pass",TRIM(U661)="Pass after CA"),IF(NOT(ISNUMBER(AD661)),"INVALID – completion time missing",IF(TRIM(T661)="","INVALID – PIC missing",IF(TRIM(V661)="","INVALID – result / assessment missing",IF(TRIM(Z661)="","INVALID – evidence missing",IF(TRIM(AE661)="","INVALID – verifier missing",IF(TRIM(AE661)=TRIM(T661),"INVALID – verifier must be someone other than the PIC",IF(AND(AQ661=1,TRIM(W661)=""),"INVALID – batch ID missing",IF(AND(AR661=1,OR(NOT(ISNUMBER(X661)),NOT(ISNUMBER(Y661)))),"INVALID – expected/actual qty missing",IF(IF(AND(TRIM(U661)="Pass",ISNUMBER(AF661)),IF(AF661&lt;&gt;0,"INVALID – qty variance: use Fail or Pass after CA",""),"")&amp;IF(AND(TRIM(U661)="Pass",TRIM(AB661)&lt;&gt;"",TRIM(AB661)&lt;&gt;"Closed"),"INVALID – corrective action not closed: use Fail, then Pass after CA","")&amp;IF(AND(TRIM(AA661)&lt;&gt;"",TRIM(AB661)=""),"INVALID – CA status missing for the recorded corrective action","")&amp;IF(AND(TRIM(U661)="Pass after CA",OR(TRIM(AA661)="",TRIM(AB661)&lt;&gt;"Closed")),"INVALID – corrective action not recorded/closed","")&lt;&gt;"",IF(AND(TRIM(U661)="Pass",ISNUMBER(AF661)),IF(AF661&lt;&gt;0,"INVALID – qty variance: use Fail or Pass after CA",""),"")&amp;IF(AND(TRIM(U661)="Pass",TRIM(AB661)&lt;&gt;"",TRIM(AB661)&lt;&gt;"Closed"),"INVALID – corrective action not closed: use Fail, then Pass after CA","")&amp;IF(AND(TRIM(AA661)&lt;&gt;"",TRIM(AB661)=""),"INVALID – CA status missing for the recorded corrective action","")&amp;IF(AND(TRIM(U661)="Pass after CA",OR(TRIM(AA661)="",TRIM(AB661)&lt;&gt;"Closed")),"INVALID – corrective action not recorded/closed",""),IF(AND(AS661=1,Documents!$J$24&lt;&gt;"ON FILE"),"INVALID – GLD not on file (Documents sheet)",IF(AND(AS661=2,Documents!$O$24&lt;&gt;"ON FILE"),"INVALID – menu checklist not on file (Documents sheet)",IF(AND(AS661=3,NOT(ISNUMBER(Flights!$AX$24))),"INVALID – enter carrying flight KUL departure (Flights AX)",IF(AND(AS661=3,OR(Flights!$AX$24&gt;=Flights!$AA$24,Flights!$AX$24&lt;Flights!$AA$24-3)),"INVALID – Flights AX must be before this leg's STD (within 3 days)",IF(AG661&gt;AsOfUTC,"INVALID – completion time is in the future",IF(AND(ISNUMBER(S661),AG661&lt;S661),IF(H661="Physical uplift","INVALID – before uplift window (cannot confirm loading)","INVALID – before valid window"),IF(AG661&gt;Flights!$AA$24,"INVALID – completed after departure (cannot establish readiness)",IF(AND(H661="Physical uplift",AG661&gt;Q661),"INVALID – recorded after the loading flight departed",IF(AG661&gt;Q661,"COMPLETE – LATE","COMPLETE")))))))))))))))))),IF(TRIM(U661)="Fail","FAIL – DISCREPANCY",IF(AND(TRIM(U661)&lt;&gt;"",TRIM(U661)&lt;&gt;"Not started",TRIM(U661)&lt;&gt;"In progress"),"INVALID – unrecognised status (use the list)",IF(AsOfUTC&gt;Q661,"OVERDUE",IF(N661="Clarification required","OPEN – CLARIFICATION","OPEN")))))))</f>
        <v>OPEN</v>
      </c>
      <c r="AI661" s="61" t="n">
        <f aca="false">IF(OR(AH661="N/A – RULE",AH661="N/A – JUSTIFIED"),0,1)</f>
        <v>1</v>
      </c>
      <c r="AJ661" s="61" t="n">
        <f aca="false">IF(LEFT(AH661,8)="COMPLETE",1,0)</f>
        <v>0</v>
      </c>
      <c r="AK661" s="61" t="n">
        <f aca="false">IF(AND(AI661=1,AJ661=0,AsOfUTC&gt;Q661),1,0)</f>
        <v>0</v>
      </c>
      <c r="AL661" s="61" t="n">
        <f aca="false">IF(AND(AI661=1,OR(TRIM(U661)="Fail",AND(TRIM(AB661)&lt;&gt;"",TRIM(AB661)&lt;&gt;"Closed"),AND(ISNUMBER(AF661),AF661&lt;&gt;0,TRIM(U661)&lt;&gt;"Pass after CA"))),1,0)</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8" t="b">
        <f aca="false">TRUE()</f>
        <v>1</v>
      </c>
    </row>
    <row r="662" customFormat="false" ht="39.75" hidden="false" customHeight="true" outlineLevel="0" collapsed="false">
      <c r="A662" s="57" t="s">
        <v>1344</v>
      </c>
      <c r="B662" s="57" t="s">
        <v>296</v>
      </c>
      <c r="C662" s="57" t="str">
        <f aca="false">Flights!$F$24</f>
        <v>MH1450</v>
      </c>
      <c r="D662" s="58" t="n">
        <f aca="false">Flights!$D$24</f>
        <v>46324</v>
      </c>
      <c r="E662" s="57" t="str">
        <f aca="false">Flights!$G$24&amp;"-"&amp;Flights!$H$24</f>
        <v>KUL-LGK</v>
      </c>
      <c r="F662" s="57" t="str">
        <f aca="false">Flights!$K$24</f>
        <v>EY</v>
      </c>
      <c r="G662" s="57" t="s">
        <v>424</v>
      </c>
      <c r="H662" s="57" t="s">
        <v>425</v>
      </c>
      <c r="I662" s="57" t="s">
        <v>344</v>
      </c>
      <c r="J662" s="57" t="s">
        <v>426</v>
      </c>
      <c r="K662" s="67" t="s">
        <v>391</v>
      </c>
      <c r="L662" s="67" t="s">
        <v>427</v>
      </c>
      <c r="M662" s="67"/>
      <c r="N662" s="67" t="s">
        <v>348</v>
      </c>
      <c r="O662" s="67" t="s">
        <v>428</v>
      </c>
      <c r="P662" s="57" t="s">
        <v>179</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59" t="n">
        <f aca="false">IF(ISNUMBER(Flights!$AY$24),MAX(Q662-UpliftWindowH/24,Flights!$AY$24+UpliftWindowH/24),Q662-UpliftWindowH/24)</f>
        <v>46324.1875</v>
      </c>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IF(N662="N/A – rule","N/A – RULE",IF(TRIM(U662)="N/A",IF(AT662=0,"INVALID – N/A not permitted for this mandatory check",IF(AND(TRIM(AC662)&lt;&gt;"",TRIM(AE662)&lt;&gt;"",TRIM(T662)&lt;&gt;"",TRIM(AE662)&lt;&gt;TRIM(T662)),"N/A – JUSTIFIED","INVALID – N/A needs justification, PIC and a different verifier")),IF(OR(TRIM(U662)="Pass",TRIM(U662)="Pass after CA"),IF(NOT(ISNUMBER(AD662)),"INVALID – completion time missing",IF(TRIM(T662)="","INVALID – PIC missing",IF(TRIM(V662)="","INVALID – result / assessment missing",IF(TRIM(Z662)="","INVALID – evidence missing",IF(TRIM(AE662)="","INVALID – verifier missing",IF(TRIM(AE662)=TRIM(T662),"INVALID – verifier must be someone other than the PIC",IF(AND(AQ662=1,TRIM(W662)=""),"INVALID – batch ID missing",IF(AND(AR662=1,OR(NOT(ISNUMBER(X662)),NOT(ISNUMBER(Y662)))),"INVALID – expected/actual qty missing",IF(IF(AND(TRIM(U662)="Pass",ISNUMBER(AF662)),IF(AF662&lt;&gt;0,"INVALID – qty variance: use Fail or Pass after CA",""),"")&amp;IF(AND(TRIM(U662)="Pass",TRIM(AB662)&lt;&gt;"",TRIM(AB662)&lt;&gt;"Closed"),"INVALID – corrective action not closed: use Fail, then Pass after CA","")&amp;IF(AND(TRIM(AA662)&lt;&gt;"",TRIM(AB662)=""),"INVALID – CA status missing for the recorded corrective action","")&amp;IF(AND(TRIM(U662)="Pass after CA",OR(TRIM(AA662)="",TRIM(AB662)&lt;&gt;"Closed")),"INVALID – corrective action not recorded/closed","")&lt;&gt;"",IF(AND(TRIM(U662)="Pass",ISNUMBER(AF662)),IF(AF662&lt;&gt;0,"INVALID – qty variance: use Fail or Pass after CA",""),"")&amp;IF(AND(TRIM(U662)="Pass",TRIM(AB662)&lt;&gt;"",TRIM(AB662)&lt;&gt;"Closed"),"INVALID – corrective action not closed: use Fail, then Pass after CA","")&amp;IF(AND(TRIM(AA662)&lt;&gt;"",TRIM(AB662)=""),"INVALID – CA status missing for the recorded corrective action","")&amp;IF(AND(TRIM(U662)="Pass after CA",OR(TRIM(AA662)="",TRIM(AB662)&lt;&gt;"Closed")),"INVALID – corrective action not recorded/closed",""),IF(AND(AS662=1,Documents!$J$24&lt;&gt;"ON FILE"),"INVALID – GLD not on file (Documents sheet)",IF(AND(AS662=2,Documents!$O$24&lt;&gt;"ON FILE"),"INVALID – menu checklist not on file (Documents sheet)",IF(AND(AS662=3,NOT(ISNUMBER(Flights!$AX$24))),"INVALID – enter carrying flight KUL departure (Flights AX)",IF(AND(AS662=3,OR(Flights!$AX$24&gt;=Flights!$AA$24,Flights!$AX$24&lt;Flights!$AA$24-3)),"INVALID – Flights AX must be before this leg's STD (within 3 days)",IF(AG662&gt;AsOfUTC,"INVALID – completion time is in the future",IF(AND(ISNUMBER(S662),AG662&lt;S662),IF(H662="Physical uplift","INVALID – before uplift window (cannot confirm loading)","INVALID – before valid window"),IF(AG662&gt;Flights!$AA$24,"INVALID – completed after departure (cannot establish readiness)",IF(AND(H662="Physical uplift",AG662&gt;Q662),"INVALID – recorded after the loading flight departed",IF(AG662&gt;Q662,"COMPLETE – LATE","COMPLETE")))))))))))))))))),IF(TRIM(U662)="Fail","FAIL – DISCREPANCY",IF(AND(TRIM(U662)&lt;&gt;"",TRIM(U662)&lt;&gt;"Not started",TRIM(U662)&lt;&gt;"In progress"),"INVALID – unrecognised status (use the list)",IF(AsOfUTC&gt;Q662,"OVERDUE",IF(N662="Clarification required","OPEN – CLARIFICATION","OPEN")))))))</f>
        <v>OPEN</v>
      </c>
      <c r="AI662" s="61" t="n">
        <f aca="false">IF(OR(AH662="N/A – RULE",AH662="N/A – JUSTIFIED"),0,1)</f>
        <v>1</v>
      </c>
      <c r="AJ662" s="61" t="n">
        <f aca="false">IF(LEFT(AH662,8)="COMPLETE",1,0)</f>
        <v>0</v>
      </c>
      <c r="AK662" s="61" t="n">
        <f aca="false">IF(AND(AI662=1,AJ662=0,AsOfUTC&gt;Q662),1,0)</f>
        <v>0</v>
      </c>
      <c r="AL662" s="61" t="n">
        <f aca="false">IF(AND(AI662=1,OR(TRIM(U662)="Fail",AND(TRIM(AB662)&lt;&gt;"",TRIM(AB662)&lt;&gt;"Closed"),AND(ISNUMBER(AF662),AF662&lt;&gt;0,TRIM(U662)&lt;&gt;"Pass after CA"))),1,0)</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row>
    <row r="663" customFormat="false" ht="39.75" hidden="false" customHeight="true" outlineLevel="0" collapsed="false">
      <c r="A663" s="57" t="s">
        <v>1345</v>
      </c>
      <c r="B663" s="57" t="s">
        <v>296</v>
      </c>
      <c r="C663" s="57" t="str">
        <f aca="false">Flights!$F$24</f>
        <v>MH1450</v>
      </c>
      <c r="D663" s="58" t="n">
        <f aca="false">Flights!$D$24</f>
        <v>46324</v>
      </c>
      <c r="E663" s="57" t="str">
        <f aca="false">Flights!$G$24&amp;"-"&amp;Flights!$H$24</f>
        <v>KUL-LGK</v>
      </c>
      <c r="F663" s="57" t="str">
        <f aca="false">Flights!$K$24</f>
        <v>EY</v>
      </c>
      <c r="G663" s="57" t="s">
        <v>424</v>
      </c>
      <c r="H663" s="57" t="s">
        <v>425</v>
      </c>
      <c r="I663" s="57" t="s">
        <v>393</v>
      </c>
      <c r="J663" s="57" t="s">
        <v>430</v>
      </c>
      <c r="K663" s="67" t="s">
        <v>391</v>
      </c>
      <c r="L663" s="67" t="s">
        <v>427</v>
      </c>
      <c r="M663" s="67"/>
      <c r="N663" s="67" t="s">
        <v>348</v>
      </c>
      <c r="O663" s="67" t="s">
        <v>428</v>
      </c>
      <c r="P663" s="57" t="s">
        <v>179</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59" t="n">
        <f aca="false">IF(ISNUMBER(Flights!$AY$24),MAX(Q663-UpliftWindowH/24,Flights!$AY$24+UpliftWindowH/24),Q663-UpliftWindowH/24)</f>
        <v>46324.1875</v>
      </c>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IF(N663="N/A – rule","N/A – RULE",IF(TRIM(U663)="N/A",IF(AT663=0,"INVALID – N/A not permitted for this mandatory check",IF(AND(TRIM(AC663)&lt;&gt;"",TRIM(AE663)&lt;&gt;"",TRIM(T663)&lt;&gt;"",TRIM(AE663)&lt;&gt;TRIM(T663)),"N/A – JUSTIFIED","INVALID – N/A needs justification, PIC and a different verifier")),IF(OR(TRIM(U663)="Pass",TRIM(U663)="Pass after CA"),IF(NOT(ISNUMBER(AD663)),"INVALID – completion time missing",IF(TRIM(T663)="","INVALID – PIC missing",IF(TRIM(V663)="","INVALID – result / assessment missing",IF(TRIM(Z663)="","INVALID – evidence missing",IF(TRIM(AE663)="","INVALID – verifier missing",IF(TRIM(AE663)=TRIM(T663),"INVALID – verifier must be someone other than the PIC",IF(AND(AQ663=1,TRIM(W663)=""),"INVALID – batch ID missing",IF(AND(AR663=1,OR(NOT(ISNUMBER(X663)),NOT(ISNUMBER(Y663)))),"INVALID – expected/actual qty missing",IF(IF(AND(TRIM(U663)="Pass",ISNUMBER(AF663)),IF(AF663&lt;&gt;0,"INVALID – qty variance: use Fail or Pass after CA",""),"")&amp;IF(AND(TRIM(U663)="Pass",TRIM(AB663)&lt;&gt;"",TRIM(AB663)&lt;&gt;"Closed"),"INVALID – corrective action not closed: use Fail, then Pass after CA","")&amp;IF(AND(TRIM(AA663)&lt;&gt;"",TRIM(AB663)=""),"INVALID – CA status missing for the recorded corrective action","")&amp;IF(AND(TRIM(U663)="Pass after CA",OR(TRIM(AA663)="",TRIM(AB663)&lt;&gt;"Closed")),"INVALID – corrective action not recorded/closed","")&lt;&gt;"",IF(AND(TRIM(U663)="Pass",ISNUMBER(AF663)),IF(AF663&lt;&gt;0,"INVALID – qty variance: use Fail or Pass after CA",""),"")&amp;IF(AND(TRIM(U663)="Pass",TRIM(AB663)&lt;&gt;"",TRIM(AB663)&lt;&gt;"Closed"),"INVALID – corrective action not closed: use Fail, then Pass after CA","")&amp;IF(AND(TRIM(AA663)&lt;&gt;"",TRIM(AB663)=""),"INVALID – CA status missing for the recorded corrective action","")&amp;IF(AND(TRIM(U663)="Pass after CA",OR(TRIM(AA663)="",TRIM(AB663)&lt;&gt;"Closed")),"INVALID – corrective action not recorded/closed",""),IF(AND(AS663=1,Documents!$J$24&lt;&gt;"ON FILE"),"INVALID – GLD not on file (Documents sheet)",IF(AND(AS663=2,Documents!$O$24&lt;&gt;"ON FILE"),"INVALID – menu checklist not on file (Documents sheet)",IF(AND(AS663=3,NOT(ISNUMBER(Flights!$AX$24))),"INVALID – enter carrying flight KUL departure (Flights AX)",IF(AND(AS663=3,OR(Flights!$AX$24&gt;=Flights!$AA$24,Flights!$AX$24&lt;Flights!$AA$24-3)),"INVALID – Flights AX must be before this leg's STD (within 3 days)",IF(AG663&gt;AsOfUTC,"INVALID – completion time is in the future",IF(AND(ISNUMBER(S663),AG663&lt;S663),IF(H663="Physical uplift","INVALID – before uplift window (cannot confirm loading)","INVALID – before valid window"),IF(AG663&gt;Flights!$AA$24,"INVALID – completed after departure (cannot establish readiness)",IF(AND(H663="Physical uplift",AG663&gt;Q663),"INVALID – recorded after the loading flight departed",IF(AG663&gt;Q663,"COMPLETE – LATE","COMPLETE")))))))))))))))))),IF(TRIM(U663)="Fail","FAIL – DISCREPANCY",IF(AND(TRIM(U663)&lt;&gt;"",TRIM(U663)&lt;&gt;"Not started",TRIM(U663)&lt;&gt;"In progress"),"INVALID – unrecognised status (use the list)",IF(AsOfUTC&gt;Q663,"OVERDUE",IF(N663="Clarification required","OPEN – CLARIFICATION","OPEN")))))))</f>
        <v>OPEN</v>
      </c>
      <c r="AI663" s="61" t="n">
        <f aca="false">IF(OR(AH663="N/A – RULE",AH663="N/A – JUSTIFIED"),0,1)</f>
        <v>1</v>
      </c>
      <c r="AJ663" s="61" t="n">
        <f aca="false">IF(LEFT(AH663,8)="COMPLETE",1,0)</f>
        <v>0</v>
      </c>
      <c r="AK663" s="61" t="n">
        <f aca="false">IF(AND(AI663=1,AJ663=0,AsOfUTC&gt;Q663),1,0)</f>
        <v>0</v>
      </c>
      <c r="AL663" s="61" t="n">
        <f aca="false">IF(AND(AI663=1,OR(TRIM(U663)="Fail",AND(TRIM(AB663)&lt;&gt;"",TRIM(AB663)&lt;&gt;"Closed"),AND(ISNUMBER(AF663),AF663&lt;&gt;0,TRIM(U663)&lt;&gt;"Pass after CA"))),1,0)</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row>
    <row r="664" customFormat="false" ht="39.75" hidden="false" customHeight="true" outlineLevel="0" collapsed="false">
      <c r="A664" s="57" t="s">
        <v>1346</v>
      </c>
      <c r="B664" s="57" t="s">
        <v>296</v>
      </c>
      <c r="C664" s="57" t="str">
        <f aca="false">Flights!$F$24</f>
        <v>MH1450</v>
      </c>
      <c r="D664" s="58" t="n">
        <f aca="false">Flights!$D$24</f>
        <v>46324</v>
      </c>
      <c r="E664" s="57" t="str">
        <f aca="false">Flights!$G$24&amp;"-"&amp;Flights!$H$24</f>
        <v>KUL-LGK</v>
      </c>
      <c r="F664" s="57" t="str">
        <f aca="false">Flights!$K$24</f>
        <v>EY</v>
      </c>
      <c r="G664" s="57" t="s">
        <v>424</v>
      </c>
      <c r="H664" s="57" t="s">
        <v>425</v>
      </c>
      <c r="I664" s="57" t="s">
        <v>412</v>
      </c>
      <c r="J664" s="57" t="s">
        <v>434</v>
      </c>
      <c r="K664" s="67" t="s">
        <v>414</v>
      </c>
      <c r="L664" s="67" t="s">
        <v>1343</v>
      </c>
      <c r="M664" s="67" t="s">
        <v>416</v>
      </c>
      <c r="N664" s="67" t="s">
        <v>348</v>
      </c>
      <c r="O664" s="67"/>
      <c r="P664" s="57" t="s">
        <v>179</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59" t="n">
        <f aca="false">IF(ISNUMBER(Flights!$AY$24),MAX(Q664-UpliftWindowH/24,Flights!$AY$24+UpliftWindowH/24),Q664-UpliftWindowH/24)</f>
        <v>46324.1875</v>
      </c>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IF(N664="N/A – rule","N/A – RULE",IF(TRIM(U664)="N/A",IF(AT664=0,"INVALID – N/A not permitted for this mandatory check",IF(AND(TRIM(AC664)&lt;&gt;"",TRIM(AE664)&lt;&gt;"",TRIM(T664)&lt;&gt;"",TRIM(AE664)&lt;&gt;TRIM(T664)),"N/A – JUSTIFIED","INVALID – N/A needs justification, PIC and a different verifier")),IF(OR(TRIM(U664)="Pass",TRIM(U664)="Pass after CA"),IF(NOT(ISNUMBER(AD664)),"INVALID – completion time missing",IF(TRIM(T664)="","INVALID – PIC missing",IF(TRIM(V664)="","INVALID – result / assessment missing",IF(TRIM(Z664)="","INVALID – evidence missing",IF(TRIM(AE664)="","INVALID – verifier missing",IF(TRIM(AE664)=TRIM(T664),"INVALID – verifier must be someone other than the PIC",IF(AND(AQ664=1,TRIM(W664)=""),"INVALID – batch ID missing",IF(AND(AR664=1,OR(NOT(ISNUMBER(X664)),NOT(ISNUMBER(Y664)))),"INVALID – expected/actual qty missing",IF(IF(AND(TRIM(U664)="Pass",ISNUMBER(AF664)),IF(AF664&lt;&gt;0,"INVALID – qty variance: use Fail or Pass after CA",""),"")&amp;IF(AND(TRIM(U664)="Pass",TRIM(AB664)&lt;&gt;"",TRIM(AB664)&lt;&gt;"Closed"),"INVALID – corrective action not closed: use Fail, then Pass after CA","")&amp;IF(AND(TRIM(AA664)&lt;&gt;"",TRIM(AB664)=""),"INVALID – CA status missing for the recorded corrective action","")&amp;IF(AND(TRIM(U664)="Pass after CA",OR(TRIM(AA664)="",TRIM(AB664)&lt;&gt;"Closed")),"INVALID – corrective action not recorded/closed","")&lt;&gt;"",IF(AND(TRIM(U664)="Pass",ISNUMBER(AF664)),IF(AF664&lt;&gt;0,"INVALID – qty variance: use Fail or Pass after CA",""),"")&amp;IF(AND(TRIM(U664)="Pass",TRIM(AB664)&lt;&gt;"",TRIM(AB664)&lt;&gt;"Closed"),"INVALID – corrective action not closed: use Fail, then Pass after CA","")&amp;IF(AND(TRIM(AA664)&lt;&gt;"",TRIM(AB664)=""),"INVALID – CA status missing for the recorded corrective action","")&amp;IF(AND(TRIM(U664)="Pass after CA",OR(TRIM(AA664)="",TRIM(AB664)&lt;&gt;"Closed")),"INVALID – corrective action not recorded/closed",""),IF(AND(AS664=1,Documents!$J$24&lt;&gt;"ON FILE"),"INVALID – GLD not on file (Documents sheet)",IF(AND(AS664=2,Documents!$O$24&lt;&gt;"ON FILE"),"INVALID – menu checklist not on file (Documents sheet)",IF(AND(AS664=3,NOT(ISNUMBER(Flights!$AX$24))),"INVALID – enter carrying flight KUL departure (Flights AX)",IF(AND(AS664=3,OR(Flights!$AX$24&gt;=Flights!$AA$24,Flights!$AX$24&lt;Flights!$AA$24-3)),"INVALID – Flights AX must be before this leg's STD (within 3 days)",IF(AG664&gt;AsOfUTC,"INVALID – completion time is in the future",IF(AND(ISNUMBER(S664),AG664&lt;S664),IF(H664="Physical uplift","INVALID – before uplift window (cannot confirm loading)","INVALID – before valid window"),IF(AG664&gt;Flights!$AA$24,"INVALID – completed after departure (cannot establish readiness)",IF(AND(H664="Physical uplift",AG664&gt;Q664),"INVALID – recorded after the loading flight departed",IF(AG664&gt;Q664,"COMPLETE – LATE","COMPLETE")))))))))))))))))),IF(TRIM(U664)="Fail","FAIL – DISCREPANCY",IF(AND(TRIM(U664)&lt;&gt;"",TRIM(U664)&lt;&gt;"Not started",TRIM(U664)&lt;&gt;"In progress"),"INVALID – unrecognised status (use the list)",IF(AsOfUTC&gt;Q664,"OVERDUE",IF(N664="Clarification required","OPEN – CLARIFICATION","OPEN")))))))</f>
        <v>OPEN</v>
      </c>
      <c r="AI664" s="61" t="n">
        <f aca="false">IF(OR(AH664="N/A – RULE",AH664="N/A – JUSTIFIED"),0,1)</f>
        <v>1</v>
      </c>
      <c r="AJ664" s="61" t="n">
        <f aca="false">IF(LEFT(AH664,8)="COMPLETE",1,0)</f>
        <v>0</v>
      </c>
      <c r="AK664" s="61" t="n">
        <f aca="false">IF(AND(AI664=1,AJ664=0,AsOfUTC&gt;Q664),1,0)</f>
        <v>0</v>
      </c>
      <c r="AL664" s="61" t="n">
        <f aca="false">IF(AND(AI664=1,OR(TRIM(U664)="Fail",AND(TRIM(AB664)&lt;&gt;"",TRIM(AB664)&lt;&gt;"Closed"),AND(ISNUMBER(AF664),AF664&lt;&gt;0,TRIM(U664)&lt;&gt;"Pass after CA"))),1,0)</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8" t="b">
        <f aca="false">TRUE()</f>
        <v>1</v>
      </c>
    </row>
    <row r="665" customFormat="false" ht="39.75" hidden="false" customHeight="true" outlineLevel="0" collapsed="false">
      <c r="A665" s="57" t="s">
        <v>1347</v>
      </c>
      <c r="B665" s="57" t="s">
        <v>302</v>
      </c>
      <c r="C665" s="57" t="str">
        <f aca="false">Flights!$F$25</f>
        <v>MH1437</v>
      </c>
      <c r="D665" s="58" t="n">
        <f aca="false">Flights!$D$25</f>
        <v>46325</v>
      </c>
      <c r="E665" s="57" t="str">
        <f aca="false">Flights!$G$25&amp;"-"&amp;Flights!$H$25</f>
        <v>LGK-KUL</v>
      </c>
      <c r="F665" s="57" t="str">
        <f aca="false">Flights!$K$25</f>
        <v>BC</v>
      </c>
      <c r="G665" s="57" t="s">
        <v>76</v>
      </c>
      <c r="H665" s="57" t="s">
        <v>343</v>
      </c>
      <c r="I665" s="57" t="s">
        <v>344</v>
      </c>
      <c r="J665" s="57" t="s">
        <v>345</v>
      </c>
      <c r="K665" s="67" t="s">
        <v>346</v>
      </c>
      <c r="L665" s="67" t="s">
        <v>347</v>
      </c>
      <c r="M665" s="67"/>
      <c r="N665" s="67" t="s">
        <v>348</v>
      </c>
      <c r="O665" s="67" t="s">
        <v>877</v>
      </c>
      <c r="P665" s="57" t="s">
        <v>179</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59" t="n">
        <f aca="false">Q665-T7EarlyD*24/24</f>
        <v>46304.28125</v>
      </c>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IF(N665="N/A – rule","N/A – RULE",IF(TRIM(U665)="N/A",IF(AT665=0,"INVALID – N/A not permitted for this mandatory check",IF(AND(TRIM(AC665)&lt;&gt;"",TRIM(AE665)&lt;&gt;"",TRIM(T665)&lt;&gt;"",TRIM(AE665)&lt;&gt;TRIM(T665)),"N/A – JUSTIFIED","INVALID – N/A needs justification, PIC and a different verifier")),IF(OR(TRIM(U665)="Pass",TRIM(U665)="Pass after CA"),IF(NOT(ISNUMBER(AD665)),"INVALID – completion time missing",IF(TRIM(T665)="","INVALID – PIC missing",IF(TRIM(V665)="","INVALID – result / assessment missing",IF(TRIM(Z665)="","INVALID – evidence missing",IF(TRIM(AE665)="","INVALID – verifier missing",IF(TRIM(AE665)=TRIM(T665),"INVALID – verifier must be someone other than the PIC",IF(AND(AQ665=1,TRIM(W665)=""),"INVALID – batch ID missing",IF(AND(AR665=1,OR(NOT(ISNUMBER(X665)),NOT(ISNUMBER(Y665)))),"INVALID – expected/actual qty missing",IF(IF(AND(TRIM(U665)="Pass",ISNUMBER(AF665)),IF(AF665&lt;&gt;0,"INVALID – qty variance: use Fail or Pass after CA",""),"")&amp;IF(AND(TRIM(U665)="Pass",TRIM(AB665)&lt;&gt;"",TRIM(AB665)&lt;&gt;"Closed"),"INVALID – corrective action not closed: use Fail, then Pass after CA","")&amp;IF(AND(TRIM(AA665)&lt;&gt;"",TRIM(AB665)=""),"INVALID – CA status missing for the recorded corrective action","")&amp;IF(AND(TRIM(U665)="Pass after CA",OR(TRIM(AA665)="",TRIM(AB665)&lt;&gt;"Closed")),"INVALID – corrective action not recorded/closed","")&lt;&gt;"",IF(AND(TRIM(U665)="Pass",ISNUMBER(AF665)),IF(AF665&lt;&gt;0,"INVALID – qty variance: use Fail or Pass after CA",""),"")&amp;IF(AND(TRIM(U665)="Pass",TRIM(AB665)&lt;&gt;"",TRIM(AB665)&lt;&gt;"Closed"),"INVALID – corrective action not closed: use Fail, then Pass after CA","")&amp;IF(AND(TRIM(AA665)&lt;&gt;"",TRIM(AB665)=""),"INVALID – CA status missing for the recorded corrective action","")&amp;IF(AND(TRIM(U665)="Pass after CA",OR(TRIM(AA665)="",TRIM(AB665)&lt;&gt;"Closed")),"INVALID – corrective action not recorded/closed",""),IF(AND(AS665=1,Documents!$J$25&lt;&gt;"ON FILE"),"INVALID – GLD not on file (Documents sheet)",IF(AND(AS665=2,Documents!$O$25&lt;&gt;"ON FILE"),"INVALID – menu checklist not on file (Documents sheet)",IF(AND(AS665=3,NOT(ISNUMBER(Flights!$AX$25))),"INVALID – enter carrying flight KUL departure (Flights AX)",IF(AND(AS665=3,OR(Flights!$AX$25&gt;=Flights!$AA$25,Flights!$AX$25&lt;Flights!$AA$25-3)),"INVALID – Flights AX must be before this leg's STD (within 3 days)",IF(AG665&gt;AsOfUTC,"INVALID – completion time is in the future",IF(AND(ISNUMBER(S665),AG665&lt;S665),IF(H665="Physical uplift","INVALID – before uplift window (cannot confirm loading)","INVALID – before valid window"),IF(AG665&gt;Flights!$AA$25,"INVALID – completed after departure (cannot establish readiness)",IF(AND(H665="Physical uplift",AG665&gt;Q665),"INVALID – recorded after the loading flight departed",IF(AG665&gt;Q665,"COMPLETE – LATE","COMPLETE")))))))))))))))))),IF(TRIM(U665)="Fail","FAIL – DISCREPANCY",IF(AND(TRIM(U665)&lt;&gt;"",TRIM(U665)&lt;&gt;"Not started",TRIM(U665)&lt;&gt;"In progress"),"INVALID – unrecognised status (use the list)",IF(AsOfUTC&gt;Q665,"OVERDUE",IF(N665="Clarification required","OPEN – CLARIFICATION","OPEN")))))))</f>
        <v>OPEN</v>
      </c>
      <c r="AI665" s="61" t="n">
        <f aca="false">IF(OR(AH665="N/A – RULE",AH665="N/A – JUSTIFIED"),0,1)</f>
        <v>1</v>
      </c>
      <c r="AJ665" s="61" t="n">
        <f aca="false">IF(LEFT(AH665,8)="COMPLETE",1,0)</f>
        <v>0</v>
      </c>
      <c r="AK665" s="61" t="n">
        <f aca="false">IF(AND(AI665=1,AJ665=0,AsOfUTC&gt;Q665),1,0)</f>
        <v>0</v>
      </c>
      <c r="AL665" s="61" t="n">
        <f aca="false">IF(AND(AI665=1,OR(TRIM(U665)="Fail",AND(TRIM(AB665)&lt;&gt;"",TRIM(AB665)&lt;&gt;"Closed"),AND(ISNUMBER(AF665),AF665&lt;&gt;0,TRIM(U665)&lt;&gt;"Pass after CA"))),1,0)</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row>
    <row r="666" customFormat="false" ht="41.25" hidden="false" customHeight="true" outlineLevel="0" collapsed="false">
      <c r="A666" s="57" t="s">
        <v>1348</v>
      </c>
      <c r="B666" s="57" t="s">
        <v>302</v>
      </c>
      <c r="C666" s="57" t="str">
        <f aca="false">Flights!$F$25</f>
        <v>MH1437</v>
      </c>
      <c r="D666" s="58" t="n">
        <f aca="false">Flights!$D$25</f>
        <v>46325</v>
      </c>
      <c r="E666" s="57" t="str">
        <f aca="false">Flights!$G$25&amp;"-"&amp;Flights!$H$25</f>
        <v>LGK-KUL</v>
      </c>
      <c r="F666" s="57" t="str">
        <f aca="false">Flights!$K$25</f>
        <v>BC</v>
      </c>
      <c r="G666" s="57" t="s">
        <v>76</v>
      </c>
      <c r="H666" s="57" t="s">
        <v>343</v>
      </c>
      <c r="I666" s="57" t="s">
        <v>350</v>
      </c>
      <c r="J666" s="57" t="s">
        <v>351</v>
      </c>
      <c r="K666" s="67" t="s">
        <v>352</v>
      </c>
      <c r="L666" s="67" t="s">
        <v>347</v>
      </c>
      <c r="M666" s="67"/>
      <c r="N666" s="67" t="s">
        <v>348</v>
      </c>
      <c r="O666" s="67" t="s">
        <v>879</v>
      </c>
      <c r="P666" s="57" t="s">
        <v>179</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59" t="n">
        <f aca="false">Q666-T7EarlyD*24/24</f>
        <v>46304.28125</v>
      </c>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IF(N666="N/A – rule","N/A – RULE",IF(TRIM(U666)="N/A",IF(AT666=0,"INVALID – N/A not permitted for this mandatory check",IF(AND(TRIM(AC666)&lt;&gt;"",TRIM(AE666)&lt;&gt;"",TRIM(T666)&lt;&gt;"",TRIM(AE666)&lt;&gt;TRIM(T666)),"N/A – JUSTIFIED","INVALID – N/A needs justification, PIC and a different verifier")),IF(OR(TRIM(U666)="Pass",TRIM(U666)="Pass after CA"),IF(NOT(ISNUMBER(AD666)),"INVALID – completion time missing",IF(TRIM(T666)="","INVALID – PIC missing",IF(TRIM(V666)="","INVALID – result / assessment missing",IF(TRIM(Z666)="","INVALID – evidence missing",IF(TRIM(AE666)="","INVALID – verifier missing",IF(TRIM(AE666)=TRIM(T666),"INVALID – verifier must be someone other than the PIC",IF(AND(AQ666=1,TRIM(W666)=""),"INVALID – batch ID missing",IF(AND(AR666=1,OR(NOT(ISNUMBER(X666)),NOT(ISNUMBER(Y666)))),"INVALID – expected/actual qty missing",IF(IF(AND(TRIM(U666)="Pass",ISNUMBER(AF666)),IF(AF666&lt;&gt;0,"INVALID – qty variance: use Fail or Pass after CA",""),"")&amp;IF(AND(TRIM(U666)="Pass",TRIM(AB666)&lt;&gt;"",TRIM(AB666)&lt;&gt;"Closed"),"INVALID – corrective action not closed: use Fail, then Pass after CA","")&amp;IF(AND(TRIM(AA666)&lt;&gt;"",TRIM(AB666)=""),"INVALID – CA status missing for the recorded corrective action","")&amp;IF(AND(TRIM(U666)="Pass after CA",OR(TRIM(AA666)="",TRIM(AB666)&lt;&gt;"Closed")),"INVALID – corrective action not recorded/closed","")&lt;&gt;"",IF(AND(TRIM(U666)="Pass",ISNUMBER(AF666)),IF(AF666&lt;&gt;0,"INVALID – qty variance: use Fail or Pass after CA",""),"")&amp;IF(AND(TRIM(U666)="Pass",TRIM(AB666)&lt;&gt;"",TRIM(AB666)&lt;&gt;"Closed"),"INVALID – corrective action not closed: use Fail, then Pass after CA","")&amp;IF(AND(TRIM(AA666)&lt;&gt;"",TRIM(AB666)=""),"INVALID – CA status missing for the recorded corrective action","")&amp;IF(AND(TRIM(U666)="Pass after CA",OR(TRIM(AA666)="",TRIM(AB666)&lt;&gt;"Closed")),"INVALID – corrective action not recorded/closed",""),IF(AND(AS666=1,Documents!$J$25&lt;&gt;"ON FILE"),"INVALID – GLD not on file (Documents sheet)",IF(AND(AS666=2,Documents!$O$25&lt;&gt;"ON FILE"),"INVALID – menu checklist not on file (Documents sheet)",IF(AND(AS666=3,NOT(ISNUMBER(Flights!$AX$25))),"INVALID – enter carrying flight KUL departure (Flights AX)",IF(AND(AS666=3,OR(Flights!$AX$25&gt;=Flights!$AA$25,Flights!$AX$25&lt;Flights!$AA$25-3)),"INVALID – Flights AX must be before this leg's STD (within 3 days)",IF(AG666&gt;AsOfUTC,"INVALID – completion time is in the future",IF(AND(ISNUMBER(S666),AG666&lt;S666),IF(H666="Physical uplift","INVALID – before uplift window (cannot confirm loading)","INVALID – before valid window"),IF(AG666&gt;Flights!$AA$25,"INVALID – completed after departure (cannot establish readiness)",IF(AND(H666="Physical uplift",AG666&gt;Q666),"INVALID – recorded after the loading flight departed",IF(AG666&gt;Q666,"COMPLETE – LATE","COMPLETE")))))))))))))))))),IF(TRIM(U666)="Fail","FAIL – DISCREPANCY",IF(AND(TRIM(U666)&lt;&gt;"",TRIM(U666)&lt;&gt;"Not started",TRIM(U666)&lt;&gt;"In progress"),"INVALID – unrecognised status (use the list)",IF(AsOfUTC&gt;Q666,"OVERDUE",IF(N666="Clarification required","OPEN – CLARIFICATION","OPEN")))))))</f>
        <v>OPEN</v>
      </c>
      <c r="AI666" s="61" t="n">
        <f aca="false">IF(OR(AH666="N/A – RULE",AH666="N/A – JUSTIFIED"),0,1)</f>
        <v>1</v>
      </c>
      <c r="AJ666" s="61" t="n">
        <f aca="false">IF(LEFT(AH666,8)="COMPLETE",1,0)</f>
        <v>0</v>
      </c>
      <c r="AK666" s="61" t="n">
        <f aca="false">IF(AND(AI666=1,AJ666=0,AsOfUTC&gt;Q666),1,0)</f>
        <v>0</v>
      </c>
      <c r="AL666" s="61" t="n">
        <f aca="false">IF(AND(AI666=1,OR(TRIM(U666)="Fail",AND(TRIM(AB666)&lt;&gt;"",TRIM(AB666)&lt;&gt;"Closed"),AND(ISNUMBER(AF666),AF666&lt;&gt;0,TRIM(U666)&lt;&gt;"Pass after CA"))),1,0)</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8" t="b">
        <f aca="false">TRUE()</f>
        <v>1</v>
      </c>
    </row>
    <row r="667" customFormat="false" ht="41.25" hidden="false" customHeight="true" outlineLevel="0" collapsed="false">
      <c r="A667" s="57" t="s">
        <v>1349</v>
      </c>
      <c r="B667" s="57" t="s">
        <v>302</v>
      </c>
      <c r="C667" s="57" t="str">
        <f aca="false">Flights!$F$25</f>
        <v>MH1437</v>
      </c>
      <c r="D667" s="58" t="n">
        <f aca="false">Flights!$D$25</f>
        <v>46325</v>
      </c>
      <c r="E667" s="57" t="str">
        <f aca="false">Flights!$G$25&amp;"-"&amp;Flights!$H$25</f>
        <v>LGK-KUL</v>
      </c>
      <c r="F667" s="57" t="str">
        <f aca="false">Flights!$K$25</f>
        <v>BC</v>
      </c>
      <c r="G667" s="57" t="s">
        <v>76</v>
      </c>
      <c r="H667" s="57" t="s">
        <v>343</v>
      </c>
      <c r="I667" s="57" t="s">
        <v>354</v>
      </c>
      <c r="J667" s="57" t="s">
        <v>355</v>
      </c>
      <c r="K667" s="67" t="s">
        <v>356</v>
      </c>
      <c r="L667" s="67" t="s">
        <v>347</v>
      </c>
      <c r="M667" s="67"/>
      <c r="N667" s="67" t="str">
        <f aca="false">IF(TRIM(Flights!$L$25)="A339","Required","N/A – rule")</f>
        <v>N/A – rule</v>
      </c>
      <c r="O667" s="67" t="s">
        <v>357</v>
      </c>
      <c r="P667" s="57" t="s">
        <v>179</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59" t="n">
        <f aca="false">Q667-T7EarlyD*24/24</f>
        <v>46304.28125</v>
      </c>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IF(N667="N/A – rule","N/A – RULE",IF(TRIM(U667)="N/A",IF(AT667=0,"INVALID – N/A not permitted for this mandatory check",IF(AND(TRIM(AC667)&lt;&gt;"",TRIM(AE667)&lt;&gt;"",TRIM(T667)&lt;&gt;"",TRIM(AE667)&lt;&gt;TRIM(T667)),"N/A – JUSTIFIED","INVALID – N/A needs justification, PIC and a different verifier")),IF(OR(TRIM(U667)="Pass",TRIM(U667)="Pass after CA"),IF(NOT(ISNUMBER(AD667)),"INVALID – completion time missing",IF(TRIM(T667)="","INVALID – PIC missing",IF(TRIM(V667)="","INVALID – result / assessment missing",IF(TRIM(Z667)="","INVALID – evidence missing",IF(TRIM(AE667)="","INVALID – verifier missing",IF(TRIM(AE667)=TRIM(T667),"INVALID – verifier must be someone other than the PIC",IF(AND(AQ667=1,TRIM(W667)=""),"INVALID – batch ID missing",IF(AND(AR667=1,OR(NOT(ISNUMBER(X667)),NOT(ISNUMBER(Y667)))),"INVALID – expected/actual qty missing",IF(IF(AND(TRIM(U667)="Pass",ISNUMBER(AF667)),IF(AF667&lt;&gt;0,"INVALID – qty variance: use Fail or Pass after CA",""),"")&amp;IF(AND(TRIM(U667)="Pass",TRIM(AB667)&lt;&gt;"",TRIM(AB667)&lt;&gt;"Closed"),"INVALID – corrective action not closed: use Fail, then Pass after CA","")&amp;IF(AND(TRIM(AA667)&lt;&gt;"",TRIM(AB667)=""),"INVALID – CA status missing for the recorded corrective action","")&amp;IF(AND(TRIM(U667)="Pass after CA",OR(TRIM(AA667)="",TRIM(AB667)&lt;&gt;"Closed")),"INVALID – corrective action not recorded/closed","")&lt;&gt;"",IF(AND(TRIM(U667)="Pass",ISNUMBER(AF667)),IF(AF667&lt;&gt;0,"INVALID – qty variance: use Fail or Pass after CA",""),"")&amp;IF(AND(TRIM(U667)="Pass",TRIM(AB667)&lt;&gt;"",TRIM(AB667)&lt;&gt;"Closed"),"INVALID – corrective action not closed: use Fail, then Pass after CA","")&amp;IF(AND(TRIM(AA667)&lt;&gt;"",TRIM(AB667)=""),"INVALID – CA status missing for the recorded corrective action","")&amp;IF(AND(TRIM(U667)="Pass after CA",OR(TRIM(AA667)="",TRIM(AB667)&lt;&gt;"Closed")),"INVALID – corrective action not recorded/closed",""),IF(AND(AS667=1,Documents!$J$25&lt;&gt;"ON FILE"),"INVALID – GLD not on file (Documents sheet)",IF(AND(AS667=2,Documents!$O$25&lt;&gt;"ON FILE"),"INVALID – menu checklist not on file (Documents sheet)",IF(AND(AS667=3,NOT(ISNUMBER(Flights!$AX$25))),"INVALID – enter carrying flight KUL departure (Flights AX)",IF(AND(AS667=3,OR(Flights!$AX$25&gt;=Flights!$AA$25,Flights!$AX$25&lt;Flights!$AA$25-3)),"INVALID – Flights AX must be before this leg's STD (within 3 days)",IF(AG667&gt;AsOfUTC,"INVALID – completion time is in the future",IF(AND(ISNUMBER(S667),AG667&lt;S667),IF(H667="Physical uplift","INVALID – before uplift window (cannot confirm loading)","INVALID – before valid window"),IF(AG667&gt;Flights!$AA$25,"INVALID – completed after departure (cannot establish readiness)",IF(AND(H667="Physical uplift",AG667&gt;Q667),"INVALID – recorded after the loading flight departed",IF(AG667&gt;Q667,"COMPLETE – LATE","COMPLETE")))))))))))))))))),IF(TRIM(U667)="Fail","FAIL – DISCREPANCY",IF(AND(TRIM(U667)&lt;&gt;"",TRIM(U667)&lt;&gt;"Not started",TRIM(U667)&lt;&gt;"In progress"),"INVALID – unrecognised status (use the list)",IF(AsOfUTC&gt;Q667,"OVERDUE",IF(N667="Clarification required","OPEN – CLARIFICATION","OPEN")))))))</f>
        <v>N/A – RULE</v>
      </c>
      <c r="AI667" s="61" t="n">
        <f aca="false">IF(OR(AH667="N/A – RULE",AH667="N/A – JUSTIFIED"),0,1)</f>
        <v>0</v>
      </c>
      <c r="AJ667" s="61" t="n">
        <f aca="false">IF(LEFT(AH667,8)="COMPLETE",1,0)</f>
        <v>0</v>
      </c>
      <c r="AK667" s="61" t="n">
        <f aca="false">IF(AND(AI667=1,AJ667=0,AsOfUTC&gt;Q667),1,0)</f>
        <v>0</v>
      </c>
      <c r="AL667" s="61" t="n">
        <f aca="false">IF(AND(AI667=1,OR(TRIM(U667)="Fail",AND(TRIM(AB667)&lt;&gt;"",TRIM(AB667)&lt;&gt;"Closed"),AND(ISNUMBER(AF667),AF667&lt;&gt;0,TRIM(U667)&lt;&gt;"Pass after CA"))),1,0)</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row>
    <row r="668" customFormat="false" ht="39.75" hidden="false" customHeight="true" outlineLevel="0" collapsed="false">
      <c r="A668" s="57" t="s">
        <v>1350</v>
      </c>
      <c r="B668" s="57" t="s">
        <v>302</v>
      </c>
      <c r="C668" s="57" t="str">
        <f aca="false">Flights!$F$25</f>
        <v>MH1437</v>
      </c>
      <c r="D668" s="58" t="n">
        <f aca="false">Flights!$D$25</f>
        <v>46325</v>
      </c>
      <c r="E668" s="57" t="str">
        <f aca="false">Flights!$G$25&amp;"-"&amp;Flights!$H$25</f>
        <v>LGK-KUL</v>
      </c>
      <c r="F668" s="57" t="str">
        <f aca="false">Flights!$K$25</f>
        <v>BC</v>
      </c>
      <c r="G668" s="57" t="s">
        <v>76</v>
      </c>
      <c r="H668" s="57" t="s">
        <v>343</v>
      </c>
      <c r="I668" s="57" t="s">
        <v>359</v>
      </c>
      <c r="J668" s="57" t="s">
        <v>360</v>
      </c>
      <c r="K668" s="67" t="s">
        <v>361</v>
      </c>
      <c r="L668" s="67" t="s">
        <v>347</v>
      </c>
      <c r="M668" s="67"/>
      <c r="N668" s="67" t="s">
        <v>348</v>
      </c>
      <c r="O668" s="67"/>
      <c r="P668" s="57" t="s">
        <v>179</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59" t="n">
        <f aca="false">Q668-T7EarlyD*24/24</f>
        <v>46304.28125</v>
      </c>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IF(N668="N/A – rule","N/A – RULE",IF(TRIM(U668)="N/A",IF(AT668=0,"INVALID – N/A not permitted for this mandatory check",IF(AND(TRIM(AC668)&lt;&gt;"",TRIM(AE668)&lt;&gt;"",TRIM(T668)&lt;&gt;"",TRIM(AE668)&lt;&gt;TRIM(T668)),"N/A – JUSTIFIED","INVALID – N/A needs justification, PIC and a different verifier")),IF(OR(TRIM(U668)="Pass",TRIM(U668)="Pass after CA"),IF(NOT(ISNUMBER(AD668)),"INVALID – completion time missing",IF(TRIM(T668)="","INVALID – PIC missing",IF(TRIM(V668)="","INVALID – result / assessment missing",IF(TRIM(Z668)="","INVALID – evidence missing",IF(TRIM(AE668)="","INVALID – verifier missing",IF(TRIM(AE668)=TRIM(T668),"INVALID – verifier must be someone other than the PIC",IF(AND(AQ668=1,TRIM(W668)=""),"INVALID – batch ID missing",IF(AND(AR668=1,OR(NOT(ISNUMBER(X668)),NOT(ISNUMBER(Y668)))),"INVALID – expected/actual qty missing",IF(IF(AND(TRIM(U668)="Pass",ISNUMBER(AF668)),IF(AF668&lt;&gt;0,"INVALID – qty variance: use Fail or Pass after CA",""),"")&amp;IF(AND(TRIM(U668)="Pass",TRIM(AB668)&lt;&gt;"",TRIM(AB668)&lt;&gt;"Closed"),"INVALID – corrective action not closed: use Fail, then Pass after CA","")&amp;IF(AND(TRIM(AA668)&lt;&gt;"",TRIM(AB668)=""),"INVALID – CA status missing for the recorded corrective action","")&amp;IF(AND(TRIM(U668)="Pass after CA",OR(TRIM(AA668)="",TRIM(AB668)&lt;&gt;"Closed")),"INVALID – corrective action not recorded/closed","")&lt;&gt;"",IF(AND(TRIM(U668)="Pass",ISNUMBER(AF668)),IF(AF668&lt;&gt;0,"INVALID – qty variance: use Fail or Pass after CA",""),"")&amp;IF(AND(TRIM(U668)="Pass",TRIM(AB668)&lt;&gt;"",TRIM(AB668)&lt;&gt;"Closed"),"INVALID – corrective action not closed: use Fail, then Pass after CA","")&amp;IF(AND(TRIM(AA668)&lt;&gt;"",TRIM(AB668)=""),"INVALID – CA status missing for the recorded corrective action","")&amp;IF(AND(TRIM(U668)="Pass after CA",OR(TRIM(AA668)="",TRIM(AB668)&lt;&gt;"Closed")),"INVALID – corrective action not recorded/closed",""),IF(AND(AS668=1,Documents!$J$25&lt;&gt;"ON FILE"),"INVALID – GLD not on file (Documents sheet)",IF(AND(AS668=2,Documents!$O$25&lt;&gt;"ON FILE"),"INVALID – menu checklist not on file (Documents sheet)",IF(AND(AS668=3,NOT(ISNUMBER(Flights!$AX$25))),"INVALID – enter carrying flight KUL departure (Flights AX)",IF(AND(AS668=3,OR(Flights!$AX$25&gt;=Flights!$AA$25,Flights!$AX$25&lt;Flights!$AA$25-3)),"INVALID – Flights AX must be before this leg's STD (within 3 days)",IF(AG668&gt;AsOfUTC,"INVALID – completion time is in the future",IF(AND(ISNUMBER(S668),AG668&lt;S668),IF(H668="Physical uplift","INVALID – before uplift window (cannot confirm loading)","INVALID – before valid window"),IF(AG668&gt;Flights!$AA$25,"INVALID – completed after departure (cannot establish readiness)",IF(AND(H668="Physical uplift",AG668&gt;Q668),"INVALID – recorded after the loading flight departed",IF(AG668&gt;Q668,"COMPLETE – LATE","COMPLETE")))))))))))))))))),IF(TRIM(U668)="Fail","FAIL – DISCREPANCY",IF(AND(TRIM(U668)&lt;&gt;"",TRIM(U668)&lt;&gt;"Not started",TRIM(U668)&lt;&gt;"In progress"),"INVALID – unrecognised status (use the list)",IF(AsOfUTC&gt;Q668,"OVERDUE",IF(N668="Clarification required","OPEN – CLARIFICATION","OPEN")))))))</f>
        <v>OPEN</v>
      </c>
      <c r="AI668" s="61" t="n">
        <f aca="false">IF(OR(AH668="N/A – RULE",AH668="N/A – JUSTIFIED"),0,1)</f>
        <v>1</v>
      </c>
      <c r="AJ668" s="61" t="n">
        <f aca="false">IF(LEFT(AH668,8)="COMPLETE",1,0)</f>
        <v>0</v>
      </c>
      <c r="AK668" s="61" t="n">
        <f aca="false">IF(AND(AI668=1,AJ668=0,AsOfUTC&gt;Q668),1,0)</f>
        <v>0</v>
      </c>
      <c r="AL668" s="61" t="n">
        <f aca="false">IF(AND(AI668=1,OR(TRIM(U668)="Fail",AND(TRIM(AB668)&lt;&gt;"",TRIM(AB668)&lt;&gt;"Closed"),AND(ISNUMBER(AF668),AF668&lt;&gt;0,TRIM(U668)&lt;&gt;"Pass after CA"))),1,0)</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row>
    <row r="669" customFormat="false" ht="39.75" hidden="false" customHeight="true" outlineLevel="0" collapsed="false">
      <c r="A669" s="57" t="s">
        <v>1351</v>
      </c>
      <c r="B669" s="57" t="s">
        <v>302</v>
      </c>
      <c r="C669" s="57" t="str">
        <f aca="false">Flights!$F$25</f>
        <v>MH1437</v>
      </c>
      <c r="D669" s="58" t="n">
        <f aca="false">Flights!$D$25</f>
        <v>46325</v>
      </c>
      <c r="E669" s="57" t="str">
        <f aca="false">Flights!$G$25&amp;"-"&amp;Flights!$H$25</f>
        <v>LGK-KUL</v>
      </c>
      <c r="F669" s="57" t="str">
        <f aca="false">Flights!$K$25</f>
        <v>BC</v>
      </c>
      <c r="G669" s="57" t="s">
        <v>76</v>
      </c>
      <c r="H669" s="57" t="s">
        <v>343</v>
      </c>
      <c r="I669" s="57" t="s">
        <v>363</v>
      </c>
      <c r="J669" s="57" t="s">
        <v>364</v>
      </c>
      <c r="K669" s="67" t="s">
        <v>365</v>
      </c>
      <c r="L669" s="67" t="s">
        <v>347</v>
      </c>
      <c r="M669" s="67"/>
      <c r="N669" s="67" t="s">
        <v>348</v>
      </c>
      <c r="O669" s="67"/>
      <c r="P669" s="57" t="s">
        <v>179</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59" t="n">
        <f aca="false">Q669-T7EarlyD*24/24</f>
        <v>46304.28125</v>
      </c>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IF(N669="N/A – rule","N/A – RULE",IF(TRIM(U669)="N/A",IF(AT669=0,"INVALID – N/A not permitted for this mandatory check",IF(AND(TRIM(AC669)&lt;&gt;"",TRIM(AE669)&lt;&gt;"",TRIM(T669)&lt;&gt;"",TRIM(AE669)&lt;&gt;TRIM(T669)),"N/A – JUSTIFIED","INVALID – N/A needs justification, PIC and a different verifier")),IF(OR(TRIM(U669)="Pass",TRIM(U669)="Pass after CA"),IF(NOT(ISNUMBER(AD669)),"INVALID – completion time missing",IF(TRIM(T669)="","INVALID – PIC missing",IF(TRIM(V669)="","INVALID – result / assessment missing",IF(TRIM(Z669)="","INVALID – evidence missing",IF(TRIM(AE669)="","INVALID – verifier missing",IF(TRIM(AE669)=TRIM(T669),"INVALID – verifier must be someone other than the PIC",IF(AND(AQ669=1,TRIM(W669)=""),"INVALID – batch ID missing",IF(AND(AR669=1,OR(NOT(ISNUMBER(X669)),NOT(ISNUMBER(Y669)))),"INVALID – expected/actual qty missing",IF(IF(AND(TRIM(U669)="Pass",ISNUMBER(AF669)),IF(AF669&lt;&gt;0,"INVALID – qty variance: use Fail or Pass after CA",""),"")&amp;IF(AND(TRIM(U669)="Pass",TRIM(AB669)&lt;&gt;"",TRIM(AB669)&lt;&gt;"Closed"),"INVALID – corrective action not closed: use Fail, then Pass after CA","")&amp;IF(AND(TRIM(AA669)&lt;&gt;"",TRIM(AB669)=""),"INVALID – CA status missing for the recorded corrective action","")&amp;IF(AND(TRIM(U669)="Pass after CA",OR(TRIM(AA669)="",TRIM(AB669)&lt;&gt;"Closed")),"INVALID – corrective action not recorded/closed","")&lt;&gt;"",IF(AND(TRIM(U669)="Pass",ISNUMBER(AF669)),IF(AF669&lt;&gt;0,"INVALID – qty variance: use Fail or Pass after CA",""),"")&amp;IF(AND(TRIM(U669)="Pass",TRIM(AB669)&lt;&gt;"",TRIM(AB669)&lt;&gt;"Closed"),"INVALID – corrective action not closed: use Fail, then Pass after CA","")&amp;IF(AND(TRIM(AA669)&lt;&gt;"",TRIM(AB669)=""),"INVALID – CA status missing for the recorded corrective action","")&amp;IF(AND(TRIM(U669)="Pass after CA",OR(TRIM(AA669)="",TRIM(AB669)&lt;&gt;"Closed")),"INVALID – corrective action not recorded/closed",""),IF(AND(AS669=1,Documents!$J$25&lt;&gt;"ON FILE"),"INVALID – GLD not on file (Documents sheet)",IF(AND(AS669=2,Documents!$O$25&lt;&gt;"ON FILE"),"INVALID – menu checklist not on file (Documents sheet)",IF(AND(AS669=3,NOT(ISNUMBER(Flights!$AX$25))),"INVALID – enter carrying flight KUL departure (Flights AX)",IF(AND(AS669=3,OR(Flights!$AX$25&gt;=Flights!$AA$25,Flights!$AX$25&lt;Flights!$AA$25-3)),"INVALID – Flights AX must be before this leg's STD (within 3 days)",IF(AG669&gt;AsOfUTC,"INVALID – completion time is in the future",IF(AND(ISNUMBER(S669),AG669&lt;S669),IF(H669="Physical uplift","INVALID – before uplift window (cannot confirm loading)","INVALID – before valid window"),IF(AG669&gt;Flights!$AA$25,"INVALID – completed after departure (cannot establish readiness)",IF(AND(H669="Physical uplift",AG669&gt;Q669),"INVALID – recorded after the loading flight departed",IF(AG669&gt;Q669,"COMPLETE – LATE","COMPLETE")))))))))))))))))),IF(TRIM(U669)="Fail","FAIL – DISCREPANCY",IF(AND(TRIM(U669)&lt;&gt;"",TRIM(U669)&lt;&gt;"Not started",TRIM(U669)&lt;&gt;"In progress"),"INVALID – unrecognised status (use the list)",IF(AsOfUTC&gt;Q669,"OVERDUE",IF(N669="Clarification required","OPEN – CLARIFICATION","OPEN")))))))</f>
        <v>OPEN</v>
      </c>
      <c r="AI669" s="61" t="n">
        <f aca="false">IF(OR(AH669="N/A – RULE",AH669="N/A – JUSTIFIED"),0,1)</f>
        <v>1</v>
      </c>
      <c r="AJ669" s="61" t="n">
        <f aca="false">IF(LEFT(AH669,8)="COMPLETE",1,0)</f>
        <v>0</v>
      </c>
      <c r="AK669" s="61" t="n">
        <f aca="false">IF(AND(AI669=1,AJ669=0,AsOfUTC&gt;Q669),1,0)</f>
        <v>0</v>
      </c>
      <c r="AL669" s="61" t="n">
        <f aca="false">IF(AND(AI669=1,OR(TRIM(U669)="Fail",AND(TRIM(AB669)&lt;&gt;"",TRIM(AB669)&lt;&gt;"Closed"),AND(ISNUMBER(AF669),AF669&lt;&gt;0,TRIM(U669)&lt;&gt;"Pass after CA"))),1,0)</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row>
    <row r="670" customFormat="false" ht="39.75" hidden="false" customHeight="true" outlineLevel="0" collapsed="false">
      <c r="A670" s="57" t="s">
        <v>1352</v>
      </c>
      <c r="B670" s="57" t="s">
        <v>302</v>
      </c>
      <c r="C670" s="57" t="str">
        <f aca="false">Flights!$F$25</f>
        <v>MH1437</v>
      </c>
      <c r="D670" s="58" t="n">
        <f aca="false">Flights!$D$25</f>
        <v>46325</v>
      </c>
      <c r="E670" s="57" t="str">
        <f aca="false">Flights!$G$25&amp;"-"&amp;Flights!$H$25</f>
        <v>LGK-KUL</v>
      </c>
      <c r="F670" s="57" t="str">
        <f aca="false">Flights!$K$25</f>
        <v>BC</v>
      </c>
      <c r="G670" s="57" t="s">
        <v>76</v>
      </c>
      <c r="H670" s="57" t="s">
        <v>343</v>
      </c>
      <c r="I670" s="57" t="s">
        <v>363</v>
      </c>
      <c r="J670" s="57" t="s">
        <v>367</v>
      </c>
      <c r="K670" s="67" t="s">
        <v>368</v>
      </c>
      <c r="L670" s="67" t="s">
        <v>347</v>
      </c>
      <c r="M670" s="67"/>
      <c r="N670" s="67" t="s">
        <v>348</v>
      </c>
      <c r="O670" s="67"/>
      <c r="P670" s="57" t="s">
        <v>179</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59" t="n">
        <f aca="false">Q670-T7EarlyD*24/24</f>
        <v>46304.28125</v>
      </c>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IF(N670="N/A – rule","N/A – RULE",IF(TRIM(U670)="N/A",IF(AT670=0,"INVALID – N/A not permitted for this mandatory check",IF(AND(TRIM(AC670)&lt;&gt;"",TRIM(AE670)&lt;&gt;"",TRIM(T670)&lt;&gt;"",TRIM(AE670)&lt;&gt;TRIM(T670)),"N/A – JUSTIFIED","INVALID – N/A needs justification, PIC and a different verifier")),IF(OR(TRIM(U670)="Pass",TRIM(U670)="Pass after CA"),IF(NOT(ISNUMBER(AD670)),"INVALID – completion time missing",IF(TRIM(T670)="","INVALID – PIC missing",IF(TRIM(V670)="","INVALID – result / assessment missing",IF(TRIM(Z670)="","INVALID – evidence missing",IF(TRIM(AE670)="","INVALID – verifier missing",IF(TRIM(AE670)=TRIM(T670),"INVALID – verifier must be someone other than the PIC",IF(AND(AQ670=1,TRIM(W670)=""),"INVALID – batch ID missing",IF(AND(AR670=1,OR(NOT(ISNUMBER(X670)),NOT(ISNUMBER(Y670)))),"INVALID – expected/actual qty missing",IF(IF(AND(TRIM(U670)="Pass",ISNUMBER(AF670)),IF(AF670&lt;&gt;0,"INVALID – qty variance: use Fail or Pass after CA",""),"")&amp;IF(AND(TRIM(U670)="Pass",TRIM(AB670)&lt;&gt;"",TRIM(AB670)&lt;&gt;"Closed"),"INVALID – corrective action not closed: use Fail, then Pass after CA","")&amp;IF(AND(TRIM(AA670)&lt;&gt;"",TRIM(AB670)=""),"INVALID – CA status missing for the recorded corrective action","")&amp;IF(AND(TRIM(U670)="Pass after CA",OR(TRIM(AA670)="",TRIM(AB670)&lt;&gt;"Closed")),"INVALID – corrective action not recorded/closed","")&lt;&gt;"",IF(AND(TRIM(U670)="Pass",ISNUMBER(AF670)),IF(AF670&lt;&gt;0,"INVALID – qty variance: use Fail or Pass after CA",""),"")&amp;IF(AND(TRIM(U670)="Pass",TRIM(AB670)&lt;&gt;"",TRIM(AB670)&lt;&gt;"Closed"),"INVALID – corrective action not closed: use Fail, then Pass after CA","")&amp;IF(AND(TRIM(AA670)&lt;&gt;"",TRIM(AB670)=""),"INVALID – CA status missing for the recorded corrective action","")&amp;IF(AND(TRIM(U670)="Pass after CA",OR(TRIM(AA670)="",TRIM(AB670)&lt;&gt;"Closed")),"INVALID – corrective action not recorded/closed",""),IF(AND(AS670=1,Documents!$J$25&lt;&gt;"ON FILE"),"INVALID – GLD not on file (Documents sheet)",IF(AND(AS670=2,Documents!$O$25&lt;&gt;"ON FILE"),"INVALID – menu checklist not on file (Documents sheet)",IF(AND(AS670=3,NOT(ISNUMBER(Flights!$AX$25))),"INVALID – enter carrying flight KUL departure (Flights AX)",IF(AND(AS670=3,OR(Flights!$AX$25&gt;=Flights!$AA$25,Flights!$AX$25&lt;Flights!$AA$25-3)),"INVALID – Flights AX must be before this leg's STD (within 3 days)",IF(AG670&gt;AsOfUTC,"INVALID – completion time is in the future",IF(AND(ISNUMBER(S670),AG670&lt;S670),IF(H670="Physical uplift","INVALID – before uplift window (cannot confirm loading)","INVALID – before valid window"),IF(AG670&gt;Flights!$AA$25,"INVALID – completed after departure (cannot establish readiness)",IF(AND(H670="Physical uplift",AG670&gt;Q670),"INVALID – recorded after the loading flight departed",IF(AG670&gt;Q670,"COMPLETE – LATE","COMPLETE")))))))))))))))))),IF(TRIM(U670)="Fail","FAIL – DISCREPANCY",IF(AND(TRIM(U670)&lt;&gt;"",TRIM(U670)&lt;&gt;"Not started",TRIM(U670)&lt;&gt;"In progress"),"INVALID – unrecognised status (use the list)",IF(AsOfUTC&gt;Q670,"OVERDUE",IF(N670="Clarification required","OPEN – CLARIFICATION","OPEN")))))))</f>
        <v>OPEN</v>
      </c>
      <c r="AI670" s="61" t="n">
        <f aca="false">IF(OR(AH670="N/A – RULE",AH670="N/A – JUSTIFIED"),0,1)</f>
        <v>1</v>
      </c>
      <c r="AJ670" s="61" t="n">
        <f aca="false">IF(LEFT(AH670,8)="COMPLETE",1,0)</f>
        <v>0</v>
      </c>
      <c r="AK670" s="61" t="n">
        <f aca="false">IF(AND(AI670=1,AJ670=0,AsOfUTC&gt;Q670),1,0)</f>
        <v>0</v>
      </c>
      <c r="AL670" s="61" t="n">
        <f aca="false">IF(AND(AI670=1,OR(TRIM(U670)="Fail",AND(TRIM(AB670)&lt;&gt;"",TRIM(AB670)&lt;&gt;"Closed"),AND(ISNUMBER(AF670),AF670&lt;&gt;0,TRIM(U670)&lt;&gt;"Pass after CA"))),1,0)</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row>
    <row r="671" customFormat="false" ht="39.75" hidden="false" customHeight="true" outlineLevel="0" collapsed="false">
      <c r="A671" s="57" t="s">
        <v>1353</v>
      </c>
      <c r="B671" s="57" t="s">
        <v>302</v>
      </c>
      <c r="C671" s="57" t="str">
        <f aca="false">Flights!$F$25</f>
        <v>MH1437</v>
      </c>
      <c r="D671" s="58" t="n">
        <f aca="false">Flights!$D$25</f>
        <v>46325</v>
      </c>
      <c r="E671" s="57" t="str">
        <f aca="false">Flights!$G$25&amp;"-"&amp;Flights!$H$25</f>
        <v>LGK-KUL</v>
      </c>
      <c r="F671" s="57" t="str">
        <f aca="false">Flights!$K$25</f>
        <v>BC</v>
      </c>
      <c r="G671" s="57" t="s">
        <v>76</v>
      </c>
      <c r="H671" s="57" t="s">
        <v>343</v>
      </c>
      <c r="I671" s="57" t="s">
        <v>370</v>
      </c>
      <c r="J671" s="57" t="s">
        <v>371</v>
      </c>
      <c r="K671" s="67" t="s">
        <v>372</v>
      </c>
      <c r="L671" s="67" t="s">
        <v>347</v>
      </c>
      <c r="M671" s="67"/>
      <c r="N671" s="67" t="s">
        <v>348</v>
      </c>
      <c r="O671" s="67"/>
      <c r="P671" s="57" t="s">
        <v>179</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59" t="n">
        <f aca="false">Q671-T7EarlyD*24/24</f>
        <v>46304.28125</v>
      </c>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IF(N671="N/A – rule","N/A – RULE",IF(TRIM(U671)="N/A",IF(AT671=0,"INVALID – N/A not permitted for this mandatory check",IF(AND(TRIM(AC671)&lt;&gt;"",TRIM(AE671)&lt;&gt;"",TRIM(T671)&lt;&gt;"",TRIM(AE671)&lt;&gt;TRIM(T671)),"N/A – JUSTIFIED","INVALID – N/A needs justification, PIC and a different verifier")),IF(OR(TRIM(U671)="Pass",TRIM(U671)="Pass after CA"),IF(NOT(ISNUMBER(AD671)),"INVALID – completion time missing",IF(TRIM(T671)="","INVALID – PIC missing",IF(TRIM(V671)="","INVALID – result / assessment missing",IF(TRIM(Z671)="","INVALID – evidence missing",IF(TRIM(AE671)="","INVALID – verifier missing",IF(TRIM(AE671)=TRIM(T671),"INVALID – verifier must be someone other than the PIC",IF(AND(AQ671=1,TRIM(W671)=""),"INVALID – batch ID missing",IF(AND(AR671=1,OR(NOT(ISNUMBER(X671)),NOT(ISNUMBER(Y671)))),"INVALID – expected/actual qty missing",IF(IF(AND(TRIM(U671)="Pass",ISNUMBER(AF671)),IF(AF671&lt;&gt;0,"INVALID – qty variance: use Fail or Pass after CA",""),"")&amp;IF(AND(TRIM(U671)="Pass",TRIM(AB671)&lt;&gt;"",TRIM(AB671)&lt;&gt;"Closed"),"INVALID – corrective action not closed: use Fail, then Pass after CA","")&amp;IF(AND(TRIM(AA671)&lt;&gt;"",TRIM(AB671)=""),"INVALID – CA status missing for the recorded corrective action","")&amp;IF(AND(TRIM(U671)="Pass after CA",OR(TRIM(AA671)="",TRIM(AB671)&lt;&gt;"Closed")),"INVALID – corrective action not recorded/closed","")&lt;&gt;"",IF(AND(TRIM(U671)="Pass",ISNUMBER(AF671)),IF(AF671&lt;&gt;0,"INVALID – qty variance: use Fail or Pass after CA",""),"")&amp;IF(AND(TRIM(U671)="Pass",TRIM(AB671)&lt;&gt;"",TRIM(AB671)&lt;&gt;"Closed"),"INVALID – corrective action not closed: use Fail, then Pass after CA","")&amp;IF(AND(TRIM(AA671)&lt;&gt;"",TRIM(AB671)=""),"INVALID – CA status missing for the recorded corrective action","")&amp;IF(AND(TRIM(U671)="Pass after CA",OR(TRIM(AA671)="",TRIM(AB671)&lt;&gt;"Closed")),"INVALID – corrective action not recorded/closed",""),IF(AND(AS671=1,Documents!$J$25&lt;&gt;"ON FILE"),"INVALID – GLD not on file (Documents sheet)",IF(AND(AS671=2,Documents!$O$25&lt;&gt;"ON FILE"),"INVALID – menu checklist not on file (Documents sheet)",IF(AND(AS671=3,NOT(ISNUMBER(Flights!$AX$25))),"INVALID – enter carrying flight KUL departure (Flights AX)",IF(AND(AS671=3,OR(Flights!$AX$25&gt;=Flights!$AA$25,Flights!$AX$25&lt;Flights!$AA$25-3)),"INVALID – Flights AX must be before this leg's STD (within 3 days)",IF(AG671&gt;AsOfUTC,"INVALID – completion time is in the future",IF(AND(ISNUMBER(S671),AG671&lt;S671),IF(H671="Physical uplift","INVALID – before uplift window (cannot confirm loading)","INVALID – before valid window"),IF(AG671&gt;Flights!$AA$25,"INVALID – completed after departure (cannot establish readiness)",IF(AND(H671="Physical uplift",AG671&gt;Q671),"INVALID – recorded after the loading flight departed",IF(AG671&gt;Q671,"COMPLETE – LATE","COMPLETE")))))))))))))))))),IF(TRIM(U671)="Fail","FAIL – DISCREPANCY",IF(AND(TRIM(U671)&lt;&gt;"",TRIM(U671)&lt;&gt;"Not started",TRIM(U671)&lt;&gt;"In progress"),"INVALID – unrecognised status (use the list)",IF(AsOfUTC&gt;Q671,"OVERDUE",IF(N671="Clarification required","OPEN – CLARIFICATION","OPEN")))))))</f>
        <v>OPEN</v>
      </c>
      <c r="AI671" s="61" t="n">
        <f aca="false">IF(OR(AH671="N/A – RULE",AH671="N/A – JUSTIFIED"),0,1)</f>
        <v>1</v>
      </c>
      <c r="AJ671" s="61" t="n">
        <f aca="false">IF(LEFT(AH671,8)="COMPLETE",1,0)</f>
        <v>0</v>
      </c>
      <c r="AK671" s="61" t="n">
        <f aca="false">IF(AND(AI671=1,AJ671=0,AsOfUTC&gt;Q671),1,0)</f>
        <v>0</v>
      </c>
      <c r="AL671" s="61" t="n">
        <f aca="false">IF(AND(AI671=1,OR(TRIM(U671)="Fail",AND(TRIM(AB671)&lt;&gt;"",TRIM(AB671)&lt;&gt;"Closed"),AND(ISNUMBER(AF671),AF671&lt;&gt;0,TRIM(U671)&lt;&gt;"Pass after CA"))),1,0)</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row>
    <row r="672" customFormat="false" ht="39.75" hidden="false" customHeight="true" outlineLevel="0" collapsed="false">
      <c r="A672" s="57" t="s">
        <v>1354</v>
      </c>
      <c r="B672" s="57" t="s">
        <v>302</v>
      </c>
      <c r="C672" s="57" t="str">
        <f aca="false">Flights!$F$25</f>
        <v>MH1437</v>
      </c>
      <c r="D672" s="58" t="n">
        <f aca="false">Flights!$D$25</f>
        <v>46325</v>
      </c>
      <c r="E672" s="57" t="str">
        <f aca="false">Flights!$G$25&amp;"-"&amp;Flights!$H$25</f>
        <v>LGK-KUL</v>
      </c>
      <c r="F672" s="57" t="str">
        <f aca="false">Flights!$K$25</f>
        <v>BC</v>
      </c>
      <c r="G672" s="57" t="s">
        <v>76</v>
      </c>
      <c r="H672" s="57" t="s">
        <v>343</v>
      </c>
      <c r="I672" s="57" t="s">
        <v>370</v>
      </c>
      <c r="J672" s="57" t="s">
        <v>374</v>
      </c>
      <c r="K672" s="67" t="s">
        <v>372</v>
      </c>
      <c r="L672" s="67" t="s">
        <v>347</v>
      </c>
      <c r="M672" s="67"/>
      <c r="N672" s="67" t="s">
        <v>348</v>
      </c>
      <c r="O672" s="67"/>
      <c r="P672" s="57" t="s">
        <v>179</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59" t="n">
        <f aca="false">Q672-T7EarlyD*24/24</f>
        <v>46304.28125</v>
      </c>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IF(N672="N/A – rule","N/A – RULE",IF(TRIM(U672)="N/A",IF(AT672=0,"INVALID – N/A not permitted for this mandatory check",IF(AND(TRIM(AC672)&lt;&gt;"",TRIM(AE672)&lt;&gt;"",TRIM(T672)&lt;&gt;"",TRIM(AE672)&lt;&gt;TRIM(T672)),"N/A – JUSTIFIED","INVALID – N/A needs justification, PIC and a different verifier")),IF(OR(TRIM(U672)="Pass",TRIM(U672)="Pass after CA"),IF(NOT(ISNUMBER(AD672)),"INVALID – completion time missing",IF(TRIM(T672)="","INVALID – PIC missing",IF(TRIM(V672)="","INVALID – result / assessment missing",IF(TRIM(Z672)="","INVALID – evidence missing",IF(TRIM(AE672)="","INVALID – verifier missing",IF(TRIM(AE672)=TRIM(T672),"INVALID – verifier must be someone other than the PIC",IF(AND(AQ672=1,TRIM(W672)=""),"INVALID – batch ID missing",IF(AND(AR672=1,OR(NOT(ISNUMBER(X672)),NOT(ISNUMBER(Y672)))),"INVALID – expected/actual qty missing",IF(IF(AND(TRIM(U672)="Pass",ISNUMBER(AF672)),IF(AF672&lt;&gt;0,"INVALID – qty variance: use Fail or Pass after CA",""),"")&amp;IF(AND(TRIM(U672)="Pass",TRIM(AB672)&lt;&gt;"",TRIM(AB672)&lt;&gt;"Closed"),"INVALID – corrective action not closed: use Fail, then Pass after CA","")&amp;IF(AND(TRIM(AA672)&lt;&gt;"",TRIM(AB672)=""),"INVALID – CA status missing for the recorded corrective action","")&amp;IF(AND(TRIM(U672)="Pass after CA",OR(TRIM(AA672)="",TRIM(AB672)&lt;&gt;"Closed")),"INVALID – corrective action not recorded/closed","")&lt;&gt;"",IF(AND(TRIM(U672)="Pass",ISNUMBER(AF672)),IF(AF672&lt;&gt;0,"INVALID – qty variance: use Fail or Pass after CA",""),"")&amp;IF(AND(TRIM(U672)="Pass",TRIM(AB672)&lt;&gt;"",TRIM(AB672)&lt;&gt;"Closed"),"INVALID – corrective action not closed: use Fail, then Pass after CA","")&amp;IF(AND(TRIM(AA672)&lt;&gt;"",TRIM(AB672)=""),"INVALID – CA status missing for the recorded corrective action","")&amp;IF(AND(TRIM(U672)="Pass after CA",OR(TRIM(AA672)="",TRIM(AB672)&lt;&gt;"Closed")),"INVALID – corrective action not recorded/closed",""),IF(AND(AS672=1,Documents!$J$25&lt;&gt;"ON FILE"),"INVALID – GLD not on file (Documents sheet)",IF(AND(AS672=2,Documents!$O$25&lt;&gt;"ON FILE"),"INVALID – menu checklist not on file (Documents sheet)",IF(AND(AS672=3,NOT(ISNUMBER(Flights!$AX$25))),"INVALID – enter carrying flight KUL departure (Flights AX)",IF(AND(AS672=3,OR(Flights!$AX$25&gt;=Flights!$AA$25,Flights!$AX$25&lt;Flights!$AA$25-3)),"INVALID – Flights AX must be before this leg's STD (within 3 days)",IF(AG672&gt;AsOfUTC,"INVALID – completion time is in the future",IF(AND(ISNUMBER(S672),AG672&lt;S672),IF(H672="Physical uplift","INVALID – before uplift window (cannot confirm loading)","INVALID – before valid window"),IF(AG672&gt;Flights!$AA$25,"INVALID – completed after departure (cannot establish readiness)",IF(AND(H672="Physical uplift",AG672&gt;Q672),"INVALID – recorded after the loading flight departed",IF(AG672&gt;Q672,"COMPLETE – LATE","COMPLETE")))))))))))))))))),IF(TRIM(U672)="Fail","FAIL – DISCREPANCY",IF(AND(TRIM(U672)&lt;&gt;"",TRIM(U672)&lt;&gt;"Not started",TRIM(U672)&lt;&gt;"In progress"),"INVALID – unrecognised status (use the list)",IF(AsOfUTC&gt;Q672,"OVERDUE",IF(N672="Clarification required","OPEN – CLARIFICATION","OPEN")))))))</f>
        <v>OPEN</v>
      </c>
      <c r="AI672" s="61" t="n">
        <f aca="false">IF(OR(AH672="N/A – RULE",AH672="N/A – JUSTIFIED"),0,1)</f>
        <v>1</v>
      </c>
      <c r="AJ672" s="61" t="n">
        <f aca="false">IF(LEFT(AH672,8)="COMPLETE",1,0)</f>
        <v>0</v>
      </c>
      <c r="AK672" s="61" t="n">
        <f aca="false">IF(AND(AI672=1,AJ672=0,AsOfUTC&gt;Q672),1,0)</f>
        <v>0</v>
      </c>
      <c r="AL672" s="61" t="n">
        <f aca="false">IF(AND(AI672=1,OR(TRIM(U672)="Fail",AND(TRIM(AB672)&lt;&gt;"",TRIM(AB672)&lt;&gt;"Closed"),AND(ISNUMBER(AF672),AF672&lt;&gt;0,TRIM(U672)&lt;&gt;"Pass after CA"))),1,0)</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row>
    <row r="673" customFormat="false" ht="41.25" hidden="false" customHeight="true" outlineLevel="0" collapsed="false">
      <c r="A673" s="57" t="s">
        <v>1355</v>
      </c>
      <c r="B673" s="57" t="s">
        <v>302</v>
      </c>
      <c r="C673" s="57" t="str">
        <f aca="false">Flights!$F$25</f>
        <v>MH1437</v>
      </c>
      <c r="D673" s="58" t="n">
        <f aca="false">Flights!$D$25</f>
        <v>46325</v>
      </c>
      <c r="E673" s="57" t="str">
        <f aca="false">Flights!$G$25&amp;"-"&amp;Flights!$H$25</f>
        <v>LGK-KUL</v>
      </c>
      <c r="F673" s="57" t="str">
        <f aca="false">Flights!$K$25</f>
        <v>BC</v>
      </c>
      <c r="G673" s="57" t="s">
        <v>76</v>
      </c>
      <c r="H673" s="57" t="s">
        <v>343</v>
      </c>
      <c r="I673" s="57" t="s">
        <v>376</v>
      </c>
      <c r="J673" s="57" t="s">
        <v>377</v>
      </c>
      <c r="K673" s="67" t="s">
        <v>887</v>
      </c>
      <c r="L673" s="67" t="s">
        <v>1333</v>
      </c>
      <c r="M673" s="67"/>
      <c r="N673" s="67" t="s">
        <v>348</v>
      </c>
      <c r="O673" s="67" t="s">
        <v>932</v>
      </c>
      <c r="P673" s="57" t="s">
        <v>179</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59" t="n">
        <f aca="false">Q673-T7EarlyD*24/24</f>
        <v>46304.28125</v>
      </c>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IF(N673="N/A – rule","N/A – RULE",IF(TRIM(U673)="N/A",IF(AT673=0,"INVALID – N/A not permitted for this mandatory check",IF(AND(TRIM(AC673)&lt;&gt;"",TRIM(AE673)&lt;&gt;"",TRIM(T673)&lt;&gt;"",TRIM(AE673)&lt;&gt;TRIM(T673)),"N/A – JUSTIFIED","INVALID – N/A needs justification, PIC and a different verifier")),IF(OR(TRIM(U673)="Pass",TRIM(U673)="Pass after CA"),IF(NOT(ISNUMBER(AD673)),"INVALID – completion time missing",IF(TRIM(T673)="","INVALID – PIC missing",IF(TRIM(V673)="","INVALID – result / assessment missing",IF(TRIM(Z673)="","INVALID – evidence missing",IF(TRIM(AE673)="","INVALID – verifier missing",IF(TRIM(AE673)=TRIM(T673),"INVALID – verifier must be someone other than the PIC",IF(AND(AQ673=1,TRIM(W673)=""),"INVALID – batch ID missing",IF(AND(AR673=1,OR(NOT(ISNUMBER(X673)),NOT(ISNUMBER(Y673)))),"INVALID – expected/actual qty missing",IF(IF(AND(TRIM(U673)="Pass",ISNUMBER(AF673)),IF(AF673&lt;&gt;0,"INVALID – qty variance: use Fail or Pass after CA",""),"")&amp;IF(AND(TRIM(U673)="Pass",TRIM(AB673)&lt;&gt;"",TRIM(AB673)&lt;&gt;"Closed"),"INVALID – corrective action not closed: use Fail, then Pass after CA","")&amp;IF(AND(TRIM(AA673)&lt;&gt;"",TRIM(AB673)=""),"INVALID – CA status missing for the recorded corrective action","")&amp;IF(AND(TRIM(U673)="Pass after CA",OR(TRIM(AA673)="",TRIM(AB673)&lt;&gt;"Closed")),"INVALID – corrective action not recorded/closed","")&lt;&gt;"",IF(AND(TRIM(U673)="Pass",ISNUMBER(AF673)),IF(AF673&lt;&gt;0,"INVALID – qty variance: use Fail or Pass after CA",""),"")&amp;IF(AND(TRIM(U673)="Pass",TRIM(AB673)&lt;&gt;"",TRIM(AB673)&lt;&gt;"Closed"),"INVALID – corrective action not closed: use Fail, then Pass after CA","")&amp;IF(AND(TRIM(AA673)&lt;&gt;"",TRIM(AB673)=""),"INVALID – CA status missing for the recorded corrective action","")&amp;IF(AND(TRIM(U673)="Pass after CA",OR(TRIM(AA673)="",TRIM(AB673)&lt;&gt;"Closed")),"INVALID – corrective action not recorded/closed",""),IF(AND(AS673=1,Documents!$J$25&lt;&gt;"ON FILE"),"INVALID – GLD not on file (Documents sheet)",IF(AND(AS673=2,Documents!$O$25&lt;&gt;"ON FILE"),"INVALID – menu checklist not on file (Documents sheet)",IF(AND(AS673=3,NOT(ISNUMBER(Flights!$AX$25))),"INVALID – enter carrying flight KUL departure (Flights AX)",IF(AND(AS673=3,OR(Flights!$AX$25&gt;=Flights!$AA$25,Flights!$AX$25&lt;Flights!$AA$25-3)),"INVALID – Flights AX must be before this leg's STD (within 3 days)",IF(AG673&gt;AsOfUTC,"INVALID – completion time is in the future",IF(AND(ISNUMBER(S673),AG673&lt;S673),IF(H673="Physical uplift","INVALID – before uplift window (cannot confirm loading)","INVALID – before valid window"),IF(AG673&gt;Flights!$AA$25,"INVALID – completed after departure (cannot establish readiness)",IF(AND(H673="Physical uplift",AG673&gt;Q673),"INVALID – recorded after the loading flight departed",IF(AG673&gt;Q673,"COMPLETE – LATE","COMPLETE")))))))))))))))))),IF(TRIM(U673)="Fail","FAIL – DISCREPANCY",IF(AND(TRIM(U673)&lt;&gt;"",TRIM(U673)&lt;&gt;"Not started",TRIM(U673)&lt;&gt;"In progress"),"INVALID – unrecognised status (use the list)",IF(AsOfUTC&gt;Q673,"OVERDUE",IF(N673="Clarification required","OPEN – CLARIFICATION","OPEN")))))))</f>
        <v>OPEN</v>
      </c>
      <c r="AI673" s="61" t="n">
        <f aca="false">IF(OR(AH673="N/A – RULE",AH673="N/A – JUSTIFIED"),0,1)</f>
        <v>1</v>
      </c>
      <c r="AJ673" s="61" t="n">
        <f aca="false">IF(LEFT(AH673,8)="COMPLETE",1,0)</f>
        <v>0</v>
      </c>
      <c r="AK673" s="61" t="n">
        <f aca="false">IF(AND(AI673=1,AJ673=0,AsOfUTC&gt;Q673),1,0)</f>
        <v>0</v>
      </c>
      <c r="AL673" s="61" t="n">
        <f aca="false">IF(AND(AI673=1,OR(TRIM(U673)="Fail",AND(TRIM(AB673)&lt;&gt;"",TRIM(AB673)&lt;&gt;"Closed"),AND(ISNUMBER(AF673),AF673&lt;&gt;0,TRIM(U673)&lt;&gt;"Pass after CA"))),1,0)</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row>
    <row r="674" customFormat="false" ht="78.75" hidden="false" customHeight="true" outlineLevel="0" collapsed="false">
      <c r="A674" s="57" t="s">
        <v>1356</v>
      </c>
      <c r="B674" s="57" t="s">
        <v>302</v>
      </c>
      <c r="C674" s="57" t="str">
        <f aca="false">Flights!$F$25</f>
        <v>MH1437</v>
      </c>
      <c r="D674" s="58" t="n">
        <f aca="false">Flights!$D$25</f>
        <v>46325</v>
      </c>
      <c r="E674" s="57" t="str">
        <f aca="false">Flights!$G$25&amp;"-"&amp;Flights!$H$25</f>
        <v>LGK-KUL</v>
      </c>
      <c r="F674" s="57" t="str">
        <f aca="false">Flights!$K$25</f>
        <v>BC</v>
      </c>
      <c r="G674" s="57" t="s">
        <v>76</v>
      </c>
      <c r="H674" s="57" t="s">
        <v>343</v>
      </c>
      <c r="I674" s="57" t="s">
        <v>376</v>
      </c>
      <c r="J674" s="57" t="s">
        <v>934</v>
      </c>
      <c r="K674" s="67" t="s">
        <v>1357</v>
      </c>
      <c r="L674" s="67" t="s">
        <v>1333</v>
      </c>
      <c r="M674" s="67"/>
      <c r="N674" s="67" t="s">
        <v>409</v>
      </c>
      <c r="O674" s="67" t="s">
        <v>1358</v>
      </c>
      <c r="P674" s="57" t="s">
        <v>179</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59" t="n">
        <f aca="false">Q674-T7EarlyD*24/24</f>
        <v>46304.28125</v>
      </c>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IF(N674="N/A – rule","N/A – RULE",IF(TRIM(U674)="N/A",IF(AT674=0,"INVALID – N/A not permitted for this mandatory check",IF(AND(TRIM(AC674)&lt;&gt;"",TRIM(AE674)&lt;&gt;"",TRIM(T674)&lt;&gt;"",TRIM(AE674)&lt;&gt;TRIM(T674)),"N/A – JUSTIFIED","INVALID – N/A needs justification, PIC and a different verifier")),IF(OR(TRIM(U674)="Pass",TRIM(U674)="Pass after CA"),IF(NOT(ISNUMBER(AD674)),"INVALID – completion time missing",IF(TRIM(T674)="","INVALID – PIC missing",IF(TRIM(V674)="","INVALID – result / assessment missing",IF(TRIM(Z674)="","INVALID – evidence missing",IF(TRIM(AE674)="","INVALID – verifier missing",IF(TRIM(AE674)=TRIM(T674),"INVALID – verifier must be someone other than the PIC",IF(AND(AQ674=1,TRIM(W674)=""),"INVALID – batch ID missing",IF(AND(AR674=1,OR(NOT(ISNUMBER(X674)),NOT(ISNUMBER(Y674)))),"INVALID – expected/actual qty missing",IF(IF(AND(TRIM(U674)="Pass",ISNUMBER(AF674)),IF(AF674&lt;&gt;0,"INVALID – qty variance: use Fail or Pass after CA",""),"")&amp;IF(AND(TRIM(U674)="Pass",TRIM(AB674)&lt;&gt;"",TRIM(AB674)&lt;&gt;"Closed"),"INVALID – corrective action not closed: use Fail, then Pass after CA","")&amp;IF(AND(TRIM(AA674)&lt;&gt;"",TRIM(AB674)=""),"INVALID – CA status missing for the recorded corrective action","")&amp;IF(AND(TRIM(U674)="Pass after CA",OR(TRIM(AA674)="",TRIM(AB674)&lt;&gt;"Closed")),"INVALID – corrective action not recorded/closed","")&lt;&gt;"",IF(AND(TRIM(U674)="Pass",ISNUMBER(AF674)),IF(AF674&lt;&gt;0,"INVALID – qty variance: use Fail or Pass after CA",""),"")&amp;IF(AND(TRIM(U674)="Pass",TRIM(AB674)&lt;&gt;"",TRIM(AB674)&lt;&gt;"Closed"),"INVALID – corrective action not closed: use Fail, then Pass after CA","")&amp;IF(AND(TRIM(AA674)&lt;&gt;"",TRIM(AB674)=""),"INVALID – CA status missing for the recorded corrective action","")&amp;IF(AND(TRIM(U674)="Pass after CA",OR(TRIM(AA674)="",TRIM(AB674)&lt;&gt;"Closed")),"INVALID – corrective action not recorded/closed",""),IF(AND(AS674=1,Documents!$J$25&lt;&gt;"ON FILE"),"INVALID – GLD not on file (Documents sheet)",IF(AND(AS674=2,Documents!$O$25&lt;&gt;"ON FILE"),"INVALID – menu checklist not on file (Documents sheet)",IF(AND(AS674=3,NOT(ISNUMBER(Flights!$AX$25))),"INVALID – enter carrying flight KUL departure (Flights AX)",IF(AND(AS674=3,OR(Flights!$AX$25&gt;=Flights!$AA$25,Flights!$AX$25&lt;Flights!$AA$25-3)),"INVALID – Flights AX must be before this leg's STD (within 3 days)",IF(AG674&gt;AsOfUTC,"INVALID – completion time is in the future",IF(AND(ISNUMBER(S674),AG674&lt;S674),IF(H674="Physical uplift","INVALID – before uplift window (cannot confirm loading)","INVALID – before valid window"),IF(AG674&gt;Flights!$AA$25,"INVALID – completed after departure (cannot establish readiness)",IF(AND(H674="Physical uplift",AG674&gt;Q674),"INVALID – recorded after the loading flight departed",IF(AG674&gt;Q674,"COMPLETE – LATE","COMPLETE")))))))))))))))))),IF(TRIM(U674)="Fail","FAIL – DISCREPANCY",IF(AND(TRIM(U674)&lt;&gt;"",TRIM(U674)&lt;&gt;"Not started",TRIM(U674)&lt;&gt;"In progress"),"INVALID – unrecognised status (use the list)",IF(AsOfUTC&gt;Q674,"OVERDUE",IF(N674="Clarification required","OPEN – CLARIFICATION","OPEN")))))))</f>
        <v>OPEN – CLARIFICATION</v>
      </c>
      <c r="AI674" s="61" t="n">
        <f aca="false">IF(OR(AH674="N/A – RULE",AH674="N/A – JUSTIFIED"),0,1)</f>
        <v>1</v>
      </c>
      <c r="AJ674" s="61" t="n">
        <f aca="false">IF(LEFT(AH674,8)="COMPLETE",1,0)</f>
        <v>0</v>
      </c>
      <c r="AK674" s="61" t="n">
        <f aca="false">IF(AND(AI674=1,AJ674=0,AsOfUTC&gt;Q674),1,0)</f>
        <v>0</v>
      </c>
      <c r="AL674" s="61" t="n">
        <f aca="false">IF(AND(AI674=1,OR(TRIM(U674)="Fail",AND(TRIM(AB674)&lt;&gt;"",TRIM(AB674)&lt;&gt;"Closed"),AND(ISNUMBER(AF674),AF674&lt;&gt;0,TRIM(U674)&lt;&gt;"Pass after CA"))),1,0)</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8" t="b">
        <f aca="false">FALSE()</f>
        <v>0</v>
      </c>
    </row>
    <row r="675" customFormat="false" ht="39.75" hidden="false" customHeight="true" outlineLevel="0" collapsed="false">
      <c r="A675" s="57" t="s">
        <v>1359</v>
      </c>
      <c r="B675" s="57" t="s">
        <v>302</v>
      </c>
      <c r="C675" s="57" t="str">
        <f aca="false">Flights!$F$25</f>
        <v>MH1437</v>
      </c>
      <c r="D675" s="58" t="n">
        <f aca="false">Flights!$D$25</f>
        <v>46325</v>
      </c>
      <c r="E675" s="57" t="str">
        <f aca="false">Flights!$G$25&amp;"-"&amp;Flights!$H$25</f>
        <v>LGK-KUL</v>
      </c>
      <c r="F675" s="57" t="str">
        <f aca="false">Flights!$K$25</f>
        <v>BC</v>
      </c>
      <c r="G675" s="57" t="s">
        <v>78</v>
      </c>
      <c r="H675" s="57" t="s">
        <v>343</v>
      </c>
      <c r="I675" s="57" t="s">
        <v>344</v>
      </c>
      <c r="J675" s="57" t="s">
        <v>381</v>
      </c>
      <c r="K675" s="67" t="s">
        <v>382</v>
      </c>
      <c r="L675" s="67" t="s">
        <v>383</v>
      </c>
      <c r="M675" s="67"/>
      <c r="N675" s="67" t="s">
        <v>348</v>
      </c>
      <c r="O675" s="67" t="s">
        <v>938</v>
      </c>
      <c r="P675" s="57" t="s">
        <v>179</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59" t="n">
        <f aca="false">Q675-T24EarlyH/24</f>
        <v>46323.1875</v>
      </c>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IF(N675="N/A – rule","N/A – RULE",IF(TRIM(U675)="N/A",IF(AT675=0,"INVALID – N/A not permitted for this mandatory check",IF(AND(TRIM(AC675)&lt;&gt;"",TRIM(AE675)&lt;&gt;"",TRIM(T675)&lt;&gt;"",TRIM(AE675)&lt;&gt;TRIM(T675)),"N/A – JUSTIFIED","INVALID – N/A needs justification, PIC and a different verifier")),IF(OR(TRIM(U675)="Pass",TRIM(U675)="Pass after CA"),IF(NOT(ISNUMBER(AD675)),"INVALID – completion time missing",IF(TRIM(T675)="","INVALID – PIC missing",IF(TRIM(V675)="","INVALID – result / assessment missing",IF(TRIM(Z675)="","INVALID – evidence missing",IF(TRIM(AE675)="","INVALID – verifier missing",IF(TRIM(AE675)=TRIM(T675),"INVALID – verifier must be someone other than the PIC",IF(AND(AQ675=1,TRIM(W675)=""),"INVALID – batch ID missing",IF(AND(AR675=1,OR(NOT(ISNUMBER(X675)),NOT(ISNUMBER(Y675)))),"INVALID – expected/actual qty missing",IF(IF(AND(TRIM(U675)="Pass",ISNUMBER(AF675)),IF(AF675&lt;&gt;0,"INVALID – qty variance: use Fail or Pass after CA",""),"")&amp;IF(AND(TRIM(U675)="Pass",TRIM(AB675)&lt;&gt;"",TRIM(AB675)&lt;&gt;"Closed"),"INVALID – corrective action not closed: use Fail, then Pass after CA","")&amp;IF(AND(TRIM(AA675)&lt;&gt;"",TRIM(AB675)=""),"INVALID – CA status missing for the recorded corrective action","")&amp;IF(AND(TRIM(U675)="Pass after CA",OR(TRIM(AA675)="",TRIM(AB675)&lt;&gt;"Closed")),"INVALID – corrective action not recorded/closed","")&lt;&gt;"",IF(AND(TRIM(U675)="Pass",ISNUMBER(AF675)),IF(AF675&lt;&gt;0,"INVALID – qty variance: use Fail or Pass after CA",""),"")&amp;IF(AND(TRIM(U675)="Pass",TRIM(AB675)&lt;&gt;"",TRIM(AB675)&lt;&gt;"Closed"),"INVALID – corrective action not closed: use Fail, then Pass after CA","")&amp;IF(AND(TRIM(AA675)&lt;&gt;"",TRIM(AB675)=""),"INVALID – CA status missing for the recorded corrective action","")&amp;IF(AND(TRIM(U675)="Pass after CA",OR(TRIM(AA675)="",TRIM(AB675)&lt;&gt;"Closed")),"INVALID – corrective action not recorded/closed",""),IF(AND(AS675=1,Documents!$J$25&lt;&gt;"ON FILE"),"INVALID – GLD not on file (Documents sheet)",IF(AND(AS675=2,Documents!$O$25&lt;&gt;"ON FILE"),"INVALID – menu checklist not on file (Documents sheet)",IF(AND(AS675=3,NOT(ISNUMBER(Flights!$AX$25))),"INVALID – enter carrying flight KUL departure (Flights AX)",IF(AND(AS675=3,OR(Flights!$AX$25&gt;=Flights!$AA$25,Flights!$AX$25&lt;Flights!$AA$25-3)),"INVALID – Flights AX must be before this leg's STD (within 3 days)",IF(AG675&gt;AsOfUTC,"INVALID – completion time is in the future",IF(AND(ISNUMBER(S675),AG675&lt;S675),IF(H675="Physical uplift","INVALID – before uplift window (cannot confirm loading)","INVALID – before valid window"),IF(AG675&gt;Flights!$AA$25,"INVALID – completed after departure (cannot establish readiness)",IF(AND(H675="Physical uplift",AG675&gt;Q675),"INVALID – recorded after the loading flight departed",IF(AG675&gt;Q675,"COMPLETE – LATE","COMPLETE")))))))))))))))))),IF(TRIM(U675)="Fail","FAIL – DISCREPANCY",IF(AND(TRIM(U675)&lt;&gt;"",TRIM(U675)&lt;&gt;"Not started",TRIM(U675)&lt;&gt;"In progress"),"INVALID – unrecognised status (use the list)",IF(AsOfUTC&gt;Q675,"OVERDUE",IF(N675="Clarification required","OPEN – CLARIFICATION","OPEN")))))))</f>
        <v>OPEN</v>
      </c>
      <c r="AI675" s="61" t="n">
        <f aca="false">IF(OR(AH675="N/A – RULE",AH675="N/A – JUSTIFIED"),0,1)</f>
        <v>1</v>
      </c>
      <c r="AJ675" s="61" t="n">
        <f aca="false">IF(LEFT(AH675,8)="COMPLETE",1,0)</f>
        <v>0</v>
      </c>
      <c r="AK675" s="61" t="n">
        <f aca="false">IF(AND(AI675=1,AJ675=0,AsOfUTC&gt;Q675),1,0)</f>
        <v>0</v>
      </c>
      <c r="AL675" s="61" t="n">
        <f aca="false">IF(AND(AI675=1,OR(TRIM(U675)="Fail",AND(TRIM(AB675)&lt;&gt;"",TRIM(AB675)&lt;&gt;"Closed"),AND(ISNUMBER(AF675),AF675&lt;&gt;0,TRIM(U675)&lt;&gt;"Pass after CA"))),1,0)</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row>
    <row r="676" customFormat="false" ht="41.25" hidden="false" customHeight="true" outlineLevel="0" collapsed="false">
      <c r="A676" s="57" t="s">
        <v>1360</v>
      </c>
      <c r="B676" s="57" t="s">
        <v>302</v>
      </c>
      <c r="C676" s="57" t="str">
        <f aca="false">Flights!$F$25</f>
        <v>MH1437</v>
      </c>
      <c r="D676" s="58" t="n">
        <f aca="false">Flights!$D$25</f>
        <v>46325</v>
      </c>
      <c r="E676" s="57" t="str">
        <f aca="false">Flights!$G$25&amp;"-"&amp;Flights!$H$25</f>
        <v>LGK-KUL</v>
      </c>
      <c r="F676" s="57" t="str">
        <f aca="false">Flights!$K$25</f>
        <v>BC</v>
      </c>
      <c r="G676" s="57" t="s">
        <v>385</v>
      </c>
      <c r="H676" s="57" t="s">
        <v>343</v>
      </c>
      <c r="I676" s="57" t="s">
        <v>344</v>
      </c>
      <c r="J676" s="57" t="s">
        <v>386</v>
      </c>
      <c r="K676" s="67"/>
      <c r="L676" s="67" t="s">
        <v>387</v>
      </c>
      <c r="M676" s="67"/>
      <c r="N676" s="67" t="s">
        <v>348</v>
      </c>
      <c r="O676" s="67" t="s">
        <v>940</v>
      </c>
      <c r="P676" s="57" t="s">
        <v>179</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59" t="n">
        <f aca="false">Q676-T12EarlyH/24</f>
        <v>46323.6875</v>
      </c>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IF(N676="N/A – rule","N/A – RULE",IF(TRIM(U676)="N/A",IF(AT676=0,"INVALID – N/A not permitted for this mandatory check",IF(AND(TRIM(AC676)&lt;&gt;"",TRIM(AE676)&lt;&gt;"",TRIM(T676)&lt;&gt;"",TRIM(AE676)&lt;&gt;TRIM(T676)),"N/A – JUSTIFIED","INVALID – N/A needs justification, PIC and a different verifier")),IF(OR(TRIM(U676)="Pass",TRIM(U676)="Pass after CA"),IF(NOT(ISNUMBER(AD676)),"INVALID – completion time missing",IF(TRIM(T676)="","INVALID – PIC missing",IF(TRIM(V676)="","INVALID – result / assessment missing",IF(TRIM(Z676)="","INVALID – evidence missing",IF(TRIM(AE676)="","INVALID – verifier missing",IF(TRIM(AE676)=TRIM(T676),"INVALID – verifier must be someone other than the PIC",IF(AND(AQ676=1,TRIM(W676)=""),"INVALID – batch ID missing",IF(AND(AR676=1,OR(NOT(ISNUMBER(X676)),NOT(ISNUMBER(Y676)))),"INVALID – expected/actual qty missing",IF(IF(AND(TRIM(U676)="Pass",ISNUMBER(AF676)),IF(AF676&lt;&gt;0,"INVALID – qty variance: use Fail or Pass after CA",""),"")&amp;IF(AND(TRIM(U676)="Pass",TRIM(AB676)&lt;&gt;"",TRIM(AB676)&lt;&gt;"Closed"),"INVALID – corrective action not closed: use Fail, then Pass after CA","")&amp;IF(AND(TRIM(AA676)&lt;&gt;"",TRIM(AB676)=""),"INVALID – CA status missing for the recorded corrective action","")&amp;IF(AND(TRIM(U676)="Pass after CA",OR(TRIM(AA676)="",TRIM(AB676)&lt;&gt;"Closed")),"INVALID – corrective action not recorded/closed","")&lt;&gt;"",IF(AND(TRIM(U676)="Pass",ISNUMBER(AF676)),IF(AF676&lt;&gt;0,"INVALID – qty variance: use Fail or Pass after CA",""),"")&amp;IF(AND(TRIM(U676)="Pass",TRIM(AB676)&lt;&gt;"",TRIM(AB676)&lt;&gt;"Closed"),"INVALID – corrective action not closed: use Fail, then Pass after CA","")&amp;IF(AND(TRIM(AA676)&lt;&gt;"",TRIM(AB676)=""),"INVALID – CA status missing for the recorded corrective action","")&amp;IF(AND(TRIM(U676)="Pass after CA",OR(TRIM(AA676)="",TRIM(AB676)&lt;&gt;"Closed")),"INVALID – corrective action not recorded/closed",""),IF(AND(AS676=1,Documents!$J$25&lt;&gt;"ON FILE"),"INVALID – GLD not on file (Documents sheet)",IF(AND(AS676=2,Documents!$O$25&lt;&gt;"ON FILE"),"INVALID – menu checklist not on file (Documents sheet)",IF(AND(AS676=3,NOT(ISNUMBER(Flights!$AX$25))),"INVALID – enter carrying flight KUL departure (Flights AX)",IF(AND(AS676=3,OR(Flights!$AX$25&gt;=Flights!$AA$25,Flights!$AX$25&lt;Flights!$AA$25-3)),"INVALID – Flights AX must be before this leg's STD (within 3 days)",IF(AG676&gt;AsOfUTC,"INVALID – completion time is in the future",IF(AND(ISNUMBER(S676),AG676&lt;S676),IF(H676="Physical uplift","INVALID – before uplift window (cannot confirm loading)","INVALID – before valid window"),IF(AG676&gt;Flights!$AA$25,"INVALID – completed after departure (cannot establish readiness)",IF(AND(H676="Physical uplift",AG676&gt;Q676),"INVALID – recorded after the loading flight departed",IF(AG676&gt;Q676,"COMPLETE – LATE","COMPLETE")))))))))))))))))),IF(TRIM(U676)="Fail","FAIL – DISCREPANCY",IF(AND(TRIM(U676)&lt;&gt;"",TRIM(U676)&lt;&gt;"Not started",TRIM(U676)&lt;&gt;"In progress"),"INVALID – unrecognised status (use the list)",IF(AsOfUTC&gt;Q676,"OVERDUE",IF(N676="Clarification required","OPEN – CLARIFICATION","OPEN")))))))</f>
        <v>OPEN</v>
      </c>
      <c r="AI676" s="61" t="n">
        <f aca="false">IF(OR(AH676="N/A – RULE",AH676="N/A – JUSTIFIED"),0,1)</f>
        <v>1</v>
      </c>
      <c r="AJ676" s="61" t="n">
        <f aca="false">IF(LEFT(AH676,8)="COMPLETE",1,0)</f>
        <v>0</v>
      </c>
      <c r="AK676" s="61" t="n">
        <f aca="false">IF(AND(AI676=1,AJ676=0,AsOfUTC&gt;Q676),1,0)</f>
        <v>0</v>
      </c>
      <c r="AL676" s="61" t="n">
        <f aca="false">IF(AND(AI676=1,OR(TRIM(U676)="Fail",AND(TRIM(AB676)&lt;&gt;"",TRIM(AB676)&lt;&gt;"Closed"),AND(ISNUMBER(AF676),AF676&lt;&gt;0,TRIM(U676)&lt;&gt;"Pass after CA"))),1,0)</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row>
    <row r="677" customFormat="false" ht="41.25" hidden="false" customHeight="true" outlineLevel="0" collapsed="false">
      <c r="A677" s="57" t="s">
        <v>1361</v>
      </c>
      <c r="B677" s="57" t="s">
        <v>302</v>
      </c>
      <c r="C677" s="57" t="str">
        <f aca="false">Flights!$F$25</f>
        <v>MH1437</v>
      </c>
      <c r="D677" s="58" t="n">
        <f aca="false">Flights!$D$25</f>
        <v>46325</v>
      </c>
      <c r="E677" s="57" t="str">
        <f aca="false">Flights!$G$25&amp;"-"&amp;Flights!$H$25</f>
        <v>LGK-KUL</v>
      </c>
      <c r="F677" s="57" t="str">
        <f aca="false">Flights!$K$25</f>
        <v>BC</v>
      </c>
      <c r="G677" s="57" t="s">
        <v>385</v>
      </c>
      <c r="H677" s="57" t="s">
        <v>343</v>
      </c>
      <c r="I677" s="57" t="s">
        <v>344</v>
      </c>
      <c r="J677" s="57" t="s">
        <v>390</v>
      </c>
      <c r="K677" s="67" t="s">
        <v>391</v>
      </c>
      <c r="L677" s="67" t="s">
        <v>387</v>
      </c>
      <c r="M677" s="67"/>
      <c r="N677" s="67" t="s">
        <v>348</v>
      </c>
      <c r="O677" s="67" t="s">
        <v>940</v>
      </c>
      <c r="P677" s="57" t="s">
        <v>179</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59" t="n">
        <f aca="false">Q677-T12EarlyH/24</f>
        <v>46323.6875</v>
      </c>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IF(N677="N/A – rule","N/A – RULE",IF(TRIM(U677)="N/A",IF(AT677=0,"INVALID – N/A not permitted for this mandatory check",IF(AND(TRIM(AC677)&lt;&gt;"",TRIM(AE677)&lt;&gt;"",TRIM(T677)&lt;&gt;"",TRIM(AE677)&lt;&gt;TRIM(T677)),"N/A – JUSTIFIED","INVALID – N/A needs justification, PIC and a different verifier")),IF(OR(TRIM(U677)="Pass",TRIM(U677)="Pass after CA"),IF(NOT(ISNUMBER(AD677)),"INVALID – completion time missing",IF(TRIM(T677)="","INVALID – PIC missing",IF(TRIM(V677)="","INVALID – result / assessment missing",IF(TRIM(Z677)="","INVALID – evidence missing",IF(TRIM(AE677)="","INVALID – verifier missing",IF(TRIM(AE677)=TRIM(T677),"INVALID – verifier must be someone other than the PIC",IF(AND(AQ677=1,TRIM(W677)=""),"INVALID – batch ID missing",IF(AND(AR677=1,OR(NOT(ISNUMBER(X677)),NOT(ISNUMBER(Y677)))),"INVALID – expected/actual qty missing",IF(IF(AND(TRIM(U677)="Pass",ISNUMBER(AF677)),IF(AF677&lt;&gt;0,"INVALID – qty variance: use Fail or Pass after CA",""),"")&amp;IF(AND(TRIM(U677)="Pass",TRIM(AB677)&lt;&gt;"",TRIM(AB677)&lt;&gt;"Closed"),"INVALID – corrective action not closed: use Fail, then Pass after CA","")&amp;IF(AND(TRIM(AA677)&lt;&gt;"",TRIM(AB677)=""),"INVALID – CA status missing for the recorded corrective action","")&amp;IF(AND(TRIM(U677)="Pass after CA",OR(TRIM(AA677)="",TRIM(AB677)&lt;&gt;"Closed")),"INVALID – corrective action not recorded/closed","")&lt;&gt;"",IF(AND(TRIM(U677)="Pass",ISNUMBER(AF677)),IF(AF677&lt;&gt;0,"INVALID – qty variance: use Fail or Pass after CA",""),"")&amp;IF(AND(TRIM(U677)="Pass",TRIM(AB677)&lt;&gt;"",TRIM(AB677)&lt;&gt;"Closed"),"INVALID – corrective action not closed: use Fail, then Pass after CA","")&amp;IF(AND(TRIM(AA677)&lt;&gt;"",TRIM(AB677)=""),"INVALID – CA status missing for the recorded corrective action","")&amp;IF(AND(TRIM(U677)="Pass after CA",OR(TRIM(AA677)="",TRIM(AB677)&lt;&gt;"Closed")),"INVALID – corrective action not recorded/closed",""),IF(AND(AS677=1,Documents!$J$25&lt;&gt;"ON FILE"),"INVALID – GLD not on file (Documents sheet)",IF(AND(AS677=2,Documents!$O$25&lt;&gt;"ON FILE"),"INVALID – menu checklist not on file (Documents sheet)",IF(AND(AS677=3,NOT(ISNUMBER(Flights!$AX$25))),"INVALID – enter carrying flight KUL departure (Flights AX)",IF(AND(AS677=3,OR(Flights!$AX$25&gt;=Flights!$AA$25,Flights!$AX$25&lt;Flights!$AA$25-3)),"INVALID – Flights AX must be before this leg's STD (within 3 days)",IF(AG677&gt;AsOfUTC,"INVALID – completion time is in the future",IF(AND(ISNUMBER(S677),AG677&lt;S677),IF(H677="Physical uplift","INVALID – before uplift window (cannot confirm loading)","INVALID – before valid window"),IF(AG677&gt;Flights!$AA$25,"INVALID – completed after departure (cannot establish readiness)",IF(AND(H677="Physical uplift",AG677&gt;Q677),"INVALID – recorded after the loading flight departed",IF(AG677&gt;Q677,"COMPLETE – LATE","COMPLETE")))))))))))))))))),IF(TRIM(U677)="Fail","FAIL – DISCREPANCY",IF(AND(TRIM(U677)&lt;&gt;"",TRIM(U677)&lt;&gt;"Not started",TRIM(U677)&lt;&gt;"In progress"),"INVALID – unrecognised status (use the list)",IF(AsOfUTC&gt;Q677,"OVERDUE",IF(N677="Clarification required","OPEN – CLARIFICATION","OPEN")))))))</f>
        <v>OPEN</v>
      </c>
      <c r="AI677" s="61" t="n">
        <f aca="false">IF(OR(AH677="N/A – RULE",AH677="N/A – JUSTIFIED"),0,1)</f>
        <v>1</v>
      </c>
      <c r="AJ677" s="61" t="n">
        <f aca="false">IF(LEFT(AH677,8)="COMPLETE",1,0)</f>
        <v>0</v>
      </c>
      <c r="AK677" s="61" t="n">
        <f aca="false">IF(AND(AI677=1,AJ677=0,AsOfUTC&gt;Q677),1,0)</f>
        <v>0</v>
      </c>
      <c r="AL677" s="61" t="n">
        <f aca="false">IF(AND(AI677=1,OR(TRIM(U677)="Fail",AND(TRIM(AB677)&lt;&gt;"",TRIM(AB677)&lt;&gt;"Closed"),AND(ISNUMBER(AF677),AF677&lt;&gt;0,TRIM(U677)&lt;&gt;"Pass after CA"))),1,0)</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row>
    <row r="678" customFormat="false" ht="41.25" hidden="false" customHeight="true" outlineLevel="0" collapsed="false">
      <c r="A678" s="57" t="s">
        <v>1362</v>
      </c>
      <c r="B678" s="57" t="s">
        <v>302</v>
      </c>
      <c r="C678" s="57" t="str">
        <f aca="false">Flights!$F$25</f>
        <v>MH1437</v>
      </c>
      <c r="D678" s="58" t="n">
        <f aca="false">Flights!$D$25</f>
        <v>46325</v>
      </c>
      <c r="E678" s="57" t="str">
        <f aca="false">Flights!$G$25&amp;"-"&amp;Flights!$H$25</f>
        <v>LGK-KUL</v>
      </c>
      <c r="F678" s="57" t="str">
        <f aca="false">Flights!$K$25</f>
        <v>BC</v>
      </c>
      <c r="G678" s="57" t="s">
        <v>385</v>
      </c>
      <c r="H678" s="57" t="s">
        <v>343</v>
      </c>
      <c r="I678" s="57" t="s">
        <v>393</v>
      </c>
      <c r="J678" s="57" t="s">
        <v>394</v>
      </c>
      <c r="K678" s="67"/>
      <c r="L678" s="67" t="s">
        <v>387</v>
      </c>
      <c r="M678" s="67"/>
      <c r="N678" s="67" t="s">
        <v>348</v>
      </c>
      <c r="O678" s="67" t="s">
        <v>940</v>
      </c>
      <c r="P678" s="57" t="s">
        <v>179</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59" t="n">
        <f aca="false">Q678-T12EarlyH/24</f>
        <v>46323.6875</v>
      </c>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IF(N678="N/A – rule","N/A – RULE",IF(TRIM(U678)="N/A",IF(AT678=0,"INVALID – N/A not permitted for this mandatory check",IF(AND(TRIM(AC678)&lt;&gt;"",TRIM(AE678)&lt;&gt;"",TRIM(T678)&lt;&gt;"",TRIM(AE678)&lt;&gt;TRIM(T678)),"N/A – JUSTIFIED","INVALID – N/A needs justification, PIC and a different verifier")),IF(OR(TRIM(U678)="Pass",TRIM(U678)="Pass after CA"),IF(NOT(ISNUMBER(AD678)),"INVALID – completion time missing",IF(TRIM(T678)="","INVALID – PIC missing",IF(TRIM(V678)="","INVALID – result / assessment missing",IF(TRIM(Z678)="","INVALID – evidence missing",IF(TRIM(AE678)="","INVALID – verifier missing",IF(TRIM(AE678)=TRIM(T678),"INVALID – verifier must be someone other than the PIC",IF(AND(AQ678=1,TRIM(W678)=""),"INVALID – batch ID missing",IF(AND(AR678=1,OR(NOT(ISNUMBER(X678)),NOT(ISNUMBER(Y678)))),"INVALID – expected/actual qty missing",IF(IF(AND(TRIM(U678)="Pass",ISNUMBER(AF678)),IF(AF678&lt;&gt;0,"INVALID – qty variance: use Fail or Pass after CA",""),"")&amp;IF(AND(TRIM(U678)="Pass",TRIM(AB678)&lt;&gt;"",TRIM(AB678)&lt;&gt;"Closed"),"INVALID – corrective action not closed: use Fail, then Pass after CA","")&amp;IF(AND(TRIM(AA678)&lt;&gt;"",TRIM(AB678)=""),"INVALID – CA status missing for the recorded corrective action","")&amp;IF(AND(TRIM(U678)="Pass after CA",OR(TRIM(AA678)="",TRIM(AB678)&lt;&gt;"Closed")),"INVALID – corrective action not recorded/closed","")&lt;&gt;"",IF(AND(TRIM(U678)="Pass",ISNUMBER(AF678)),IF(AF678&lt;&gt;0,"INVALID – qty variance: use Fail or Pass after CA",""),"")&amp;IF(AND(TRIM(U678)="Pass",TRIM(AB678)&lt;&gt;"",TRIM(AB678)&lt;&gt;"Closed"),"INVALID – corrective action not closed: use Fail, then Pass after CA","")&amp;IF(AND(TRIM(AA678)&lt;&gt;"",TRIM(AB678)=""),"INVALID – CA status missing for the recorded corrective action","")&amp;IF(AND(TRIM(U678)="Pass after CA",OR(TRIM(AA678)="",TRIM(AB678)&lt;&gt;"Closed")),"INVALID – corrective action not recorded/closed",""),IF(AND(AS678=1,Documents!$J$25&lt;&gt;"ON FILE"),"INVALID – GLD not on file (Documents sheet)",IF(AND(AS678=2,Documents!$O$25&lt;&gt;"ON FILE"),"INVALID – menu checklist not on file (Documents sheet)",IF(AND(AS678=3,NOT(ISNUMBER(Flights!$AX$25))),"INVALID – enter carrying flight KUL departure (Flights AX)",IF(AND(AS678=3,OR(Flights!$AX$25&gt;=Flights!$AA$25,Flights!$AX$25&lt;Flights!$AA$25-3)),"INVALID – Flights AX must be before this leg's STD (within 3 days)",IF(AG678&gt;AsOfUTC,"INVALID – completion time is in the future",IF(AND(ISNUMBER(S678),AG678&lt;S678),IF(H678="Physical uplift","INVALID – before uplift window (cannot confirm loading)","INVALID – before valid window"),IF(AG678&gt;Flights!$AA$25,"INVALID – completed after departure (cannot establish readiness)",IF(AND(H678="Physical uplift",AG678&gt;Q678),"INVALID – recorded after the loading flight departed",IF(AG678&gt;Q678,"COMPLETE – LATE","COMPLETE")))))))))))))))))),IF(TRIM(U678)="Fail","FAIL – DISCREPANCY",IF(AND(TRIM(U678)&lt;&gt;"",TRIM(U678)&lt;&gt;"Not started",TRIM(U678)&lt;&gt;"In progress"),"INVALID – unrecognised status (use the list)",IF(AsOfUTC&gt;Q678,"OVERDUE",IF(N678="Clarification required","OPEN – CLARIFICATION","OPEN")))))))</f>
        <v>OPEN</v>
      </c>
      <c r="AI678" s="61" t="n">
        <f aca="false">IF(OR(AH678="N/A – RULE",AH678="N/A – JUSTIFIED"),0,1)</f>
        <v>1</v>
      </c>
      <c r="AJ678" s="61" t="n">
        <f aca="false">IF(LEFT(AH678,8)="COMPLETE",1,0)</f>
        <v>0</v>
      </c>
      <c r="AK678" s="61" t="n">
        <f aca="false">IF(AND(AI678=1,AJ678=0,AsOfUTC&gt;Q678),1,0)</f>
        <v>0</v>
      </c>
      <c r="AL678" s="61" t="n">
        <f aca="false">IF(AND(AI678=1,OR(TRIM(U678)="Fail",AND(TRIM(AB678)&lt;&gt;"",TRIM(AB678)&lt;&gt;"Closed"),AND(ISNUMBER(AF678),AF678&lt;&gt;0,TRIM(U678)&lt;&gt;"Pass after CA"))),1,0)</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row>
    <row r="679" customFormat="false" ht="41.25" hidden="false" customHeight="true" outlineLevel="0" collapsed="false">
      <c r="A679" s="57" t="s">
        <v>1363</v>
      </c>
      <c r="B679" s="57" t="s">
        <v>302</v>
      </c>
      <c r="C679" s="57" t="str">
        <f aca="false">Flights!$F$25</f>
        <v>MH1437</v>
      </c>
      <c r="D679" s="58" t="n">
        <f aca="false">Flights!$D$25</f>
        <v>46325</v>
      </c>
      <c r="E679" s="57" t="str">
        <f aca="false">Flights!$G$25&amp;"-"&amp;Flights!$H$25</f>
        <v>LGK-KUL</v>
      </c>
      <c r="F679" s="57" t="str">
        <f aca="false">Flights!$K$25</f>
        <v>BC</v>
      </c>
      <c r="G679" s="57" t="s">
        <v>385</v>
      </c>
      <c r="H679" s="57" t="s">
        <v>343</v>
      </c>
      <c r="I679" s="57" t="s">
        <v>393</v>
      </c>
      <c r="J679" s="57" t="s">
        <v>396</v>
      </c>
      <c r="K679" s="67"/>
      <c r="L679" s="67" t="s">
        <v>387</v>
      </c>
      <c r="M679" s="67"/>
      <c r="N679" s="67" t="s">
        <v>348</v>
      </c>
      <c r="O679" s="67" t="s">
        <v>940</v>
      </c>
      <c r="P679" s="57" t="s">
        <v>179</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59" t="n">
        <f aca="false">Q679-T12EarlyH/24</f>
        <v>46323.6875</v>
      </c>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IF(N679="N/A – rule","N/A – RULE",IF(TRIM(U679)="N/A",IF(AT679=0,"INVALID – N/A not permitted for this mandatory check",IF(AND(TRIM(AC679)&lt;&gt;"",TRIM(AE679)&lt;&gt;"",TRIM(T679)&lt;&gt;"",TRIM(AE679)&lt;&gt;TRIM(T679)),"N/A – JUSTIFIED","INVALID – N/A needs justification, PIC and a different verifier")),IF(OR(TRIM(U679)="Pass",TRIM(U679)="Pass after CA"),IF(NOT(ISNUMBER(AD679)),"INVALID – completion time missing",IF(TRIM(T679)="","INVALID – PIC missing",IF(TRIM(V679)="","INVALID – result / assessment missing",IF(TRIM(Z679)="","INVALID – evidence missing",IF(TRIM(AE679)="","INVALID – verifier missing",IF(TRIM(AE679)=TRIM(T679),"INVALID – verifier must be someone other than the PIC",IF(AND(AQ679=1,TRIM(W679)=""),"INVALID – batch ID missing",IF(AND(AR679=1,OR(NOT(ISNUMBER(X679)),NOT(ISNUMBER(Y679)))),"INVALID – expected/actual qty missing",IF(IF(AND(TRIM(U679)="Pass",ISNUMBER(AF679)),IF(AF679&lt;&gt;0,"INVALID – qty variance: use Fail or Pass after CA",""),"")&amp;IF(AND(TRIM(U679)="Pass",TRIM(AB679)&lt;&gt;"",TRIM(AB679)&lt;&gt;"Closed"),"INVALID – corrective action not closed: use Fail, then Pass after CA","")&amp;IF(AND(TRIM(AA679)&lt;&gt;"",TRIM(AB679)=""),"INVALID – CA status missing for the recorded corrective action","")&amp;IF(AND(TRIM(U679)="Pass after CA",OR(TRIM(AA679)="",TRIM(AB679)&lt;&gt;"Closed")),"INVALID – corrective action not recorded/closed","")&lt;&gt;"",IF(AND(TRIM(U679)="Pass",ISNUMBER(AF679)),IF(AF679&lt;&gt;0,"INVALID – qty variance: use Fail or Pass after CA",""),"")&amp;IF(AND(TRIM(U679)="Pass",TRIM(AB679)&lt;&gt;"",TRIM(AB679)&lt;&gt;"Closed"),"INVALID – corrective action not closed: use Fail, then Pass after CA","")&amp;IF(AND(TRIM(AA679)&lt;&gt;"",TRIM(AB679)=""),"INVALID – CA status missing for the recorded corrective action","")&amp;IF(AND(TRIM(U679)="Pass after CA",OR(TRIM(AA679)="",TRIM(AB679)&lt;&gt;"Closed")),"INVALID – corrective action not recorded/closed",""),IF(AND(AS679=1,Documents!$J$25&lt;&gt;"ON FILE"),"INVALID – GLD not on file (Documents sheet)",IF(AND(AS679=2,Documents!$O$25&lt;&gt;"ON FILE"),"INVALID – menu checklist not on file (Documents sheet)",IF(AND(AS679=3,NOT(ISNUMBER(Flights!$AX$25))),"INVALID – enter carrying flight KUL departure (Flights AX)",IF(AND(AS679=3,OR(Flights!$AX$25&gt;=Flights!$AA$25,Flights!$AX$25&lt;Flights!$AA$25-3)),"INVALID – Flights AX must be before this leg's STD (within 3 days)",IF(AG679&gt;AsOfUTC,"INVALID – completion time is in the future",IF(AND(ISNUMBER(S679),AG679&lt;S679),IF(H679="Physical uplift","INVALID – before uplift window (cannot confirm loading)","INVALID – before valid window"),IF(AG679&gt;Flights!$AA$25,"INVALID – completed after departure (cannot establish readiness)",IF(AND(H679="Physical uplift",AG679&gt;Q679),"INVALID – recorded after the loading flight departed",IF(AG679&gt;Q679,"COMPLETE – LATE","COMPLETE")))))))))))))))))),IF(TRIM(U679)="Fail","FAIL – DISCREPANCY",IF(AND(TRIM(U679)&lt;&gt;"",TRIM(U679)&lt;&gt;"Not started",TRIM(U679)&lt;&gt;"In progress"),"INVALID – unrecognised status (use the list)",IF(AsOfUTC&gt;Q679,"OVERDUE",IF(N679="Clarification required","OPEN – CLARIFICATION","OPEN")))))))</f>
        <v>OPEN</v>
      </c>
      <c r="AI679" s="61" t="n">
        <f aca="false">IF(OR(AH679="N/A – RULE",AH679="N/A – JUSTIFIED"),0,1)</f>
        <v>1</v>
      </c>
      <c r="AJ679" s="61" t="n">
        <f aca="false">IF(LEFT(AH679,8)="COMPLETE",1,0)</f>
        <v>0</v>
      </c>
      <c r="AK679" s="61" t="n">
        <f aca="false">IF(AND(AI679=1,AJ679=0,AsOfUTC&gt;Q679),1,0)</f>
        <v>0</v>
      </c>
      <c r="AL679" s="61" t="n">
        <f aca="false">IF(AND(AI679=1,OR(TRIM(U679)="Fail",AND(TRIM(AB679)&lt;&gt;"",TRIM(AB679)&lt;&gt;"Closed"),AND(ISNUMBER(AF679),AF679&lt;&gt;0,TRIM(U679)&lt;&gt;"Pass after CA"))),1,0)</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row>
    <row r="680" customFormat="false" ht="41.25" hidden="false" customHeight="true" outlineLevel="0" collapsed="false">
      <c r="A680" s="57" t="s">
        <v>1364</v>
      </c>
      <c r="B680" s="57" t="s">
        <v>302</v>
      </c>
      <c r="C680" s="57" t="str">
        <f aca="false">Flights!$F$25</f>
        <v>MH1437</v>
      </c>
      <c r="D680" s="58" t="n">
        <f aca="false">Flights!$D$25</f>
        <v>46325</v>
      </c>
      <c r="E680" s="57" t="str">
        <f aca="false">Flights!$G$25&amp;"-"&amp;Flights!$H$25</f>
        <v>LGK-KUL</v>
      </c>
      <c r="F680" s="57" t="str">
        <f aca="false">Flights!$K$25</f>
        <v>BC</v>
      </c>
      <c r="G680" s="57" t="s">
        <v>385</v>
      </c>
      <c r="H680" s="57" t="s">
        <v>343</v>
      </c>
      <c r="I680" s="57" t="s">
        <v>393</v>
      </c>
      <c r="J680" s="57" t="s">
        <v>398</v>
      </c>
      <c r="K680" s="67"/>
      <c r="L680" s="67" t="s">
        <v>387</v>
      </c>
      <c r="M680" s="67"/>
      <c r="N680" s="67" t="s">
        <v>348</v>
      </c>
      <c r="O680" s="67" t="s">
        <v>940</v>
      </c>
      <c r="P680" s="57" t="s">
        <v>179</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59" t="n">
        <f aca="false">Q680-T12EarlyH/24</f>
        <v>46323.6875</v>
      </c>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IF(N680="N/A – rule","N/A – RULE",IF(TRIM(U680)="N/A",IF(AT680=0,"INVALID – N/A not permitted for this mandatory check",IF(AND(TRIM(AC680)&lt;&gt;"",TRIM(AE680)&lt;&gt;"",TRIM(T680)&lt;&gt;"",TRIM(AE680)&lt;&gt;TRIM(T680)),"N/A – JUSTIFIED","INVALID – N/A needs justification, PIC and a different verifier")),IF(OR(TRIM(U680)="Pass",TRIM(U680)="Pass after CA"),IF(NOT(ISNUMBER(AD680)),"INVALID – completion time missing",IF(TRIM(T680)="","INVALID – PIC missing",IF(TRIM(V680)="","INVALID – result / assessment missing",IF(TRIM(Z680)="","INVALID – evidence missing",IF(TRIM(AE680)="","INVALID – verifier missing",IF(TRIM(AE680)=TRIM(T680),"INVALID – verifier must be someone other than the PIC",IF(AND(AQ680=1,TRIM(W680)=""),"INVALID – batch ID missing",IF(AND(AR680=1,OR(NOT(ISNUMBER(X680)),NOT(ISNUMBER(Y680)))),"INVALID – expected/actual qty missing",IF(IF(AND(TRIM(U680)="Pass",ISNUMBER(AF680)),IF(AF680&lt;&gt;0,"INVALID – qty variance: use Fail or Pass after CA",""),"")&amp;IF(AND(TRIM(U680)="Pass",TRIM(AB680)&lt;&gt;"",TRIM(AB680)&lt;&gt;"Closed"),"INVALID – corrective action not closed: use Fail, then Pass after CA","")&amp;IF(AND(TRIM(AA680)&lt;&gt;"",TRIM(AB680)=""),"INVALID – CA status missing for the recorded corrective action","")&amp;IF(AND(TRIM(U680)="Pass after CA",OR(TRIM(AA680)="",TRIM(AB680)&lt;&gt;"Closed")),"INVALID – corrective action not recorded/closed","")&lt;&gt;"",IF(AND(TRIM(U680)="Pass",ISNUMBER(AF680)),IF(AF680&lt;&gt;0,"INVALID – qty variance: use Fail or Pass after CA",""),"")&amp;IF(AND(TRIM(U680)="Pass",TRIM(AB680)&lt;&gt;"",TRIM(AB680)&lt;&gt;"Closed"),"INVALID – corrective action not closed: use Fail, then Pass after CA","")&amp;IF(AND(TRIM(AA680)&lt;&gt;"",TRIM(AB680)=""),"INVALID – CA status missing for the recorded corrective action","")&amp;IF(AND(TRIM(U680)="Pass after CA",OR(TRIM(AA680)="",TRIM(AB680)&lt;&gt;"Closed")),"INVALID – corrective action not recorded/closed",""),IF(AND(AS680=1,Documents!$J$25&lt;&gt;"ON FILE"),"INVALID – GLD not on file (Documents sheet)",IF(AND(AS680=2,Documents!$O$25&lt;&gt;"ON FILE"),"INVALID – menu checklist not on file (Documents sheet)",IF(AND(AS680=3,NOT(ISNUMBER(Flights!$AX$25))),"INVALID – enter carrying flight KUL departure (Flights AX)",IF(AND(AS680=3,OR(Flights!$AX$25&gt;=Flights!$AA$25,Flights!$AX$25&lt;Flights!$AA$25-3)),"INVALID – Flights AX must be before this leg's STD (within 3 days)",IF(AG680&gt;AsOfUTC,"INVALID – completion time is in the future",IF(AND(ISNUMBER(S680),AG680&lt;S680),IF(H680="Physical uplift","INVALID – before uplift window (cannot confirm loading)","INVALID – before valid window"),IF(AG680&gt;Flights!$AA$25,"INVALID – completed after departure (cannot establish readiness)",IF(AND(H680="Physical uplift",AG680&gt;Q680),"INVALID – recorded after the loading flight departed",IF(AG680&gt;Q680,"COMPLETE – LATE","COMPLETE")))))))))))))))))),IF(TRIM(U680)="Fail","FAIL – DISCREPANCY",IF(AND(TRIM(U680)&lt;&gt;"",TRIM(U680)&lt;&gt;"Not started",TRIM(U680)&lt;&gt;"In progress"),"INVALID – unrecognised status (use the list)",IF(AsOfUTC&gt;Q680,"OVERDUE",IF(N680="Clarification required","OPEN – CLARIFICATION","OPEN")))))))</f>
        <v>OPEN</v>
      </c>
      <c r="AI680" s="61" t="n">
        <f aca="false">IF(OR(AH680="N/A – RULE",AH680="N/A – JUSTIFIED"),0,1)</f>
        <v>1</v>
      </c>
      <c r="AJ680" s="61" t="n">
        <f aca="false">IF(LEFT(AH680,8)="COMPLETE",1,0)</f>
        <v>0</v>
      </c>
      <c r="AK680" s="61" t="n">
        <f aca="false">IF(AND(AI680=1,AJ680=0,AsOfUTC&gt;Q680),1,0)</f>
        <v>0</v>
      </c>
      <c r="AL680" s="61" t="n">
        <f aca="false">IF(AND(AI680=1,OR(TRIM(U680)="Fail",AND(TRIM(AB680)&lt;&gt;"",TRIM(AB680)&lt;&gt;"Closed"),AND(ISNUMBER(AF680),AF680&lt;&gt;0,TRIM(U680)&lt;&gt;"Pass after CA"))),1,0)</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row>
    <row r="681" customFormat="false" ht="78.75" hidden="false" customHeight="true" outlineLevel="0" collapsed="false">
      <c r="A681" s="57" t="s">
        <v>1365</v>
      </c>
      <c r="B681" s="57" t="s">
        <v>302</v>
      </c>
      <c r="C681" s="57" t="str">
        <f aca="false">Flights!$F$25</f>
        <v>MH1437</v>
      </c>
      <c r="D681" s="58" t="n">
        <f aca="false">Flights!$D$25</f>
        <v>46325</v>
      </c>
      <c r="E681" s="57" t="str">
        <f aca="false">Flights!$G$25&amp;"-"&amp;Flights!$H$25</f>
        <v>LGK-KUL</v>
      </c>
      <c r="F681" s="57" t="str">
        <f aca="false">Flights!$K$25</f>
        <v>BC</v>
      </c>
      <c r="G681" s="57" t="s">
        <v>385</v>
      </c>
      <c r="H681" s="57" t="s">
        <v>343</v>
      </c>
      <c r="I681" s="57" t="s">
        <v>393</v>
      </c>
      <c r="J681" s="57" t="s">
        <v>400</v>
      </c>
      <c r="K681" s="67" t="s">
        <v>456</v>
      </c>
      <c r="L681" s="67" t="s">
        <v>387</v>
      </c>
      <c r="M681" s="67"/>
      <c r="N681" s="67" t="s">
        <v>348</v>
      </c>
      <c r="O681" s="67" t="s">
        <v>940</v>
      </c>
      <c r="P681" s="57" t="s">
        <v>179</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59" t="n">
        <f aca="false">Q681-T12EarlyH/24</f>
        <v>46323.6875</v>
      </c>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IF(N681="N/A – rule","N/A – RULE",IF(TRIM(U681)="N/A",IF(AT681=0,"INVALID – N/A not permitted for this mandatory check",IF(AND(TRIM(AC681)&lt;&gt;"",TRIM(AE681)&lt;&gt;"",TRIM(T681)&lt;&gt;"",TRIM(AE681)&lt;&gt;TRIM(T681)),"N/A – JUSTIFIED","INVALID – N/A needs justification, PIC and a different verifier")),IF(OR(TRIM(U681)="Pass",TRIM(U681)="Pass after CA"),IF(NOT(ISNUMBER(AD681)),"INVALID – completion time missing",IF(TRIM(T681)="","INVALID – PIC missing",IF(TRIM(V681)="","INVALID – result / assessment missing",IF(TRIM(Z681)="","INVALID – evidence missing",IF(TRIM(AE681)="","INVALID – verifier missing",IF(TRIM(AE681)=TRIM(T681),"INVALID – verifier must be someone other than the PIC",IF(AND(AQ681=1,TRIM(W681)=""),"INVALID – batch ID missing",IF(AND(AR681=1,OR(NOT(ISNUMBER(X681)),NOT(ISNUMBER(Y681)))),"INVALID – expected/actual qty missing",IF(IF(AND(TRIM(U681)="Pass",ISNUMBER(AF681)),IF(AF681&lt;&gt;0,"INVALID – qty variance: use Fail or Pass after CA",""),"")&amp;IF(AND(TRIM(U681)="Pass",TRIM(AB681)&lt;&gt;"",TRIM(AB681)&lt;&gt;"Closed"),"INVALID – corrective action not closed: use Fail, then Pass after CA","")&amp;IF(AND(TRIM(AA681)&lt;&gt;"",TRIM(AB681)=""),"INVALID – CA status missing for the recorded corrective action","")&amp;IF(AND(TRIM(U681)="Pass after CA",OR(TRIM(AA681)="",TRIM(AB681)&lt;&gt;"Closed")),"INVALID – corrective action not recorded/closed","")&lt;&gt;"",IF(AND(TRIM(U681)="Pass",ISNUMBER(AF681)),IF(AF681&lt;&gt;0,"INVALID – qty variance: use Fail or Pass after CA",""),"")&amp;IF(AND(TRIM(U681)="Pass",TRIM(AB681)&lt;&gt;"",TRIM(AB681)&lt;&gt;"Closed"),"INVALID – corrective action not closed: use Fail, then Pass after CA","")&amp;IF(AND(TRIM(AA681)&lt;&gt;"",TRIM(AB681)=""),"INVALID – CA status missing for the recorded corrective action","")&amp;IF(AND(TRIM(U681)="Pass after CA",OR(TRIM(AA681)="",TRIM(AB681)&lt;&gt;"Closed")),"INVALID – corrective action not recorded/closed",""),IF(AND(AS681=1,Documents!$J$25&lt;&gt;"ON FILE"),"INVALID – GLD not on file (Documents sheet)",IF(AND(AS681=2,Documents!$O$25&lt;&gt;"ON FILE"),"INVALID – menu checklist not on file (Documents sheet)",IF(AND(AS681=3,NOT(ISNUMBER(Flights!$AX$25))),"INVALID – enter carrying flight KUL departure (Flights AX)",IF(AND(AS681=3,OR(Flights!$AX$25&gt;=Flights!$AA$25,Flights!$AX$25&lt;Flights!$AA$25-3)),"INVALID – Flights AX must be before this leg's STD (within 3 days)",IF(AG681&gt;AsOfUTC,"INVALID – completion time is in the future",IF(AND(ISNUMBER(S681),AG681&lt;S681),IF(H681="Physical uplift","INVALID – before uplift window (cannot confirm loading)","INVALID – before valid window"),IF(AG681&gt;Flights!$AA$25,"INVALID – completed after departure (cannot establish readiness)",IF(AND(H681="Physical uplift",AG681&gt;Q681),"INVALID – recorded after the loading flight departed",IF(AG681&gt;Q681,"COMPLETE – LATE","COMPLETE")))))))))))))))))),IF(TRIM(U681)="Fail","FAIL – DISCREPANCY",IF(AND(TRIM(U681)&lt;&gt;"",TRIM(U681)&lt;&gt;"Not started",TRIM(U681)&lt;&gt;"In progress"),"INVALID – unrecognised status (use the list)",IF(AsOfUTC&gt;Q681,"OVERDUE",IF(N681="Clarification required","OPEN – CLARIFICATION","OPEN")))))))</f>
        <v>OPEN</v>
      </c>
      <c r="AI681" s="61" t="n">
        <f aca="false">IF(OR(AH681="N/A – RULE",AH681="N/A – JUSTIFIED"),0,1)</f>
        <v>1</v>
      </c>
      <c r="AJ681" s="61" t="n">
        <f aca="false">IF(LEFT(AH681,8)="COMPLETE",1,0)</f>
        <v>0</v>
      </c>
      <c r="AK681" s="61" t="n">
        <f aca="false">IF(AND(AI681=1,AJ681=0,AsOfUTC&gt;Q681),1,0)</f>
        <v>0</v>
      </c>
      <c r="AL681" s="61" t="n">
        <f aca="false">IF(AND(AI681=1,OR(TRIM(U681)="Fail",AND(TRIM(AB681)&lt;&gt;"",TRIM(AB681)&lt;&gt;"Closed"),AND(ISNUMBER(AF681),AF681&lt;&gt;0,TRIM(U681)&lt;&gt;"Pass after CA"))),1,0)</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row>
    <row r="682" customFormat="false" ht="41.25" hidden="false" customHeight="true" outlineLevel="0" collapsed="false">
      <c r="A682" s="57" t="s">
        <v>1366</v>
      </c>
      <c r="B682" s="57" t="s">
        <v>302</v>
      </c>
      <c r="C682" s="57" t="str">
        <f aca="false">Flights!$F$25</f>
        <v>MH1437</v>
      </c>
      <c r="D682" s="58" t="n">
        <f aca="false">Flights!$D$25</f>
        <v>46325</v>
      </c>
      <c r="E682" s="57" t="str">
        <f aca="false">Flights!$G$25&amp;"-"&amp;Flights!$H$25</f>
        <v>LGK-KUL</v>
      </c>
      <c r="F682" s="57" t="str">
        <f aca="false">Flights!$K$25</f>
        <v>BC</v>
      </c>
      <c r="G682" s="57" t="s">
        <v>385</v>
      </c>
      <c r="H682" s="57" t="s">
        <v>343</v>
      </c>
      <c r="I682" s="57" t="s">
        <v>393</v>
      </c>
      <c r="J682" s="57" t="s">
        <v>403</v>
      </c>
      <c r="K682" s="67"/>
      <c r="L682" s="67" t="s">
        <v>387</v>
      </c>
      <c r="M682" s="67"/>
      <c r="N682" s="67" t="s">
        <v>348</v>
      </c>
      <c r="O682" s="67" t="s">
        <v>940</v>
      </c>
      <c r="P682" s="57" t="s">
        <v>179</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59" t="n">
        <f aca="false">Q682-T12EarlyH/24</f>
        <v>46323.6875</v>
      </c>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IF(N682="N/A – rule","N/A – RULE",IF(TRIM(U682)="N/A",IF(AT682=0,"INVALID – N/A not permitted for this mandatory check",IF(AND(TRIM(AC682)&lt;&gt;"",TRIM(AE682)&lt;&gt;"",TRIM(T682)&lt;&gt;"",TRIM(AE682)&lt;&gt;TRIM(T682)),"N/A – JUSTIFIED","INVALID – N/A needs justification, PIC and a different verifier")),IF(OR(TRIM(U682)="Pass",TRIM(U682)="Pass after CA"),IF(NOT(ISNUMBER(AD682)),"INVALID – completion time missing",IF(TRIM(T682)="","INVALID – PIC missing",IF(TRIM(V682)="","INVALID – result / assessment missing",IF(TRIM(Z682)="","INVALID – evidence missing",IF(TRIM(AE682)="","INVALID – verifier missing",IF(TRIM(AE682)=TRIM(T682),"INVALID – verifier must be someone other than the PIC",IF(AND(AQ682=1,TRIM(W682)=""),"INVALID – batch ID missing",IF(AND(AR682=1,OR(NOT(ISNUMBER(X682)),NOT(ISNUMBER(Y682)))),"INVALID – expected/actual qty missing",IF(IF(AND(TRIM(U682)="Pass",ISNUMBER(AF682)),IF(AF682&lt;&gt;0,"INVALID – qty variance: use Fail or Pass after CA",""),"")&amp;IF(AND(TRIM(U682)="Pass",TRIM(AB682)&lt;&gt;"",TRIM(AB682)&lt;&gt;"Closed"),"INVALID – corrective action not closed: use Fail, then Pass after CA","")&amp;IF(AND(TRIM(AA682)&lt;&gt;"",TRIM(AB682)=""),"INVALID – CA status missing for the recorded corrective action","")&amp;IF(AND(TRIM(U682)="Pass after CA",OR(TRIM(AA682)="",TRIM(AB682)&lt;&gt;"Closed")),"INVALID – corrective action not recorded/closed","")&lt;&gt;"",IF(AND(TRIM(U682)="Pass",ISNUMBER(AF682)),IF(AF682&lt;&gt;0,"INVALID – qty variance: use Fail or Pass after CA",""),"")&amp;IF(AND(TRIM(U682)="Pass",TRIM(AB682)&lt;&gt;"",TRIM(AB682)&lt;&gt;"Closed"),"INVALID – corrective action not closed: use Fail, then Pass after CA","")&amp;IF(AND(TRIM(AA682)&lt;&gt;"",TRIM(AB682)=""),"INVALID – CA status missing for the recorded corrective action","")&amp;IF(AND(TRIM(U682)="Pass after CA",OR(TRIM(AA682)="",TRIM(AB682)&lt;&gt;"Closed")),"INVALID – corrective action not recorded/closed",""),IF(AND(AS682=1,Documents!$J$25&lt;&gt;"ON FILE"),"INVALID – GLD not on file (Documents sheet)",IF(AND(AS682=2,Documents!$O$25&lt;&gt;"ON FILE"),"INVALID – menu checklist not on file (Documents sheet)",IF(AND(AS682=3,NOT(ISNUMBER(Flights!$AX$25))),"INVALID – enter carrying flight KUL departure (Flights AX)",IF(AND(AS682=3,OR(Flights!$AX$25&gt;=Flights!$AA$25,Flights!$AX$25&lt;Flights!$AA$25-3)),"INVALID – Flights AX must be before this leg's STD (within 3 days)",IF(AG682&gt;AsOfUTC,"INVALID – completion time is in the future",IF(AND(ISNUMBER(S682),AG682&lt;S682),IF(H682="Physical uplift","INVALID – before uplift window (cannot confirm loading)","INVALID – before valid window"),IF(AG682&gt;Flights!$AA$25,"INVALID – completed after departure (cannot establish readiness)",IF(AND(H682="Physical uplift",AG682&gt;Q682),"INVALID – recorded after the loading flight departed",IF(AG682&gt;Q682,"COMPLETE – LATE","COMPLETE")))))))))))))))))),IF(TRIM(U682)="Fail","FAIL – DISCREPANCY",IF(AND(TRIM(U682)&lt;&gt;"",TRIM(U682)&lt;&gt;"Not started",TRIM(U682)&lt;&gt;"In progress"),"INVALID – unrecognised status (use the list)",IF(AsOfUTC&gt;Q682,"OVERDUE",IF(N682="Clarification required","OPEN – CLARIFICATION","OPEN")))))))</f>
        <v>OPEN</v>
      </c>
      <c r="AI682" s="61" t="n">
        <f aca="false">IF(OR(AH682="N/A – RULE",AH682="N/A – JUSTIFIED"),0,1)</f>
        <v>1</v>
      </c>
      <c r="AJ682" s="61" t="n">
        <f aca="false">IF(LEFT(AH682,8)="COMPLETE",1,0)</f>
        <v>0</v>
      </c>
      <c r="AK682" s="61" t="n">
        <f aca="false">IF(AND(AI682=1,AJ682=0,AsOfUTC&gt;Q682),1,0)</f>
        <v>0</v>
      </c>
      <c r="AL682" s="61" t="n">
        <f aca="false">IF(AND(AI682=1,OR(TRIM(U682)="Fail",AND(TRIM(AB682)&lt;&gt;"",TRIM(AB682)&lt;&gt;"Closed"),AND(ISNUMBER(AF682),AF682&lt;&gt;0,TRIM(U682)&lt;&gt;"Pass after CA"))),1,0)</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row>
    <row r="683" customFormat="false" ht="91.5" hidden="false" customHeight="true" outlineLevel="0" collapsed="false">
      <c r="A683" s="57" t="s">
        <v>1367</v>
      </c>
      <c r="B683" s="57" t="s">
        <v>302</v>
      </c>
      <c r="C683" s="57" t="str">
        <f aca="false">Flights!$F$25</f>
        <v>MH1437</v>
      </c>
      <c r="D683" s="58" t="n">
        <f aca="false">Flights!$D$25</f>
        <v>46325</v>
      </c>
      <c r="E683" s="57" t="str">
        <f aca="false">Flights!$G$25&amp;"-"&amp;Flights!$H$25</f>
        <v>LGK-KUL</v>
      </c>
      <c r="F683" s="57" t="str">
        <f aca="false">Flights!$K$25</f>
        <v>BC</v>
      </c>
      <c r="G683" s="57" t="s">
        <v>385</v>
      </c>
      <c r="H683" s="57" t="s">
        <v>343</v>
      </c>
      <c r="I683" s="57" t="s">
        <v>405</v>
      </c>
      <c r="J683" s="57" t="s">
        <v>459</v>
      </c>
      <c r="K683" s="67" t="s">
        <v>460</v>
      </c>
      <c r="L683" s="67" t="s">
        <v>1368</v>
      </c>
      <c r="M683" s="67" t="s">
        <v>416</v>
      </c>
      <c r="N683" s="67" t="s">
        <v>348</v>
      </c>
      <c r="O683" s="67" t="s">
        <v>1369</v>
      </c>
      <c r="P683" s="57" t="s">
        <v>179</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59" t="n">
        <f aca="false">Q683-T12EarlyH/24</f>
        <v>46323.6875</v>
      </c>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IF(N683="N/A – rule","N/A – RULE",IF(TRIM(U683)="N/A",IF(AT683=0,"INVALID – N/A not permitted for this mandatory check",IF(AND(TRIM(AC683)&lt;&gt;"",TRIM(AE683)&lt;&gt;"",TRIM(T683)&lt;&gt;"",TRIM(AE683)&lt;&gt;TRIM(T683)),"N/A – JUSTIFIED","INVALID – N/A needs justification, PIC and a different verifier")),IF(OR(TRIM(U683)="Pass",TRIM(U683)="Pass after CA"),IF(NOT(ISNUMBER(AD683)),"INVALID – completion time missing",IF(TRIM(T683)="","INVALID – PIC missing",IF(TRIM(V683)="","INVALID – result / assessment missing",IF(TRIM(Z683)="","INVALID – evidence missing",IF(TRIM(AE683)="","INVALID – verifier missing",IF(TRIM(AE683)=TRIM(T683),"INVALID – verifier must be someone other than the PIC",IF(AND(AQ683=1,TRIM(W683)=""),"INVALID – batch ID missing",IF(AND(AR683=1,OR(NOT(ISNUMBER(X683)),NOT(ISNUMBER(Y683)))),"INVALID – expected/actual qty missing",IF(IF(AND(TRIM(U683)="Pass",ISNUMBER(AF683)),IF(AF683&lt;&gt;0,"INVALID – qty variance: use Fail or Pass after CA",""),"")&amp;IF(AND(TRIM(U683)="Pass",TRIM(AB683)&lt;&gt;"",TRIM(AB683)&lt;&gt;"Closed"),"INVALID – corrective action not closed: use Fail, then Pass after CA","")&amp;IF(AND(TRIM(AA683)&lt;&gt;"",TRIM(AB683)=""),"INVALID – CA status missing for the recorded corrective action","")&amp;IF(AND(TRIM(U683)="Pass after CA",OR(TRIM(AA683)="",TRIM(AB683)&lt;&gt;"Closed")),"INVALID – corrective action not recorded/closed","")&lt;&gt;"",IF(AND(TRIM(U683)="Pass",ISNUMBER(AF683)),IF(AF683&lt;&gt;0,"INVALID – qty variance: use Fail or Pass after CA",""),"")&amp;IF(AND(TRIM(U683)="Pass",TRIM(AB683)&lt;&gt;"",TRIM(AB683)&lt;&gt;"Closed"),"INVALID – corrective action not closed: use Fail, then Pass after CA","")&amp;IF(AND(TRIM(AA683)&lt;&gt;"",TRIM(AB683)=""),"INVALID – CA status missing for the recorded corrective action","")&amp;IF(AND(TRIM(U683)="Pass after CA",OR(TRIM(AA683)="",TRIM(AB683)&lt;&gt;"Closed")),"INVALID – corrective action not recorded/closed",""),IF(AND(AS683=1,Documents!$J$25&lt;&gt;"ON FILE"),"INVALID – GLD not on file (Documents sheet)",IF(AND(AS683=2,Documents!$O$25&lt;&gt;"ON FILE"),"INVALID – menu checklist not on file (Documents sheet)",IF(AND(AS683=3,NOT(ISNUMBER(Flights!$AX$25))),"INVALID – enter carrying flight KUL departure (Flights AX)",IF(AND(AS683=3,OR(Flights!$AX$25&gt;=Flights!$AA$25,Flights!$AX$25&lt;Flights!$AA$25-3)),"INVALID – Flights AX must be before this leg's STD (within 3 days)",IF(AG683&gt;AsOfUTC,"INVALID – completion time is in the future",IF(AND(ISNUMBER(S683),AG683&lt;S683),IF(H683="Physical uplift","INVALID – before uplift window (cannot confirm loading)","INVALID – before valid window"),IF(AG683&gt;Flights!$AA$25,"INVALID – completed after departure (cannot establish readiness)",IF(AND(H683="Physical uplift",AG683&gt;Q683),"INVALID – recorded after the loading flight departed",IF(AG683&gt;Q683,"COMPLETE – LATE","COMPLETE")))))))))))))))))),IF(TRIM(U683)="Fail","FAIL – DISCREPANCY",IF(AND(TRIM(U683)&lt;&gt;"",TRIM(U683)&lt;&gt;"Not started",TRIM(U683)&lt;&gt;"In progress"),"INVALID – unrecognised status (use the list)",IF(AsOfUTC&gt;Q683,"OVERDUE",IF(N683="Clarification required","OPEN – CLARIFICATION","OPEN")))))))</f>
        <v>OPEN</v>
      </c>
      <c r="AI683" s="61" t="n">
        <f aca="false">IF(OR(AH683="N/A – RULE",AH683="N/A – JUSTIFIED"),0,1)</f>
        <v>1</v>
      </c>
      <c r="AJ683" s="61" t="n">
        <f aca="false">IF(LEFT(AH683,8)="COMPLETE",1,0)</f>
        <v>0</v>
      </c>
      <c r="AK683" s="61" t="n">
        <f aca="false">IF(AND(AI683=1,AJ683=0,AsOfUTC&gt;Q683),1,0)</f>
        <v>0</v>
      </c>
      <c r="AL683" s="61" t="n">
        <f aca="false">IF(AND(AI683=1,OR(TRIM(U683)="Fail",AND(TRIM(AB683)&lt;&gt;"",TRIM(AB683)&lt;&gt;"Closed"),AND(ISNUMBER(AF683),AF683&lt;&gt;0,TRIM(U683)&lt;&gt;"Pass after CA"))),1,0)</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8" t="b">
        <f aca="false">TRUE()</f>
        <v>1</v>
      </c>
    </row>
    <row r="684" customFormat="false" ht="66" hidden="false" customHeight="true" outlineLevel="0" collapsed="false">
      <c r="A684" s="57" t="s">
        <v>1370</v>
      </c>
      <c r="B684" s="57" t="s">
        <v>302</v>
      </c>
      <c r="C684" s="57" t="str">
        <f aca="false">Flights!$F$25</f>
        <v>MH1437</v>
      </c>
      <c r="D684" s="58" t="n">
        <f aca="false">Flights!$D$25</f>
        <v>46325</v>
      </c>
      <c r="E684" s="57" t="str">
        <f aca="false">Flights!$G$25&amp;"-"&amp;Flights!$H$25</f>
        <v>LGK-KUL</v>
      </c>
      <c r="F684" s="57" t="str">
        <f aca="false">Flights!$K$25</f>
        <v>BC</v>
      </c>
      <c r="G684" s="57" t="s">
        <v>385</v>
      </c>
      <c r="H684" s="57" t="s">
        <v>343</v>
      </c>
      <c r="I684" s="57" t="s">
        <v>464</v>
      </c>
      <c r="J684" s="57" t="s">
        <v>465</v>
      </c>
      <c r="K684" s="67" t="s">
        <v>466</v>
      </c>
      <c r="L684" s="67" t="s">
        <v>1371</v>
      </c>
      <c r="M684" s="67" t="s">
        <v>416</v>
      </c>
      <c r="N684" s="67" t="s">
        <v>348</v>
      </c>
      <c r="O684" s="67" t="s">
        <v>949</v>
      </c>
      <c r="P684" s="57" t="s">
        <v>179</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59" t="n">
        <f aca="false">Q684-T12EarlyH/24</f>
        <v>46323.6875</v>
      </c>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IF(N684="N/A – rule","N/A – RULE",IF(TRIM(U684)="N/A",IF(AT684=0,"INVALID – N/A not permitted for this mandatory check",IF(AND(TRIM(AC684)&lt;&gt;"",TRIM(AE684)&lt;&gt;"",TRIM(T684)&lt;&gt;"",TRIM(AE684)&lt;&gt;TRIM(T684)),"N/A – JUSTIFIED","INVALID – N/A needs justification, PIC and a different verifier")),IF(OR(TRIM(U684)="Pass",TRIM(U684)="Pass after CA"),IF(NOT(ISNUMBER(AD684)),"INVALID – completion time missing",IF(TRIM(T684)="","INVALID – PIC missing",IF(TRIM(V684)="","INVALID – result / assessment missing",IF(TRIM(Z684)="","INVALID – evidence missing",IF(TRIM(AE684)="","INVALID – verifier missing",IF(TRIM(AE684)=TRIM(T684),"INVALID – verifier must be someone other than the PIC",IF(AND(AQ684=1,TRIM(W684)=""),"INVALID – batch ID missing",IF(AND(AR684=1,OR(NOT(ISNUMBER(X684)),NOT(ISNUMBER(Y684)))),"INVALID – expected/actual qty missing",IF(IF(AND(TRIM(U684)="Pass",ISNUMBER(AF684)),IF(AF684&lt;&gt;0,"INVALID – qty variance: use Fail or Pass after CA",""),"")&amp;IF(AND(TRIM(U684)="Pass",TRIM(AB684)&lt;&gt;"",TRIM(AB684)&lt;&gt;"Closed"),"INVALID – corrective action not closed: use Fail, then Pass after CA","")&amp;IF(AND(TRIM(AA684)&lt;&gt;"",TRIM(AB684)=""),"INVALID – CA status missing for the recorded corrective action","")&amp;IF(AND(TRIM(U684)="Pass after CA",OR(TRIM(AA684)="",TRIM(AB684)&lt;&gt;"Closed")),"INVALID – corrective action not recorded/closed","")&lt;&gt;"",IF(AND(TRIM(U684)="Pass",ISNUMBER(AF684)),IF(AF684&lt;&gt;0,"INVALID – qty variance: use Fail or Pass after CA",""),"")&amp;IF(AND(TRIM(U684)="Pass",TRIM(AB684)&lt;&gt;"",TRIM(AB684)&lt;&gt;"Closed"),"INVALID – corrective action not closed: use Fail, then Pass after CA","")&amp;IF(AND(TRIM(AA684)&lt;&gt;"",TRIM(AB684)=""),"INVALID – CA status missing for the recorded corrective action","")&amp;IF(AND(TRIM(U684)="Pass after CA",OR(TRIM(AA684)="",TRIM(AB684)&lt;&gt;"Closed")),"INVALID – corrective action not recorded/closed",""),IF(AND(AS684=1,Documents!$J$25&lt;&gt;"ON FILE"),"INVALID – GLD not on file (Documents sheet)",IF(AND(AS684=2,Documents!$O$25&lt;&gt;"ON FILE"),"INVALID – menu checklist not on file (Documents sheet)",IF(AND(AS684=3,NOT(ISNUMBER(Flights!$AX$25))),"INVALID – enter carrying flight KUL departure (Flights AX)",IF(AND(AS684=3,OR(Flights!$AX$25&gt;=Flights!$AA$25,Flights!$AX$25&lt;Flights!$AA$25-3)),"INVALID – Flights AX must be before this leg's STD (within 3 days)",IF(AG684&gt;AsOfUTC,"INVALID – completion time is in the future",IF(AND(ISNUMBER(S684),AG684&lt;S684),IF(H684="Physical uplift","INVALID – before uplift window (cannot confirm loading)","INVALID – before valid window"),IF(AG684&gt;Flights!$AA$25,"INVALID – completed after departure (cannot establish readiness)",IF(AND(H684="Physical uplift",AG684&gt;Q684),"INVALID – recorded after the loading flight departed",IF(AG684&gt;Q684,"COMPLETE – LATE","COMPLETE")))))))))))))))))),IF(TRIM(U684)="Fail","FAIL – DISCREPANCY",IF(AND(TRIM(U684)&lt;&gt;"",TRIM(U684)&lt;&gt;"Not started",TRIM(U684)&lt;&gt;"In progress"),"INVALID – unrecognised status (use the list)",IF(AsOfUTC&gt;Q684,"OVERDUE",IF(N684="Clarification required","OPEN – CLARIFICATION","OPEN")))))))</f>
        <v>OPEN</v>
      </c>
      <c r="AI684" s="61" t="n">
        <f aca="false">IF(OR(AH684="N/A – RULE",AH684="N/A – JUSTIFIED"),0,1)</f>
        <v>1</v>
      </c>
      <c r="AJ684" s="61" t="n">
        <f aca="false">IF(LEFT(AH684,8)="COMPLETE",1,0)</f>
        <v>0</v>
      </c>
      <c r="AK684" s="61" t="n">
        <f aca="false">IF(AND(AI684=1,AJ684=0,AsOfUTC&gt;Q684),1,0)</f>
        <v>0</v>
      </c>
      <c r="AL684" s="61" t="n">
        <f aca="false">IF(AND(AI684=1,OR(TRIM(U684)="Fail",AND(TRIM(AB684)&lt;&gt;"",TRIM(AB684)&lt;&gt;"Closed"),AND(ISNUMBER(AF684),AF684&lt;&gt;0,TRIM(U684)&lt;&gt;"Pass after CA"))),1,0)</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8" t="b">
        <f aca="false">TRUE()</f>
        <v>1</v>
      </c>
    </row>
    <row r="685" customFormat="false" ht="66" hidden="false" customHeight="true" outlineLevel="0" collapsed="false">
      <c r="A685" s="57" t="s">
        <v>1372</v>
      </c>
      <c r="B685" s="57" t="s">
        <v>302</v>
      </c>
      <c r="C685" s="57" t="str">
        <f aca="false">Flights!$F$25</f>
        <v>MH1437</v>
      </c>
      <c r="D685" s="58" t="n">
        <f aca="false">Flights!$D$25</f>
        <v>46325</v>
      </c>
      <c r="E685" s="57" t="str">
        <f aca="false">Flights!$G$25&amp;"-"&amp;Flights!$H$25</f>
        <v>LGK-KUL</v>
      </c>
      <c r="F685" s="57" t="str">
        <f aca="false">Flights!$K$25</f>
        <v>BC</v>
      </c>
      <c r="G685" s="57" t="s">
        <v>385</v>
      </c>
      <c r="H685" s="57" t="s">
        <v>343</v>
      </c>
      <c r="I685" s="57" t="s">
        <v>464</v>
      </c>
      <c r="J685" s="57" t="s">
        <v>470</v>
      </c>
      <c r="K685" s="67" t="s">
        <v>466</v>
      </c>
      <c r="L685" s="67" t="s">
        <v>1373</v>
      </c>
      <c r="M685" s="67" t="s">
        <v>416</v>
      </c>
      <c r="N685" s="67" t="s">
        <v>348</v>
      </c>
      <c r="O685" s="67" t="s">
        <v>949</v>
      </c>
      <c r="P685" s="57" t="s">
        <v>179</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59" t="n">
        <f aca="false">Q685-T12EarlyH/24</f>
        <v>46323.6875</v>
      </c>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IF(N685="N/A – rule","N/A – RULE",IF(TRIM(U685)="N/A",IF(AT685=0,"INVALID – N/A not permitted for this mandatory check",IF(AND(TRIM(AC685)&lt;&gt;"",TRIM(AE685)&lt;&gt;"",TRIM(T685)&lt;&gt;"",TRIM(AE685)&lt;&gt;TRIM(T685)),"N/A – JUSTIFIED","INVALID – N/A needs justification, PIC and a different verifier")),IF(OR(TRIM(U685)="Pass",TRIM(U685)="Pass after CA"),IF(NOT(ISNUMBER(AD685)),"INVALID – completion time missing",IF(TRIM(T685)="","INVALID – PIC missing",IF(TRIM(V685)="","INVALID – result / assessment missing",IF(TRIM(Z685)="","INVALID – evidence missing",IF(TRIM(AE685)="","INVALID – verifier missing",IF(TRIM(AE685)=TRIM(T685),"INVALID – verifier must be someone other than the PIC",IF(AND(AQ685=1,TRIM(W685)=""),"INVALID – batch ID missing",IF(AND(AR685=1,OR(NOT(ISNUMBER(X685)),NOT(ISNUMBER(Y685)))),"INVALID – expected/actual qty missing",IF(IF(AND(TRIM(U685)="Pass",ISNUMBER(AF685)),IF(AF685&lt;&gt;0,"INVALID – qty variance: use Fail or Pass after CA",""),"")&amp;IF(AND(TRIM(U685)="Pass",TRIM(AB685)&lt;&gt;"",TRIM(AB685)&lt;&gt;"Closed"),"INVALID – corrective action not closed: use Fail, then Pass after CA","")&amp;IF(AND(TRIM(AA685)&lt;&gt;"",TRIM(AB685)=""),"INVALID – CA status missing for the recorded corrective action","")&amp;IF(AND(TRIM(U685)="Pass after CA",OR(TRIM(AA685)="",TRIM(AB685)&lt;&gt;"Closed")),"INVALID – corrective action not recorded/closed","")&lt;&gt;"",IF(AND(TRIM(U685)="Pass",ISNUMBER(AF685)),IF(AF685&lt;&gt;0,"INVALID – qty variance: use Fail or Pass after CA",""),"")&amp;IF(AND(TRIM(U685)="Pass",TRIM(AB685)&lt;&gt;"",TRIM(AB685)&lt;&gt;"Closed"),"INVALID – corrective action not closed: use Fail, then Pass after CA","")&amp;IF(AND(TRIM(AA685)&lt;&gt;"",TRIM(AB685)=""),"INVALID – CA status missing for the recorded corrective action","")&amp;IF(AND(TRIM(U685)="Pass after CA",OR(TRIM(AA685)="",TRIM(AB685)&lt;&gt;"Closed")),"INVALID – corrective action not recorded/closed",""),IF(AND(AS685=1,Documents!$J$25&lt;&gt;"ON FILE"),"INVALID – GLD not on file (Documents sheet)",IF(AND(AS685=2,Documents!$O$25&lt;&gt;"ON FILE"),"INVALID – menu checklist not on file (Documents sheet)",IF(AND(AS685=3,NOT(ISNUMBER(Flights!$AX$25))),"INVALID – enter carrying flight KUL departure (Flights AX)",IF(AND(AS685=3,OR(Flights!$AX$25&gt;=Flights!$AA$25,Flights!$AX$25&lt;Flights!$AA$25-3)),"INVALID – Flights AX must be before this leg's STD (within 3 days)",IF(AG685&gt;AsOfUTC,"INVALID – completion time is in the future",IF(AND(ISNUMBER(S685),AG685&lt;S685),IF(H685="Physical uplift","INVALID – before uplift window (cannot confirm loading)","INVALID – before valid window"),IF(AG685&gt;Flights!$AA$25,"INVALID – completed after departure (cannot establish readiness)",IF(AND(H685="Physical uplift",AG685&gt;Q685),"INVALID – recorded after the loading flight departed",IF(AG685&gt;Q685,"COMPLETE – LATE","COMPLETE")))))))))))))))))),IF(TRIM(U685)="Fail","FAIL – DISCREPANCY",IF(AND(TRIM(U685)&lt;&gt;"",TRIM(U685)&lt;&gt;"Not started",TRIM(U685)&lt;&gt;"In progress"),"INVALID – unrecognised status (use the list)",IF(AsOfUTC&gt;Q685,"OVERDUE",IF(N685="Clarification required","OPEN – CLARIFICATION","OPEN")))))))</f>
        <v>OPEN</v>
      </c>
      <c r="AI685" s="61" t="n">
        <f aca="false">IF(OR(AH685="N/A – RULE",AH685="N/A – JUSTIFIED"),0,1)</f>
        <v>1</v>
      </c>
      <c r="AJ685" s="61" t="n">
        <f aca="false">IF(LEFT(AH685,8)="COMPLETE",1,0)</f>
        <v>0</v>
      </c>
      <c r="AK685" s="61" t="n">
        <f aca="false">IF(AND(AI685=1,AJ685=0,AsOfUTC&gt;Q685),1,0)</f>
        <v>0</v>
      </c>
      <c r="AL685" s="61" t="n">
        <f aca="false">IF(AND(AI685=1,OR(TRIM(U685)="Fail",AND(TRIM(AB685)&lt;&gt;"",TRIM(AB685)&lt;&gt;"Closed"),AND(ISNUMBER(AF685),AF685&lt;&gt;0,TRIM(U685)&lt;&gt;"Pass after CA"))),1,0)</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8" t="b">
        <f aca="false">TRUE()</f>
        <v>1</v>
      </c>
    </row>
    <row r="686" customFormat="false" ht="66" hidden="false" customHeight="true" outlineLevel="0" collapsed="false">
      <c r="A686" s="57" t="s">
        <v>1374</v>
      </c>
      <c r="B686" s="57" t="s">
        <v>302</v>
      </c>
      <c r="C686" s="57" t="str">
        <f aca="false">Flights!$F$25</f>
        <v>MH1437</v>
      </c>
      <c r="D686" s="58" t="n">
        <f aca="false">Flights!$D$25</f>
        <v>46325</v>
      </c>
      <c r="E686" s="57" t="str">
        <f aca="false">Flights!$G$25&amp;"-"&amp;Flights!$H$25</f>
        <v>LGK-KUL</v>
      </c>
      <c r="F686" s="57" t="str">
        <f aca="false">Flights!$K$25</f>
        <v>BC</v>
      </c>
      <c r="G686" s="57" t="s">
        <v>385</v>
      </c>
      <c r="H686" s="57" t="s">
        <v>343</v>
      </c>
      <c r="I686" s="57" t="s">
        <v>464</v>
      </c>
      <c r="J686" s="57" t="s">
        <v>473</v>
      </c>
      <c r="K686" s="67" t="s">
        <v>466</v>
      </c>
      <c r="L686" s="67" t="s">
        <v>1375</v>
      </c>
      <c r="M686" s="67" t="s">
        <v>416</v>
      </c>
      <c r="N686" s="67" t="s">
        <v>348</v>
      </c>
      <c r="O686" s="67" t="s">
        <v>949</v>
      </c>
      <c r="P686" s="57" t="s">
        <v>179</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59" t="n">
        <f aca="false">Q686-T12EarlyH/24</f>
        <v>46323.6875</v>
      </c>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IF(N686="N/A – rule","N/A – RULE",IF(TRIM(U686)="N/A",IF(AT686=0,"INVALID – N/A not permitted for this mandatory check",IF(AND(TRIM(AC686)&lt;&gt;"",TRIM(AE686)&lt;&gt;"",TRIM(T686)&lt;&gt;"",TRIM(AE686)&lt;&gt;TRIM(T686)),"N/A – JUSTIFIED","INVALID – N/A needs justification, PIC and a different verifier")),IF(OR(TRIM(U686)="Pass",TRIM(U686)="Pass after CA"),IF(NOT(ISNUMBER(AD686)),"INVALID – completion time missing",IF(TRIM(T686)="","INVALID – PIC missing",IF(TRIM(V686)="","INVALID – result / assessment missing",IF(TRIM(Z686)="","INVALID – evidence missing",IF(TRIM(AE686)="","INVALID – verifier missing",IF(TRIM(AE686)=TRIM(T686),"INVALID – verifier must be someone other than the PIC",IF(AND(AQ686=1,TRIM(W686)=""),"INVALID – batch ID missing",IF(AND(AR686=1,OR(NOT(ISNUMBER(X686)),NOT(ISNUMBER(Y686)))),"INVALID – expected/actual qty missing",IF(IF(AND(TRIM(U686)="Pass",ISNUMBER(AF686)),IF(AF686&lt;&gt;0,"INVALID – qty variance: use Fail or Pass after CA",""),"")&amp;IF(AND(TRIM(U686)="Pass",TRIM(AB686)&lt;&gt;"",TRIM(AB686)&lt;&gt;"Closed"),"INVALID – corrective action not closed: use Fail, then Pass after CA","")&amp;IF(AND(TRIM(AA686)&lt;&gt;"",TRIM(AB686)=""),"INVALID – CA status missing for the recorded corrective action","")&amp;IF(AND(TRIM(U686)="Pass after CA",OR(TRIM(AA686)="",TRIM(AB686)&lt;&gt;"Closed")),"INVALID – corrective action not recorded/closed","")&lt;&gt;"",IF(AND(TRIM(U686)="Pass",ISNUMBER(AF686)),IF(AF686&lt;&gt;0,"INVALID – qty variance: use Fail or Pass after CA",""),"")&amp;IF(AND(TRIM(U686)="Pass",TRIM(AB686)&lt;&gt;"",TRIM(AB686)&lt;&gt;"Closed"),"INVALID – corrective action not closed: use Fail, then Pass after CA","")&amp;IF(AND(TRIM(AA686)&lt;&gt;"",TRIM(AB686)=""),"INVALID – CA status missing for the recorded corrective action","")&amp;IF(AND(TRIM(U686)="Pass after CA",OR(TRIM(AA686)="",TRIM(AB686)&lt;&gt;"Closed")),"INVALID – corrective action not recorded/closed",""),IF(AND(AS686=1,Documents!$J$25&lt;&gt;"ON FILE"),"INVALID – GLD not on file (Documents sheet)",IF(AND(AS686=2,Documents!$O$25&lt;&gt;"ON FILE"),"INVALID – menu checklist not on file (Documents sheet)",IF(AND(AS686=3,NOT(ISNUMBER(Flights!$AX$25))),"INVALID – enter carrying flight KUL departure (Flights AX)",IF(AND(AS686=3,OR(Flights!$AX$25&gt;=Flights!$AA$25,Flights!$AX$25&lt;Flights!$AA$25-3)),"INVALID – Flights AX must be before this leg's STD (within 3 days)",IF(AG686&gt;AsOfUTC,"INVALID – completion time is in the future",IF(AND(ISNUMBER(S686),AG686&lt;S686),IF(H686="Physical uplift","INVALID – before uplift window (cannot confirm loading)","INVALID – before valid window"),IF(AG686&gt;Flights!$AA$25,"INVALID – completed after departure (cannot establish readiness)",IF(AND(H686="Physical uplift",AG686&gt;Q686),"INVALID – recorded after the loading flight departed",IF(AG686&gt;Q686,"COMPLETE – LATE","COMPLETE")))))))))))))))))),IF(TRIM(U686)="Fail","FAIL – DISCREPANCY",IF(AND(TRIM(U686)&lt;&gt;"",TRIM(U686)&lt;&gt;"Not started",TRIM(U686)&lt;&gt;"In progress"),"INVALID – unrecognised status (use the list)",IF(AsOfUTC&gt;Q686,"OVERDUE",IF(N686="Clarification required","OPEN – CLARIFICATION","OPEN")))))))</f>
        <v>OPEN</v>
      </c>
      <c r="AI686" s="61" t="n">
        <f aca="false">IF(OR(AH686="N/A – RULE",AH686="N/A – JUSTIFIED"),0,1)</f>
        <v>1</v>
      </c>
      <c r="AJ686" s="61" t="n">
        <f aca="false">IF(LEFT(AH686,8)="COMPLETE",1,0)</f>
        <v>0</v>
      </c>
      <c r="AK686" s="61" t="n">
        <f aca="false">IF(AND(AI686=1,AJ686=0,AsOfUTC&gt;Q686),1,0)</f>
        <v>0</v>
      </c>
      <c r="AL686" s="61" t="n">
        <f aca="false">IF(AND(AI686=1,OR(TRIM(U686)="Fail",AND(TRIM(AB686)&lt;&gt;"",TRIM(AB686)&lt;&gt;"Closed"),AND(ISNUMBER(AF686),AF686&lt;&gt;0,TRIM(U686)&lt;&gt;"Pass after CA"))),1,0)</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8" t="b">
        <f aca="false">TRUE()</f>
        <v>1</v>
      </c>
    </row>
    <row r="687" customFormat="false" ht="66" hidden="false" customHeight="true" outlineLevel="0" collapsed="false">
      <c r="A687" s="57" t="s">
        <v>1376</v>
      </c>
      <c r="B687" s="57" t="s">
        <v>302</v>
      </c>
      <c r="C687" s="57" t="str">
        <f aca="false">Flights!$F$25</f>
        <v>MH1437</v>
      </c>
      <c r="D687" s="58" t="n">
        <f aca="false">Flights!$D$25</f>
        <v>46325</v>
      </c>
      <c r="E687" s="57" t="str">
        <f aca="false">Flights!$G$25&amp;"-"&amp;Flights!$H$25</f>
        <v>LGK-KUL</v>
      </c>
      <c r="F687" s="57" t="str">
        <f aca="false">Flights!$K$25</f>
        <v>BC</v>
      </c>
      <c r="G687" s="57" t="s">
        <v>385</v>
      </c>
      <c r="H687" s="57" t="s">
        <v>343</v>
      </c>
      <c r="I687" s="57" t="s">
        <v>464</v>
      </c>
      <c r="J687" s="57" t="s">
        <v>483</v>
      </c>
      <c r="K687" s="67" t="s">
        <v>484</v>
      </c>
      <c r="L687" s="67" t="s">
        <v>1377</v>
      </c>
      <c r="M687" s="67" t="s">
        <v>416</v>
      </c>
      <c r="N687" s="67" t="s">
        <v>348</v>
      </c>
      <c r="O687" s="67" t="s">
        <v>1378</v>
      </c>
      <c r="P687" s="57" t="s">
        <v>179</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59" t="n">
        <f aca="false">Q687-T12EarlyH/24</f>
        <v>46323.6875</v>
      </c>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IF(N687="N/A – rule","N/A – RULE",IF(TRIM(U687)="N/A",IF(AT687=0,"INVALID – N/A not permitted for this mandatory check",IF(AND(TRIM(AC687)&lt;&gt;"",TRIM(AE687)&lt;&gt;"",TRIM(T687)&lt;&gt;"",TRIM(AE687)&lt;&gt;TRIM(T687)),"N/A – JUSTIFIED","INVALID – N/A needs justification, PIC and a different verifier")),IF(OR(TRIM(U687)="Pass",TRIM(U687)="Pass after CA"),IF(NOT(ISNUMBER(AD687)),"INVALID – completion time missing",IF(TRIM(T687)="","INVALID – PIC missing",IF(TRIM(V687)="","INVALID – result / assessment missing",IF(TRIM(Z687)="","INVALID – evidence missing",IF(TRIM(AE687)="","INVALID – verifier missing",IF(TRIM(AE687)=TRIM(T687),"INVALID – verifier must be someone other than the PIC",IF(AND(AQ687=1,TRIM(W687)=""),"INVALID – batch ID missing",IF(AND(AR687=1,OR(NOT(ISNUMBER(X687)),NOT(ISNUMBER(Y687)))),"INVALID – expected/actual qty missing",IF(IF(AND(TRIM(U687)="Pass",ISNUMBER(AF687)),IF(AF687&lt;&gt;0,"INVALID – qty variance: use Fail or Pass after CA",""),"")&amp;IF(AND(TRIM(U687)="Pass",TRIM(AB687)&lt;&gt;"",TRIM(AB687)&lt;&gt;"Closed"),"INVALID – corrective action not closed: use Fail, then Pass after CA","")&amp;IF(AND(TRIM(AA687)&lt;&gt;"",TRIM(AB687)=""),"INVALID – CA status missing for the recorded corrective action","")&amp;IF(AND(TRIM(U687)="Pass after CA",OR(TRIM(AA687)="",TRIM(AB687)&lt;&gt;"Closed")),"INVALID – corrective action not recorded/closed","")&lt;&gt;"",IF(AND(TRIM(U687)="Pass",ISNUMBER(AF687)),IF(AF687&lt;&gt;0,"INVALID – qty variance: use Fail or Pass after CA",""),"")&amp;IF(AND(TRIM(U687)="Pass",TRIM(AB687)&lt;&gt;"",TRIM(AB687)&lt;&gt;"Closed"),"INVALID – corrective action not closed: use Fail, then Pass after CA","")&amp;IF(AND(TRIM(AA687)&lt;&gt;"",TRIM(AB687)=""),"INVALID – CA status missing for the recorded corrective action","")&amp;IF(AND(TRIM(U687)="Pass after CA",OR(TRIM(AA687)="",TRIM(AB687)&lt;&gt;"Closed")),"INVALID – corrective action not recorded/closed",""),IF(AND(AS687=1,Documents!$J$25&lt;&gt;"ON FILE"),"INVALID – GLD not on file (Documents sheet)",IF(AND(AS687=2,Documents!$O$25&lt;&gt;"ON FILE"),"INVALID – menu checklist not on file (Documents sheet)",IF(AND(AS687=3,NOT(ISNUMBER(Flights!$AX$25))),"INVALID – enter carrying flight KUL departure (Flights AX)",IF(AND(AS687=3,OR(Flights!$AX$25&gt;=Flights!$AA$25,Flights!$AX$25&lt;Flights!$AA$25-3)),"INVALID – Flights AX must be before this leg's STD (within 3 days)",IF(AG687&gt;AsOfUTC,"INVALID – completion time is in the future",IF(AND(ISNUMBER(S687),AG687&lt;S687),IF(H687="Physical uplift","INVALID – before uplift window (cannot confirm loading)","INVALID – before valid window"),IF(AG687&gt;Flights!$AA$25,"INVALID – completed after departure (cannot establish readiness)",IF(AND(H687="Physical uplift",AG687&gt;Q687),"INVALID – recorded after the loading flight departed",IF(AG687&gt;Q687,"COMPLETE – LATE","COMPLETE")))))))))))))))))),IF(TRIM(U687)="Fail","FAIL – DISCREPANCY",IF(AND(TRIM(U687)&lt;&gt;"",TRIM(U687)&lt;&gt;"Not started",TRIM(U687)&lt;&gt;"In progress"),"INVALID – unrecognised status (use the list)",IF(AsOfUTC&gt;Q687,"OVERDUE",IF(N687="Clarification required","OPEN – CLARIFICATION","OPEN")))))))</f>
        <v>OPEN</v>
      </c>
      <c r="AI687" s="61" t="n">
        <f aca="false">IF(OR(AH687="N/A – RULE",AH687="N/A – JUSTIFIED"),0,1)</f>
        <v>1</v>
      </c>
      <c r="AJ687" s="61" t="n">
        <f aca="false">IF(LEFT(AH687,8)="COMPLETE",1,0)</f>
        <v>0</v>
      </c>
      <c r="AK687" s="61" t="n">
        <f aca="false">IF(AND(AI687=1,AJ687=0,AsOfUTC&gt;Q687),1,0)</f>
        <v>0</v>
      </c>
      <c r="AL687" s="61" t="n">
        <f aca="false">IF(AND(AI687=1,OR(TRIM(U687)="Fail",AND(TRIM(AB687)&lt;&gt;"",TRIM(AB687)&lt;&gt;"Closed"),AND(ISNUMBER(AF687),AF687&lt;&gt;0,TRIM(U687)&lt;&gt;"Pass after CA"))),1,0)</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8" t="b">
        <f aca="false">TRUE()</f>
        <v>1</v>
      </c>
    </row>
    <row r="688" customFormat="false" ht="66" hidden="false" customHeight="true" outlineLevel="0" collapsed="false">
      <c r="A688" s="57" t="s">
        <v>1379</v>
      </c>
      <c r="B688" s="57" t="s">
        <v>302</v>
      </c>
      <c r="C688" s="57" t="str">
        <f aca="false">Flights!$F$25</f>
        <v>MH1437</v>
      </c>
      <c r="D688" s="58" t="n">
        <f aca="false">Flights!$D$25</f>
        <v>46325</v>
      </c>
      <c r="E688" s="57" t="str">
        <f aca="false">Flights!$G$25&amp;"-"&amp;Flights!$H$25</f>
        <v>LGK-KUL</v>
      </c>
      <c r="F688" s="57" t="str">
        <f aca="false">Flights!$K$25</f>
        <v>BC</v>
      </c>
      <c r="G688" s="57" t="s">
        <v>385</v>
      </c>
      <c r="H688" s="57" t="s">
        <v>343</v>
      </c>
      <c r="I688" s="57" t="s">
        <v>464</v>
      </c>
      <c r="J688" s="57" t="s">
        <v>488</v>
      </c>
      <c r="K688" s="67" t="s">
        <v>466</v>
      </c>
      <c r="L688" s="67" t="s">
        <v>1380</v>
      </c>
      <c r="M688" s="67" t="s">
        <v>416</v>
      </c>
      <c r="N688" s="67" t="s">
        <v>348</v>
      </c>
      <c r="O688" s="67" t="s">
        <v>949</v>
      </c>
      <c r="P688" s="57" t="s">
        <v>179</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59" t="n">
        <f aca="false">Q688-T12EarlyH/24</f>
        <v>46323.6875</v>
      </c>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IF(N688="N/A – rule","N/A – RULE",IF(TRIM(U688)="N/A",IF(AT688=0,"INVALID – N/A not permitted for this mandatory check",IF(AND(TRIM(AC688)&lt;&gt;"",TRIM(AE688)&lt;&gt;"",TRIM(T688)&lt;&gt;"",TRIM(AE688)&lt;&gt;TRIM(T688)),"N/A – JUSTIFIED","INVALID – N/A needs justification, PIC and a different verifier")),IF(OR(TRIM(U688)="Pass",TRIM(U688)="Pass after CA"),IF(NOT(ISNUMBER(AD688)),"INVALID – completion time missing",IF(TRIM(T688)="","INVALID – PIC missing",IF(TRIM(V688)="","INVALID – result / assessment missing",IF(TRIM(Z688)="","INVALID – evidence missing",IF(TRIM(AE688)="","INVALID – verifier missing",IF(TRIM(AE688)=TRIM(T688),"INVALID – verifier must be someone other than the PIC",IF(AND(AQ688=1,TRIM(W688)=""),"INVALID – batch ID missing",IF(AND(AR688=1,OR(NOT(ISNUMBER(X688)),NOT(ISNUMBER(Y688)))),"INVALID – expected/actual qty missing",IF(IF(AND(TRIM(U688)="Pass",ISNUMBER(AF688)),IF(AF688&lt;&gt;0,"INVALID – qty variance: use Fail or Pass after CA",""),"")&amp;IF(AND(TRIM(U688)="Pass",TRIM(AB688)&lt;&gt;"",TRIM(AB688)&lt;&gt;"Closed"),"INVALID – corrective action not closed: use Fail, then Pass after CA","")&amp;IF(AND(TRIM(AA688)&lt;&gt;"",TRIM(AB688)=""),"INVALID – CA status missing for the recorded corrective action","")&amp;IF(AND(TRIM(U688)="Pass after CA",OR(TRIM(AA688)="",TRIM(AB688)&lt;&gt;"Closed")),"INVALID – corrective action not recorded/closed","")&lt;&gt;"",IF(AND(TRIM(U688)="Pass",ISNUMBER(AF688)),IF(AF688&lt;&gt;0,"INVALID – qty variance: use Fail or Pass after CA",""),"")&amp;IF(AND(TRIM(U688)="Pass",TRIM(AB688)&lt;&gt;"",TRIM(AB688)&lt;&gt;"Closed"),"INVALID – corrective action not closed: use Fail, then Pass after CA","")&amp;IF(AND(TRIM(AA688)&lt;&gt;"",TRIM(AB688)=""),"INVALID – CA status missing for the recorded corrective action","")&amp;IF(AND(TRIM(U688)="Pass after CA",OR(TRIM(AA688)="",TRIM(AB688)&lt;&gt;"Closed")),"INVALID – corrective action not recorded/closed",""),IF(AND(AS688=1,Documents!$J$25&lt;&gt;"ON FILE"),"INVALID – GLD not on file (Documents sheet)",IF(AND(AS688=2,Documents!$O$25&lt;&gt;"ON FILE"),"INVALID – menu checklist not on file (Documents sheet)",IF(AND(AS688=3,NOT(ISNUMBER(Flights!$AX$25))),"INVALID – enter carrying flight KUL departure (Flights AX)",IF(AND(AS688=3,OR(Flights!$AX$25&gt;=Flights!$AA$25,Flights!$AX$25&lt;Flights!$AA$25-3)),"INVALID – Flights AX must be before this leg's STD (within 3 days)",IF(AG688&gt;AsOfUTC,"INVALID – completion time is in the future",IF(AND(ISNUMBER(S688),AG688&lt;S688),IF(H688="Physical uplift","INVALID – before uplift window (cannot confirm loading)","INVALID – before valid window"),IF(AG688&gt;Flights!$AA$25,"INVALID – completed after departure (cannot establish readiness)",IF(AND(H688="Physical uplift",AG688&gt;Q688),"INVALID – recorded after the loading flight departed",IF(AG688&gt;Q688,"COMPLETE – LATE","COMPLETE")))))))))))))))))),IF(TRIM(U688)="Fail","FAIL – DISCREPANCY",IF(AND(TRIM(U688)&lt;&gt;"",TRIM(U688)&lt;&gt;"Not started",TRIM(U688)&lt;&gt;"In progress"),"INVALID – unrecognised status (use the list)",IF(AsOfUTC&gt;Q688,"OVERDUE",IF(N688="Clarification required","OPEN – CLARIFICATION","OPEN")))))))</f>
        <v>OPEN</v>
      </c>
      <c r="AI688" s="61" t="n">
        <f aca="false">IF(OR(AH688="N/A – RULE",AH688="N/A – JUSTIFIED"),0,1)</f>
        <v>1</v>
      </c>
      <c r="AJ688" s="61" t="n">
        <f aca="false">IF(LEFT(AH688,8)="COMPLETE",1,0)</f>
        <v>0</v>
      </c>
      <c r="AK688" s="61" t="n">
        <f aca="false">IF(AND(AI688=1,AJ688=0,AsOfUTC&gt;Q688),1,0)</f>
        <v>0</v>
      </c>
      <c r="AL688" s="61" t="n">
        <f aca="false">IF(AND(AI688=1,OR(TRIM(U688)="Fail",AND(TRIM(AB688)&lt;&gt;"",TRIM(AB688)&lt;&gt;"Closed"),AND(ISNUMBER(AF688),AF688&lt;&gt;0,TRIM(U688)&lt;&gt;"Pass after CA"))),1,0)</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8" t="b">
        <f aca="false">TRUE()</f>
        <v>1</v>
      </c>
    </row>
    <row r="689" customFormat="false" ht="66" hidden="false" customHeight="true" outlineLevel="0" collapsed="false">
      <c r="A689" s="57" t="s">
        <v>1381</v>
      </c>
      <c r="B689" s="57" t="s">
        <v>302</v>
      </c>
      <c r="C689" s="57" t="str">
        <f aca="false">Flights!$F$25</f>
        <v>MH1437</v>
      </c>
      <c r="D689" s="58" t="n">
        <f aca="false">Flights!$D$25</f>
        <v>46325</v>
      </c>
      <c r="E689" s="57" t="str">
        <f aca="false">Flights!$G$25&amp;"-"&amp;Flights!$H$25</f>
        <v>LGK-KUL</v>
      </c>
      <c r="F689" s="57" t="str">
        <f aca="false">Flights!$K$25</f>
        <v>BC</v>
      </c>
      <c r="G689" s="57" t="s">
        <v>385</v>
      </c>
      <c r="H689" s="57" t="s">
        <v>343</v>
      </c>
      <c r="I689" s="57" t="s">
        <v>412</v>
      </c>
      <c r="J689" s="57" t="s">
        <v>491</v>
      </c>
      <c r="K689" s="67" t="s">
        <v>414</v>
      </c>
      <c r="L689" s="67" t="s">
        <v>1382</v>
      </c>
      <c r="M689" s="67" t="s">
        <v>416</v>
      </c>
      <c r="N689" s="67" t="s">
        <v>348</v>
      </c>
      <c r="O689" s="67" t="s">
        <v>949</v>
      </c>
      <c r="P689" s="57" t="s">
        <v>179</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59" t="n">
        <f aca="false">Q689-T12EarlyH/24</f>
        <v>46323.6875</v>
      </c>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IF(N689="N/A – rule","N/A – RULE",IF(TRIM(U689)="N/A",IF(AT689=0,"INVALID – N/A not permitted for this mandatory check",IF(AND(TRIM(AC689)&lt;&gt;"",TRIM(AE689)&lt;&gt;"",TRIM(T689)&lt;&gt;"",TRIM(AE689)&lt;&gt;TRIM(T689)),"N/A – JUSTIFIED","INVALID – N/A needs justification, PIC and a different verifier")),IF(OR(TRIM(U689)="Pass",TRIM(U689)="Pass after CA"),IF(NOT(ISNUMBER(AD689)),"INVALID – completion time missing",IF(TRIM(T689)="","INVALID – PIC missing",IF(TRIM(V689)="","INVALID – result / assessment missing",IF(TRIM(Z689)="","INVALID – evidence missing",IF(TRIM(AE689)="","INVALID – verifier missing",IF(TRIM(AE689)=TRIM(T689),"INVALID – verifier must be someone other than the PIC",IF(AND(AQ689=1,TRIM(W689)=""),"INVALID – batch ID missing",IF(AND(AR689=1,OR(NOT(ISNUMBER(X689)),NOT(ISNUMBER(Y689)))),"INVALID – expected/actual qty missing",IF(IF(AND(TRIM(U689)="Pass",ISNUMBER(AF689)),IF(AF689&lt;&gt;0,"INVALID – qty variance: use Fail or Pass after CA",""),"")&amp;IF(AND(TRIM(U689)="Pass",TRIM(AB689)&lt;&gt;"",TRIM(AB689)&lt;&gt;"Closed"),"INVALID – corrective action not closed: use Fail, then Pass after CA","")&amp;IF(AND(TRIM(AA689)&lt;&gt;"",TRIM(AB689)=""),"INVALID – CA status missing for the recorded corrective action","")&amp;IF(AND(TRIM(U689)="Pass after CA",OR(TRIM(AA689)="",TRIM(AB689)&lt;&gt;"Closed")),"INVALID – corrective action not recorded/closed","")&lt;&gt;"",IF(AND(TRIM(U689)="Pass",ISNUMBER(AF689)),IF(AF689&lt;&gt;0,"INVALID – qty variance: use Fail or Pass after CA",""),"")&amp;IF(AND(TRIM(U689)="Pass",TRIM(AB689)&lt;&gt;"",TRIM(AB689)&lt;&gt;"Closed"),"INVALID – corrective action not closed: use Fail, then Pass after CA","")&amp;IF(AND(TRIM(AA689)&lt;&gt;"",TRIM(AB689)=""),"INVALID – CA status missing for the recorded corrective action","")&amp;IF(AND(TRIM(U689)="Pass after CA",OR(TRIM(AA689)="",TRIM(AB689)&lt;&gt;"Closed")),"INVALID – corrective action not recorded/closed",""),IF(AND(AS689=1,Documents!$J$25&lt;&gt;"ON FILE"),"INVALID – GLD not on file (Documents sheet)",IF(AND(AS689=2,Documents!$O$25&lt;&gt;"ON FILE"),"INVALID – menu checklist not on file (Documents sheet)",IF(AND(AS689=3,NOT(ISNUMBER(Flights!$AX$25))),"INVALID – enter carrying flight KUL departure (Flights AX)",IF(AND(AS689=3,OR(Flights!$AX$25&gt;=Flights!$AA$25,Flights!$AX$25&lt;Flights!$AA$25-3)),"INVALID – Flights AX must be before this leg's STD (within 3 days)",IF(AG689&gt;AsOfUTC,"INVALID – completion time is in the future",IF(AND(ISNUMBER(S689),AG689&lt;S689),IF(H689="Physical uplift","INVALID – before uplift window (cannot confirm loading)","INVALID – before valid window"),IF(AG689&gt;Flights!$AA$25,"INVALID – completed after departure (cannot establish readiness)",IF(AND(H689="Physical uplift",AG689&gt;Q689),"INVALID – recorded after the loading flight departed",IF(AG689&gt;Q689,"COMPLETE – LATE","COMPLETE")))))))))))))))))),IF(TRIM(U689)="Fail","FAIL – DISCREPANCY",IF(AND(TRIM(U689)&lt;&gt;"",TRIM(U689)&lt;&gt;"Not started",TRIM(U689)&lt;&gt;"In progress"),"INVALID – unrecognised status (use the list)",IF(AsOfUTC&gt;Q689,"OVERDUE",IF(N689="Clarification required","OPEN – CLARIFICATION","OPEN")))))))</f>
        <v>OPEN</v>
      </c>
      <c r="AI689" s="61" t="n">
        <f aca="false">IF(OR(AH689="N/A – RULE",AH689="N/A – JUSTIFIED"),0,1)</f>
        <v>1</v>
      </c>
      <c r="AJ689" s="61" t="n">
        <f aca="false">IF(LEFT(AH689,8)="COMPLETE",1,0)</f>
        <v>0</v>
      </c>
      <c r="AK689" s="61" t="n">
        <f aca="false">IF(AND(AI689=1,AJ689=0,AsOfUTC&gt;Q689),1,0)</f>
        <v>0</v>
      </c>
      <c r="AL689" s="61" t="n">
        <f aca="false">IF(AND(AI689=1,OR(TRIM(U689)="Fail",AND(TRIM(AB689)&lt;&gt;"",TRIM(AB689)&lt;&gt;"Closed"),AND(ISNUMBER(AF689),AF689&lt;&gt;0,TRIM(U689)&lt;&gt;"Pass after CA"))),1,0)</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8" t="b">
        <f aca="false">TRUE()</f>
        <v>1</v>
      </c>
    </row>
    <row r="690" customFormat="false" ht="66" hidden="false" customHeight="true" outlineLevel="0" collapsed="false">
      <c r="A690" s="57" t="s">
        <v>1383</v>
      </c>
      <c r="B690" s="57" t="s">
        <v>302</v>
      </c>
      <c r="C690" s="57" t="str">
        <f aca="false">Flights!$F$25</f>
        <v>MH1437</v>
      </c>
      <c r="D690" s="58" t="n">
        <f aca="false">Flights!$D$25</f>
        <v>46325</v>
      </c>
      <c r="E690" s="57" t="str">
        <f aca="false">Flights!$G$25&amp;"-"&amp;Flights!$H$25</f>
        <v>LGK-KUL</v>
      </c>
      <c r="F690" s="57" t="str">
        <f aca="false">Flights!$K$25</f>
        <v>BC</v>
      </c>
      <c r="G690" s="57" t="s">
        <v>385</v>
      </c>
      <c r="H690" s="57" t="s">
        <v>343</v>
      </c>
      <c r="I690" s="57" t="s">
        <v>412</v>
      </c>
      <c r="J690" s="57" t="s">
        <v>494</v>
      </c>
      <c r="K690" s="67" t="s">
        <v>414</v>
      </c>
      <c r="L690" s="67" t="s">
        <v>1384</v>
      </c>
      <c r="M690" s="67" t="s">
        <v>416</v>
      </c>
      <c r="N690" s="67" t="s">
        <v>348</v>
      </c>
      <c r="O690" s="67" t="s">
        <v>949</v>
      </c>
      <c r="P690" s="57" t="s">
        <v>179</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59" t="n">
        <f aca="false">Q690-T12EarlyH/24</f>
        <v>46323.6875</v>
      </c>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IF(N690="N/A – rule","N/A – RULE",IF(TRIM(U690)="N/A",IF(AT690=0,"INVALID – N/A not permitted for this mandatory check",IF(AND(TRIM(AC690)&lt;&gt;"",TRIM(AE690)&lt;&gt;"",TRIM(T690)&lt;&gt;"",TRIM(AE690)&lt;&gt;TRIM(T690)),"N/A – JUSTIFIED","INVALID – N/A needs justification, PIC and a different verifier")),IF(OR(TRIM(U690)="Pass",TRIM(U690)="Pass after CA"),IF(NOT(ISNUMBER(AD690)),"INVALID – completion time missing",IF(TRIM(T690)="","INVALID – PIC missing",IF(TRIM(V690)="","INVALID – result / assessment missing",IF(TRIM(Z690)="","INVALID – evidence missing",IF(TRIM(AE690)="","INVALID – verifier missing",IF(TRIM(AE690)=TRIM(T690),"INVALID – verifier must be someone other than the PIC",IF(AND(AQ690=1,TRIM(W690)=""),"INVALID – batch ID missing",IF(AND(AR690=1,OR(NOT(ISNUMBER(X690)),NOT(ISNUMBER(Y690)))),"INVALID – expected/actual qty missing",IF(IF(AND(TRIM(U690)="Pass",ISNUMBER(AF690)),IF(AF690&lt;&gt;0,"INVALID – qty variance: use Fail or Pass after CA",""),"")&amp;IF(AND(TRIM(U690)="Pass",TRIM(AB690)&lt;&gt;"",TRIM(AB690)&lt;&gt;"Closed"),"INVALID – corrective action not closed: use Fail, then Pass after CA","")&amp;IF(AND(TRIM(AA690)&lt;&gt;"",TRIM(AB690)=""),"INVALID – CA status missing for the recorded corrective action","")&amp;IF(AND(TRIM(U690)="Pass after CA",OR(TRIM(AA690)="",TRIM(AB690)&lt;&gt;"Closed")),"INVALID – corrective action not recorded/closed","")&lt;&gt;"",IF(AND(TRIM(U690)="Pass",ISNUMBER(AF690)),IF(AF690&lt;&gt;0,"INVALID – qty variance: use Fail or Pass after CA",""),"")&amp;IF(AND(TRIM(U690)="Pass",TRIM(AB690)&lt;&gt;"",TRIM(AB690)&lt;&gt;"Closed"),"INVALID – corrective action not closed: use Fail, then Pass after CA","")&amp;IF(AND(TRIM(AA690)&lt;&gt;"",TRIM(AB690)=""),"INVALID – CA status missing for the recorded corrective action","")&amp;IF(AND(TRIM(U690)="Pass after CA",OR(TRIM(AA690)="",TRIM(AB690)&lt;&gt;"Closed")),"INVALID – corrective action not recorded/closed",""),IF(AND(AS690=1,Documents!$J$25&lt;&gt;"ON FILE"),"INVALID – GLD not on file (Documents sheet)",IF(AND(AS690=2,Documents!$O$25&lt;&gt;"ON FILE"),"INVALID – menu checklist not on file (Documents sheet)",IF(AND(AS690=3,NOT(ISNUMBER(Flights!$AX$25))),"INVALID – enter carrying flight KUL departure (Flights AX)",IF(AND(AS690=3,OR(Flights!$AX$25&gt;=Flights!$AA$25,Flights!$AX$25&lt;Flights!$AA$25-3)),"INVALID – Flights AX must be before this leg's STD (within 3 days)",IF(AG690&gt;AsOfUTC,"INVALID – completion time is in the future",IF(AND(ISNUMBER(S690),AG690&lt;S690),IF(H690="Physical uplift","INVALID – before uplift window (cannot confirm loading)","INVALID – before valid window"),IF(AG690&gt;Flights!$AA$25,"INVALID – completed after departure (cannot establish readiness)",IF(AND(H690="Physical uplift",AG690&gt;Q690),"INVALID – recorded after the loading flight departed",IF(AG690&gt;Q690,"COMPLETE – LATE","COMPLETE")))))))))))))))))),IF(TRIM(U690)="Fail","FAIL – DISCREPANCY",IF(AND(TRIM(U690)&lt;&gt;"",TRIM(U690)&lt;&gt;"Not started",TRIM(U690)&lt;&gt;"In progress"),"INVALID – unrecognised status (use the list)",IF(AsOfUTC&gt;Q690,"OVERDUE",IF(N690="Clarification required","OPEN – CLARIFICATION","OPEN")))))))</f>
        <v>OPEN</v>
      </c>
      <c r="AI690" s="61" t="n">
        <f aca="false">IF(OR(AH690="N/A – RULE",AH690="N/A – JUSTIFIED"),0,1)</f>
        <v>1</v>
      </c>
      <c r="AJ690" s="61" t="n">
        <f aca="false">IF(LEFT(AH690,8)="COMPLETE",1,0)</f>
        <v>0</v>
      </c>
      <c r="AK690" s="61" t="n">
        <f aca="false">IF(AND(AI690=1,AJ690=0,AsOfUTC&gt;Q690),1,0)</f>
        <v>0</v>
      </c>
      <c r="AL690" s="61" t="n">
        <f aca="false">IF(AND(AI690=1,OR(TRIM(U690)="Fail",AND(TRIM(AB690)&lt;&gt;"",TRIM(AB690)&lt;&gt;"Closed"),AND(ISNUMBER(AF690),AF690&lt;&gt;0,TRIM(U690)&lt;&gt;"Pass after CA"))),1,0)</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8" t="b">
        <f aca="false">TRUE()</f>
        <v>1</v>
      </c>
    </row>
    <row r="691" customFormat="false" ht="39.75" hidden="false" customHeight="true" outlineLevel="0" collapsed="false">
      <c r="A691" s="57" t="s">
        <v>1385</v>
      </c>
      <c r="B691" s="57" t="s">
        <v>302</v>
      </c>
      <c r="C691" s="57" t="str">
        <f aca="false">Flights!$F$25</f>
        <v>MH1437</v>
      </c>
      <c r="D691" s="58" t="n">
        <f aca="false">Flights!$D$25</f>
        <v>46325</v>
      </c>
      <c r="E691" s="57" t="str">
        <f aca="false">Flights!$G$25&amp;"-"&amp;Flights!$H$25</f>
        <v>LGK-KUL</v>
      </c>
      <c r="F691" s="57" t="str">
        <f aca="false">Flights!$K$25</f>
        <v>BC</v>
      </c>
      <c r="G691" s="57" t="s">
        <v>424</v>
      </c>
      <c r="H691" s="57" t="s">
        <v>425</v>
      </c>
      <c r="I691" s="57" t="s">
        <v>344</v>
      </c>
      <c r="J691" s="57" t="s">
        <v>426</v>
      </c>
      <c r="K691" s="67" t="s">
        <v>391</v>
      </c>
      <c r="L691" s="67" t="s">
        <v>427</v>
      </c>
      <c r="M691" s="67"/>
      <c r="N691" s="67" t="s">
        <v>348</v>
      </c>
      <c r="O691" s="67" t="s">
        <v>428</v>
      </c>
      <c r="P691" s="57" t="s">
        <v>298</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59" t="n">
        <f aca="false">IF(ISNUMBER(Flights!$AY$25),MAX(Q691-UpliftWindowH/24,Flights!$AY$25+UpliftWindowH/24),Q691-UpliftWindowH/24)</f>
        <v>46325.03125</v>
      </c>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IF(N691="N/A – rule","N/A – RULE",IF(TRIM(U691)="N/A",IF(AT691=0,"INVALID – N/A not permitted for this mandatory check",IF(AND(TRIM(AC691)&lt;&gt;"",TRIM(AE691)&lt;&gt;"",TRIM(T691)&lt;&gt;"",TRIM(AE691)&lt;&gt;TRIM(T691)),"N/A – JUSTIFIED","INVALID – N/A needs justification, PIC and a different verifier")),IF(OR(TRIM(U691)="Pass",TRIM(U691)="Pass after CA"),IF(NOT(ISNUMBER(AD691)),"INVALID – completion time missing",IF(TRIM(T691)="","INVALID – PIC missing",IF(TRIM(V691)="","INVALID – result / assessment missing",IF(TRIM(Z691)="","INVALID – evidence missing",IF(TRIM(AE691)="","INVALID – verifier missing",IF(TRIM(AE691)=TRIM(T691),"INVALID – verifier must be someone other than the PIC",IF(AND(AQ691=1,TRIM(W691)=""),"INVALID – batch ID missing",IF(AND(AR691=1,OR(NOT(ISNUMBER(X691)),NOT(ISNUMBER(Y691)))),"INVALID – expected/actual qty missing",IF(IF(AND(TRIM(U691)="Pass",ISNUMBER(AF691)),IF(AF691&lt;&gt;0,"INVALID – qty variance: use Fail or Pass after CA",""),"")&amp;IF(AND(TRIM(U691)="Pass",TRIM(AB691)&lt;&gt;"",TRIM(AB691)&lt;&gt;"Closed"),"INVALID – corrective action not closed: use Fail, then Pass after CA","")&amp;IF(AND(TRIM(AA691)&lt;&gt;"",TRIM(AB691)=""),"INVALID – CA status missing for the recorded corrective action","")&amp;IF(AND(TRIM(U691)="Pass after CA",OR(TRIM(AA691)="",TRIM(AB691)&lt;&gt;"Closed")),"INVALID – corrective action not recorded/closed","")&lt;&gt;"",IF(AND(TRIM(U691)="Pass",ISNUMBER(AF691)),IF(AF691&lt;&gt;0,"INVALID – qty variance: use Fail or Pass after CA",""),"")&amp;IF(AND(TRIM(U691)="Pass",TRIM(AB691)&lt;&gt;"",TRIM(AB691)&lt;&gt;"Closed"),"INVALID – corrective action not closed: use Fail, then Pass after CA","")&amp;IF(AND(TRIM(AA691)&lt;&gt;"",TRIM(AB691)=""),"INVALID – CA status missing for the recorded corrective action","")&amp;IF(AND(TRIM(U691)="Pass after CA",OR(TRIM(AA691)="",TRIM(AB691)&lt;&gt;"Closed")),"INVALID – corrective action not recorded/closed",""),IF(AND(AS691=1,Documents!$J$25&lt;&gt;"ON FILE"),"INVALID – GLD not on file (Documents sheet)",IF(AND(AS691=2,Documents!$O$25&lt;&gt;"ON FILE"),"INVALID – menu checklist not on file (Documents sheet)",IF(AND(AS691=3,NOT(ISNUMBER(Flights!$AX$25))),"INVALID – enter carrying flight KUL departure (Flights AX)",IF(AND(AS691=3,OR(Flights!$AX$25&gt;=Flights!$AA$25,Flights!$AX$25&lt;Flights!$AA$25-3)),"INVALID – Flights AX must be before this leg's STD (within 3 days)",IF(AG691&gt;AsOfUTC,"INVALID – completion time is in the future",IF(AND(ISNUMBER(S691),AG691&lt;S691),IF(H691="Physical uplift","INVALID – before uplift window (cannot confirm loading)","INVALID – before valid window"),IF(AG691&gt;Flights!$AA$25,"INVALID – completed after departure (cannot establish readiness)",IF(AND(H691="Physical uplift",AG691&gt;Q691),"INVALID – recorded after the loading flight departed",IF(AG691&gt;Q691,"COMPLETE – LATE","COMPLETE")))))))))))))))))),IF(TRIM(U691)="Fail","FAIL – DISCREPANCY",IF(AND(TRIM(U691)&lt;&gt;"",TRIM(U691)&lt;&gt;"Not started",TRIM(U691)&lt;&gt;"In progress"),"INVALID – unrecognised status (use the list)",IF(AsOfUTC&gt;Q691,"OVERDUE",IF(N691="Clarification required","OPEN – CLARIFICATION","OPEN")))))))</f>
        <v>OPEN</v>
      </c>
      <c r="AI691" s="61" t="n">
        <f aca="false">IF(OR(AH691="N/A – RULE",AH691="N/A – JUSTIFIED"),0,1)</f>
        <v>1</v>
      </c>
      <c r="AJ691" s="61" t="n">
        <f aca="false">IF(LEFT(AH691,8)="COMPLETE",1,0)</f>
        <v>0</v>
      </c>
      <c r="AK691" s="61" t="n">
        <f aca="false">IF(AND(AI691=1,AJ691=0,AsOfUTC&gt;Q691),1,0)</f>
        <v>0</v>
      </c>
      <c r="AL691" s="61" t="n">
        <f aca="false">IF(AND(AI691=1,OR(TRIM(U691)="Fail",AND(TRIM(AB691)&lt;&gt;"",TRIM(AB691)&lt;&gt;"Closed"),AND(ISNUMBER(AF691),AF691&lt;&gt;0,TRIM(U691)&lt;&gt;"Pass after CA"))),1,0)</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row>
    <row r="692" customFormat="false" ht="39.75" hidden="false" customHeight="true" outlineLevel="0" collapsed="false">
      <c r="A692" s="57" t="s">
        <v>1386</v>
      </c>
      <c r="B692" s="57" t="s">
        <v>302</v>
      </c>
      <c r="C692" s="57" t="str">
        <f aca="false">Flights!$F$25</f>
        <v>MH1437</v>
      </c>
      <c r="D692" s="58" t="n">
        <f aca="false">Flights!$D$25</f>
        <v>46325</v>
      </c>
      <c r="E692" s="57" t="str">
        <f aca="false">Flights!$G$25&amp;"-"&amp;Flights!$H$25</f>
        <v>LGK-KUL</v>
      </c>
      <c r="F692" s="57" t="str">
        <f aca="false">Flights!$K$25</f>
        <v>BC</v>
      </c>
      <c r="G692" s="57" t="s">
        <v>424</v>
      </c>
      <c r="H692" s="57" t="s">
        <v>425</v>
      </c>
      <c r="I692" s="57" t="s">
        <v>393</v>
      </c>
      <c r="J692" s="57" t="s">
        <v>430</v>
      </c>
      <c r="K692" s="67" t="s">
        <v>391</v>
      </c>
      <c r="L692" s="67" t="s">
        <v>427</v>
      </c>
      <c r="M692" s="67"/>
      <c r="N692" s="67" t="s">
        <v>348</v>
      </c>
      <c r="O692" s="67" t="s">
        <v>428</v>
      </c>
      <c r="P692" s="57" t="s">
        <v>298</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59" t="n">
        <f aca="false">IF(ISNUMBER(Flights!$AY$25),MAX(Q692-UpliftWindowH/24,Flights!$AY$25+UpliftWindowH/24),Q692-UpliftWindowH/24)</f>
        <v>46325.03125</v>
      </c>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IF(N692="N/A – rule","N/A – RULE",IF(TRIM(U692)="N/A",IF(AT692=0,"INVALID – N/A not permitted for this mandatory check",IF(AND(TRIM(AC692)&lt;&gt;"",TRIM(AE692)&lt;&gt;"",TRIM(T692)&lt;&gt;"",TRIM(AE692)&lt;&gt;TRIM(T692)),"N/A – JUSTIFIED","INVALID – N/A needs justification, PIC and a different verifier")),IF(OR(TRIM(U692)="Pass",TRIM(U692)="Pass after CA"),IF(NOT(ISNUMBER(AD692)),"INVALID – completion time missing",IF(TRIM(T692)="","INVALID – PIC missing",IF(TRIM(V692)="","INVALID – result / assessment missing",IF(TRIM(Z692)="","INVALID – evidence missing",IF(TRIM(AE692)="","INVALID – verifier missing",IF(TRIM(AE692)=TRIM(T692),"INVALID – verifier must be someone other than the PIC",IF(AND(AQ692=1,TRIM(W692)=""),"INVALID – batch ID missing",IF(AND(AR692=1,OR(NOT(ISNUMBER(X692)),NOT(ISNUMBER(Y692)))),"INVALID – expected/actual qty missing",IF(IF(AND(TRIM(U692)="Pass",ISNUMBER(AF692)),IF(AF692&lt;&gt;0,"INVALID – qty variance: use Fail or Pass after CA",""),"")&amp;IF(AND(TRIM(U692)="Pass",TRIM(AB692)&lt;&gt;"",TRIM(AB692)&lt;&gt;"Closed"),"INVALID – corrective action not closed: use Fail, then Pass after CA","")&amp;IF(AND(TRIM(AA692)&lt;&gt;"",TRIM(AB692)=""),"INVALID – CA status missing for the recorded corrective action","")&amp;IF(AND(TRIM(U692)="Pass after CA",OR(TRIM(AA692)="",TRIM(AB692)&lt;&gt;"Closed")),"INVALID – corrective action not recorded/closed","")&lt;&gt;"",IF(AND(TRIM(U692)="Pass",ISNUMBER(AF692)),IF(AF692&lt;&gt;0,"INVALID – qty variance: use Fail or Pass after CA",""),"")&amp;IF(AND(TRIM(U692)="Pass",TRIM(AB692)&lt;&gt;"",TRIM(AB692)&lt;&gt;"Closed"),"INVALID – corrective action not closed: use Fail, then Pass after CA","")&amp;IF(AND(TRIM(AA692)&lt;&gt;"",TRIM(AB692)=""),"INVALID – CA status missing for the recorded corrective action","")&amp;IF(AND(TRIM(U692)="Pass after CA",OR(TRIM(AA692)="",TRIM(AB692)&lt;&gt;"Closed")),"INVALID – corrective action not recorded/closed",""),IF(AND(AS692=1,Documents!$J$25&lt;&gt;"ON FILE"),"INVALID – GLD not on file (Documents sheet)",IF(AND(AS692=2,Documents!$O$25&lt;&gt;"ON FILE"),"INVALID – menu checklist not on file (Documents sheet)",IF(AND(AS692=3,NOT(ISNUMBER(Flights!$AX$25))),"INVALID – enter carrying flight KUL departure (Flights AX)",IF(AND(AS692=3,OR(Flights!$AX$25&gt;=Flights!$AA$25,Flights!$AX$25&lt;Flights!$AA$25-3)),"INVALID – Flights AX must be before this leg's STD (within 3 days)",IF(AG692&gt;AsOfUTC,"INVALID – completion time is in the future",IF(AND(ISNUMBER(S692),AG692&lt;S692),IF(H692="Physical uplift","INVALID – before uplift window (cannot confirm loading)","INVALID – before valid window"),IF(AG692&gt;Flights!$AA$25,"INVALID – completed after departure (cannot establish readiness)",IF(AND(H692="Physical uplift",AG692&gt;Q692),"INVALID – recorded after the loading flight departed",IF(AG692&gt;Q692,"COMPLETE – LATE","COMPLETE")))))))))))))))))),IF(TRIM(U692)="Fail","FAIL – DISCREPANCY",IF(AND(TRIM(U692)&lt;&gt;"",TRIM(U692)&lt;&gt;"Not started",TRIM(U692)&lt;&gt;"In progress"),"INVALID – unrecognised status (use the list)",IF(AsOfUTC&gt;Q692,"OVERDUE",IF(N692="Clarification required","OPEN – CLARIFICATION","OPEN")))))))</f>
        <v>OPEN</v>
      </c>
      <c r="AI692" s="61" t="n">
        <f aca="false">IF(OR(AH692="N/A – RULE",AH692="N/A – JUSTIFIED"),0,1)</f>
        <v>1</v>
      </c>
      <c r="AJ692" s="61" t="n">
        <f aca="false">IF(LEFT(AH692,8)="COMPLETE",1,0)</f>
        <v>0</v>
      </c>
      <c r="AK692" s="61" t="n">
        <f aca="false">IF(AND(AI692=1,AJ692=0,AsOfUTC&gt;Q692),1,0)</f>
        <v>0</v>
      </c>
      <c r="AL692" s="61" t="n">
        <f aca="false">IF(AND(AI692=1,OR(TRIM(U692)="Fail",AND(TRIM(AB692)&lt;&gt;"",TRIM(AB692)&lt;&gt;"Closed"),AND(ISNUMBER(AF692),AF692&lt;&gt;0,TRIM(U692)&lt;&gt;"Pass after CA"))),1,0)</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row>
    <row r="693" customFormat="false" ht="78.75" hidden="false" customHeight="true" outlineLevel="0" collapsed="false">
      <c r="A693" s="57" t="s">
        <v>1387</v>
      </c>
      <c r="B693" s="57" t="s">
        <v>302</v>
      </c>
      <c r="C693" s="57" t="str">
        <f aca="false">Flights!$F$25</f>
        <v>MH1437</v>
      </c>
      <c r="D693" s="58" t="n">
        <f aca="false">Flights!$D$25</f>
        <v>46325</v>
      </c>
      <c r="E693" s="57" t="str">
        <f aca="false">Flights!$G$25&amp;"-"&amp;Flights!$H$25</f>
        <v>LGK-KUL</v>
      </c>
      <c r="F693" s="57" t="str">
        <f aca="false">Flights!$K$25</f>
        <v>BC</v>
      </c>
      <c r="G693" s="57" t="s">
        <v>424</v>
      </c>
      <c r="H693" s="57" t="s">
        <v>425</v>
      </c>
      <c r="I693" s="57" t="s">
        <v>376</v>
      </c>
      <c r="J693" s="57" t="s">
        <v>1388</v>
      </c>
      <c r="K693" s="67" t="s">
        <v>1389</v>
      </c>
      <c r="L693" s="67" t="s">
        <v>955</v>
      </c>
      <c r="M693" s="67"/>
      <c r="N693" s="67" t="s">
        <v>348</v>
      </c>
      <c r="O693" s="67" t="s">
        <v>956</v>
      </c>
      <c r="P693" s="57" t="s">
        <v>179</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59" t="n">
        <f aca="false">Q693-UpliftWindowH/24</f>
        <v>46324.1875</v>
      </c>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IF(N693="N/A – rule","N/A – RULE",IF(TRIM(U693)="N/A",IF(AT693=0,"INVALID – N/A not permitted for this mandatory check",IF(AND(TRIM(AC693)&lt;&gt;"",TRIM(AE693)&lt;&gt;"",TRIM(T693)&lt;&gt;"",TRIM(AE693)&lt;&gt;TRIM(T693)),"N/A – JUSTIFIED","INVALID – N/A needs justification, PIC and a different verifier")),IF(OR(TRIM(U693)="Pass",TRIM(U693)="Pass after CA"),IF(NOT(ISNUMBER(AD693)),"INVALID – completion time missing",IF(TRIM(T693)="","INVALID – PIC missing",IF(TRIM(V693)="","INVALID – result / assessment missing",IF(TRIM(Z693)="","INVALID – evidence missing",IF(TRIM(AE693)="","INVALID – verifier missing",IF(TRIM(AE693)=TRIM(T693),"INVALID – verifier must be someone other than the PIC",IF(AND(AQ693=1,TRIM(W693)=""),"INVALID – batch ID missing",IF(AND(AR693=1,OR(NOT(ISNUMBER(X693)),NOT(ISNUMBER(Y693)))),"INVALID – expected/actual qty missing",IF(IF(AND(TRIM(U693)="Pass",ISNUMBER(AF693)),IF(AF693&lt;&gt;0,"INVALID – qty variance: use Fail or Pass after CA",""),"")&amp;IF(AND(TRIM(U693)="Pass",TRIM(AB693)&lt;&gt;"",TRIM(AB693)&lt;&gt;"Closed"),"INVALID – corrective action not closed: use Fail, then Pass after CA","")&amp;IF(AND(TRIM(AA693)&lt;&gt;"",TRIM(AB693)=""),"INVALID – CA status missing for the recorded corrective action","")&amp;IF(AND(TRIM(U693)="Pass after CA",OR(TRIM(AA693)="",TRIM(AB693)&lt;&gt;"Closed")),"INVALID – corrective action not recorded/closed","")&lt;&gt;"",IF(AND(TRIM(U693)="Pass",ISNUMBER(AF693)),IF(AF693&lt;&gt;0,"INVALID – qty variance: use Fail or Pass after CA",""),"")&amp;IF(AND(TRIM(U693)="Pass",TRIM(AB693)&lt;&gt;"",TRIM(AB693)&lt;&gt;"Closed"),"INVALID – corrective action not closed: use Fail, then Pass after CA","")&amp;IF(AND(TRIM(AA693)&lt;&gt;"",TRIM(AB693)=""),"INVALID – CA status missing for the recorded corrective action","")&amp;IF(AND(TRIM(U693)="Pass after CA",OR(TRIM(AA693)="",TRIM(AB693)&lt;&gt;"Closed")),"INVALID – corrective action not recorded/closed",""),IF(AND(AS693=1,Documents!$J$25&lt;&gt;"ON FILE"),"INVALID – GLD not on file (Documents sheet)",IF(AND(AS693=2,Documents!$O$25&lt;&gt;"ON FILE"),"INVALID – menu checklist not on file (Documents sheet)",IF(AND(AS693=3,NOT(ISNUMBER(Flights!$AX$25))),"INVALID – enter carrying flight KUL departure (Flights AX)",IF(AND(AS693=3,OR(Flights!$AX$25&gt;=Flights!$AA$25,Flights!$AX$25&lt;Flights!$AA$25-3)),"INVALID – Flights AX must be before this leg's STD (within 3 days)",IF(AG693&gt;AsOfUTC,"INVALID – completion time is in the future",IF(AND(ISNUMBER(S693),AG693&lt;S693),IF(H693="Physical uplift","INVALID – before uplift window (cannot confirm loading)","INVALID – before valid window"),IF(AG693&gt;Flights!$AA$25,"INVALID – completed after departure (cannot establish readiness)",IF(AND(H693="Physical uplift",AG693&gt;Q693),"INVALID – recorded after the loading flight departed",IF(AG693&gt;Q693,"COMPLETE – LATE","COMPLETE")))))))))))))))))),IF(TRIM(U693)="Fail","FAIL – DISCREPANCY",IF(AND(TRIM(U693)&lt;&gt;"",TRIM(U693)&lt;&gt;"Not started",TRIM(U693)&lt;&gt;"In progress"),"INVALID – unrecognised status (use the list)",IF(AsOfUTC&gt;Q693,"OVERDUE",IF(N693="Clarification required","OPEN – CLARIFICATION","OPEN")))))))</f>
        <v>OPEN</v>
      </c>
      <c r="AI693" s="61" t="n">
        <f aca="false">IF(OR(AH693="N/A – RULE",AH693="N/A – JUSTIFIED"),0,1)</f>
        <v>1</v>
      </c>
      <c r="AJ693" s="61" t="n">
        <f aca="false">IF(LEFT(AH693,8)="COMPLETE",1,0)</f>
        <v>0</v>
      </c>
      <c r="AK693" s="61" t="n">
        <f aca="false">IF(AND(AI693=1,AJ693=0,AsOfUTC&gt;Q693),1,0)</f>
        <v>0</v>
      </c>
      <c r="AL693" s="61" t="n">
        <f aca="false">IF(AND(AI693=1,OR(TRIM(U693)="Fail",AND(TRIM(AB693)&lt;&gt;"",TRIM(AB693)&lt;&gt;"Closed"),AND(ISNUMBER(AF693),AF693&lt;&gt;0,TRIM(U693)&lt;&gt;"Pass after CA"))),1,0)</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row>
    <row r="694" customFormat="false" ht="41.25" hidden="false" customHeight="true" outlineLevel="0" collapsed="false">
      <c r="A694" s="57" t="s">
        <v>1390</v>
      </c>
      <c r="B694" s="57" t="s">
        <v>302</v>
      </c>
      <c r="C694" s="57" t="str">
        <f aca="false">Flights!$F$25</f>
        <v>MH1437</v>
      </c>
      <c r="D694" s="58" t="n">
        <f aca="false">Flights!$D$25</f>
        <v>46325</v>
      </c>
      <c r="E694" s="57" t="str">
        <f aca="false">Flights!$G$25&amp;"-"&amp;Flights!$H$25</f>
        <v>LGK-KUL</v>
      </c>
      <c r="F694" s="57" t="str">
        <f aca="false">Flights!$K$25</f>
        <v>BC</v>
      </c>
      <c r="G694" s="57" t="s">
        <v>424</v>
      </c>
      <c r="H694" s="57" t="s">
        <v>425</v>
      </c>
      <c r="I694" s="57" t="s">
        <v>405</v>
      </c>
      <c r="J694" s="57" t="s">
        <v>499</v>
      </c>
      <c r="K694" s="67" t="s">
        <v>460</v>
      </c>
      <c r="L694" s="67" t="s">
        <v>1368</v>
      </c>
      <c r="M694" s="67" t="s">
        <v>416</v>
      </c>
      <c r="N694" s="67" t="s">
        <v>348</v>
      </c>
      <c r="O694" s="67" t="s">
        <v>500</v>
      </c>
      <c r="P694" s="57" t="s">
        <v>298</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59" t="n">
        <f aca="false">IF(ISNUMBER(Flights!$AY$25),MAX(Q694-UpliftWindowH/24,Flights!$AY$25+UpliftWindowH/24),Q694-UpliftWindowH/24)</f>
        <v>46325.03125</v>
      </c>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IF(N694="N/A – rule","N/A – RULE",IF(TRIM(U694)="N/A",IF(AT694=0,"INVALID – N/A not permitted for this mandatory check",IF(AND(TRIM(AC694)&lt;&gt;"",TRIM(AE694)&lt;&gt;"",TRIM(T694)&lt;&gt;"",TRIM(AE694)&lt;&gt;TRIM(T694)),"N/A – JUSTIFIED","INVALID – N/A needs justification, PIC and a different verifier")),IF(OR(TRIM(U694)="Pass",TRIM(U694)="Pass after CA"),IF(NOT(ISNUMBER(AD694)),"INVALID – completion time missing",IF(TRIM(T694)="","INVALID – PIC missing",IF(TRIM(V694)="","INVALID – result / assessment missing",IF(TRIM(Z694)="","INVALID – evidence missing",IF(TRIM(AE694)="","INVALID – verifier missing",IF(TRIM(AE694)=TRIM(T694),"INVALID – verifier must be someone other than the PIC",IF(AND(AQ694=1,TRIM(W694)=""),"INVALID – batch ID missing",IF(AND(AR694=1,OR(NOT(ISNUMBER(X694)),NOT(ISNUMBER(Y694)))),"INVALID – expected/actual qty missing",IF(IF(AND(TRIM(U694)="Pass",ISNUMBER(AF694)),IF(AF694&lt;&gt;0,"INVALID – qty variance: use Fail or Pass after CA",""),"")&amp;IF(AND(TRIM(U694)="Pass",TRIM(AB694)&lt;&gt;"",TRIM(AB694)&lt;&gt;"Closed"),"INVALID – corrective action not closed: use Fail, then Pass after CA","")&amp;IF(AND(TRIM(AA694)&lt;&gt;"",TRIM(AB694)=""),"INVALID – CA status missing for the recorded corrective action","")&amp;IF(AND(TRIM(U694)="Pass after CA",OR(TRIM(AA694)="",TRIM(AB694)&lt;&gt;"Closed")),"INVALID – corrective action not recorded/closed","")&lt;&gt;"",IF(AND(TRIM(U694)="Pass",ISNUMBER(AF694)),IF(AF694&lt;&gt;0,"INVALID – qty variance: use Fail or Pass after CA",""),"")&amp;IF(AND(TRIM(U694)="Pass",TRIM(AB694)&lt;&gt;"",TRIM(AB694)&lt;&gt;"Closed"),"INVALID – corrective action not closed: use Fail, then Pass after CA","")&amp;IF(AND(TRIM(AA694)&lt;&gt;"",TRIM(AB694)=""),"INVALID – CA status missing for the recorded corrective action","")&amp;IF(AND(TRIM(U694)="Pass after CA",OR(TRIM(AA694)="",TRIM(AB694)&lt;&gt;"Closed")),"INVALID – corrective action not recorded/closed",""),IF(AND(AS694=1,Documents!$J$25&lt;&gt;"ON FILE"),"INVALID – GLD not on file (Documents sheet)",IF(AND(AS694=2,Documents!$O$25&lt;&gt;"ON FILE"),"INVALID – menu checklist not on file (Documents sheet)",IF(AND(AS694=3,NOT(ISNUMBER(Flights!$AX$25))),"INVALID – enter carrying flight KUL departure (Flights AX)",IF(AND(AS694=3,OR(Flights!$AX$25&gt;=Flights!$AA$25,Flights!$AX$25&lt;Flights!$AA$25-3)),"INVALID – Flights AX must be before this leg's STD (within 3 days)",IF(AG694&gt;AsOfUTC,"INVALID – completion time is in the future",IF(AND(ISNUMBER(S694),AG694&lt;S694),IF(H694="Physical uplift","INVALID – before uplift window (cannot confirm loading)","INVALID – before valid window"),IF(AG694&gt;Flights!$AA$25,"INVALID – completed after departure (cannot establish readiness)",IF(AND(H694="Physical uplift",AG694&gt;Q694),"INVALID – recorded after the loading flight departed",IF(AG694&gt;Q694,"COMPLETE – LATE","COMPLETE")))))))))))))))))),IF(TRIM(U694)="Fail","FAIL – DISCREPANCY",IF(AND(TRIM(U694)&lt;&gt;"",TRIM(U694)&lt;&gt;"Not started",TRIM(U694)&lt;&gt;"In progress"),"INVALID – unrecognised status (use the list)",IF(AsOfUTC&gt;Q694,"OVERDUE",IF(N694="Clarification required","OPEN – CLARIFICATION","OPEN")))))))</f>
        <v>OPEN</v>
      </c>
      <c r="AI694" s="61" t="n">
        <f aca="false">IF(OR(AH694="N/A – RULE",AH694="N/A – JUSTIFIED"),0,1)</f>
        <v>1</v>
      </c>
      <c r="AJ694" s="61" t="n">
        <f aca="false">IF(LEFT(AH694,8)="COMPLETE",1,0)</f>
        <v>0</v>
      </c>
      <c r="AK694" s="61" t="n">
        <f aca="false">IF(AND(AI694=1,AJ694=0,AsOfUTC&gt;Q694),1,0)</f>
        <v>0</v>
      </c>
      <c r="AL694" s="61" t="n">
        <f aca="false">IF(AND(AI694=1,OR(TRIM(U694)="Fail",AND(TRIM(AB694)&lt;&gt;"",TRIM(AB694)&lt;&gt;"Closed"),AND(ISNUMBER(AF694),AF694&lt;&gt;0,TRIM(U694)&lt;&gt;"Pass after CA"))),1,0)</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8" t="b">
        <f aca="false">TRUE()</f>
        <v>1</v>
      </c>
    </row>
    <row r="695" customFormat="false" ht="39.75" hidden="false" customHeight="true" outlineLevel="0" collapsed="false">
      <c r="A695" s="57" t="s">
        <v>1391</v>
      </c>
      <c r="B695" s="57" t="s">
        <v>302</v>
      </c>
      <c r="C695" s="57" t="str">
        <f aca="false">Flights!$F$25</f>
        <v>MH1437</v>
      </c>
      <c r="D695" s="58" t="n">
        <f aca="false">Flights!$D$25</f>
        <v>46325</v>
      </c>
      <c r="E695" s="57" t="str">
        <f aca="false">Flights!$G$25&amp;"-"&amp;Flights!$H$25</f>
        <v>LGK-KUL</v>
      </c>
      <c r="F695" s="57" t="str">
        <f aca="false">Flights!$K$25</f>
        <v>BC</v>
      </c>
      <c r="G695" s="57" t="s">
        <v>424</v>
      </c>
      <c r="H695" s="57" t="s">
        <v>425</v>
      </c>
      <c r="I695" s="57" t="s">
        <v>464</v>
      </c>
      <c r="J695" s="57" t="s">
        <v>502</v>
      </c>
      <c r="K695" s="67" t="s">
        <v>466</v>
      </c>
      <c r="L695" s="67" t="s">
        <v>1371</v>
      </c>
      <c r="M695" s="67" t="s">
        <v>416</v>
      </c>
      <c r="N695" s="67" t="s">
        <v>348</v>
      </c>
      <c r="O695" s="67"/>
      <c r="P695" s="57" t="s">
        <v>298</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59" t="n">
        <f aca="false">IF(ISNUMBER(Flights!$AY$25),MAX(Q695-UpliftWindowH/24,Flights!$AY$25+UpliftWindowH/24),Q695-UpliftWindowH/24)</f>
        <v>46325.03125</v>
      </c>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IF(N695="N/A – rule","N/A – RULE",IF(TRIM(U695)="N/A",IF(AT695=0,"INVALID – N/A not permitted for this mandatory check",IF(AND(TRIM(AC695)&lt;&gt;"",TRIM(AE695)&lt;&gt;"",TRIM(T695)&lt;&gt;"",TRIM(AE695)&lt;&gt;TRIM(T695)),"N/A – JUSTIFIED","INVALID – N/A needs justification, PIC and a different verifier")),IF(OR(TRIM(U695)="Pass",TRIM(U695)="Pass after CA"),IF(NOT(ISNUMBER(AD695)),"INVALID – completion time missing",IF(TRIM(T695)="","INVALID – PIC missing",IF(TRIM(V695)="","INVALID – result / assessment missing",IF(TRIM(Z695)="","INVALID – evidence missing",IF(TRIM(AE695)="","INVALID – verifier missing",IF(TRIM(AE695)=TRIM(T695),"INVALID – verifier must be someone other than the PIC",IF(AND(AQ695=1,TRIM(W695)=""),"INVALID – batch ID missing",IF(AND(AR695=1,OR(NOT(ISNUMBER(X695)),NOT(ISNUMBER(Y695)))),"INVALID – expected/actual qty missing",IF(IF(AND(TRIM(U695)="Pass",ISNUMBER(AF695)),IF(AF695&lt;&gt;0,"INVALID – qty variance: use Fail or Pass after CA",""),"")&amp;IF(AND(TRIM(U695)="Pass",TRIM(AB695)&lt;&gt;"",TRIM(AB695)&lt;&gt;"Closed"),"INVALID – corrective action not closed: use Fail, then Pass after CA","")&amp;IF(AND(TRIM(AA695)&lt;&gt;"",TRIM(AB695)=""),"INVALID – CA status missing for the recorded corrective action","")&amp;IF(AND(TRIM(U695)="Pass after CA",OR(TRIM(AA695)="",TRIM(AB695)&lt;&gt;"Closed")),"INVALID – corrective action not recorded/closed","")&lt;&gt;"",IF(AND(TRIM(U695)="Pass",ISNUMBER(AF695)),IF(AF695&lt;&gt;0,"INVALID – qty variance: use Fail or Pass after CA",""),"")&amp;IF(AND(TRIM(U695)="Pass",TRIM(AB695)&lt;&gt;"",TRIM(AB695)&lt;&gt;"Closed"),"INVALID – corrective action not closed: use Fail, then Pass after CA","")&amp;IF(AND(TRIM(AA695)&lt;&gt;"",TRIM(AB695)=""),"INVALID – CA status missing for the recorded corrective action","")&amp;IF(AND(TRIM(U695)="Pass after CA",OR(TRIM(AA695)="",TRIM(AB695)&lt;&gt;"Closed")),"INVALID – corrective action not recorded/closed",""),IF(AND(AS695=1,Documents!$J$25&lt;&gt;"ON FILE"),"INVALID – GLD not on file (Documents sheet)",IF(AND(AS695=2,Documents!$O$25&lt;&gt;"ON FILE"),"INVALID – menu checklist not on file (Documents sheet)",IF(AND(AS695=3,NOT(ISNUMBER(Flights!$AX$25))),"INVALID – enter carrying flight KUL departure (Flights AX)",IF(AND(AS695=3,OR(Flights!$AX$25&gt;=Flights!$AA$25,Flights!$AX$25&lt;Flights!$AA$25-3)),"INVALID – Flights AX must be before this leg's STD (within 3 days)",IF(AG695&gt;AsOfUTC,"INVALID – completion time is in the future",IF(AND(ISNUMBER(S695),AG695&lt;S695),IF(H695="Physical uplift","INVALID – before uplift window (cannot confirm loading)","INVALID – before valid window"),IF(AG695&gt;Flights!$AA$25,"INVALID – completed after departure (cannot establish readiness)",IF(AND(H695="Physical uplift",AG695&gt;Q695),"INVALID – recorded after the loading flight departed",IF(AG695&gt;Q695,"COMPLETE – LATE","COMPLETE")))))))))))))))))),IF(TRIM(U695)="Fail","FAIL – DISCREPANCY",IF(AND(TRIM(U695)&lt;&gt;"",TRIM(U695)&lt;&gt;"Not started",TRIM(U695)&lt;&gt;"In progress"),"INVALID – unrecognised status (use the list)",IF(AsOfUTC&gt;Q695,"OVERDUE",IF(N695="Clarification required","OPEN – CLARIFICATION","OPEN")))))))</f>
        <v>OPEN</v>
      </c>
      <c r="AI695" s="61" t="n">
        <f aca="false">IF(OR(AH695="N/A – RULE",AH695="N/A – JUSTIFIED"),0,1)</f>
        <v>1</v>
      </c>
      <c r="AJ695" s="61" t="n">
        <f aca="false">IF(LEFT(AH695,8)="COMPLETE",1,0)</f>
        <v>0</v>
      </c>
      <c r="AK695" s="61" t="n">
        <f aca="false">IF(AND(AI695=1,AJ695=0,AsOfUTC&gt;Q695),1,0)</f>
        <v>0</v>
      </c>
      <c r="AL695" s="61" t="n">
        <f aca="false">IF(AND(AI695=1,OR(TRIM(U695)="Fail",AND(TRIM(AB695)&lt;&gt;"",TRIM(AB695)&lt;&gt;"Closed"),AND(ISNUMBER(AF695),AF695&lt;&gt;0,TRIM(U695)&lt;&gt;"Pass after CA"))),1,0)</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8" t="b">
        <f aca="false">TRUE()</f>
        <v>1</v>
      </c>
    </row>
    <row r="696" customFormat="false" ht="39.75" hidden="false" customHeight="true" outlineLevel="0" collapsed="false">
      <c r="A696" s="57" t="s">
        <v>1392</v>
      </c>
      <c r="B696" s="57" t="s">
        <v>302</v>
      </c>
      <c r="C696" s="57" t="str">
        <f aca="false">Flights!$F$25</f>
        <v>MH1437</v>
      </c>
      <c r="D696" s="58" t="n">
        <f aca="false">Flights!$D$25</f>
        <v>46325</v>
      </c>
      <c r="E696" s="57" t="str">
        <f aca="false">Flights!$G$25&amp;"-"&amp;Flights!$H$25</f>
        <v>LGK-KUL</v>
      </c>
      <c r="F696" s="57" t="str">
        <f aca="false">Flights!$K$25</f>
        <v>BC</v>
      </c>
      <c r="G696" s="57" t="s">
        <v>424</v>
      </c>
      <c r="H696" s="57" t="s">
        <v>425</v>
      </c>
      <c r="I696" s="57" t="s">
        <v>464</v>
      </c>
      <c r="J696" s="57" t="s">
        <v>504</v>
      </c>
      <c r="K696" s="67" t="s">
        <v>466</v>
      </c>
      <c r="L696" s="67" t="s">
        <v>1373</v>
      </c>
      <c r="M696" s="67" t="s">
        <v>416</v>
      </c>
      <c r="N696" s="67" t="s">
        <v>348</v>
      </c>
      <c r="O696" s="67"/>
      <c r="P696" s="57" t="s">
        <v>298</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59" t="n">
        <f aca="false">IF(ISNUMBER(Flights!$AY$25),MAX(Q696-UpliftWindowH/24,Flights!$AY$25+UpliftWindowH/24),Q696-UpliftWindowH/24)</f>
        <v>46325.03125</v>
      </c>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IF(N696="N/A – rule","N/A – RULE",IF(TRIM(U696)="N/A",IF(AT696=0,"INVALID – N/A not permitted for this mandatory check",IF(AND(TRIM(AC696)&lt;&gt;"",TRIM(AE696)&lt;&gt;"",TRIM(T696)&lt;&gt;"",TRIM(AE696)&lt;&gt;TRIM(T696)),"N/A – JUSTIFIED","INVALID – N/A needs justification, PIC and a different verifier")),IF(OR(TRIM(U696)="Pass",TRIM(U696)="Pass after CA"),IF(NOT(ISNUMBER(AD696)),"INVALID – completion time missing",IF(TRIM(T696)="","INVALID – PIC missing",IF(TRIM(V696)="","INVALID – result / assessment missing",IF(TRIM(Z696)="","INVALID – evidence missing",IF(TRIM(AE696)="","INVALID – verifier missing",IF(TRIM(AE696)=TRIM(T696),"INVALID – verifier must be someone other than the PIC",IF(AND(AQ696=1,TRIM(W696)=""),"INVALID – batch ID missing",IF(AND(AR696=1,OR(NOT(ISNUMBER(X696)),NOT(ISNUMBER(Y696)))),"INVALID – expected/actual qty missing",IF(IF(AND(TRIM(U696)="Pass",ISNUMBER(AF696)),IF(AF696&lt;&gt;0,"INVALID – qty variance: use Fail or Pass after CA",""),"")&amp;IF(AND(TRIM(U696)="Pass",TRIM(AB696)&lt;&gt;"",TRIM(AB696)&lt;&gt;"Closed"),"INVALID – corrective action not closed: use Fail, then Pass after CA","")&amp;IF(AND(TRIM(AA696)&lt;&gt;"",TRIM(AB696)=""),"INVALID – CA status missing for the recorded corrective action","")&amp;IF(AND(TRIM(U696)="Pass after CA",OR(TRIM(AA696)="",TRIM(AB696)&lt;&gt;"Closed")),"INVALID – corrective action not recorded/closed","")&lt;&gt;"",IF(AND(TRIM(U696)="Pass",ISNUMBER(AF696)),IF(AF696&lt;&gt;0,"INVALID – qty variance: use Fail or Pass after CA",""),"")&amp;IF(AND(TRIM(U696)="Pass",TRIM(AB696)&lt;&gt;"",TRIM(AB696)&lt;&gt;"Closed"),"INVALID – corrective action not closed: use Fail, then Pass after CA","")&amp;IF(AND(TRIM(AA696)&lt;&gt;"",TRIM(AB696)=""),"INVALID – CA status missing for the recorded corrective action","")&amp;IF(AND(TRIM(U696)="Pass after CA",OR(TRIM(AA696)="",TRIM(AB696)&lt;&gt;"Closed")),"INVALID – corrective action not recorded/closed",""),IF(AND(AS696=1,Documents!$J$25&lt;&gt;"ON FILE"),"INVALID – GLD not on file (Documents sheet)",IF(AND(AS696=2,Documents!$O$25&lt;&gt;"ON FILE"),"INVALID – menu checklist not on file (Documents sheet)",IF(AND(AS696=3,NOT(ISNUMBER(Flights!$AX$25))),"INVALID – enter carrying flight KUL departure (Flights AX)",IF(AND(AS696=3,OR(Flights!$AX$25&gt;=Flights!$AA$25,Flights!$AX$25&lt;Flights!$AA$25-3)),"INVALID – Flights AX must be before this leg's STD (within 3 days)",IF(AG696&gt;AsOfUTC,"INVALID – completion time is in the future",IF(AND(ISNUMBER(S696),AG696&lt;S696),IF(H696="Physical uplift","INVALID – before uplift window (cannot confirm loading)","INVALID – before valid window"),IF(AG696&gt;Flights!$AA$25,"INVALID – completed after departure (cannot establish readiness)",IF(AND(H696="Physical uplift",AG696&gt;Q696),"INVALID – recorded after the loading flight departed",IF(AG696&gt;Q696,"COMPLETE – LATE","COMPLETE")))))))))))))))))),IF(TRIM(U696)="Fail","FAIL – DISCREPANCY",IF(AND(TRIM(U696)&lt;&gt;"",TRIM(U696)&lt;&gt;"Not started",TRIM(U696)&lt;&gt;"In progress"),"INVALID – unrecognised status (use the list)",IF(AsOfUTC&gt;Q696,"OVERDUE",IF(N696="Clarification required","OPEN – CLARIFICATION","OPEN")))))))</f>
        <v>OPEN</v>
      </c>
      <c r="AI696" s="61" t="n">
        <f aca="false">IF(OR(AH696="N/A – RULE",AH696="N/A – JUSTIFIED"),0,1)</f>
        <v>1</v>
      </c>
      <c r="AJ696" s="61" t="n">
        <f aca="false">IF(LEFT(AH696,8)="COMPLETE",1,0)</f>
        <v>0</v>
      </c>
      <c r="AK696" s="61" t="n">
        <f aca="false">IF(AND(AI696=1,AJ696=0,AsOfUTC&gt;Q696),1,0)</f>
        <v>0</v>
      </c>
      <c r="AL696" s="61" t="n">
        <f aca="false">IF(AND(AI696=1,OR(TRIM(U696)="Fail",AND(TRIM(AB696)&lt;&gt;"",TRIM(AB696)&lt;&gt;"Closed"),AND(ISNUMBER(AF696),AF696&lt;&gt;0,TRIM(U696)&lt;&gt;"Pass after CA"))),1,0)</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8" t="b">
        <f aca="false">TRUE()</f>
        <v>1</v>
      </c>
    </row>
    <row r="697" customFormat="false" ht="39.75" hidden="false" customHeight="true" outlineLevel="0" collapsed="false">
      <c r="A697" s="57" t="s">
        <v>1393</v>
      </c>
      <c r="B697" s="57" t="s">
        <v>302</v>
      </c>
      <c r="C697" s="57" t="str">
        <f aca="false">Flights!$F$25</f>
        <v>MH1437</v>
      </c>
      <c r="D697" s="58" t="n">
        <f aca="false">Flights!$D$25</f>
        <v>46325</v>
      </c>
      <c r="E697" s="57" t="str">
        <f aca="false">Flights!$G$25&amp;"-"&amp;Flights!$H$25</f>
        <v>LGK-KUL</v>
      </c>
      <c r="F697" s="57" t="str">
        <f aca="false">Flights!$K$25</f>
        <v>BC</v>
      </c>
      <c r="G697" s="57" t="s">
        <v>424</v>
      </c>
      <c r="H697" s="57" t="s">
        <v>425</v>
      </c>
      <c r="I697" s="57" t="s">
        <v>464</v>
      </c>
      <c r="J697" s="57" t="s">
        <v>506</v>
      </c>
      <c r="K697" s="67" t="s">
        <v>466</v>
      </c>
      <c r="L697" s="67" t="s">
        <v>1375</v>
      </c>
      <c r="M697" s="67" t="s">
        <v>416</v>
      </c>
      <c r="N697" s="67" t="s">
        <v>348</v>
      </c>
      <c r="O697" s="67"/>
      <c r="P697" s="57" t="s">
        <v>298</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59" t="n">
        <f aca="false">IF(ISNUMBER(Flights!$AY$25),MAX(Q697-UpliftWindowH/24,Flights!$AY$25+UpliftWindowH/24),Q697-UpliftWindowH/24)</f>
        <v>46325.03125</v>
      </c>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IF(N697="N/A – rule","N/A – RULE",IF(TRIM(U697)="N/A",IF(AT697=0,"INVALID – N/A not permitted for this mandatory check",IF(AND(TRIM(AC697)&lt;&gt;"",TRIM(AE697)&lt;&gt;"",TRIM(T697)&lt;&gt;"",TRIM(AE697)&lt;&gt;TRIM(T697)),"N/A – JUSTIFIED","INVALID – N/A needs justification, PIC and a different verifier")),IF(OR(TRIM(U697)="Pass",TRIM(U697)="Pass after CA"),IF(NOT(ISNUMBER(AD697)),"INVALID – completion time missing",IF(TRIM(T697)="","INVALID – PIC missing",IF(TRIM(V697)="","INVALID – result / assessment missing",IF(TRIM(Z697)="","INVALID – evidence missing",IF(TRIM(AE697)="","INVALID – verifier missing",IF(TRIM(AE697)=TRIM(T697),"INVALID – verifier must be someone other than the PIC",IF(AND(AQ697=1,TRIM(W697)=""),"INVALID – batch ID missing",IF(AND(AR697=1,OR(NOT(ISNUMBER(X697)),NOT(ISNUMBER(Y697)))),"INVALID – expected/actual qty missing",IF(IF(AND(TRIM(U697)="Pass",ISNUMBER(AF697)),IF(AF697&lt;&gt;0,"INVALID – qty variance: use Fail or Pass after CA",""),"")&amp;IF(AND(TRIM(U697)="Pass",TRIM(AB697)&lt;&gt;"",TRIM(AB697)&lt;&gt;"Closed"),"INVALID – corrective action not closed: use Fail, then Pass after CA","")&amp;IF(AND(TRIM(AA697)&lt;&gt;"",TRIM(AB697)=""),"INVALID – CA status missing for the recorded corrective action","")&amp;IF(AND(TRIM(U697)="Pass after CA",OR(TRIM(AA697)="",TRIM(AB697)&lt;&gt;"Closed")),"INVALID – corrective action not recorded/closed","")&lt;&gt;"",IF(AND(TRIM(U697)="Pass",ISNUMBER(AF697)),IF(AF697&lt;&gt;0,"INVALID – qty variance: use Fail or Pass after CA",""),"")&amp;IF(AND(TRIM(U697)="Pass",TRIM(AB697)&lt;&gt;"",TRIM(AB697)&lt;&gt;"Closed"),"INVALID – corrective action not closed: use Fail, then Pass after CA","")&amp;IF(AND(TRIM(AA697)&lt;&gt;"",TRIM(AB697)=""),"INVALID – CA status missing for the recorded corrective action","")&amp;IF(AND(TRIM(U697)="Pass after CA",OR(TRIM(AA697)="",TRIM(AB697)&lt;&gt;"Closed")),"INVALID – corrective action not recorded/closed",""),IF(AND(AS697=1,Documents!$J$25&lt;&gt;"ON FILE"),"INVALID – GLD not on file (Documents sheet)",IF(AND(AS697=2,Documents!$O$25&lt;&gt;"ON FILE"),"INVALID – menu checklist not on file (Documents sheet)",IF(AND(AS697=3,NOT(ISNUMBER(Flights!$AX$25))),"INVALID – enter carrying flight KUL departure (Flights AX)",IF(AND(AS697=3,OR(Flights!$AX$25&gt;=Flights!$AA$25,Flights!$AX$25&lt;Flights!$AA$25-3)),"INVALID – Flights AX must be before this leg's STD (within 3 days)",IF(AG697&gt;AsOfUTC,"INVALID – completion time is in the future",IF(AND(ISNUMBER(S697),AG697&lt;S697),IF(H697="Physical uplift","INVALID – before uplift window (cannot confirm loading)","INVALID – before valid window"),IF(AG697&gt;Flights!$AA$25,"INVALID – completed after departure (cannot establish readiness)",IF(AND(H697="Physical uplift",AG697&gt;Q697),"INVALID – recorded after the loading flight departed",IF(AG697&gt;Q697,"COMPLETE – LATE","COMPLETE")))))))))))))))))),IF(TRIM(U697)="Fail","FAIL – DISCREPANCY",IF(AND(TRIM(U697)&lt;&gt;"",TRIM(U697)&lt;&gt;"Not started",TRIM(U697)&lt;&gt;"In progress"),"INVALID – unrecognised status (use the list)",IF(AsOfUTC&gt;Q697,"OVERDUE",IF(N697="Clarification required","OPEN – CLARIFICATION","OPEN")))))))</f>
        <v>OPEN</v>
      </c>
      <c r="AI697" s="61" t="n">
        <f aca="false">IF(OR(AH697="N/A – RULE",AH697="N/A – JUSTIFIED"),0,1)</f>
        <v>1</v>
      </c>
      <c r="AJ697" s="61" t="n">
        <f aca="false">IF(LEFT(AH697,8)="COMPLETE",1,0)</f>
        <v>0</v>
      </c>
      <c r="AK697" s="61" t="n">
        <f aca="false">IF(AND(AI697=1,AJ697=0,AsOfUTC&gt;Q697),1,0)</f>
        <v>0</v>
      </c>
      <c r="AL697" s="61" t="n">
        <f aca="false">IF(AND(AI697=1,OR(TRIM(U697)="Fail",AND(TRIM(AB697)&lt;&gt;"",TRIM(AB697)&lt;&gt;"Closed"),AND(ISNUMBER(AF697),AF697&lt;&gt;0,TRIM(U697)&lt;&gt;"Pass after CA"))),1,0)</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8" t="b">
        <f aca="false">TRUE()</f>
        <v>1</v>
      </c>
    </row>
    <row r="698" customFormat="false" ht="39.75" hidden="false" customHeight="true" outlineLevel="0" collapsed="false">
      <c r="A698" s="57" t="s">
        <v>1394</v>
      </c>
      <c r="B698" s="57" t="s">
        <v>302</v>
      </c>
      <c r="C698" s="57" t="str">
        <f aca="false">Flights!$F$25</f>
        <v>MH1437</v>
      </c>
      <c r="D698" s="58" t="n">
        <f aca="false">Flights!$D$25</f>
        <v>46325</v>
      </c>
      <c r="E698" s="57" t="str">
        <f aca="false">Flights!$G$25&amp;"-"&amp;Flights!$H$25</f>
        <v>LGK-KUL</v>
      </c>
      <c r="F698" s="57" t="str">
        <f aca="false">Flights!$K$25</f>
        <v>BC</v>
      </c>
      <c r="G698" s="57" t="s">
        <v>424</v>
      </c>
      <c r="H698" s="57" t="s">
        <v>425</v>
      </c>
      <c r="I698" s="57" t="s">
        <v>464</v>
      </c>
      <c r="J698" s="57" t="s">
        <v>513</v>
      </c>
      <c r="K698" s="67" t="s">
        <v>484</v>
      </c>
      <c r="L698" s="67" t="s">
        <v>1377</v>
      </c>
      <c r="M698" s="67" t="s">
        <v>416</v>
      </c>
      <c r="N698" s="67" t="s">
        <v>348</v>
      </c>
      <c r="O698" s="67" t="s">
        <v>514</v>
      </c>
      <c r="P698" s="57" t="s">
        <v>298</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59" t="n">
        <f aca="false">IF(ISNUMBER(Flights!$AY$25),MAX(Q698-UpliftWindowH/24,Flights!$AY$25+UpliftWindowH/24),Q698-UpliftWindowH/24)</f>
        <v>46325.03125</v>
      </c>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IF(N698="N/A – rule","N/A – RULE",IF(TRIM(U698)="N/A",IF(AT698=0,"INVALID – N/A not permitted for this mandatory check",IF(AND(TRIM(AC698)&lt;&gt;"",TRIM(AE698)&lt;&gt;"",TRIM(T698)&lt;&gt;"",TRIM(AE698)&lt;&gt;TRIM(T698)),"N/A – JUSTIFIED","INVALID – N/A needs justification, PIC and a different verifier")),IF(OR(TRIM(U698)="Pass",TRIM(U698)="Pass after CA"),IF(NOT(ISNUMBER(AD698)),"INVALID – completion time missing",IF(TRIM(T698)="","INVALID – PIC missing",IF(TRIM(V698)="","INVALID – result / assessment missing",IF(TRIM(Z698)="","INVALID – evidence missing",IF(TRIM(AE698)="","INVALID – verifier missing",IF(TRIM(AE698)=TRIM(T698),"INVALID – verifier must be someone other than the PIC",IF(AND(AQ698=1,TRIM(W698)=""),"INVALID – batch ID missing",IF(AND(AR698=1,OR(NOT(ISNUMBER(X698)),NOT(ISNUMBER(Y698)))),"INVALID – expected/actual qty missing",IF(IF(AND(TRIM(U698)="Pass",ISNUMBER(AF698)),IF(AF698&lt;&gt;0,"INVALID – qty variance: use Fail or Pass after CA",""),"")&amp;IF(AND(TRIM(U698)="Pass",TRIM(AB698)&lt;&gt;"",TRIM(AB698)&lt;&gt;"Closed"),"INVALID – corrective action not closed: use Fail, then Pass after CA","")&amp;IF(AND(TRIM(AA698)&lt;&gt;"",TRIM(AB698)=""),"INVALID – CA status missing for the recorded corrective action","")&amp;IF(AND(TRIM(U698)="Pass after CA",OR(TRIM(AA698)="",TRIM(AB698)&lt;&gt;"Closed")),"INVALID – corrective action not recorded/closed","")&lt;&gt;"",IF(AND(TRIM(U698)="Pass",ISNUMBER(AF698)),IF(AF698&lt;&gt;0,"INVALID – qty variance: use Fail or Pass after CA",""),"")&amp;IF(AND(TRIM(U698)="Pass",TRIM(AB698)&lt;&gt;"",TRIM(AB698)&lt;&gt;"Closed"),"INVALID – corrective action not closed: use Fail, then Pass after CA","")&amp;IF(AND(TRIM(AA698)&lt;&gt;"",TRIM(AB698)=""),"INVALID – CA status missing for the recorded corrective action","")&amp;IF(AND(TRIM(U698)="Pass after CA",OR(TRIM(AA698)="",TRIM(AB698)&lt;&gt;"Closed")),"INVALID – corrective action not recorded/closed",""),IF(AND(AS698=1,Documents!$J$25&lt;&gt;"ON FILE"),"INVALID – GLD not on file (Documents sheet)",IF(AND(AS698=2,Documents!$O$25&lt;&gt;"ON FILE"),"INVALID – menu checklist not on file (Documents sheet)",IF(AND(AS698=3,NOT(ISNUMBER(Flights!$AX$25))),"INVALID – enter carrying flight KUL departure (Flights AX)",IF(AND(AS698=3,OR(Flights!$AX$25&gt;=Flights!$AA$25,Flights!$AX$25&lt;Flights!$AA$25-3)),"INVALID – Flights AX must be before this leg's STD (within 3 days)",IF(AG698&gt;AsOfUTC,"INVALID – completion time is in the future",IF(AND(ISNUMBER(S698),AG698&lt;S698),IF(H698="Physical uplift","INVALID – before uplift window (cannot confirm loading)","INVALID – before valid window"),IF(AG698&gt;Flights!$AA$25,"INVALID – completed after departure (cannot establish readiness)",IF(AND(H698="Physical uplift",AG698&gt;Q698),"INVALID – recorded after the loading flight departed",IF(AG698&gt;Q698,"COMPLETE – LATE","COMPLETE")))))))))))))))))),IF(TRIM(U698)="Fail","FAIL – DISCREPANCY",IF(AND(TRIM(U698)&lt;&gt;"",TRIM(U698)&lt;&gt;"Not started",TRIM(U698)&lt;&gt;"In progress"),"INVALID – unrecognised status (use the list)",IF(AsOfUTC&gt;Q698,"OVERDUE",IF(N698="Clarification required","OPEN – CLARIFICATION","OPEN")))))))</f>
        <v>OPEN</v>
      </c>
      <c r="AI698" s="61" t="n">
        <f aca="false">IF(OR(AH698="N/A – RULE",AH698="N/A – JUSTIFIED"),0,1)</f>
        <v>1</v>
      </c>
      <c r="AJ698" s="61" t="n">
        <f aca="false">IF(LEFT(AH698,8)="COMPLETE",1,0)</f>
        <v>0</v>
      </c>
      <c r="AK698" s="61" t="n">
        <f aca="false">IF(AND(AI698=1,AJ698=0,AsOfUTC&gt;Q698),1,0)</f>
        <v>0</v>
      </c>
      <c r="AL698" s="61" t="n">
        <f aca="false">IF(AND(AI698=1,OR(TRIM(U698)="Fail",AND(TRIM(AB698)&lt;&gt;"",TRIM(AB698)&lt;&gt;"Closed"),AND(ISNUMBER(AF698),AF698&lt;&gt;0,TRIM(U698)&lt;&gt;"Pass after CA"))),1,0)</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8" t="b">
        <f aca="false">TRUE()</f>
        <v>1</v>
      </c>
    </row>
    <row r="699" customFormat="false" ht="39.75" hidden="false" customHeight="true" outlineLevel="0" collapsed="false">
      <c r="A699" s="57" t="s">
        <v>1395</v>
      </c>
      <c r="B699" s="57" t="s">
        <v>302</v>
      </c>
      <c r="C699" s="57" t="str">
        <f aca="false">Flights!$F$25</f>
        <v>MH1437</v>
      </c>
      <c r="D699" s="58" t="n">
        <f aca="false">Flights!$D$25</f>
        <v>46325</v>
      </c>
      <c r="E699" s="57" t="str">
        <f aca="false">Flights!$G$25&amp;"-"&amp;Flights!$H$25</f>
        <v>LGK-KUL</v>
      </c>
      <c r="F699" s="57" t="str">
        <f aca="false">Flights!$K$25</f>
        <v>BC</v>
      </c>
      <c r="G699" s="57" t="s">
        <v>424</v>
      </c>
      <c r="H699" s="57" t="s">
        <v>425</v>
      </c>
      <c r="I699" s="57" t="s">
        <v>464</v>
      </c>
      <c r="J699" s="57" t="s">
        <v>516</v>
      </c>
      <c r="K699" s="67" t="s">
        <v>466</v>
      </c>
      <c r="L699" s="67" t="s">
        <v>1380</v>
      </c>
      <c r="M699" s="67" t="s">
        <v>416</v>
      </c>
      <c r="N699" s="67" t="s">
        <v>348</v>
      </c>
      <c r="O699" s="67"/>
      <c r="P699" s="57" t="s">
        <v>298</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59" t="n">
        <f aca="false">IF(ISNUMBER(Flights!$AY$25),MAX(Q699-UpliftWindowH/24,Flights!$AY$25+UpliftWindowH/24),Q699-UpliftWindowH/24)</f>
        <v>46325.03125</v>
      </c>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IF(N699="N/A – rule","N/A – RULE",IF(TRIM(U699)="N/A",IF(AT699=0,"INVALID – N/A not permitted for this mandatory check",IF(AND(TRIM(AC699)&lt;&gt;"",TRIM(AE699)&lt;&gt;"",TRIM(T699)&lt;&gt;"",TRIM(AE699)&lt;&gt;TRIM(T699)),"N/A – JUSTIFIED","INVALID – N/A needs justification, PIC and a different verifier")),IF(OR(TRIM(U699)="Pass",TRIM(U699)="Pass after CA"),IF(NOT(ISNUMBER(AD699)),"INVALID – completion time missing",IF(TRIM(T699)="","INVALID – PIC missing",IF(TRIM(V699)="","INVALID – result / assessment missing",IF(TRIM(Z699)="","INVALID – evidence missing",IF(TRIM(AE699)="","INVALID – verifier missing",IF(TRIM(AE699)=TRIM(T699),"INVALID – verifier must be someone other than the PIC",IF(AND(AQ699=1,TRIM(W699)=""),"INVALID – batch ID missing",IF(AND(AR699=1,OR(NOT(ISNUMBER(X699)),NOT(ISNUMBER(Y699)))),"INVALID – expected/actual qty missing",IF(IF(AND(TRIM(U699)="Pass",ISNUMBER(AF699)),IF(AF699&lt;&gt;0,"INVALID – qty variance: use Fail or Pass after CA",""),"")&amp;IF(AND(TRIM(U699)="Pass",TRIM(AB699)&lt;&gt;"",TRIM(AB699)&lt;&gt;"Closed"),"INVALID – corrective action not closed: use Fail, then Pass after CA","")&amp;IF(AND(TRIM(AA699)&lt;&gt;"",TRIM(AB699)=""),"INVALID – CA status missing for the recorded corrective action","")&amp;IF(AND(TRIM(U699)="Pass after CA",OR(TRIM(AA699)="",TRIM(AB699)&lt;&gt;"Closed")),"INVALID – corrective action not recorded/closed","")&lt;&gt;"",IF(AND(TRIM(U699)="Pass",ISNUMBER(AF699)),IF(AF699&lt;&gt;0,"INVALID – qty variance: use Fail or Pass after CA",""),"")&amp;IF(AND(TRIM(U699)="Pass",TRIM(AB699)&lt;&gt;"",TRIM(AB699)&lt;&gt;"Closed"),"INVALID – corrective action not closed: use Fail, then Pass after CA","")&amp;IF(AND(TRIM(AA699)&lt;&gt;"",TRIM(AB699)=""),"INVALID – CA status missing for the recorded corrective action","")&amp;IF(AND(TRIM(U699)="Pass after CA",OR(TRIM(AA699)="",TRIM(AB699)&lt;&gt;"Closed")),"INVALID – corrective action not recorded/closed",""),IF(AND(AS699=1,Documents!$J$25&lt;&gt;"ON FILE"),"INVALID – GLD not on file (Documents sheet)",IF(AND(AS699=2,Documents!$O$25&lt;&gt;"ON FILE"),"INVALID – menu checklist not on file (Documents sheet)",IF(AND(AS699=3,NOT(ISNUMBER(Flights!$AX$25))),"INVALID – enter carrying flight KUL departure (Flights AX)",IF(AND(AS699=3,OR(Flights!$AX$25&gt;=Flights!$AA$25,Flights!$AX$25&lt;Flights!$AA$25-3)),"INVALID – Flights AX must be before this leg's STD (within 3 days)",IF(AG699&gt;AsOfUTC,"INVALID – completion time is in the future",IF(AND(ISNUMBER(S699),AG699&lt;S699),IF(H699="Physical uplift","INVALID – before uplift window (cannot confirm loading)","INVALID – before valid window"),IF(AG699&gt;Flights!$AA$25,"INVALID – completed after departure (cannot establish readiness)",IF(AND(H699="Physical uplift",AG699&gt;Q699),"INVALID – recorded after the loading flight departed",IF(AG699&gt;Q699,"COMPLETE – LATE","COMPLETE")))))))))))))))))),IF(TRIM(U699)="Fail","FAIL – DISCREPANCY",IF(AND(TRIM(U699)&lt;&gt;"",TRIM(U699)&lt;&gt;"Not started",TRIM(U699)&lt;&gt;"In progress"),"INVALID – unrecognised status (use the list)",IF(AsOfUTC&gt;Q699,"OVERDUE",IF(N699="Clarification required","OPEN – CLARIFICATION","OPEN")))))))</f>
        <v>OPEN</v>
      </c>
      <c r="AI699" s="61" t="n">
        <f aca="false">IF(OR(AH699="N/A – RULE",AH699="N/A – JUSTIFIED"),0,1)</f>
        <v>1</v>
      </c>
      <c r="AJ699" s="61" t="n">
        <f aca="false">IF(LEFT(AH699,8)="COMPLETE",1,0)</f>
        <v>0</v>
      </c>
      <c r="AK699" s="61" t="n">
        <f aca="false">IF(AND(AI699=1,AJ699=0,AsOfUTC&gt;Q699),1,0)</f>
        <v>0</v>
      </c>
      <c r="AL699" s="61" t="n">
        <f aca="false">IF(AND(AI699=1,OR(TRIM(U699)="Fail",AND(TRIM(AB699)&lt;&gt;"",TRIM(AB699)&lt;&gt;"Closed"),AND(ISNUMBER(AF699),AF699&lt;&gt;0,TRIM(U699)&lt;&gt;"Pass after CA"))),1,0)</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8" t="b">
        <f aca="false">TRUE()</f>
        <v>1</v>
      </c>
    </row>
    <row r="700" customFormat="false" ht="39.75" hidden="false" customHeight="true" outlineLevel="0" collapsed="false">
      <c r="A700" s="57" t="s">
        <v>1396</v>
      </c>
      <c r="B700" s="57" t="s">
        <v>302</v>
      </c>
      <c r="C700" s="57" t="str">
        <f aca="false">Flights!$F$25</f>
        <v>MH1437</v>
      </c>
      <c r="D700" s="58" t="n">
        <f aca="false">Flights!$D$25</f>
        <v>46325</v>
      </c>
      <c r="E700" s="57" t="str">
        <f aca="false">Flights!$G$25&amp;"-"&amp;Flights!$H$25</f>
        <v>LGK-KUL</v>
      </c>
      <c r="F700" s="57" t="str">
        <f aca="false">Flights!$K$25</f>
        <v>BC</v>
      </c>
      <c r="G700" s="57" t="s">
        <v>424</v>
      </c>
      <c r="H700" s="57" t="s">
        <v>425</v>
      </c>
      <c r="I700" s="57" t="s">
        <v>412</v>
      </c>
      <c r="J700" s="57" t="s">
        <v>518</v>
      </c>
      <c r="K700" s="67" t="s">
        <v>414</v>
      </c>
      <c r="L700" s="67" t="s">
        <v>1382</v>
      </c>
      <c r="M700" s="67" t="s">
        <v>416</v>
      </c>
      <c r="N700" s="67" t="s">
        <v>348</v>
      </c>
      <c r="O700" s="67"/>
      <c r="P700" s="57" t="s">
        <v>298</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59" t="n">
        <f aca="false">IF(ISNUMBER(Flights!$AY$25),MAX(Q700-UpliftWindowH/24,Flights!$AY$25+UpliftWindowH/24),Q700-UpliftWindowH/24)</f>
        <v>46325.03125</v>
      </c>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IF(N700="N/A – rule","N/A – RULE",IF(TRIM(U700)="N/A",IF(AT700=0,"INVALID – N/A not permitted for this mandatory check",IF(AND(TRIM(AC700)&lt;&gt;"",TRIM(AE700)&lt;&gt;"",TRIM(T700)&lt;&gt;"",TRIM(AE700)&lt;&gt;TRIM(T700)),"N/A – JUSTIFIED","INVALID – N/A needs justification, PIC and a different verifier")),IF(OR(TRIM(U700)="Pass",TRIM(U700)="Pass after CA"),IF(NOT(ISNUMBER(AD700)),"INVALID – completion time missing",IF(TRIM(T700)="","INVALID – PIC missing",IF(TRIM(V700)="","INVALID – result / assessment missing",IF(TRIM(Z700)="","INVALID – evidence missing",IF(TRIM(AE700)="","INVALID – verifier missing",IF(TRIM(AE700)=TRIM(T700),"INVALID – verifier must be someone other than the PIC",IF(AND(AQ700=1,TRIM(W700)=""),"INVALID – batch ID missing",IF(AND(AR700=1,OR(NOT(ISNUMBER(X700)),NOT(ISNUMBER(Y700)))),"INVALID – expected/actual qty missing",IF(IF(AND(TRIM(U700)="Pass",ISNUMBER(AF700)),IF(AF700&lt;&gt;0,"INVALID – qty variance: use Fail or Pass after CA",""),"")&amp;IF(AND(TRIM(U700)="Pass",TRIM(AB700)&lt;&gt;"",TRIM(AB700)&lt;&gt;"Closed"),"INVALID – corrective action not closed: use Fail, then Pass after CA","")&amp;IF(AND(TRIM(AA700)&lt;&gt;"",TRIM(AB700)=""),"INVALID – CA status missing for the recorded corrective action","")&amp;IF(AND(TRIM(U700)="Pass after CA",OR(TRIM(AA700)="",TRIM(AB700)&lt;&gt;"Closed")),"INVALID – corrective action not recorded/closed","")&lt;&gt;"",IF(AND(TRIM(U700)="Pass",ISNUMBER(AF700)),IF(AF700&lt;&gt;0,"INVALID – qty variance: use Fail or Pass after CA",""),"")&amp;IF(AND(TRIM(U700)="Pass",TRIM(AB700)&lt;&gt;"",TRIM(AB700)&lt;&gt;"Closed"),"INVALID – corrective action not closed: use Fail, then Pass after CA","")&amp;IF(AND(TRIM(AA700)&lt;&gt;"",TRIM(AB700)=""),"INVALID – CA status missing for the recorded corrective action","")&amp;IF(AND(TRIM(U700)="Pass after CA",OR(TRIM(AA700)="",TRIM(AB700)&lt;&gt;"Closed")),"INVALID – corrective action not recorded/closed",""),IF(AND(AS700=1,Documents!$J$25&lt;&gt;"ON FILE"),"INVALID – GLD not on file (Documents sheet)",IF(AND(AS700=2,Documents!$O$25&lt;&gt;"ON FILE"),"INVALID – menu checklist not on file (Documents sheet)",IF(AND(AS700=3,NOT(ISNUMBER(Flights!$AX$25))),"INVALID – enter carrying flight KUL departure (Flights AX)",IF(AND(AS700=3,OR(Flights!$AX$25&gt;=Flights!$AA$25,Flights!$AX$25&lt;Flights!$AA$25-3)),"INVALID – Flights AX must be before this leg's STD (within 3 days)",IF(AG700&gt;AsOfUTC,"INVALID – completion time is in the future",IF(AND(ISNUMBER(S700),AG700&lt;S700),IF(H700="Physical uplift","INVALID – before uplift window (cannot confirm loading)","INVALID – before valid window"),IF(AG700&gt;Flights!$AA$25,"INVALID – completed after departure (cannot establish readiness)",IF(AND(H700="Physical uplift",AG700&gt;Q700),"INVALID – recorded after the loading flight departed",IF(AG700&gt;Q700,"COMPLETE – LATE","COMPLETE")))))))))))))))))),IF(TRIM(U700)="Fail","FAIL – DISCREPANCY",IF(AND(TRIM(U700)&lt;&gt;"",TRIM(U700)&lt;&gt;"Not started",TRIM(U700)&lt;&gt;"In progress"),"INVALID – unrecognised status (use the list)",IF(AsOfUTC&gt;Q700,"OVERDUE",IF(N700="Clarification required","OPEN – CLARIFICATION","OPEN")))))))</f>
        <v>OPEN</v>
      </c>
      <c r="AI700" s="61" t="n">
        <f aca="false">IF(OR(AH700="N/A – RULE",AH700="N/A – JUSTIFIED"),0,1)</f>
        <v>1</v>
      </c>
      <c r="AJ700" s="61" t="n">
        <f aca="false">IF(LEFT(AH700,8)="COMPLETE",1,0)</f>
        <v>0</v>
      </c>
      <c r="AK700" s="61" t="n">
        <f aca="false">IF(AND(AI700=1,AJ700=0,AsOfUTC&gt;Q700),1,0)</f>
        <v>0</v>
      </c>
      <c r="AL700" s="61" t="n">
        <f aca="false">IF(AND(AI700=1,OR(TRIM(U700)="Fail",AND(TRIM(AB700)&lt;&gt;"",TRIM(AB700)&lt;&gt;"Closed"),AND(ISNUMBER(AF700),AF700&lt;&gt;0,TRIM(U700)&lt;&gt;"Pass after CA"))),1,0)</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8" t="b">
        <f aca="false">TRUE()</f>
        <v>1</v>
      </c>
    </row>
    <row r="701" customFormat="false" ht="39.75" hidden="false" customHeight="true" outlineLevel="0" collapsed="false">
      <c r="A701" s="57" t="s">
        <v>1397</v>
      </c>
      <c r="B701" s="57" t="s">
        <v>302</v>
      </c>
      <c r="C701" s="57" t="str">
        <f aca="false">Flights!$F$25</f>
        <v>MH1437</v>
      </c>
      <c r="D701" s="58" t="n">
        <f aca="false">Flights!$D$25</f>
        <v>46325</v>
      </c>
      <c r="E701" s="57" t="str">
        <f aca="false">Flights!$G$25&amp;"-"&amp;Flights!$H$25</f>
        <v>LGK-KUL</v>
      </c>
      <c r="F701" s="57" t="str">
        <f aca="false">Flights!$K$25</f>
        <v>BC</v>
      </c>
      <c r="G701" s="57" t="s">
        <v>424</v>
      </c>
      <c r="H701" s="57" t="s">
        <v>425</v>
      </c>
      <c r="I701" s="57" t="s">
        <v>412</v>
      </c>
      <c r="J701" s="57" t="s">
        <v>520</v>
      </c>
      <c r="K701" s="67" t="s">
        <v>414</v>
      </c>
      <c r="L701" s="67" t="s">
        <v>1384</v>
      </c>
      <c r="M701" s="67" t="s">
        <v>416</v>
      </c>
      <c r="N701" s="67" t="s">
        <v>348</v>
      </c>
      <c r="O701" s="67"/>
      <c r="P701" s="57" t="s">
        <v>298</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59" t="n">
        <f aca="false">IF(ISNUMBER(Flights!$AY$25),MAX(Q701-UpliftWindowH/24,Flights!$AY$25+UpliftWindowH/24),Q701-UpliftWindowH/24)</f>
        <v>46325.03125</v>
      </c>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IF(N701="N/A – rule","N/A – RULE",IF(TRIM(U701)="N/A",IF(AT701=0,"INVALID – N/A not permitted for this mandatory check",IF(AND(TRIM(AC701)&lt;&gt;"",TRIM(AE701)&lt;&gt;"",TRIM(T701)&lt;&gt;"",TRIM(AE701)&lt;&gt;TRIM(T701)),"N/A – JUSTIFIED","INVALID – N/A needs justification, PIC and a different verifier")),IF(OR(TRIM(U701)="Pass",TRIM(U701)="Pass after CA"),IF(NOT(ISNUMBER(AD701)),"INVALID – completion time missing",IF(TRIM(T701)="","INVALID – PIC missing",IF(TRIM(V701)="","INVALID – result / assessment missing",IF(TRIM(Z701)="","INVALID – evidence missing",IF(TRIM(AE701)="","INVALID – verifier missing",IF(TRIM(AE701)=TRIM(T701),"INVALID – verifier must be someone other than the PIC",IF(AND(AQ701=1,TRIM(W701)=""),"INVALID – batch ID missing",IF(AND(AR701=1,OR(NOT(ISNUMBER(X701)),NOT(ISNUMBER(Y701)))),"INVALID – expected/actual qty missing",IF(IF(AND(TRIM(U701)="Pass",ISNUMBER(AF701)),IF(AF701&lt;&gt;0,"INVALID – qty variance: use Fail or Pass after CA",""),"")&amp;IF(AND(TRIM(U701)="Pass",TRIM(AB701)&lt;&gt;"",TRIM(AB701)&lt;&gt;"Closed"),"INVALID – corrective action not closed: use Fail, then Pass after CA","")&amp;IF(AND(TRIM(AA701)&lt;&gt;"",TRIM(AB701)=""),"INVALID – CA status missing for the recorded corrective action","")&amp;IF(AND(TRIM(U701)="Pass after CA",OR(TRIM(AA701)="",TRIM(AB701)&lt;&gt;"Closed")),"INVALID – corrective action not recorded/closed","")&lt;&gt;"",IF(AND(TRIM(U701)="Pass",ISNUMBER(AF701)),IF(AF701&lt;&gt;0,"INVALID – qty variance: use Fail or Pass after CA",""),"")&amp;IF(AND(TRIM(U701)="Pass",TRIM(AB701)&lt;&gt;"",TRIM(AB701)&lt;&gt;"Closed"),"INVALID – corrective action not closed: use Fail, then Pass after CA","")&amp;IF(AND(TRIM(AA701)&lt;&gt;"",TRIM(AB701)=""),"INVALID – CA status missing for the recorded corrective action","")&amp;IF(AND(TRIM(U701)="Pass after CA",OR(TRIM(AA701)="",TRIM(AB701)&lt;&gt;"Closed")),"INVALID – corrective action not recorded/closed",""),IF(AND(AS701=1,Documents!$J$25&lt;&gt;"ON FILE"),"INVALID – GLD not on file (Documents sheet)",IF(AND(AS701=2,Documents!$O$25&lt;&gt;"ON FILE"),"INVALID – menu checklist not on file (Documents sheet)",IF(AND(AS701=3,NOT(ISNUMBER(Flights!$AX$25))),"INVALID – enter carrying flight KUL departure (Flights AX)",IF(AND(AS701=3,OR(Flights!$AX$25&gt;=Flights!$AA$25,Flights!$AX$25&lt;Flights!$AA$25-3)),"INVALID – Flights AX must be before this leg's STD (within 3 days)",IF(AG701&gt;AsOfUTC,"INVALID – completion time is in the future",IF(AND(ISNUMBER(S701),AG701&lt;S701),IF(H701="Physical uplift","INVALID – before uplift window (cannot confirm loading)","INVALID – before valid window"),IF(AG701&gt;Flights!$AA$25,"INVALID – completed after departure (cannot establish readiness)",IF(AND(H701="Physical uplift",AG701&gt;Q701),"INVALID – recorded after the loading flight departed",IF(AG701&gt;Q701,"COMPLETE – LATE","COMPLETE")))))))))))))))))),IF(TRIM(U701)="Fail","FAIL – DISCREPANCY",IF(AND(TRIM(U701)&lt;&gt;"",TRIM(U701)&lt;&gt;"Not started",TRIM(U701)&lt;&gt;"In progress"),"INVALID – unrecognised status (use the list)",IF(AsOfUTC&gt;Q701,"OVERDUE",IF(N701="Clarification required","OPEN – CLARIFICATION","OPEN")))))))</f>
        <v>OPEN</v>
      </c>
      <c r="AI701" s="61" t="n">
        <f aca="false">IF(OR(AH701="N/A – RULE",AH701="N/A – JUSTIFIED"),0,1)</f>
        <v>1</v>
      </c>
      <c r="AJ701" s="61" t="n">
        <f aca="false">IF(LEFT(AH701,8)="COMPLETE",1,0)</f>
        <v>0</v>
      </c>
      <c r="AK701" s="61" t="n">
        <f aca="false">IF(AND(AI701=1,AJ701=0,AsOfUTC&gt;Q701),1,0)</f>
        <v>0</v>
      </c>
      <c r="AL701" s="61" t="n">
        <f aca="false">IF(AND(AI701=1,OR(TRIM(U701)="Fail",AND(TRIM(AB701)&lt;&gt;"",TRIM(AB701)&lt;&gt;"Closed"),AND(ISNUMBER(AF701),AF701&lt;&gt;0,TRIM(U701)&lt;&gt;"Pass after CA"))),1,0)</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8" t="b">
        <f aca="false">TRUE()</f>
        <v>1</v>
      </c>
    </row>
    <row r="702" customFormat="false" ht="39.75" hidden="false" customHeight="true" outlineLevel="0" collapsed="false">
      <c r="A702" s="57" t="s">
        <v>1398</v>
      </c>
      <c r="B702" s="57" t="s">
        <v>304</v>
      </c>
      <c r="C702" s="57" t="str">
        <f aca="false">Flights!$F$26</f>
        <v>MH0002</v>
      </c>
      <c r="D702" s="58" t="n">
        <f aca="false">Flights!$D$26</f>
        <v>46325</v>
      </c>
      <c r="E702" s="57" t="str">
        <f aca="false">Flights!$G$26&amp;"-"&amp;Flights!$H$26</f>
        <v>KUL-LHR</v>
      </c>
      <c r="F702" s="57" t="str">
        <f aca="false">Flights!$K$26</f>
        <v>BC</v>
      </c>
      <c r="G702" s="57" t="s">
        <v>76</v>
      </c>
      <c r="H702" s="57" t="s">
        <v>343</v>
      </c>
      <c r="I702" s="57" t="s">
        <v>344</v>
      </c>
      <c r="J702" s="57" t="s">
        <v>345</v>
      </c>
      <c r="K702" s="67" t="s">
        <v>346</v>
      </c>
      <c r="L702" s="67" t="s">
        <v>347</v>
      </c>
      <c r="M702" s="67"/>
      <c r="N702" s="67" t="s">
        <v>348</v>
      </c>
      <c r="O702" s="67"/>
      <c r="P702" s="57" t="s">
        <v>179</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59" t="n">
        <f aca="false">Q702-T7EarlyD*24/24</f>
        <v>46304.6388888889</v>
      </c>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IF(N702="N/A – rule","N/A – RULE",IF(TRIM(U702)="N/A",IF(AT702=0,"INVALID – N/A not permitted for this mandatory check",IF(AND(TRIM(AC702)&lt;&gt;"",TRIM(AE702)&lt;&gt;"",TRIM(T702)&lt;&gt;"",TRIM(AE702)&lt;&gt;TRIM(T702)),"N/A – JUSTIFIED","INVALID – N/A needs justification, PIC and a different verifier")),IF(OR(TRIM(U702)="Pass",TRIM(U702)="Pass after CA"),IF(NOT(ISNUMBER(AD702)),"INVALID – completion time missing",IF(TRIM(T702)="","INVALID – PIC missing",IF(TRIM(V702)="","INVALID – result / assessment missing",IF(TRIM(Z702)="","INVALID – evidence missing",IF(TRIM(AE702)="","INVALID – verifier missing",IF(TRIM(AE702)=TRIM(T702),"INVALID – verifier must be someone other than the PIC",IF(AND(AQ702=1,TRIM(W702)=""),"INVALID – batch ID missing",IF(AND(AR702=1,OR(NOT(ISNUMBER(X702)),NOT(ISNUMBER(Y702)))),"INVALID – expected/actual qty missing",IF(IF(AND(TRIM(U702)="Pass",ISNUMBER(AF702)),IF(AF702&lt;&gt;0,"INVALID – qty variance: use Fail or Pass after CA",""),"")&amp;IF(AND(TRIM(U702)="Pass",TRIM(AB702)&lt;&gt;"",TRIM(AB702)&lt;&gt;"Closed"),"INVALID – corrective action not closed: use Fail, then Pass after CA","")&amp;IF(AND(TRIM(AA702)&lt;&gt;"",TRIM(AB702)=""),"INVALID – CA status missing for the recorded corrective action","")&amp;IF(AND(TRIM(U702)="Pass after CA",OR(TRIM(AA702)="",TRIM(AB702)&lt;&gt;"Closed")),"INVALID – corrective action not recorded/closed","")&lt;&gt;"",IF(AND(TRIM(U702)="Pass",ISNUMBER(AF702)),IF(AF702&lt;&gt;0,"INVALID – qty variance: use Fail or Pass after CA",""),"")&amp;IF(AND(TRIM(U702)="Pass",TRIM(AB702)&lt;&gt;"",TRIM(AB702)&lt;&gt;"Closed"),"INVALID – corrective action not closed: use Fail, then Pass after CA","")&amp;IF(AND(TRIM(AA702)&lt;&gt;"",TRIM(AB702)=""),"INVALID – CA status missing for the recorded corrective action","")&amp;IF(AND(TRIM(U702)="Pass after CA",OR(TRIM(AA702)="",TRIM(AB702)&lt;&gt;"Closed")),"INVALID – corrective action not recorded/closed",""),IF(AND(AS702=1,Documents!$J$26&lt;&gt;"ON FILE"),"INVALID – GLD not on file (Documents sheet)",IF(AND(AS702=2,Documents!$O$26&lt;&gt;"ON FILE"),"INVALID – menu checklist not on file (Documents sheet)",IF(AND(AS702=3,NOT(ISNUMBER(Flights!$AX$26))),"INVALID – enter carrying flight KUL departure (Flights AX)",IF(AND(AS702=3,OR(Flights!$AX$26&gt;=Flights!$AA$26,Flights!$AX$26&lt;Flights!$AA$26-3)),"INVALID – Flights AX must be before this leg's STD (within 3 days)",IF(AG702&gt;AsOfUTC,"INVALID – completion time is in the future",IF(AND(ISNUMBER(S702),AG702&lt;S702),IF(H702="Physical uplift","INVALID – before uplift window (cannot confirm loading)","INVALID – before valid window"),IF(AG702&gt;Flights!$AA$26,"INVALID – completed after departure (cannot establish readiness)",IF(AND(H702="Physical uplift",AG702&gt;Q702),"INVALID – recorded after the loading flight departed",IF(AG702&gt;Q702,"COMPLETE – LATE","COMPLETE")))))))))))))))))),IF(TRIM(U702)="Fail","FAIL – DISCREPANCY",IF(AND(TRIM(U702)&lt;&gt;"",TRIM(U702)&lt;&gt;"Not started",TRIM(U702)&lt;&gt;"In progress"),"INVALID – unrecognised status (use the list)",IF(AsOfUTC&gt;Q702,"OVERDUE",IF(N702="Clarification required","OPEN – CLARIFICATION","OPEN")))))))</f>
        <v>OPEN</v>
      </c>
      <c r="AI702" s="61" t="n">
        <f aca="false">IF(OR(AH702="N/A – RULE",AH702="N/A – JUSTIFIED"),0,1)</f>
        <v>1</v>
      </c>
      <c r="AJ702" s="61" t="n">
        <f aca="false">IF(LEFT(AH702,8)="COMPLETE",1,0)</f>
        <v>0</v>
      </c>
      <c r="AK702" s="61" t="n">
        <f aca="false">IF(AND(AI702=1,AJ702=0,AsOfUTC&gt;Q702),1,0)</f>
        <v>0</v>
      </c>
      <c r="AL702" s="61" t="n">
        <f aca="false">IF(AND(AI702=1,OR(TRIM(U702)="Fail",AND(TRIM(AB702)&lt;&gt;"",TRIM(AB702)&lt;&gt;"Closed"),AND(ISNUMBER(AF702),AF702&lt;&gt;0,TRIM(U702)&lt;&gt;"Pass after CA"))),1,0)</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row>
    <row r="703" customFormat="false" ht="39.75" hidden="false" customHeight="true" outlineLevel="0" collapsed="false">
      <c r="A703" s="57" t="s">
        <v>1399</v>
      </c>
      <c r="B703" s="57" t="s">
        <v>304</v>
      </c>
      <c r="C703" s="57" t="str">
        <f aca="false">Flights!$F$26</f>
        <v>MH0002</v>
      </c>
      <c r="D703" s="58" t="n">
        <f aca="false">Flights!$D$26</f>
        <v>46325</v>
      </c>
      <c r="E703" s="57" t="str">
        <f aca="false">Flights!$G$26&amp;"-"&amp;Flights!$H$26</f>
        <v>KUL-LHR</v>
      </c>
      <c r="F703" s="57" t="str">
        <f aca="false">Flights!$K$26</f>
        <v>BC</v>
      </c>
      <c r="G703" s="57" t="s">
        <v>76</v>
      </c>
      <c r="H703" s="57" t="s">
        <v>343</v>
      </c>
      <c r="I703" s="57" t="s">
        <v>350</v>
      </c>
      <c r="J703" s="57" t="s">
        <v>351</v>
      </c>
      <c r="K703" s="67" t="s">
        <v>352</v>
      </c>
      <c r="L703" s="67" t="s">
        <v>347</v>
      </c>
      <c r="M703" s="67"/>
      <c r="N703" s="67" t="s">
        <v>348</v>
      </c>
      <c r="O703" s="67"/>
      <c r="P703" s="57" t="s">
        <v>179</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59" t="n">
        <f aca="false">Q703-T7EarlyD*24/24</f>
        <v>46304.6388888889</v>
      </c>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IF(N703="N/A – rule","N/A – RULE",IF(TRIM(U703)="N/A",IF(AT703=0,"INVALID – N/A not permitted for this mandatory check",IF(AND(TRIM(AC703)&lt;&gt;"",TRIM(AE703)&lt;&gt;"",TRIM(T703)&lt;&gt;"",TRIM(AE703)&lt;&gt;TRIM(T703)),"N/A – JUSTIFIED","INVALID – N/A needs justification, PIC and a different verifier")),IF(OR(TRIM(U703)="Pass",TRIM(U703)="Pass after CA"),IF(NOT(ISNUMBER(AD703)),"INVALID – completion time missing",IF(TRIM(T703)="","INVALID – PIC missing",IF(TRIM(V703)="","INVALID – result / assessment missing",IF(TRIM(Z703)="","INVALID – evidence missing",IF(TRIM(AE703)="","INVALID – verifier missing",IF(TRIM(AE703)=TRIM(T703),"INVALID – verifier must be someone other than the PIC",IF(AND(AQ703=1,TRIM(W703)=""),"INVALID – batch ID missing",IF(AND(AR703=1,OR(NOT(ISNUMBER(X703)),NOT(ISNUMBER(Y703)))),"INVALID – expected/actual qty missing",IF(IF(AND(TRIM(U703)="Pass",ISNUMBER(AF703)),IF(AF703&lt;&gt;0,"INVALID – qty variance: use Fail or Pass after CA",""),"")&amp;IF(AND(TRIM(U703)="Pass",TRIM(AB703)&lt;&gt;"",TRIM(AB703)&lt;&gt;"Closed"),"INVALID – corrective action not closed: use Fail, then Pass after CA","")&amp;IF(AND(TRIM(AA703)&lt;&gt;"",TRIM(AB703)=""),"INVALID – CA status missing for the recorded corrective action","")&amp;IF(AND(TRIM(U703)="Pass after CA",OR(TRIM(AA703)="",TRIM(AB703)&lt;&gt;"Closed")),"INVALID – corrective action not recorded/closed","")&lt;&gt;"",IF(AND(TRIM(U703)="Pass",ISNUMBER(AF703)),IF(AF703&lt;&gt;0,"INVALID – qty variance: use Fail or Pass after CA",""),"")&amp;IF(AND(TRIM(U703)="Pass",TRIM(AB703)&lt;&gt;"",TRIM(AB703)&lt;&gt;"Closed"),"INVALID – corrective action not closed: use Fail, then Pass after CA","")&amp;IF(AND(TRIM(AA703)&lt;&gt;"",TRIM(AB703)=""),"INVALID – CA status missing for the recorded corrective action","")&amp;IF(AND(TRIM(U703)="Pass after CA",OR(TRIM(AA703)="",TRIM(AB703)&lt;&gt;"Closed")),"INVALID – corrective action not recorded/closed",""),IF(AND(AS703=1,Documents!$J$26&lt;&gt;"ON FILE"),"INVALID – GLD not on file (Documents sheet)",IF(AND(AS703=2,Documents!$O$26&lt;&gt;"ON FILE"),"INVALID – menu checklist not on file (Documents sheet)",IF(AND(AS703=3,NOT(ISNUMBER(Flights!$AX$26))),"INVALID – enter carrying flight KUL departure (Flights AX)",IF(AND(AS703=3,OR(Flights!$AX$26&gt;=Flights!$AA$26,Flights!$AX$26&lt;Flights!$AA$26-3)),"INVALID – Flights AX must be before this leg's STD (within 3 days)",IF(AG703&gt;AsOfUTC,"INVALID – completion time is in the future",IF(AND(ISNUMBER(S703),AG703&lt;S703),IF(H703="Physical uplift","INVALID – before uplift window (cannot confirm loading)","INVALID – before valid window"),IF(AG703&gt;Flights!$AA$26,"INVALID – completed after departure (cannot establish readiness)",IF(AND(H703="Physical uplift",AG703&gt;Q703),"INVALID – recorded after the loading flight departed",IF(AG703&gt;Q703,"COMPLETE – LATE","COMPLETE")))))))))))))))))),IF(TRIM(U703)="Fail","FAIL – DISCREPANCY",IF(AND(TRIM(U703)&lt;&gt;"",TRIM(U703)&lt;&gt;"Not started",TRIM(U703)&lt;&gt;"In progress"),"INVALID – unrecognised status (use the list)",IF(AsOfUTC&gt;Q703,"OVERDUE",IF(N703="Clarification required","OPEN – CLARIFICATION","OPEN")))))))</f>
        <v>OPEN</v>
      </c>
      <c r="AI703" s="61" t="n">
        <f aca="false">IF(OR(AH703="N/A – RULE",AH703="N/A – JUSTIFIED"),0,1)</f>
        <v>1</v>
      </c>
      <c r="AJ703" s="61" t="n">
        <f aca="false">IF(LEFT(AH703,8)="COMPLETE",1,0)</f>
        <v>0</v>
      </c>
      <c r="AK703" s="61" t="n">
        <f aca="false">IF(AND(AI703=1,AJ703=0,AsOfUTC&gt;Q703),1,0)</f>
        <v>0</v>
      </c>
      <c r="AL703" s="61" t="n">
        <f aca="false">IF(AND(AI703=1,OR(TRIM(U703)="Fail",AND(TRIM(AB703)&lt;&gt;"",TRIM(AB703)&lt;&gt;"Closed"),AND(ISNUMBER(AF703),AF703&lt;&gt;0,TRIM(U703)&lt;&gt;"Pass after CA"))),1,0)</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8" t="b">
        <f aca="false">TRUE()</f>
        <v>1</v>
      </c>
    </row>
    <row r="704" customFormat="false" ht="41.25" hidden="false" customHeight="true" outlineLevel="0" collapsed="false">
      <c r="A704" s="57" t="s">
        <v>1400</v>
      </c>
      <c r="B704" s="57" t="s">
        <v>304</v>
      </c>
      <c r="C704" s="57" t="str">
        <f aca="false">Flights!$F$26</f>
        <v>MH0002</v>
      </c>
      <c r="D704" s="58" t="n">
        <f aca="false">Flights!$D$26</f>
        <v>46325</v>
      </c>
      <c r="E704" s="57" t="str">
        <f aca="false">Flights!$G$26&amp;"-"&amp;Flights!$H$26</f>
        <v>KUL-LHR</v>
      </c>
      <c r="F704" s="57" t="str">
        <f aca="false">Flights!$K$26</f>
        <v>BC</v>
      </c>
      <c r="G704" s="57" t="s">
        <v>76</v>
      </c>
      <c r="H704" s="57" t="s">
        <v>343</v>
      </c>
      <c r="I704" s="57" t="s">
        <v>354</v>
      </c>
      <c r="J704" s="57" t="s">
        <v>355</v>
      </c>
      <c r="K704" s="67" t="s">
        <v>356</v>
      </c>
      <c r="L704" s="67" t="s">
        <v>347</v>
      </c>
      <c r="M704" s="67"/>
      <c r="N704" s="67" t="str">
        <f aca="false">IF(TRIM(Flights!$L$26)="A339","Required","N/A – rule")</f>
        <v>N/A – rule</v>
      </c>
      <c r="O704" s="67" t="s">
        <v>357</v>
      </c>
      <c r="P704" s="57" t="s">
        <v>179</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59" t="n">
        <f aca="false">Q704-T7EarlyD*24/24</f>
        <v>46304.6388888889</v>
      </c>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IF(N704="N/A – rule","N/A – RULE",IF(TRIM(U704)="N/A",IF(AT704=0,"INVALID – N/A not permitted for this mandatory check",IF(AND(TRIM(AC704)&lt;&gt;"",TRIM(AE704)&lt;&gt;"",TRIM(T704)&lt;&gt;"",TRIM(AE704)&lt;&gt;TRIM(T704)),"N/A – JUSTIFIED","INVALID – N/A needs justification, PIC and a different verifier")),IF(OR(TRIM(U704)="Pass",TRIM(U704)="Pass after CA"),IF(NOT(ISNUMBER(AD704)),"INVALID – completion time missing",IF(TRIM(T704)="","INVALID – PIC missing",IF(TRIM(V704)="","INVALID – result / assessment missing",IF(TRIM(Z704)="","INVALID – evidence missing",IF(TRIM(AE704)="","INVALID – verifier missing",IF(TRIM(AE704)=TRIM(T704),"INVALID – verifier must be someone other than the PIC",IF(AND(AQ704=1,TRIM(W704)=""),"INVALID – batch ID missing",IF(AND(AR704=1,OR(NOT(ISNUMBER(X704)),NOT(ISNUMBER(Y704)))),"INVALID – expected/actual qty missing",IF(IF(AND(TRIM(U704)="Pass",ISNUMBER(AF704)),IF(AF704&lt;&gt;0,"INVALID – qty variance: use Fail or Pass after CA",""),"")&amp;IF(AND(TRIM(U704)="Pass",TRIM(AB704)&lt;&gt;"",TRIM(AB704)&lt;&gt;"Closed"),"INVALID – corrective action not closed: use Fail, then Pass after CA","")&amp;IF(AND(TRIM(AA704)&lt;&gt;"",TRIM(AB704)=""),"INVALID – CA status missing for the recorded corrective action","")&amp;IF(AND(TRIM(U704)="Pass after CA",OR(TRIM(AA704)="",TRIM(AB704)&lt;&gt;"Closed")),"INVALID – corrective action not recorded/closed","")&lt;&gt;"",IF(AND(TRIM(U704)="Pass",ISNUMBER(AF704)),IF(AF704&lt;&gt;0,"INVALID – qty variance: use Fail or Pass after CA",""),"")&amp;IF(AND(TRIM(U704)="Pass",TRIM(AB704)&lt;&gt;"",TRIM(AB704)&lt;&gt;"Closed"),"INVALID – corrective action not closed: use Fail, then Pass after CA","")&amp;IF(AND(TRIM(AA704)&lt;&gt;"",TRIM(AB704)=""),"INVALID – CA status missing for the recorded corrective action","")&amp;IF(AND(TRIM(U704)="Pass after CA",OR(TRIM(AA704)="",TRIM(AB704)&lt;&gt;"Closed")),"INVALID – corrective action not recorded/closed",""),IF(AND(AS704=1,Documents!$J$26&lt;&gt;"ON FILE"),"INVALID – GLD not on file (Documents sheet)",IF(AND(AS704=2,Documents!$O$26&lt;&gt;"ON FILE"),"INVALID – menu checklist not on file (Documents sheet)",IF(AND(AS704=3,NOT(ISNUMBER(Flights!$AX$26))),"INVALID – enter carrying flight KUL departure (Flights AX)",IF(AND(AS704=3,OR(Flights!$AX$26&gt;=Flights!$AA$26,Flights!$AX$26&lt;Flights!$AA$26-3)),"INVALID – Flights AX must be before this leg's STD (within 3 days)",IF(AG704&gt;AsOfUTC,"INVALID – completion time is in the future",IF(AND(ISNUMBER(S704),AG704&lt;S704),IF(H704="Physical uplift","INVALID – before uplift window (cannot confirm loading)","INVALID – before valid window"),IF(AG704&gt;Flights!$AA$26,"INVALID – completed after departure (cannot establish readiness)",IF(AND(H704="Physical uplift",AG704&gt;Q704),"INVALID – recorded after the loading flight departed",IF(AG704&gt;Q704,"COMPLETE – LATE","COMPLETE")))))))))))))))))),IF(TRIM(U704)="Fail","FAIL – DISCREPANCY",IF(AND(TRIM(U704)&lt;&gt;"",TRIM(U704)&lt;&gt;"Not started",TRIM(U704)&lt;&gt;"In progress"),"INVALID – unrecognised status (use the list)",IF(AsOfUTC&gt;Q704,"OVERDUE",IF(N704="Clarification required","OPEN – CLARIFICATION","OPEN")))))))</f>
        <v>N/A – RULE</v>
      </c>
      <c r="AI704" s="61" t="n">
        <f aca="false">IF(OR(AH704="N/A – RULE",AH704="N/A – JUSTIFIED"),0,1)</f>
        <v>0</v>
      </c>
      <c r="AJ704" s="61" t="n">
        <f aca="false">IF(LEFT(AH704,8)="COMPLETE",1,0)</f>
        <v>0</v>
      </c>
      <c r="AK704" s="61" t="n">
        <f aca="false">IF(AND(AI704=1,AJ704=0,AsOfUTC&gt;Q704),1,0)</f>
        <v>0</v>
      </c>
      <c r="AL704" s="61" t="n">
        <f aca="false">IF(AND(AI704=1,OR(TRIM(U704)="Fail",AND(TRIM(AB704)&lt;&gt;"",TRIM(AB704)&lt;&gt;"Closed"),AND(ISNUMBER(AF704),AF704&lt;&gt;0,TRIM(U704)&lt;&gt;"Pass after CA"))),1,0)</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row>
    <row r="705" customFormat="false" ht="39.75" hidden="false" customHeight="true" outlineLevel="0" collapsed="false">
      <c r="A705" s="57" t="s">
        <v>1401</v>
      </c>
      <c r="B705" s="57" t="s">
        <v>304</v>
      </c>
      <c r="C705" s="57" t="str">
        <f aca="false">Flights!$F$26</f>
        <v>MH0002</v>
      </c>
      <c r="D705" s="58" t="n">
        <f aca="false">Flights!$D$26</f>
        <v>46325</v>
      </c>
      <c r="E705" s="57" t="str">
        <f aca="false">Flights!$G$26&amp;"-"&amp;Flights!$H$26</f>
        <v>KUL-LHR</v>
      </c>
      <c r="F705" s="57" t="str">
        <f aca="false">Flights!$K$26</f>
        <v>BC</v>
      </c>
      <c r="G705" s="57" t="s">
        <v>76</v>
      </c>
      <c r="H705" s="57" t="s">
        <v>343</v>
      </c>
      <c r="I705" s="57" t="s">
        <v>359</v>
      </c>
      <c r="J705" s="57" t="s">
        <v>360</v>
      </c>
      <c r="K705" s="67" t="s">
        <v>361</v>
      </c>
      <c r="L705" s="67" t="s">
        <v>347</v>
      </c>
      <c r="M705" s="67"/>
      <c r="N705" s="67" t="s">
        <v>348</v>
      </c>
      <c r="O705" s="67"/>
      <c r="P705" s="57" t="s">
        <v>179</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59" t="n">
        <f aca="false">Q705-T7EarlyD*24/24</f>
        <v>46304.6388888889</v>
      </c>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IF(N705="N/A – rule","N/A – RULE",IF(TRIM(U705)="N/A",IF(AT705=0,"INVALID – N/A not permitted for this mandatory check",IF(AND(TRIM(AC705)&lt;&gt;"",TRIM(AE705)&lt;&gt;"",TRIM(T705)&lt;&gt;"",TRIM(AE705)&lt;&gt;TRIM(T705)),"N/A – JUSTIFIED","INVALID – N/A needs justification, PIC and a different verifier")),IF(OR(TRIM(U705)="Pass",TRIM(U705)="Pass after CA"),IF(NOT(ISNUMBER(AD705)),"INVALID – completion time missing",IF(TRIM(T705)="","INVALID – PIC missing",IF(TRIM(V705)="","INVALID – result / assessment missing",IF(TRIM(Z705)="","INVALID – evidence missing",IF(TRIM(AE705)="","INVALID – verifier missing",IF(TRIM(AE705)=TRIM(T705),"INVALID – verifier must be someone other than the PIC",IF(AND(AQ705=1,TRIM(W705)=""),"INVALID – batch ID missing",IF(AND(AR705=1,OR(NOT(ISNUMBER(X705)),NOT(ISNUMBER(Y705)))),"INVALID – expected/actual qty missing",IF(IF(AND(TRIM(U705)="Pass",ISNUMBER(AF705)),IF(AF705&lt;&gt;0,"INVALID – qty variance: use Fail or Pass after CA",""),"")&amp;IF(AND(TRIM(U705)="Pass",TRIM(AB705)&lt;&gt;"",TRIM(AB705)&lt;&gt;"Closed"),"INVALID – corrective action not closed: use Fail, then Pass after CA","")&amp;IF(AND(TRIM(AA705)&lt;&gt;"",TRIM(AB705)=""),"INVALID – CA status missing for the recorded corrective action","")&amp;IF(AND(TRIM(U705)="Pass after CA",OR(TRIM(AA705)="",TRIM(AB705)&lt;&gt;"Closed")),"INVALID – corrective action not recorded/closed","")&lt;&gt;"",IF(AND(TRIM(U705)="Pass",ISNUMBER(AF705)),IF(AF705&lt;&gt;0,"INVALID – qty variance: use Fail or Pass after CA",""),"")&amp;IF(AND(TRIM(U705)="Pass",TRIM(AB705)&lt;&gt;"",TRIM(AB705)&lt;&gt;"Closed"),"INVALID – corrective action not closed: use Fail, then Pass after CA","")&amp;IF(AND(TRIM(AA705)&lt;&gt;"",TRIM(AB705)=""),"INVALID – CA status missing for the recorded corrective action","")&amp;IF(AND(TRIM(U705)="Pass after CA",OR(TRIM(AA705)="",TRIM(AB705)&lt;&gt;"Closed")),"INVALID – corrective action not recorded/closed",""),IF(AND(AS705=1,Documents!$J$26&lt;&gt;"ON FILE"),"INVALID – GLD not on file (Documents sheet)",IF(AND(AS705=2,Documents!$O$26&lt;&gt;"ON FILE"),"INVALID – menu checklist not on file (Documents sheet)",IF(AND(AS705=3,NOT(ISNUMBER(Flights!$AX$26))),"INVALID – enter carrying flight KUL departure (Flights AX)",IF(AND(AS705=3,OR(Flights!$AX$26&gt;=Flights!$AA$26,Flights!$AX$26&lt;Flights!$AA$26-3)),"INVALID – Flights AX must be before this leg's STD (within 3 days)",IF(AG705&gt;AsOfUTC,"INVALID – completion time is in the future",IF(AND(ISNUMBER(S705),AG705&lt;S705),IF(H705="Physical uplift","INVALID – before uplift window (cannot confirm loading)","INVALID – before valid window"),IF(AG705&gt;Flights!$AA$26,"INVALID – completed after departure (cannot establish readiness)",IF(AND(H705="Physical uplift",AG705&gt;Q705),"INVALID – recorded after the loading flight departed",IF(AG705&gt;Q705,"COMPLETE – LATE","COMPLETE")))))))))))))))))),IF(TRIM(U705)="Fail","FAIL – DISCREPANCY",IF(AND(TRIM(U705)&lt;&gt;"",TRIM(U705)&lt;&gt;"Not started",TRIM(U705)&lt;&gt;"In progress"),"INVALID – unrecognised status (use the list)",IF(AsOfUTC&gt;Q705,"OVERDUE",IF(N705="Clarification required","OPEN – CLARIFICATION","OPEN")))))))</f>
        <v>OPEN</v>
      </c>
      <c r="AI705" s="61" t="n">
        <f aca="false">IF(OR(AH705="N/A – RULE",AH705="N/A – JUSTIFIED"),0,1)</f>
        <v>1</v>
      </c>
      <c r="AJ705" s="61" t="n">
        <f aca="false">IF(LEFT(AH705,8)="COMPLETE",1,0)</f>
        <v>0</v>
      </c>
      <c r="AK705" s="61" t="n">
        <f aca="false">IF(AND(AI705=1,AJ705=0,AsOfUTC&gt;Q705),1,0)</f>
        <v>0</v>
      </c>
      <c r="AL705" s="61" t="n">
        <f aca="false">IF(AND(AI705=1,OR(TRIM(U705)="Fail",AND(TRIM(AB705)&lt;&gt;"",TRIM(AB705)&lt;&gt;"Closed"),AND(ISNUMBER(AF705),AF705&lt;&gt;0,TRIM(U705)&lt;&gt;"Pass after CA"))),1,0)</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row>
    <row r="706" customFormat="false" ht="39.75" hidden="false" customHeight="true" outlineLevel="0" collapsed="false">
      <c r="A706" s="57" t="s">
        <v>1402</v>
      </c>
      <c r="B706" s="57" t="s">
        <v>304</v>
      </c>
      <c r="C706" s="57" t="str">
        <f aca="false">Flights!$F$26</f>
        <v>MH0002</v>
      </c>
      <c r="D706" s="58" t="n">
        <f aca="false">Flights!$D$26</f>
        <v>46325</v>
      </c>
      <c r="E706" s="57" t="str">
        <f aca="false">Flights!$G$26&amp;"-"&amp;Flights!$H$26</f>
        <v>KUL-LHR</v>
      </c>
      <c r="F706" s="57" t="str">
        <f aca="false">Flights!$K$26</f>
        <v>BC</v>
      </c>
      <c r="G706" s="57" t="s">
        <v>76</v>
      </c>
      <c r="H706" s="57" t="s">
        <v>343</v>
      </c>
      <c r="I706" s="57" t="s">
        <v>363</v>
      </c>
      <c r="J706" s="57" t="s">
        <v>364</v>
      </c>
      <c r="K706" s="67" t="s">
        <v>365</v>
      </c>
      <c r="L706" s="67" t="s">
        <v>347</v>
      </c>
      <c r="M706" s="67"/>
      <c r="N706" s="67" t="s">
        <v>348</v>
      </c>
      <c r="O706" s="67"/>
      <c r="P706" s="57" t="s">
        <v>179</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59" t="n">
        <f aca="false">Q706-T7EarlyD*24/24</f>
        <v>46304.6388888889</v>
      </c>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IF(N706="N/A – rule","N/A – RULE",IF(TRIM(U706)="N/A",IF(AT706=0,"INVALID – N/A not permitted for this mandatory check",IF(AND(TRIM(AC706)&lt;&gt;"",TRIM(AE706)&lt;&gt;"",TRIM(T706)&lt;&gt;"",TRIM(AE706)&lt;&gt;TRIM(T706)),"N/A – JUSTIFIED","INVALID – N/A needs justification, PIC and a different verifier")),IF(OR(TRIM(U706)="Pass",TRIM(U706)="Pass after CA"),IF(NOT(ISNUMBER(AD706)),"INVALID – completion time missing",IF(TRIM(T706)="","INVALID – PIC missing",IF(TRIM(V706)="","INVALID – result / assessment missing",IF(TRIM(Z706)="","INVALID – evidence missing",IF(TRIM(AE706)="","INVALID – verifier missing",IF(TRIM(AE706)=TRIM(T706),"INVALID – verifier must be someone other than the PIC",IF(AND(AQ706=1,TRIM(W706)=""),"INVALID – batch ID missing",IF(AND(AR706=1,OR(NOT(ISNUMBER(X706)),NOT(ISNUMBER(Y706)))),"INVALID – expected/actual qty missing",IF(IF(AND(TRIM(U706)="Pass",ISNUMBER(AF706)),IF(AF706&lt;&gt;0,"INVALID – qty variance: use Fail or Pass after CA",""),"")&amp;IF(AND(TRIM(U706)="Pass",TRIM(AB706)&lt;&gt;"",TRIM(AB706)&lt;&gt;"Closed"),"INVALID – corrective action not closed: use Fail, then Pass after CA","")&amp;IF(AND(TRIM(AA706)&lt;&gt;"",TRIM(AB706)=""),"INVALID – CA status missing for the recorded corrective action","")&amp;IF(AND(TRIM(U706)="Pass after CA",OR(TRIM(AA706)="",TRIM(AB706)&lt;&gt;"Closed")),"INVALID – corrective action not recorded/closed","")&lt;&gt;"",IF(AND(TRIM(U706)="Pass",ISNUMBER(AF706)),IF(AF706&lt;&gt;0,"INVALID – qty variance: use Fail or Pass after CA",""),"")&amp;IF(AND(TRIM(U706)="Pass",TRIM(AB706)&lt;&gt;"",TRIM(AB706)&lt;&gt;"Closed"),"INVALID – corrective action not closed: use Fail, then Pass after CA","")&amp;IF(AND(TRIM(AA706)&lt;&gt;"",TRIM(AB706)=""),"INVALID – CA status missing for the recorded corrective action","")&amp;IF(AND(TRIM(U706)="Pass after CA",OR(TRIM(AA706)="",TRIM(AB706)&lt;&gt;"Closed")),"INVALID – corrective action not recorded/closed",""),IF(AND(AS706=1,Documents!$J$26&lt;&gt;"ON FILE"),"INVALID – GLD not on file (Documents sheet)",IF(AND(AS706=2,Documents!$O$26&lt;&gt;"ON FILE"),"INVALID – menu checklist not on file (Documents sheet)",IF(AND(AS706=3,NOT(ISNUMBER(Flights!$AX$26))),"INVALID – enter carrying flight KUL departure (Flights AX)",IF(AND(AS706=3,OR(Flights!$AX$26&gt;=Flights!$AA$26,Flights!$AX$26&lt;Flights!$AA$26-3)),"INVALID – Flights AX must be before this leg's STD (within 3 days)",IF(AG706&gt;AsOfUTC,"INVALID – completion time is in the future",IF(AND(ISNUMBER(S706),AG706&lt;S706),IF(H706="Physical uplift","INVALID – before uplift window (cannot confirm loading)","INVALID – before valid window"),IF(AG706&gt;Flights!$AA$26,"INVALID – completed after departure (cannot establish readiness)",IF(AND(H706="Physical uplift",AG706&gt;Q706),"INVALID – recorded after the loading flight departed",IF(AG706&gt;Q706,"COMPLETE – LATE","COMPLETE")))))))))))))))))),IF(TRIM(U706)="Fail","FAIL – DISCREPANCY",IF(AND(TRIM(U706)&lt;&gt;"",TRIM(U706)&lt;&gt;"Not started",TRIM(U706)&lt;&gt;"In progress"),"INVALID – unrecognised status (use the list)",IF(AsOfUTC&gt;Q706,"OVERDUE",IF(N706="Clarification required","OPEN – CLARIFICATION","OPEN")))))))</f>
        <v>OPEN</v>
      </c>
      <c r="AI706" s="61" t="n">
        <f aca="false">IF(OR(AH706="N/A – RULE",AH706="N/A – JUSTIFIED"),0,1)</f>
        <v>1</v>
      </c>
      <c r="AJ706" s="61" t="n">
        <f aca="false">IF(LEFT(AH706,8)="COMPLETE",1,0)</f>
        <v>0</v>
      </c>
      <c r="AK706" s="61" t="n">
        <f aca="false">IF(AND(AI706=1,AJ706=0,AsOfUTC&gt;Q706),1,0)</f>
        <v>0</v>
      </c>
      <c r="AL706" s="61" t="n">
        <f aca="false">IF(AND(AI706=1,OR(TRIM(U706)="Fail",AND(TRIM(AB706)&lt;&gt;"",TRIM(AB706)&lt;&gt;"Closed"),AND(ISNUMBER(AF706),AF706&lt;&gt;0,TRIM(U706)&lt;&gt;"Pass after CA"))),1,0)</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row>
    <row r="707" customFormat="false" ht="39.75" hidden="false" customHeight="true" outlineLevel="0" collapsed="false">
      <c r="A707" s="57" t="s">
        <v>1403</v>
      </c>
      <c r="B707" s="57" t="s">
        <v>304</v>
      </c>
      <c r="C707" s="57" t="str">
        <f aca="false">Flights!$F$26</f>
        <v>MH0002</v>
      </c>
      <c r="D707" s="58" t="n">
        <f aca="false">Flights!$D$26</f>
        <v>46325</v>
      </c>
      <c r="E707" s="57" t="str">
        <f aca="false">Flights!$G$26&amp;"-"&amp;Flights!$H$26</f>
        <v>KUL-LHR</v>
      </c>
      <c r="F707" s="57" t="str">
        <f aca="false">Flights!$K$26</f>
        <v>BC</v>
      </c>
      <c r="G707" s="57" t="s">
        <v>76</v>
      </c>
      <c r="H707" s="57" t="s">
        <v>343</v>
      </c>
      <c r="I707" s="57" t="s">
        <v>363</v>
      </c>
      <c r="J707" s="57" t="s">
        <v>367</v>
      </c>
      <c r="K707" s="67" t="s">
        <v>368</v>
      </c>
      <c r="L707" s="67" t="s">
        <v>347</v>
      </c>
      <c r="M707" s="67"/>
      <c r="N707" s="67" t="s">
        <v>348</v>
      </c>
      <c r="O707" s="67"/>
      <c r="P707" s="57" t="s">
        <v>179</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59" t="n">
        <f aca="false">Q707-T7EarlyD*24/24</f>
        <v>46304.6388888889</v>
      </c>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IF(N707="N/A – rule","N/A – RULE",IF(TRIM(U707)="N/A",IF(AT707=0,"INVALID – N/A not permitted for this mandatory check",IF(AND(TRIM(AC707)&lt;&gt;"",TRIM(AE707)&lt;&gt;"",TRIM(T707)&lt;&gt;"",TRIM(AE707)&lt;&gt;TRIM(T707)),"N/A – JUSTIFIED","INVALID – N/A needs justification, PIC and a different verifier")),IF(OR(TRIM(U707)="Pass",TRIM(U707)="Pass after CA"),IF(NOT(ISNUMBER(AD707)),"INVALID – completion time missing",IF(TRIM(T707)="","INVALID – PIC missing",IF(TRIM(V707)="","INVALID – result / assessment missing",IF(TRIM(Z707)="","INVALID – evidence missing",IF(TRIM(AE707)="","INVALID – verifier missing",IF(TRIM(AE707)=TRIM(T707),"INVALID – verifier must be someone other than the PIC",IF(AND(AQ707=1,TRIM(W707)=""),"INVALID – batch ID missing",IF(AND(AR707=1,OR(NOT(ISNUMBER(X707)),NOT(ISNUMBER(Y707)))),"INVALID – expected/actual qty missing",IF(IF(AND(TRIM(U707)="Pass",ISNUMBER(AF707)),IF(AF707&lt;&gt;0,"INVALID – qty variance: use Fail or Pass after CA",""),"")&amp;IF(AND(TRIM(U707)="Pass",TRIM(AB707)&lt;&gt;"",TRIM(AB707)&lt;&gt;"Closed"),"INVALID – corrective action not closed: use Fail, then Pass after CA","")&amp;IF(AND(TRIM(AA707)&lt;&gt;"",TRIM(AB707)=""),"INVALID – CA status missing for the recorded corrective action","")&amp;IF(AND(TRIM(U707)="Pass after CA",OR(TRIM(AA707)="",TRIM(AB707)&lt;&gt;"Closed")),"INVALID – corrective action not recorded/closed","")&lt;&gt;"",IF(AND(TRIM(U707)="Pass",ISNUMBER(AF707)),IF(AF707&lt;&gt;0,"INVALID – qty variance: use Fail or Pass after CA",""),"")&amp;IF(AND(TRIM(U707)="Pass",TRIM(AB707)&lt;&gt;"",TRIM(AB707)&lt;&gt;"Closed"),"INVALID – corrective action not closed: use Fail, then Pass after CA","")&amp;IF(AND(TRIM(AA707)&lt;&gt;"",TRIM(AB707)=""),"INVALID – CA status missing for the recorded corrective action","")&amp;IF(AND(TRIM(U707)="Pass after CA",OR(TRIM(AA707)="",TRIM(AB707)&lt;&gt;"Closed")),"INVALID – corrective action not recorded/closed",""),IF(AND(AS707=1,Documents!$J$26&lt;&gt;"ON FILE"),"INVALID – GLD not on file (Documents sheet)",IF(AND(AS707=2,Documents!$O$26&lt;&gt;"ON FILE"),"INVALID – menu checklist not on file (Documents sheet)",IF(AND(AS707=3,NOT(ISNUMBER(Flights!$AX$26))),"INVALID – enter carrying flight KUL departure (Flights AX)",IF(AND(AS707=3,OR(Flights!$AX$26&gt;=Flights!$AA$26,Flights!$AX$26&lt;Flights!$AA$26-3)),"INVALID – Flights AX must be before this leg's STD (within 3 days)",IF(AG707&gt;AsOfUTC,"INVALID – completion time is in the future",IF(AND(ISNUMBER(S707),AG707&lt;S707),IF(H707="Physical uplift","INVALID – before uplift window (cannot confirm loading)","INVALID – before valid window"),IF(AG707&gt;Flights!$AA$26,"INVALID – completed after departure (cannot establish readiness)",IF(AND(H707="Physical uplift",AG707&gt;Q707),"INVALID – recorded after the loading flight departed",IF(AG707&gt;Q707,"COMPLETE – LATE","COMPLETE")))))))))))))))))),IF(TRIM(U707)="Fail","FAIL – DISCREPANCY",IF(AND(TRIM(U707)&lt;&gt;"",TRIM(U707)&lt;&gt;"Not started",TRIM(U707)&lt;&gt;"In progress"),"INVALID – unrecognised status (use the list)",IF(AsOfUTC&gt;Q707,"OVERDUE",IF(N707="Clarification required","OPEN – CLARIFICATION","OPEN")))))))</f>
        <v>OPEN</v>
      </c>
      <c r="AI707" s="61" t="n">
        <f aca="false">IF(OR(AH707="N/A – RULE",AH707="N/A – JUSTIFIED"),0,1)</f>
        <v>1</v>
      </c>
      <c r="AJ707" s="61" t="n">
        <f aca="false">IF(LEFT(AH707,8)="COMPLETE",1,0)</f>
        <v>0</v>
      </c>
      <c r="AK707" s="61" t="n">
        <f aca="false">IF(AND(AI707=1,AJ707=0,AsOfUTC&gt;Q707),1,0)</f>
        <v>0</v>
      </c>
      <c r="AL707" s="61" t="n">
        <f aca="false">IF(AND(AI707=1,OR(TRIM(U707)="Fail",AND(TRIM(AB707)&lt;&gt;"",TRIM(AB707)&lt;&gt;"Closed"),AND(ISNUMBER(AF707),AF707&lt;&gt;0,TRIM(U707)&lt;&gt;"Pass after CA"))),1,0)</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row>
    <row r="708" customFormat="false" ht="39.75" hidden="false" customHeight="true" outlineLevel="0" collapsed="false">
      <c r="A708" s="57" t="s">
        <v>1404</v>
      </c>
      <c r="B708" s="57" t="s">
        <v>304</v>
      </c>
      <c r="C708" s="57" t="str">
        <f aca="false">Flights!$F$26</f>
        <v>MH0002</v>
      </c>
      <c r="D708" s="58" t="n">
        <f aca="false">Flights!$D$26</f>
        <v>46325</v>
      </c>
      <c r="E708" s="57" t="str">
        <f aca="false">Flights!$G$26&amp;"-"&amp;Flights!$H$26</f>
        <v>KUL-LHR</v>
      </c>
      <c r="F708" s="57" t="str">
        <f aca="false">Flights!$K$26</f>
        <v>BC</v>
      </c>
      <c r="G708" s="57" t="s">
        <v>76</v>
      </c>
      <c r="H708" s="57" t="s">
        <v>343</v>
      </c>
      <c r="I708" s="57" t="s">
        <v>370</v>
      </c>
      <c r="J708" s="57" t="s">
        <v>371</v>
      </c>
      <c r="K708" s="67" t="s">
        <v>372</v>
      </c>
      <c r="L708" s="67" t="s">
        <v>347</v>
      </c>
      <c r="M708" s="67"/>
      <c r="N708" s="67" t="s">
        <v>348</v>
      </c>
      <c r="O708" s="67"/>
      <c r="P708" s="57" t="s">
        <v>179</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59" t="n">
        <f aca="false">Q708-T7EarlyD*24/24</f>
        <v>46304.6388888889</v>
      </c>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IF(N708="N/A – rule","N/A – RULE",IF(TRIM(U708)="N/A",IF(AT708=0,"INVALID – N/A not permitted for this mandatory check",IF(AND(TRIM(AC708)&lt;&gt;"",TRIM(AE708)&lt;&gt;"",TRIM(T708)&lt;&gt;"",TRIM(AE708)&lt;&gt;TRIM(T708)),"N/A – JUSTIFIED","INVALID – N/A needs justification, PIC and a different verifier")),IF(OR(TRIM(U708)="Pass",TRIM(U708)="Pass after CA"),IF(NOT(ISNUMBER(AD708)),"INVALID – completion time missing",IF(TRIM(T708)="","INVALID – PIC missing",IF(TRIM(V708)="","INVALID – result / assessment missing",IF(TRIM(Z708)="","INVALID – evidence missing",IF(TRIM(AE708)="","INVALID – verifier missing",IF(TRIM(AE708)=TRIM(T708),"INVALID – verifier must be someone other than the PIC",IF(AND(AQ708=1,TRIM(W708)=""),"INVALID – batch ID missing",IF(AND(AR708=1,OR(NOT(ISNUMBER(X708)),NOT(ISNUMBER(Y708)))),"INVALID – expected/actual qty missing",IF(IF(AND(TRIM(U708)="Pass",ISNUMBER(AF708)),IF(AF708&lt;&gt;0,"INVALID – qty variance: use Fail or Pass after CA",""),"")&amp;IF(AND(TRIM(U708)="Pass",TRIM(AB708)&lt;&gt;"",TRIM(AB708)&lt;&gt;"Closed"),"INVALID – corrective action not closed: use Fail, then Pass after CA","")&amp;IF(AND(TRIM(AA708)&lt;&gt;"",TRIM(AB708)=""),"INVALID – CA status missing for the recorded corrective action","")&amp;IF(AND(TRIM(U708)="Pass after CA",OR(TRIM(AA708)="",TRIM(AB708)&lt;&gt;"Closed")),"INVALID – corrective action not recorded/closed","")&lt;&gt;"",IF(AND(TRIM(U708)="Pass",ISNUMBER(AF708)),IF(AF708&lt;&gt;0,"INVALID – qty variance: use Fail or Pass after CA",""),"")&amp;IF(AND(TRIM(U708)="Pass",TRIM(AB708)&lt;&gt;"",TRIM(AB708)&lt;&gt;"Closed"),"INVALID – corrective action not closed: use Fail, then Pass after CA","")&amp;IF(AND(TRIM(AA708)&lt;&gt;"",TRIM(AB708)=""),"INVALID – CA status missing for the recorded corrective action","")&amp;IF(AND(TRIM(U708)="Pass after CA",OR(TRIM(AA708)="",TRIM(AB708)&lt;&gt;"Closed")),"INVALID – corrective action not recorded/closed",""),IF(AND(AS708=1,Documents!$J$26&lt;&gt;"ON FILE"),"INVALID – GLD not on file (Documents sheet)",IF(AND(AS708=2,Documents!$O$26&lt;&gt;"ON FILE"),"INVALID – menu checklist not on file (Documents sheet)",IF(AND(AS708=3,NOT(ISNUMBER(Flights!$AX$26))),"INVALID – enter carrying flight KUL departure (Flights AX)",IF(AND(AS708=3,OR(Flights!$AX$26&gt;=Flights!$AA$26,Flights!$AX$26&lt;Flights!$AA$26-3)),"INVALID – Flights AX must be before this leg's STD (within 3 days)",IF(AG708&gt;AsOfUTC,"INVALID – completion time is in the future",IF(AND(ISNUMBER(S708),AG708&lt;S708),IF(H708="Physical uplift","INVALID – before uplift window (cannot confirm loading)","INVALID – before valid window"),IF(AG708&gt;Flights!$AA$26,"INVALID – completed after departure (cannot establish readiness)",IF(AND(H708="Physical uplift",AG708&gt;Q708),"INVALID – recorded after the loading flight departed",IF(AG708&gt;Q708,"COMPLETE – LATE","COMPLETE")))))))))))))))))),IF(TRIM(U708)="Fail","FAIL – DISCREPANCY",IF(AND(TRIM(U708)&lt;&gt;"",TRIM(U708)&lt;&gt;"Not started",TRIM(U708)&lt;&gt;"In progress"),"INVALID – unrecognised status (use the list)",IF(AsOfUTC&gt;Q708,"OVERDUE",IF(N708="Clarification required","OPEN – CLARIFICATION","OPEN")))))))</f>
        <v>OPEN</v>
      </c>
      <c r="AI708" s="61" t="n">
        <f aca="false">IF(OR(AH708="N/A – RULE",AH708="N/A – JUSTIFIED"),0,1)</f>
        <v>1</v>
      </c>
      <c r="AJ708" s="61" t="n">
        <f aca="false">IF(LEFT(AH708,8)="COMPLETE",1,0)</f>
        <v>0</v>
      </c>
      <c r="AK708" s="61" t="n">
        <f aca="false">IF(AND(AI708=1,AJ708=0,AsOfUTC&gt;Q708),1,0)</f>
        <v>0</v>
      </c>
      <c r="AL708" s="61" t="n">
        <f aca="false">IF(AND(AI708=1,OR(TRIM(U708)="Fail",AND(TRIM(AB708)&lt;&gt;"",TRIM(AB708)&lt;&gt;"Closed"),AND(ISNUMBER(AF708),AF708&lt;&gt;0,TRIM(U708)&lt;&gt;"Pass after CA"))),1,0)</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row>
    <row r="709" customFormat="false" ht="39.75" hidden="false" customHeight="true" outlineLevel="0" collapsed="false">
      <c r="A709" s="57" t="s">
        <v>1405</v>
      </c>
      <c r="B709" s="57" t="s">
        <v>304</v>
      </c>
      <c r="C709" s="57" t="str">
        <f aca="false">Flights!$F$26</f>
        <v>MH0002</v>
      </c>
      <c r="D709" s="58" t="n">
        <f aca="false">Flights!$D$26</f>
        <v>46325</v>
      </c>
      <c r="E709" s="57" t="str">
        <f aca="false">Flights!$G$26&amp;"-"&amp;Flights!$H$26</f>
        <v>KUL-LHR</v>
      </c>
      <c r="F709" s="57" t="str">
        <f aca="false">Flights!$K$26</f>
        <v>BC</v>
      </c>
      <c r="G709" s="57" t="s">
        <v>76</v>
      </c>
      <c r="H709" s="57" t="s">
        <v>343</v>
      </c>
      <c r="I709" s="57" t="s">
        <v>370</v>
      </c>
      <c r="J709" s="57" t="s">
        <v>374</v>
      </c>
      <c r="K709" s="67" t="s">
        <v>372</v>
      </c>
      <c r="L709" s="67" t="s">
        <v>347</v>
      </c>
      <c r="M709" s="67"/>
      <c r="N709" s="67" t="s">
        <v>348</v>
      </c>
      <c r="O709" s="67"/>
      <c r="P709" s="57" t="s">
        <v>179</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59" t="n">
        <f aca="false">Q709-T7EarlyD*24/24</f>
        <v>46304.6388888889</v>
      </c>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IF(N709="N/A – rule","N/A – RULE",IF(TRIM(U709)="N/A",IF(AT709=0,"INVALID – N/A not permitted for this mandatory check",IF(AND(TRIM(AC709)&lt;&gt;"",TRIM(AE709)&lt;&gt;"",TRIM(T709)&lt;&gt;"",TRIM(AE709)&lt;&gt;TRIM(T709)),"N/A – JUSTIFIED","INVALID – N/A needs justification, PIC and a different verifier")),IF(OR(TRIM(U709)="Pass",TRIM(U709)="Pass after CA"),IF(NOT(ISNUMBER(AD709)),"INVALID – completion time missing",IF(TRIM(T709)="","INVALID – PIC missing",IF(TRIM(V709)="","INVALID – result / assessment missing",IF(TRIM(Z709)="","INVALID – evidence missing",IF(TRIM(AE709)="","INVALID – verifier missing",IF(TRIM(AE709)=TRIM(T709),"INVALID – verifier must be someone other than the PIC",IF(AND(AQ709=1,TRIM(W709)=""),"INVALID – batch ID missing",IF(AND(AR709=1,OR(NOT(ISNUMBER(X709)),NOT(ISNUMBER(Y709)))),"INVALID – expected/actual qty missing",IF(IF(AND(TRIM(U709)="Pass",ISNUMBER(AF709)),IF(AF709&lt;&gt;0,"INVALID – qty variance: use Fail or Pass after CA",""),"")&amp;IF(AND(TRIM(U709)="Pass",TRIM(AB709)&lt;&gt;"",TRIM(AB709)&lt;&gt;"Closed"),"INVALID – corrective action not closed: use Fail, then Pass after CA","")&amp;IF(AND(TRIM(AA709)&lt;&gt;"",TRIM(AB709)=""),"INVALID – CA status missing for the recorded corrective action","")&amp;IF(AND(TRIM(U709)="Pass after CA",OR(TRIM(AA709)="",TRIM(AB709)&lt;&gt;"Closed")),"INVALID – corrective action not recorded/closed","")&lt;&gt;"",IF(AND(TRIM(U709)="Pass",ISNUMBER(AF709)),IF(AF709&lt;&gt;0,"INVALID – qty variance: use Fail or Pass after CA",""),"")&amp;IF(AND(TRIM(U709)="Pass",TRIM(AB709)&lt;&gt;"",TRIM(AB709)&lt;&gt;"Closed"),"INVALID – corrective action not closed: use Fail, then Pass after CA","")&amp;IF(AND(TRIM(AA709)&lt;&gt;"",TRIM(AB709)=""),"INVALID – CA status missing for the recorded corrective action","")&amp;IF(AND(TRIM(U709)="Pass after CA",OR(TRIM(AA709)="",TRIM(AB709)&lt;&gt;"Closed")),"INVALID – corrective action not recorded/closed",""),IF(AND(AS709=1,Documents!$J$26&lt;&gt;"ON FILE"),"INVALID – GLD not on file (Documents sheet)",IF(AND(AS709=2,Documents!$O$26&lt;&gt;"ON FILE"),"INVALID – menu checklist not on file (Documents sheet)",IF(AND(AS709=3,NOT(ISNUMBER(Flights!$AX$26))),"INVALID – enter carrying flight KUL departure (Flights AX)",IF(AND(AS709=3,OR(Flights!$AX$26&gt;=Flights!$AA$26,Flights!$AX$26&lt;Flights!$AA$26-3)),"INVALID – Flights AX must be before this leg's STD (within 3 days)",IF(AG709&gt;AsOfUTC,"INVALID – completion time is in the future",IF(AND(ISNUMBER(S709),AG709&lt;S709),IF(H709="Physical uplift","INVALID – before uplift window (cannot confirm loading)","INVALID – before valid window"),IF(AG709&gt;Flights!$AA$26,"INVALID – completed after departure (cannot establish readiness)",IF(AND(H709="Physical uplift",AG709&gt;Q709),"INVALID – recorded after the loading flight departed",IF(AG709&gt;Q709,"COMPLETE – LATE","COMPLETE")))))))))))))))))),IF(TRIM(U709)="Fail","FAIL – DISCREPANCY",IF(AND(TRIM(U709)&lt;&gt;"",TRIM(U709)&lt;&gt;"Not started",TRIM(U709)&lt;&gt;"In progress"),"INVALID – unrecognised status (use the list)",IF(AsOfUTC&gt;Q709,"OVERDUE",IF(N709="Clarification required","OPEN – CLARIFICATION","OPEN")))))))</f>
        <v>OPEN</v>
      </c>
      <c r="AI709" s="61" t="n">
        <f aca="false">IF(OR(AH709="N/A – RULE",AH709="N/A – JUSTIFIED"),0,1)</f>
        <v>1</v>
      </c>
      <c r="AJ709" s="61" t="n">
        <f aca="false">IF(LEFT(AH709,8)="COMPLETE",1,0)</f>
        <v>0</v>
      </c>
      <c r="AK709" s="61" t="n">
        <f aca="false">IF(AND(AI709=1,AJ709=0,AsOfUTC&gt;Q709),1,0)</f>
        <v>0</v>
      </c>
      <c r="AL709" s="61" t="n">
        <f aca="false">IF(AND(AI709=1,OR(TRIM(U709)="Fail",AND(TRIM(AB709)&lt;&gt;"",TRIM(AB709)&lt;&gt;"Closed"),AND(ISNUMBER(AF709),AF709&lt;&gt;0,TRIM(U709)&lt;&gt;"Pass after CA"))),1,0)</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row>
    <row r="710" customFormat="false" ht="39.75" hidden="false" customHeight="true" outlineLevel="0" collapsed="false">
      <c r="A710" s="57" t="s">
        <v>1406</v>
      </c>
      <c r="B710" s="57" t="s">
        <v>304</v>
      </c>
      <c r="C710" s="57" t="str">
        <f aca="false">Flights!$F$26</f>
        <v>MH0002</v>
      </c>
      <c r="D710" s="58" t="n">
        <f aca="false">Flights!$D$26</f>
        <v>46325</v>
      </c>
      <c r="E710" s="57" t="str">
        <f aca="false">Flights!$G$26&amp;"-"&amp;Flights!$H$26</f>
        <v>KUL-LHR</v>
      </c>
      <c r="F710" s="57" t="str">
        <f aca="false">Flights!$K$26</f>
        <v>BC</v>
      </c>
      <c r="G710" s="57" t="s">
        <v>76</v>
      </c>
      <c r="H710" s="57" t="s">
        <v>343</v>
      </c>
      <c r="I710" s="57" t="s">
        <v>376</v>
      </c>
      <c r="J710" s="57" t="s">
        <v>377</v>
      </c>
      <c r="K710" s="67" t="s">
        <v>681</v>
      </c>
      <c r="L710" s="67" t="s">
        <v>379</v>
      </c>
      <c r="M710" s="67"/>
      <c r="N710" s="67" t="s">
        <v>348</v>
      </c>
      <c r="O710" s="67"/>
      <c r="P710" s="57" t="s">
        <v>179</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59" t="n">
        <f aca="false">Q710-T7EarlyD*24/24</f>
        <v>46304.6388888889</v>
      </c>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IF(N710="N/A – rule","N/A – RULE",IF(TRIM(U710)="N/A",IF(AT710=0,"INVALID – N/A not permitted for this mandatory check",IF(AND(TRIM(AC710)&lt;&gt;"",TRIM(AE710)&lt;&gt;"",TRIM(T710)&lt;&gt;"",TRIM(AE710)&lt;&gt;TRIM(T710)),"N/A – JUSTIFIED","INVALID – N/A needs justification, PIC and a different verifier")),IF(OR(TRIM(U710)="Pass",TRIM(U710)="Pass after CA"),IF(NOT(ISNUMBER(AD710)),"INVALID – completion time missing",IF(TRIM(T710)="","INVALID – PIC missing",IF(TRIM(V710)="","INVALID – result / assessment missing",IF(TRIM(Z710)="","INVALID – evidence missing",IF(TRIM(AE710)="","INVALID – verifier missing",IF(TRIM(AE710)=TRIM(T710),"INVALID – verifier must be someone other than the PIC",IF(AND(AQ710=1,TRIM(W710)=""),"INVALID – batch ID missing",IF(AND(AR710=1,OR(NOT(ISNUMBER(X710)),NOT(ISNUMBER(Y710)))),"INVALID – expected/actual qty missing",IF(IF(AND(TRIM(U710)="Pass",ISNUMBER(AF710)),IF(AF710&lt;&gt;0,"INVALID – qty variance: use Fail or Pass after CA",""),"")&amp;IF(AND(TRIM(U710)="Pass",TRIM(AB710)&lt;&gt;"",TRIM(AB710)&lt;&gt;"Closed"),"INVALID – corrective action not closed: use Fail, then Pass after CA","")&amp;IF(AND(TRIM(AA710)&lt;&gt;"",TRIM(AB710)=""),"INVALID – CA status missing for the recorded corrective action","")&amp;IF(AND(TRIM(U710)="Pass after CA",OR(TRIM(AA710)="",TRIM(AB710)&lt;&gt;"Closed")),"INVALID – corrective action not recorded/closed","")&lt;&gt;"",IF(AND(TRIM(U710)="Pass",ISNUMBER(AF710)),IF(AF710&lt;&gt;0,"INVALID – qty variance: use Fail or Pass after CA",""),"")&amp;IF(AND(TRIM(U710)="Pass",TRIM(AB710)&lt;&gt;"",TRIM(AB710)&lt;&gt;"Closed"),"INVALID – corrective action not closed: use Fail, then Pass after CA","")&amp;IF(AND(TRIM(AA710)&lt;&gt;"",TRIM(AB710)=""),"INVALID – CA status missing for the recorded corrective action","")&amp;IF(AND(TRIM(U710)="Pass after CA",OR(TRIM(AA710)="",TRIM(AB710)&lt;&gt;"Closed")),"INVALID – corrective action not recorded/closed",""),IF(AND(AS710=1,Documents!$J$26&lt;&gt;"ON FILE"),"INVALID – GLD not on file (Documents sheet)",IF(AND(AS710=2,Documents!$O$26&lt;&gt;"ON FILE"),"INVALID – menu checklist not on file (Documents sheet)",IF(AND(AS710=3,NOT(ISNUMBER(Flights!$AX$26))),"INVALID – enter carrying flight KUL departure (Flights AX)",IF(AND(AS710=3,OR(Flights!$AX$26&gt;=Flights!$AA$26,Flights!$AX$26&lt;Flights!$AA$26-3)),"INVALID – Flights AX must be before this leg's STD (within 3 days)",IF(AG710&gt;AsOfUTC,"INVALID – completion time is in the future",IF(AND(ISNUMBER(S710),AG710&lt;S710),IF(H710="Physical uplift","INVALID – before uplift window (cannot confirm loading)","INVALID – before valid window"),IF(AG710&gt;Flights!$AA$26,"INVALID – completed after departure (cannot establish readiness)",IF(AND(H710="Physical uplift",AG710&gt;Q710),"INVALID – recorded after the loading flight departed",IF(AG710&gt;Q710,"COMPLETE – LATE","COMPLETE")))))))))))))))))),IF(TRIM(U710)="Fail","FAIL – DISCREPANCY",IF(AND(TRIM(U710)&lt;&gt;"",TRIM(U710)&lt;&gt;"Not started",TRIM(U710)&lt;&gt;"In progress"),"INVALID – unrecognised status (use the list)",IF(AsOfUTC&gt;Q710,"OVERDUE",IF(N710="Clarification required","OPEN – CLARIFICATION","OPEN")))))))</f>
        <v>OPEN</v>
      </c>
      <c r="AI710" s="61" t="n">
        <f aca="false">IF(OR(AH710="N/A – RULE",AH710="N/A – JUSTIFIED"),0,1)</f>
        <v>1</v>
      </c>
      <c r="AJ710" s="61" t="n">
        <f aca="false">IF(LEFT(AH710,8)="COMPLETE",1,0)</f>
        <v>0</v>
      </c>
      <c r="AK710" s="61" t="n">
        <f aca="false">IF(AND(AI710=1,AJ710=0,AsOfUTC&gt;Q710),1,0)</f>
        <v>0</v>
      </c>
      <c r="AL710" s="61" t="n">
        <f aca="false">IF(AND(AI710=1,OR(TRIM(U710)="Fail",AND(TRIM(AB710)&lt;&gt;"",TRIM(AB710)&lt;&gt;"Closed"),AND(ISNUMBER(AF710),AF710&lt;&gt;0,TRIM(U710)&lt;&gt;"Pass after CA"))),1,0)</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row>
    <row r="711" customFormat="false" ht="39.75" hidden="false" customHeight="true" outlineLevel="0" collapsed="false">
      <c r="A711" s="57" t="s">
        <v>1407</v>
      </c>
      <c r="B711" s="57" t="s">
        <v>304</v>
      </c>
      <c r="C711" s="57" t="str">
        <f aca="false">Flights!$F$26</f>
        <v>MH0002</v>
      </c>
      <c r="D711" s="58" t="n">
        <f aca="false">Flights!$D$26</f>
        <v>46325</v>
      </c>
      <c r="E711" s="57" t="str">
        <f aca="false">Flights!$G$26&amp;"-"&amp;Flights!$H$26</f>
        <v>KUL-LHR</v>
      </c>
      <c r="F711" s="57" t="str">
        <f aca="false">Flights!$K$26</f>
        <v>BC</v>
      </c>
      <c r="G711" s="57" t="s">
        <v>78</v>
      </c>
      <c r="H711" s="57" t="s">
        <v>343</v>
      </c>
      <c r="I711" s="57" t="s">
        <v>344</v>
      </c>
      <c r="J711" s="57" t="s">
        <v>381</v>
      </c>
      <c r="K711" s="67" t="s">
        <v>382</v>
      </c>
      <c r="L711" s="67" t="s">
        <v>383</v>
      </c>
      <c r="M711" s="67"/>
      <c r="N711" s="67" t="s">
        <v>348</v>
      </c>
      <c r="O711" s="67"/>
      <c r="P711" s="57" t="s">
        <v>179</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59" t="n">
        <f aca="false">Q711-T24EarlyH/24</f>
        <v>46323.6388888889</v>
      </c>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IF(N711="N/A – rule","N/A – RULE",IF(TRIM(U711)="N/A",IF(AT711=0,"INVALID – N/A not permitted for this mandatory check",IF(AND(TRIM(AC711)&lt;&gt;"",TRIM(AE711)&lt;&gt;"",TRIM(T711)&lt;&gt;"",TRIM(AE711)&lt;&gt;TRIM(T711)),"N/A – JUSTIFIED","INVALID – N/A needs justification, PIC and a different verifier")),IF(OR(TRIM(U711)="Pass",TRIM(U711)="Pass after CA"),IF(NOT(ISNUMBER(AD711)),"INVALID – completion time missing",IF(TRIM(T711)="","INVALID – PIC missing",IF(TRIM(V711)="","INVALID – result / assessment missing",IF(TRIM(Z711)="","INVALID – evidence missing",IF(TRIM(AE711)="","INVALID – verifier missing",IF(TRIM(AE711)=TRIM(T711),"INVALID – verifier must be someone other than the PIC",IF(AND(AQ711=1,TRIM(W711)=""),"INVALID – batch ID missing",IF(AND(AR711=1,OR(NOT(ISNUMBER(X711)),NOT(ISNUMBER(Y711)))),"INVALID – expected/actual qty missing",IF(IF(AND(TRIM(U711)="Pass",ISNUMBER(AF711)),IF(AF711&lt;&gt;0,"INVALID – qty variance: use Fail or Pass after CA",""),"")&amp;IF(AND(TRIM(U711)="Pass",TRIM(AB711)&lt;&gt;"",TRIM(AB711)&lt;&gt;"Closed"),"INVALID – corrective action not closed: use Fail, then Pass after CA","")&amp;IF(AND(TRIM(AA711)&lt;&gt;"",TRIM(AB711)=""),"INVALID – CA status missing for the recorded corrective action","")&amp;IF(AND(TRIM(U711)="Pass after CA",OR(TRIM(AA711)="",TRIM(AB711)&lt;&gt;"Closed")),"INVALID – corrective action not recorded/closed","")&lt;&gt;"",IF(AND(TRIM(U711)="Pass",ISNUMBER(AF711)),IF(AF711&lt;&gt;0,"INVALID – qty variance: use Fail or Pass after CA",""),"")&amp;IF(AND(TRIM(U711)="Pass",TRIM(AB711)&lt;&gt;"",TRIM(AB711)&lt;&gt;"Closed"),"INVALID – corrective action not closed: use Fail, then Pass after CA","")&amp;IF(AND(TRIM(AA711)&lt;&gt;"",TRIM(AB711)=""),"INVALID – CA status missing for the recorded corrective action","")&amp;IF(AND(TRIM(U711)="Pass after CA",OR(TRIM(AA711)="",TRIM(AB711)&lt;&gt;"Closed")),"INVALID – corrective action not recorded/closed",""),IF(AND(AS711=1,Documents!$J$26&lt;&gt;"ON FILE"),"INVALID – GLD not on file (Documents sheet)",IF(AND(AS711=2,Documents!$O$26&lt;&gt;"ON FILE"),"INVALID – menu checklist not on file (Documents sheet)",IF(AND(AS711=3,NOT(ISNUMBER(Flights!$AX$26))),"INVALID – enter carrying flight KUL departure (Flights AX)",IF(AND(AS711=3,OR(Flights!$AX$26&gt;=Flights!$AA$26,Flights!$AX$26&lt;Flights!$AA$26-3)),"INVALID – Flights AX must be before this leg's STD (within 3 days)",IF(AG711&gt;AsOfUTC,"INVALID – completion time is in the future",IF(AND(ISNUMBER(S711),AG711&lt;S711),IF(H711="Physical uplift","INVALID – before uplift window (cannot confirm loading)","INVALID – before valid window"),IF(AG711&gt;Flights!$AA$26,"INVALID – completed after departure (cannot establish readiness)",IF(AND(H711="Physical uplift",AG711&gt;Q711),"INVALID – recorded after the loading flight departed",IF(AG711&gt;Q711,"COMPLETE – LATE","COMPLETE")))))))))))))))))),IF(TRIM(U711)="Fail","FAIL – DISCREPANCY",IF(AND(TRIM(U711)&lt;&gt;"",TRIM(U711)&lt;&gt;"Not started",TRIM(U711)&lt;&gt;"In progress"),"INVALID – unrecognised status (use the list)",IF(AsOfUTC&gt;Q711,"OVERDUE",IF(N711="Clarification required","OPEN – CLARIFICATION","OPEN")))))))</f>
        <v>OPEN</v>
      </c>
      <c r="AI711" s="61" t="n">
        <f aca="false">IF(OR(AH711="N/A – RULE",AH711="N/A – JUSTIFIED"),0,1)</f>
        <v>1</v>
      </c>
      <c r="AJ711" s="61" t="n">
        <f aca="false">IF(LEFT(AH711,8)="COMPLETE",1,0)</f>
        <v>0</v>
      </c>
      <c r="AK711" s="61" t="n">
        <f aca="false">IF(AND(AI711=1,AJ711=0,AsOfUTC&gt;Q711),1,0)</f>
        <v>0</v>
      </c>
      <c r="AL711" s="61" t="n">
        <f aca="false">IF(AND(AI711=1,OR(TRIM(U711)="Fail",AND(TRIM(AB711)&lt;&gt;"",TRIM(AB711)&lt;&gt;"Closed"),AND(ISNUMBER(AF711),AF711&lt;&gt;0,TRIM(U711)&lt;&gt;"Pass after CA"))),1,0)</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row>
    <row r="712" customFormat="false" ht="39.75" hidden="false" customHeight="true" outlineLevel="0" collapsed="false">
      <c r="A712" s="57" t="s">
        <v>1408</v>
      </c>
      <c r="B712" s="57" t="s">
        <v>304</v>
      </c>
      <c r="C712" s="57" t="str">
        <f aca="false">Flights!$F$26</f>
        <v>MH0002</v>
      </c>
      <c r="D712" s="58" t="n">
        <f aca="false">Flights!$D$26</f>
        <v>46325</v>
      </c>
      <c r="E712" s="57" t="str">
        <f aca="false">Flights!$G$26&amp;"-"&amp;Flights!$H$26</f>
        <v>KUL-LHR</v>
      </c>
      <c r="F712" s="57" t="str">
        <f aca="false">Flights!$K$26</f>
        <v>BC</v>
      </c>
      <c r="G712" s="57" t="s">
        <v>385</v>
      </c>
      <c r="H712" s="57" t="s">
        <v>343</v>
      </c>
      <c r="I712" s="57" t="s">
        <v>344</v>
      </c>
      <c r="J712" s="57" t="s">
        <v>386</v>
      </c>
      <c r="K712" s="67"/>
      <c r="L712" s="67" t="s">
        <v>387</v>
      </c>
      <c r="M712" s="67"/>
      <c r="N712" s="67" t="s">
        <v>348</v>
      </c>
      <c r="O712" s="67" t="s">
        <v>388</v>
      </c>
      <c r="P712" s="57" t="s">
        <v>179</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59" t="n">
        <f aca="false">Q712-T12EarlyH/24</f>
        <v>46324.6388888889</v>
      </c>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IF(N712="N/A – rule","N/A – RULE",IF(TRIM(U712)="N/A",IF(AT712=0,"INVALID – N/A not permitted for this mandatory check",IF(AND(TRIM(AC712)&lt;&gt;"",TRIM(AE712)&lt;&gt;"",TRIM(T712)&lt;&gt;"",TRIM(AE712)&lt;&gt;TRIM(T712)),"N/A – JUSTIFIED","INVALID – N/A needs justification, PIC and a different verifier")),IF(OR(TRIM(U712)="Pass",TRIM(U712)="Pass after CA"),IF(NOT(ISNUMBER(AD712)),"INVALID – completion time missing",IF(TRIM(T712)="","INVALID – PIC missing",IF(TRIM(V712)="","INVALID – result / assessment missing",IF(TRIM(Z712)="","INVALID – evidence missing",IF(TRIM(AE712)="","INVALID – verifier missing",IF(TRIM(AE712)=TRIM(T712),"INVALID – verifier must be someone other than the PIC",IF(AND(AQ712=1,TRIM(W712)=""),"INVALID – batch ID missing",IF(AND(AR712=1,OR(NOT(ISNUMBER(X712)),NOT(ISNUMBER(Y712)))),"INVALID – expected/actual qty missing",IF(IF(AND(TRIM(U712)="Pass",ISNUMBER(AF712)),IF(AF712&lt;&gt;0,"INVALID – qty variance: use Fail or Pass after CA",""),"")&amp;IF(AND(TRIM(U712)="Pass",TRIM(AB712)&lt;&gt;"",TRIM(AB712)&lt;&gt;"Closed"),"INVALID – corrective action not closed: use Fail, then Pass after CA","")&amp;IF(AND(TRIM(AA712)&lt;&gt;"",TRIM(AB712)=""),"INVALID – CA status missing for the recorded corrective action","")&amp;IF(AND(TRIM(U712)="Pass after CA",OR(TRIM(AA712)="",TRIM(AB712)&lt;&gt;"Closed")),"INVALID – corrective action not recorded/closed","")&lt;&gt;"",IF(AND(TRIM(U712)="Pass",ISNUMBER(AF712)),IF(AF712&lt;&gt;0,"INVALID – qty variance: use Fail or Pass after CA",""),"")&amp;IF(AND(TRIM(U712)="Pass",TRIM(AB712)&lt;&gt;"",TRIM(AB712)&lt;&gt;"Closed"),"INVALID – corrective action not closed: use Fail, then Pass after CA","")&amp;IF(AND(TRIM(AA712)&lt;&gt;"",TRIM(AB712)=""),"INVALID – CA status missing for the recorded corrective action","")&amp;IF(AND(TRIM(U712)="Pass after CA",OR(TRIM(AA712)="",TRIM(AB712)&lt;&gt;"Closed")),"INVALID – corrective action not recorded/closed",""),IF(AND(AS712=1,Documents!$J$26&lt;&gt;"ON FILE"),"INVALID – GLD not on file (Documents sheet)",IF(AND(AS712=2,Documents!$O$26&lt;&gt;"ON FILE"),"INVALID – menu checklist not on file (Documents sheet)",IF(AND(AS712=3,NOT(ISNUMBER(Flights!$AX$26))),"INVALID – enter carrying flight KUL departure (Flights AX)",IF(AND(AS712=3,OR(Flights!$AX$26&gt;=Flights!$AA$26,Flights!$AX$26&lt;Flights!$AA$26-3)),"INVALID – Flights AX must be before this leg's STD (within 3 days)",IF(AG712&gt;AsOfUTC,"INVALID – completion time is in the future",IF(AND(ISNUMBER(S712),AG712&lt;S712),IF(H712="Physical uplift","INVALID – before uplift window (cannot confirm loading)","INVALID – before valid window"),IF(AG712&gt;Flights!$AA$26,"INVALID – completed after departure (cannot establish readiness)",IF(AND(H712="Physical uplift",AG712&gt;Q712),"INVALID – recorded after the loading flight departed",IF(AG712&gt;Q712,"COMPLETE – LATE","COMPLETE")))))))))))))))))),IF(TRIM(U712)="Fail","FAIL – DISCREPANCY",IF(AND(TRIM(U712)&lt;&gt;"",TRIM(U712)&lt;&gt;"Not started",TRIM(U712)&lt;&gt;"In progress"),"INVALID – unrecognised status (use the list)",IF(AsOfUTC&gt;Q712,"OVERDUE",IF(N712="Clarification required","OPEN – CLARIFICATION","OPEN")))))))</f>
        <v>OPEN</v>
      </c>
      <c r="AI712" s="61" t="n">
        <f aca="false">IF(OR(AH712="N/A – RULE",AH712="N/A – JUSTIFIED"),0,1)</f>
        <v>1</v>
      </c>
      <c r="AJ712" s="61" t="n">
        <f aca="false">IF(LEFT(AH712,8)="COMPLETE",1,0)</f>
        <v>0</v>
      </c>
      <c r="AK712" s="61" t="n">
        <f aca="false">IF(AND(AI712=1,AJ712=0,AsOfUTC&gt;Q712),1,0)</f>
        <v>0</v>
      </c>
      <c r="AL712" s="61" t="n">
        <f aca="false">IF(AND(AI712=1,OR(TRIM(U712)="Fail",AND(TRIM(AB712)&lt;&gt;"",TRIM(AB712)&lt;&gt;"Closed"),AND(ISNUMBER(AF712),AF712&lt;&gt;0,TRIM(U712)&lt;&gt;"Pass after CA"))),1,0)</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row>
    <row r="713" customFormat="false" ht="39.75" hidden="false" customHeight="true" outlineLevel="0" collapsed="false">
      <c r="A713" s="57" t="s">
        <v>1409</v>
      </c>
      <c r="B713" s="57" t="s">
        <v>304</v>
      </c>
      <c r="C713" s="57" t="str">
        <f aca="false">Flights!$F$26</f>
        <v>MH0002</v>
      </c>
      <c r="D713" s="58" t="n">
        <f aca="false">Flights!$D$26</f>
        <v>46325</v>
      </c>
      <c r="E713" s="57" t="str">
        <f aca="false">Flights!$G$26&amp;"-"&amp;Flights!$H$26</f>
        <v>KUL-LHR</v>
      </c>
      <c r="F713" s="57" t="str">
        <f aca="false">Flights!$K$26</f>
        <v>BC</v>
      </c>
      <c r="G713" s="57" t="s">
        <v>385</v>
      </c>
      <c r="H713" s="57" t="s">
        <v>343</v>
      </c>
      <c r="I713" s="57" t="s">
        <v>344</v>
      </c>
      <c r="J713" s="57" t="s">
        <v>390</v>
      </c>
      <c r="K713" s="67" t="s">
        <v>391</v>
      </c>
      <c r="L713" s="67" t="s">
        <v>387</v>
      </c>
      <c r="M713" s="67"/>
      <c r="N713" s="67" t="s">
        <v>348</v>
      </c>
      <c r="O713" s="67" t="s">
        <v>388</v>
      </c>
      <c r="P713" s="57" t="s">
        <v>179</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59" t="n">
        <f aca="false">Q713-T12EarlyH/24</f>
        <v>46324.6388888889</v>
      </c>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IF(N713="N/A – rule","N/A – RULE",IF(TRIM(U713)="N/A",IF(AT713=0,"INVALID – N/A not permitted for this mandatory check",IF(AND(TRIM(AC713)&lt;&gt;"",TRIM(AE713)&lt;&gt;"",TRIM(T713)&lt;&gt;"",TRIM(AE713)&lt;&gt;TRIM(T713)),"N/A – JUSTIFIED","INVALID – N/A needs justification, PIC and a different verifier")),IF(OR(TRIM(U713)="Pass",TRIM(U713)="Pass after CA"),IF(NOT(ISNUMBER(AD713)),"INVALID – completion time missing",IF(TRIM(T713)="","INVALID – PIC missing",IF(TRIM(V713)="","INVALID – result / assessment missing",IF(TRIM(Z713)="","INVALID – evidence missing",IF(TRIM(AE713)="","INVALID – verifier missing",IF(TRIM(AE713)=TRIM(T713),"INVALID – verifier must be someone other than the PIC",IF(AND(AQ713=1,TRIM(W713)=""),"INVALID – batch ID missing",IF(AND(AR713=1,OR(NOT(ISNUMBER(X713)),NOT(ISNUMBER(Y713)))),"INVALID – expected/actual qty missing",IF(IF(AND(TRIM(U713)="Pass",ISNUMBER(AF713)),IF(AF713&lt;&gt;0,"INVALID – qty variance: use Fail or Pass after CA",""),"")&amp;IF(AND(TRIM(U713)="Pass",TRIM(AB713)&lt;&gt;"",TRIM(AB713)&lt;&gt;"Closed"),"INVALID – corrective action not closed: use Fail, then Pass after CA","")&amp;IF(AND(TRIM(AA713)&lt;&gt;"",TRIM(AB713)=""),"INVALID – CA status missing for the recorded corrective action","")&amp;IF(AND(TRIM(U713)="Pass after CA",OR(TRIM(AA713)="",TRIM(AB713)&lt;&gt;"Closed")),"INVALID – corrective action not recorded/closed","")&lt;&gt;"",IF(AND(TRIM(U713)="Pass",ISNUMBER(AF713)),IF(AF713&lt;&gt;0,"INVALID – qty variance: use Fail or Pass after CA",""),"")&amp;IF(AND(TRIM(U713)="Pass",TRIM(AB713)&lt;&gt;"",TRIM(AB713)&lt;&gt;"Closed"),"INVALID – corrective action not closed: use Fail, then Pass after CA","")&amp;IF(AND(TRIM(AA713)&lt;&gt;"",TRIM(AB713)=""),"INVALID – CA status missing for the recorded corrective action","")&amp;IF(AND(TRIM(U713)="Pass after CA",OR(TRIM(AA713)="",TRIM(AB713)&lt;&gt;"Closed")),"INVALID – corrective action not recorded/closed",""),IF(AND(AS713=1,Documents!$J$26&lt;&gt;"ON FILE"),"INVALID – GLD not on file (Documents sheet)",IF(AND(AS713=2,Documents!$O$26&lt;&gt;"ON FILE"),"INVALID – menu checklist not on file (Documents sheet)",IF(AND(AS713=3,NOT(ISNUMBER(Flights!$AX$26))),"INVALID – enter carrying flight KUL departure (Flights AX)",IF(AND(AS713=3,OR(Flights!$AX$26&gt;=Flights!$AA$26,Flights!$AX$26&lt;Flights!$AA$26-3)),"INVALID – Flights AX must be before this leg's STD (within 3 days)",IF(AG713&gt;AsOfUTC,"INVALID – completion time is in the future",IF(AND(ISNUMBER(S713),AG713&lt;S713),IF(H713="Physical uplift","INVALID – before uplift window (cannot confirm loading)","INVALID – before valid window"),IF(AG713&gt;Flights!$AA$26,"INVALID – completed after departure (cannot establish readiness)",IF(AND(H713="Physical uplift",AG713&gt;Q713),"INVALID – recorded after the loading flight departed",IF(AG713&gt;Q713,"COMPLETE – LATE","COMPLETE")))))))))))))))))),IF(TRIM(U713)="Fail","FAIL – DISCREPANCY",IF(AND(TRIM(U713)&lt;&gt;"",TRIM(U713)&lt;&gt;"Not started",TRIM(U713)&lt;&gt;"In progress"),"INVALID – unrecognised status (use the list)",IF(AsOfUTC&gt;Q713,"OVERDUE",IF(N713="Clarification required","OPEN – CLARIFICATION","OPEN")))))))</f>
        <v>OPEN</v>
      </c>
      <c r="AI713" s="61" t="n">
        <f aca="false">IF(OR(AH713="N/A – RULE",AH713="N/A – JUSTIFIED"),0,1)</f>
        <v>1</v>
      </c>
      <c r="AJ713" s="61" t="n">
        <f aca="false">IF(LEFT(AH713,8)="COMPLETE",1,0)</f>
        <v>0</v>
      </c>
      <c r="AK713" s="61" t="n">
        <f aca="false">IF(AND(AI713=1,AJ713=0,AsOfUTC&gt;Q713),1,0)</f>
        <v>0</v>
      </c>
      <c r="AL713" s="61" t="n">
        <f aca="false">IF(AND(AI713=1,OR(TRIM(U713)="Fail",AND(TRIM(AB713)&lt;&gt;"",TRIM(AB713)&lt;&gt;"Closed"),AND(ISNUMBER(AF713),AF713&lt;&gt;0,TRIM(U713)&lt;&gt;"Pass after CA"))),1,0)</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row>
    <row r="714" customFormat="false" ht="39.75" hidden="false" customHeight="true" outlineLevel="0" collapsed="false">
      <c r="A714" s="57" t="s">
        <v>1410</v>
      </c>
      <c r="B714" s="57" t="s">
        <v>304</v>
      </c>
      <c r="C714" s="57" t="str">
        <f aca="false">Flights!$F$26</f>
        <v>MH0002</v>
      </c>
      <c r="D714" s="58" t="n">
        <f aca="false">Flights!$D$26</f>
        <v>46325</v>
      </c>
      <c r="E714" s="57" t="str">
        <f aca="false">Flights!$G$26&amp;"-"&amp;Flights!$H$26</f>
        <v>KUL-LHR</v>
      </c>
      <c r="F714" s="57" t="str">
        <f aca="false">Flights!$K$26</f>
        <v>BC</v>
      </c>
      <c r="G714" s="57" t="s">
        <v>385</v>
      </c>
      <c r="H714" s="57" t="s">
        <v>343</v>
      </c>
      <c r="I714" s="57" t="s">
        <v>393</v>
      </c>
      <c r="J714" s="57" t="s">
        <v>394</v>
      </c>
      <c r="K714" s="67"/>
      <c r="L714" s="67" t="s">
        <v>387</v>
      </c>
      <c r="M714" s="67"/>
      <c r="N714" s="67" t="s">
        <v>348</v>
      </c>
      <c r="O714" s="67" t="s">
        <v>388</v>
      </c>
      <c r="P714" s="57" t="s">
        <v>179</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59" t="n">
        <f aca="false">Q714-T12EarlyH/24</f>
        <v>46324.6388888889</v>
      </c>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IF(N714="N/A – rule","N/A – RULE",IF(TRIM(U714)="N/A",IF(AT714=0,"INVALID – N/A not permitted for this mandatory check",IF(AND(TRIM(AC714)&lt;&gt;"",TRIM(AE714)&lt;&gt;"",TRIM(T714)&lt;&gt;"",TRIM(AE714)&lt;&gt;TRIM(T714)),"N/A – JUSTIFIED","INVALID – N/A needs justification, PIC and a different verifier")),IF(OR(TRIM(U714)="Pass",TRIM(U714)="Pass after CA"),IF(NOT(ISNUMBER(AD714)),"INVALID – completion time missing",IF(TRIM(T714)="","INVALID – PIC missing",IF(TRIM(V714)="","INVALID – result / assessment missing",IF(TRIM(Z714)="","INVALID – evidence missing",IF(TRIM(AE714)="","INVALID – verifier missing",IF(TRIM(AE714)=TRIM(T714),"INVALID – verifier must be someone other than the PIC",IF(AND(AQ714=1,TRIM(W714)=""),"INVALID – batch ID missing",IF(AND(AR714=1,OR(NOT(ISNUMBER(X714)),NOT(ISNUMBER(Y714)))),"INVALID – expected/actual qty missing",IF(IF(AND(TRIM(U714)="Pass",ISNUMBER(AF714)),IF(AF714&lt;&gt;0,"INVALID – qty variance: use Fail or Pass after CA",""),"")&amp;IF(AND(TRIM(U714)="Pass",TRIM(AB714)&lt;&gt;"",TRIM(AB714)&lt;&gt;"Closed"),"INVALID – corrective action not closed: use Fail, then Pass after CA","")&amp;IF(AND(TRIM(AA714)&lt;&gt;"",TRIM(AB714)=""),"INVALID – CA status missing for the recorded corrective action","")&amp;IF(AND(TRIM(U714)="Pass after CA",OR(TRIM(AA714)="",TRIM(AB714)&lt;&gt;"Closed")),"INVALID – corrective action not recorded/closed","")&lt;&gt;"",IF(AND(TRIM(U714)="Pass",ISNUMBER(AF714)),IF(AF714&lt;&gt;0,"INVALID – qty variance: use Fail or Pass after CA",""),"")&amp;IF(AND(TRIM(U714)="Pass",TRIM(AB714)&lt;&gt;"",TRIM(AB714)&lt;&gt;"Closed"),"INVALID – corrective action not closed: use Fail, then Pass after CA","")&amp;IF(AND(TRIM(AA714)&lt;&gt;"",TRIM(AB714)=""),"INVALID – CA status missing for the recorded corrective action","")&amp;IF(AND(TRIM(U714)="Pass after CA",OR(TRIM(AA714)="",TRIM(AB714)&lt;&gt;"Closed")),"INVALID – corrective action not recorded/closed",""),IF(AND(AS714=1,Documents!$J$26&lt;&gt;"ON FILE"),"INVALID – GLD not on file (Documents sheet)",IF(AND(AS714=2,Documents!$O$26&lt;&gt;"ON FILE"),"INVALID – menu checklist not on file (Documents sheet)",IF(AND(AS714=3,NOT(ISNUMBER(Flights!$AX$26))),"INVALID – enter carrying flight KUL departure (Flights AX)",IF(AND(AS714=3,OR(Flights!$AX$26&gt;=Flights!$AA$26,Flights!$AX$26&lt;Flights!$AA$26-3)),"INVALID – Flights AX must be before this leg's STD (within 3 days)",IF(AG714&gt;AsOfUTC,"INVALID – completion time is in the future",IF(AND(ISNUMBER(S714),AG714&lt;S714),IF(H714="Physical uplift","INVALID – before uplift window (cannot confirm loading)","INVALID – before valid window"),IF(AG714&gt;Flights!$AA$26,"INVALID – completed after departure (cannot establish readiness)",IF(AND(H714="Physical uplift",AG714&gt;Q714),"INVALID – recorded after the loading flight departed",IF(AG714&gt;Q714,"COMPLETE – LATE","COMPLETE")))))))))))))))))),IF(TRIM(U714)="Fail","FAIL – DISCREPANCY",IF(AND(TRIM(U714)&lt;&gt;"",TRIM(U714)&lt;&gt;"Not started",TRIM(U714)&lt;&gt;"In progress"),"INVALID – unrecognised status (use the list)",IF(AsOfUTC&gt;Q714,"OVERDUE",IF(N714="Clarification required","OPEN – CLARIFICATION","OPEN")))))))</f>
        <v>OPEN</v>
      </c>
      <c r="AI714" s="61" t="n">
        <f aca="false">IF(OR(AH714="N/A – RULE",AH714="N/A – JUSTIFIED"),0,1)</f>
        <v>1</v>
      </c>
      <c r="AJ714" s="61" t="n">
        <f aca="false">IF(LEFT(AH714,8)="COMPLETE",1,0)</f>
        <v>0</v>
      </c>
      <c r="AK714" s="61" t="n">
        <f aca="false">IF(AND(AI714=1,AJ714=0,AsOfUTC&gt;Q714),1,0)</f>
        <v>0</v>
      </c>
      <c r="AL714" s="61" t="n">
        <f aca="false">IF(AND(AI714=1,OR(TRIM(U714)="Fail",AND(TRIM(AB714)&lt;&gt;"",TRIM(AB714)&lt;&gt;"Closed"),AND(ISNUMBER(AF714),AF714&lt;&gt;0,TRIM(U714)&lt;&gt;"Pass after CA"))),1,0)</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row>
    <row r="715" customFormat="false" ht="39.75" hidden="false" customHeight="true" outlineLevel="0" collapsed="false">
      <c r="A715" s="57" t="s">
        <v>1411</v>
      </c>
      <c r="B715" s="57" t="s">
        <v>304</v>
      </c>
      <c r="C715" s="57" t="str">
        <f aca="false">Flights!$F$26</f>
        <v>MH0002</v>
      </c>
      <c r="D715" s="58" t="n">
        <f aca="false">Flights!$D$26</f>
        <v>46325</v>
      </c>
      <c r="E715" s="57" t="str">
        <f aca="false">Flights!$G$26&amp;"-"&amp;Flights!$H$26</f>
        <v>KUL-LHR</v>
      </c>
      <c r="F715" s="57" t="str">
        <f aca="false">Flights!$K$26</f>
        <v>BC</v>
      </c>
      <c r="G715" s="57" t="s">
        <v>385</v>
      </c>
      <c r="H715" s="57" t="s">
        <v>343</v>
      </c>
      <c r="I715" s="57" t="s">
        <v>393</v>
      </c>
      <c r="J715" s="57" t="s">
        <v>396</v>
      </c>
      <c r="K715" s="67"/>
      <c r="L715" s="67" t="s">
        <v>387</v>
      </c>
      <c r="M715" s="67"/>
      <c r="N715" s="67" t="s">
        <v>348</v>
      </c>
      <c r="O715" s="67" t="s">
        <v>388</v>
      </c>
      <c r="P715" s="57" t="s">
        <v>179</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59" t="n">
        <f aca="false">Q715-T12EarlyH/24</f>
        <v>46324.6388888889</v>
      </c>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IF(N715="N/A – rule","N/A – RULE",IF(TRIM(U715)="N/A",IF(AT715=0,"INVALID – N/A not permitted for this mandatory check",IF(AND(TRIM(AC715)&lt;&gt;"",TRIM(AE715)&lt;&gt;"",TRIM(T715)&lt;&gt;"",TRIM(AE715)&lt;&gt;TRIM(T715)),"N/A – JUSTIFIED","INVALID – N/A needs justification, PIC and a different verifier")),IF(OR(TRIM(U715)="Pass",TRIM(U715)="Pass after CA"),IF(NOT(ISNUMBER(AD715)),"INVALID – completion time missing",IF(TRIM(T715)="","INVALID – PIC missing",IF(TRIM(V715)="","INVALID – result / assessment missing",IF(TRIM(Z715)="","INVALID – evidence missing",IF(TRIM(AE715)="","INVALID – verifier missing",IF(TRIM(AE715)=TRIM(T715),"INVALID – verifier must be someone other than the PIC",IF(AND(AQ715=1,TRIM(W715)=""),"INVALID – batch ID missing",IF(AND(AR715=1,OR(NOT(ISNUMBER(X715)),NOT(ISNUMBER(Y715)))),"INVALID – expected/actual qty missing",IF(IF(AND(TRIM(U715)="Pass",ISNUMBER(AF715)),IF(AF715&lt;&gt;0,"INVALID – qty variance: use Fail or Pass after CA",""),"")&amp;IF(AND(TRIM(U715)="Pass",TRIM(AB715)&lt;&gt;"",TRIM(AB715)&lt;&gt;"Closed"),"INVALID – corrective action not closed: use Fail, then Pass after CA","")&amp;IF(AND(TRIM(AA715)&lt;&gt;"",TRIM(AB715)=""),"INVALID – CA status missing for the recorded corrective action","")&amp;IF(AND(TRIM(U715)="Pass after CA",OR(TRIM(AA715)="",TRIM(AB715)&lt;&gt;"Closed")),"INVALID – corrective action not recorded/closed","")&lt;&gt;"",IF(AND(TRIM(U715)="Pass",ISNUMBER(AF715)),IF(AF715&lt;&gt;0,"INVALID – qty variance: use Fail or Pass after CA",""),"")&amp;IF(AND(TRIM(U715)="Pass",TRIM(AB715)&lt;&gt;"",TRIM(AB715)&lt;&gt;"Closed"),"INVALID – corrective action not closed: use Fail, then Pass after CA","")&amp;IF(AND(TRIM(AA715)&lt;&gt;"",TRIM(AB715)=""),"INVALID – CA status missing for the recorded corrective action","")&amp;IF(AND(TRIM(U715)="Pass after CA",OR(TRIM(AA715)="",TRIM(AB715)&lt;&gt;"Closed")),"INVALID – corrective action not recorded/closed",""),IF(AND(AS715=1,Documents!$J$26&lt;&gt;"ON FILE"),"INVALID – GLD not on file (Documents sheet)",IF(AND(AS715=2,Documents!$O$26&lt;&gt;"ON FILE"),"INVALID – menu checklist not on file (Documents sheet)",IF(AND(AS715=3,NOT(ISNUMBER(Flights!$AX$26))),"INVALID – enter carrying flight KUL departure (Flights AX)",IF(AND(AS715=3,OR(Flights!$AX$26&gt;=Flights!$AA$26,Flights!$AX$26&lt;Flights!$AA$26-3)),"INVALID – Flights AX must be before this leg's STD (within 3 days)",IF(AG715&gt;AsOfUTC,"INVALID – completion time is in the future",IF(AND(ISNUMBER(S715),AG715&lt;S715),IF(H715="Physical uplift","INVALID – before uplift window (cannot confirm loading)","INVALID – before valid window"),IF(AG715&gt;Flights!$AA$26,"INVALID – completed after departure (cannot establish readiness)",IF(AND(H715="Physical uplift",AG715&gt;Q715),"INVALID – recorded after the loading flight departed",IF(AG715&gt;Q715,"COMPLETE – LATE","COMPLETE")))))))))))))))))),IF(TRIM(U715)="Fail","FAIL – DISCREPANCY",IF(AND(TRIM(U715)&lt;&gt;"",TRIM(U715)&lt;&gt;"Not started",TRIM(U715)&lt;&gt;"In progress"),"INVALID – unrecognised status (use the list)",IF(AsOfUTC&gt;Q715,"OVERDUE",IF(N715="Clarification required","OPEN – CLARIFICATION","OPEN")))))))</f>
        <v>OPEN</v>
      </c>
      <c r="AI715" s="61" t="n">
        <f aca="false">IF(OR(AH715="N/A – RULE",AH715="N/A – JUSTIFIED"),0,1)</f>
        <v>1</v>
      </c>
      <c r="AJ715" s="61" t="n">
        <f aca="false">IF(LEFT(AH715,8)="COMPLETE",1,0)</f>
        <v>0</v>
      </c>
      <c r="AK715" s="61" t="n">
        <f aca="false">IF(AND(AI715=1,AJ715=0,AsOfUTC&gt;Q715),1,0)</f>
        <v>0</v>
      </c>
      <c r="AL715" s="61" t="n">
        <f aca="false">IF(AND(AI715=1,OR(TRIM(U715)="Fail",AND(TRIM(AB715)&lt;&gt;"",TRIM(AB715)&lt;&gt;"Closed"),AND(ISNUMBER(AF715),AF715&lt;&gt;0,TRIM(U715)&lt;&gt;"Pass after CA"))),1,0)</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row>
    <row r="716" customFormat="false" ht="39.75" hidden="false" customHeight="true" outlineLevel="0" collapsed="false">
      <c r="A716" s="57" t="s">
        <v>1412</v>
      </c>
      <c r="B716" s="57" t="s">
        <v>304</v>
      </c>
      <c r="C716" s="57" t="str">
        <f aca="false">Flights!$F$26</f>
        <v>MH0002</v>
      </c>
      <c r="D716" s="58" t="n">
        <f aca="false">Flights!$D$26</f>
        <v>46325</v>
      </c>
      <c r="E716" s="57" t="str">
        <f aca="false">Flights!$G$26&amp;"-"&amp;Flights!$H$26</f>
        <v>KUL-LHR</v>
      </c>
      <c r="F716" s="57" t="str">
        <f aca="false">Flights!$K$26</f>
        <v>BC</v>
      </c>
      <c r="G716" s="57" t="s">
        <v>385</v>
      </c>
      <c r="H716" s="57" t="s">
        <v>343</v>
      </c>
      <c r="I716" s="57" t="s">
        <v>393</v>
      </c>
      <c r="J716" s="57" t="s">
        <v>398</v>
      </c>
      <c r="K716" s="67"/>
      <c r="L716" s="67" t="s">
        <v>387</v>
      </c>
      <c r="M716" s="67"/>
      <c r="N716" s="67" t="s">
        <v>348</v>
      </c>
      <c r="O716" s="67" t="s">
        <v>388</v>
      </c>
      <c r="P716" s="57" t="s">
        <v>179</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59" t="n">
        <f aca="false">Q716-T12EarlyH/24</f>
        <v>46324.6388888889</v>
      </c>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IF(N716="N/A – rule","N/A – RULE",IF(TRIM(U716)="N/A",IF(AT716=0,"INVALID – N/A not permitted for this mandatory check",IF(AND(TRIM(AC716)&lt;&gt;"",TRIM(AE716)&lt;&gt;"",TRIM(T716)&lt;&gt;"",TRIM(AE716)&lt;&gt;TRIM(T716)),"N/A – JUSTIFIED","INVALID – N/A needs justification, PIC and a different verifier")),IF(OR(TRIM(U716)="Pass",TRIM(U716)="Pass after CA"),IF(NOT(ISNUMBER(AD716)),"INVALID – completion time missing",IF(TRIM(T716)="","INVALID – PIC missing",IF(TRIM(V716)="","INVALID – result / assessment missing",IF(TRIM(Z716)="","INVALID – evidence missing",IF(TRIM(AE716)="","INVALID – verifier missing",IF(TRIM(AE716)=TRIM(T716),"INVALID – verifier must be someone other than the PIC",IF(AND(AQ716=1,TRIM(W716)=""),"INVALID – batch ID missing",IF(AND(AR716=1,OR(NOT(ISNUMBER(X716)),NOT(ISNUMBER(Y716)))),"INVALID – expected/actual qty missing",IF(IF(AND(TRIM(U716)="Pass",ISNUMBER(AF716)),IF(AF716&lt;&gt;0,"INVALID – qty variance: use Fail or Pass after CA",""),"")&amp;IF(AND(TRIM(U716)="Pass",TRIM(AB716)&lt;&gt;"",TRIM(AB716)&lt;&gt;"Closed"),"INVALID – corrective action not closed: use Fail, then Pass after CA","")&amp;IF(AND(TRIM(AA716)&lt;&gt;"",TRIM(AB716)=""),"INVALID – CA status missing for the recorded corrective action","")&amp;IF(AND(TRIM(U716)="Pass after CA",OR(TRIM(AA716)="",TRIM(AB716)&lt;&gt;"Closed")),"INVALID – corrective action not recorded/closed","")&lt;&gt;"",IF(AND(TRIM(U716)="Pass",ISNUMBER(AF716)),IF(AF716&lt;&gt;0,"INVALID – qty variance: use Fail or Pass after CA",""),"")&amp;IF(AND(TRIM(U716)="Pass",TRIM(AB716)&lt;&gt;"",TRIM(AB716)&lt;&gt;"Closed"),"INVALID – corrective action not closed: use Fail, then Pass after CA","")&amp;IF(AND(TRIM(AA716)&lt;&gt;"",TRIM(AB716)=""),"INVALID – CA status missing for the recorded corrective action","")&amp;IF(AND(TRIM(U716)="Pass after CA",OR(TRIM(AA716)="",TRIM(AB716)&lt;&gt;"Closed")),"INVALID – corrective action not recorded/closed",""),IF(AND(AS716=1,Documents!$J$26&lt;&gt;"ON FILE"),"INVALID – GLD not on file (Documents sheet)",IF(AND(AS716=2,Documents!$O$26&lt;&gt;"ON FILE"),"INVALID – menu checklist not on file (Documents sheet)",IF(AND(AS716=3,NOT(ISNUMBER(Flights!$AX$26))),"INVALID – enter carrying flight KUL departure (Flights AX)",IF(AND(AS716=3,OR(Flights!$AX$26&gt;=Flights!$AA$26,Flights!$AX$26&lt;Flights!$AA$26-3)),"INVALID – Flights AX must be before this leg's STD (within 3 days)",IF(AG716&gt;AsOfUTC,"INVALID – completion time is in the future",IF(AND(ISNUMBER(S716),AG716&lt;S716),IF(H716="Physical uplift","INVALID – before uplift window (cannot confirm loading)","INVALID – before valid window"),IF(AG716&gt;Flights!$AA$26,"INVALID – completed after departure (cannot establish readiness)",IF(AND(H716="Physical uplift",AG716&gt;Q716),"INVALID – recorded after the loading flight departed",IF(AG716&gt;Q716,"COMPLETE – LATE","COMPLETE")))))))))))))))))),IF(TRIM(U716)="Fail","FAIL – DISCREPANCY",IF(AND(TRIM(U716)&lt;&gt;"",TRIM(U716)&lt;&gt;"Not started",TRIM(U716)&lt;&gt;"In progress"),"INVALID – unrecognised status (use the list)",IF(AsOfUTC&gt;Q716,"OVERDUE",IF(N716="Clarification required","OPEN – CLARIFICATION","OPEN")))))))</f>
        <v>OPEN</v>
      </c>
      <c r="AI716" s="61" t="n">
        <f aca="false">IF(OR(AH716="N/A – RULE",AH716="N/A – JUSTIFIED"),0,1)</f>
        <v>1</v>
      </c>
      <c r="AJ716" s="61" t="n">
        <f aca="false">IF(LEFT(AH716,8)="COMPLETE",1,0)</f>
        <v>0</v>
      </c>
      <c r="AK716" s="61" t="n">
        <f aca="false">IF(AND(AI716=1,AJ716=0,AsOfUTC&gt;Q716),1,0)</f>
        <v>0</v>
      </c>
      <c r="AL716" s="61" t="n">
        <f aca="false">IF(AND(AI716=1,OR(TRIM(U716)="Fail",AND(TRIM(AB716)&lt;&gt;"",TRIM(AB716)&lt;&gt;"Closed"),AND(ISNUMBER(AF716),AF716&lt;&gt;0,TRIM(U716)&lt;&gt;"Pass after CA"))),1,0)</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row>
    <row r="717" customFormat="false" ht="141" hidden="false" customHeight="true" outlineLevel="0" collapsed="false">
      <c r="A717" s="57" t="s">
        <v>1413</v>
      </c>
      <c r="B717" s="57" t="s">
        <v>304</v>
      </c>
      <c r="C717" s="57" t="str">
        <f aca="false">Flights!$F$26</f>
        <v>MH0002</v>
      </c>
      <c r="D717" s="58" t="n">
        <f aca="false">Flights!$D$26</f>
        <v>46325</v>
      </c>
      <c r="E717" s="57" t="str">
        <f aca="false">Flights!$G$26&amp;"-"&amp;Flights!$H$26</f>
        <v>KUL-LHR</v>
      </c>
      <c r="F717" s="57" t="str">
        <f aca="false">Flights!$K$26</f>
        <v>BC</v>
      </c>
      <c r="G717" s="57" t="s">
        <v>385</v>
      </c>
      <c r="H717" s="57" t="s">
        <v>343</v>
      </c>
      <c r="I717" s="57" t="s">
        <v>393</v>
      </c>
      <c r="J717" s="57" t="s">
        <v>400</v>
      </c>
      <c r="K717" s="67" t="s">
        <v>401</v>
      </c>
      <c r="L717" s="67" t="s">
        <v>387</v>
      </c>
      <c r="M717" s="67"/>
      <c r="N717" s="67" t="s">
        <v>348</v>
      </c>
      <c r="O717" s="67" t="s">
        <v>388</v>
      </c>
      <c r="P717" s="57" t="s">
        <v>179</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59" t="n">
        <f aca="false">Q717-T12EarlyH/24</f>
        <v>46324.6388888889</v>
      </c>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IF(N717="N/A – rule","N/A – RULE",IF(TRIM(U717)="N/A",IF(AT717=0,"INVALID – N/A not permitted for this mandatory check",IF(AND(TRIM(AC717)&lt;&gt;"",TRIM(AE717)&lt;&gt;"",TRIM(T717)&lt;&gt;"",TRIM(AE717)&lt;&gt;TRIM(T717)),"N/A – JUSTIFIED","INVALID – N/A needs justification, PIC and a different verifier")),IF(OR(TRIM(U717)="Pass",TRIM(U717)="Pass after CA"),IF(NOT(ISNUMBER(AD717)),"INVALID – completion time missing",IF(TRIM(T717)="","INVALID – PIC missing",IF(TRIM(V717)="","INVALID – result / assessment missing",IF(TRIM(Z717)="","INVALID – evidence missing",IF(TRIM(AE717)="","INVALID – verifier missing",IF(TRIM(AE717)=TRIM(T717),"INVALID – verifier must be someone other than the PIC",IF(AND(AQ717=1,TRIM(W717)=""),"INVALID – batch ID missing",IF(AND(AR717=1,OR(NOT(ISNUMBER(X717)),NOT(ISNUMBER(Y717)))),"INVALID – expected/actual qty missing",IF(IF(AND(TRIM(U717)="Pass",ISNUMBER(AF717)),IF(AF717&lt;&gt;0,"INVALID – qty variance: use Fail or Pass after CA",""),"")&amp;IF(AND(TRIM(U717)="Pass",TRIM(AB717)&lt;&gt;"",TRIM(AB717)&lt;&gt;"Closed"),"INVALID – corrective action not closed: use Fail, then Pass after CA","")&amp;IF(AND(TRIM(AA717)&lt;&gt;"",TRIM(AB717)=""),"INVALID – CA status missing for the recorded corrective action","")&amp;IF(AND(TRIM(U717)="Pass after CA",OR(TRIM(AA717)="",TRIM(AB717)&lt;&gt;"Closed")),"INVALID – corrective action not recorded/closed","")&lt;&gt;"",IF(AND(TRIM(U717)="Pass",ISNUMBER(AF717)),IF(AF717&lt;&gt;0,"INVALID – qty variance: use Fail or Pass after CA",""),"")&amp;IF(AND(TRIM(U717)="Pass",TRIM(AB717)&lt;&gt;"",TRIM(AB717)&lt;&gt;"Closed"),"INVALID – corrective action not closed: use Fail, then Pass after CA","")&amp;IF(AND(TRIM(AA717)&lt;&gt;"",TRIM(AB717)=""),"INVALID – CA status missing for the recorded corrective action","")&amp;IF(AND(TRIM(U717)="Pass after CA",OR(TRIM(AA717)="",TRIM(AB717)&lt;&gt;"Closed")),"INVALID – corrective action not recorded/closed",""),IF(AND(AS717=1,Documents!$J$26&lt;&gt;"ON FILE"),"INVALID – GLD not on file (Documents sheet)",IF(AND(AS717=2,Documents!$O$26&lt;&gt;"ON FILE"),"INVALID – menu checklist not on file (Documents sheet)",IF(AND(AS717=3,NOT(ISNUMBER(Flights!$AX$26))),"INVALID – enter carrying flight KUL departure (Flights AX)",IF(AND(AS717=3,OR(Flights!$AX$26&gt;=Flights!$AA$26,Flights!$AX$26&lt;Flights!$AA$26-3)),"INVALID – Flights AX must be before this leg's STD (within 3 days)",IF(AG717&gt;AsOfUTC,"INVALID – completion time is in the future",IF(AND(ISNUMBER(S717),AG717&lt;S717),IF(H717="Physical uplift","INVALID – before uplift window (cannot confirm loading)","INVALID – before valid window"),IF(AG717&gt;Flights!$AA$26,"INVALID – completed after departure (cannot establish readiness)",IF(AND(H717="Physical uplift",AG717&gt;Q717),"INVALID – recorded after the loading flight departed",IF(AG717&gt;Q717,"COMPLETE – LATE","COMPLETE")))))))))))))))))),IF(TRIM(U717)="Fail","FAIL – DISCREPANCY",IF(AND(TRIM(U717)&lt;&gt;"",TRIM(U717)&lt;&gt;"Not started",TRIM(U717)&lt;&gt;"In progress"),"INVALID – unrecognised status (use the list)",IF(AsOfUTC&gt;Q717,"OVERDUE",IF(N717="Clarification required","OPEN – CLARIFICATION","OPEN")))))))</f>
        <v>OPEN</v>
      </c>
      <c r="AI717" s="61" t="n">
        <f aca="false">IF(OR(AH717="N/A – RULE",AH717="N/A – JUSTIFIED"),0,1)</f>
        <v>1</v>
      </c>
      <c r="AJ717" s="61" t="n">
        <f aca="false">IF(LEFT(AH717,8)="COMPLETE",1,0)</f>
        <v>0</v>
      </c>
      <c r="AK717" s="61" t="n">
        <f aca="false">IF(AND(AI717=1,AJ717=0,AsOfUTC&gt;Q717),1,0)</f>
        <v>0</v>
      </c>
      <c r="AL717" s="61" t="n">
        <f aca="false">IF(AND(AI717=1,OR(TRIM(U717)="Fail",AND(TRIM(AB717)&lt;&gt;"",TRIM(AB717)&lt;&gt;"Closed"),AND(ISNUMBER(AF717),AF717&lt;&gt;0,TRIM(U717)&lt;&gt;"Pass after CA"))),1,0)</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row>
    <row r="718" customFormat="false" ht="39.75" hidden="false" customHeight="true" outlineLevel="0" collapsed="false">
      <c r="A718" s="57" t="s">
        <v>1414</v>
      </c>
      <c r="B718" s="57" t="s">
        <v>304</v>
      </c>
      <c r="C718" s="57" t="str">
        <f aca="false">Flights!$F$26</f>
        <v>MH0002</v>
      </c>
      <c r="D718" s="58" t="n">
        <f aca="false">Flights!$D$26</f>
        <v>46325</v>
      </c>
      <c r="E718" s="57" t="str">
        <f aca="false">Flights!$G$26&amp;"-"&amp;Flights!$H$26</f>
        <v>KUL-LHR</v>
      </c>
      <c r="F718" s="57" t="str">
        <f aca="false">Flights!$K$26</f>
        <v>BC</v>
      </c>
      <c r="G718" s="57" t="s">
        <v>385</v>
      </c>
      <c r="H718" s="57" t="s">
        <v>343</v>
      </c>
      <c r="I718" s="57" t="s">
        <v>393</v>
      </c>
      <c r="J718" s="57" t="s">
        <v>403</v>
      </c>
      <c r="K718" s="67"/>
      <c r="L718" s="67" t="s">
        <v>387</v>
      </c>
      <c r="M718" s="67"/>
      <c r="N718" s="67" t="s">
        <v>348</v>
      </c>
      <c r="O718" s="67" t="s">
        <v>388</v>
      </c>
      <c r="P718" s="57" t="s">
        <v>179</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59" t="n">
        <f aca="false">Q718-T12EarlyH/24</f>
        <v>46324.6388888889</v>
      </c>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IF(N718="N/A – rule","N/A – RULE",IF(TRIM(U718)="N/A",IF(AT718=0,"INVALID – N/A not permitted for this mandatory check",IF(AND(TRIM(AC718)&lt;&gt;"",TRIM(AE718)&lt;&gt;"",TRIM(T718)&lt;&gt;"",TRIM(AE718)&lt;&gt;TRIM(T718)),"N/A – JUSTIFIED","INVALID – N/A needs justification, PIC and a different verifier")),IF(OR(TRIM(U718)="Pass",TRIM(U718)="Pass after CA"),IF(NOT(ISNUMBER(AD718)),"INVALID – completion time missing",IF(TRIM(T718)="","INVALID – PIC missing",IF(TRIM(V718)="","INVALID – result / assessment missing",IF(TRIM(Z718)="","INVALID – evidence missing",IF(TRIM(AE718)="","INVALID – verifier missing",IF(TRIM(AE718)=TRIM(T718),"INVALID – verifier must be someone other than the PIC",IF(AND(AQ718=1,TRIM(W718)=""),"INVALID – batch ID missing",IF(AND(AR718=1,OR(NOT(ISNUMBER(X718)),NOT(ISNUMBER(Y718)))),"INVALID – expected/actual qty missing",IF(IF(AND(TRIM(U718)="Pass",ISNUMBER(AF718)),IF(AF718&lt;&gt;0,"INVALID – qty variance: use Fail or Pass after CA",""),"")&amp;IF(AND(TRIM(U718)="Pass",TRIM(AB718)&lt;&gt;"",TRIM(AB718)&lt;&gt;"Closed"),"INVALID – corrective action not closed: use Fail, then Pass after CA","")&amp;IF(AND(TRIM(AA718)&lt;&gt;"",TRIM(AB718)=""),"INVALID – CA status missing for the recorded corrective action","")&amp;IF(AND(TRIM(U718)="Pass after CA",OR(TRIM(AA718)="",TRIM(AB718)&lt;&gt;"Closed")),"INVALID – corrective action not recorded/closed","")&lt;&gt;"",IF(AND(TRIM(U718)="Pass",ISNUMBER(AF718)),IF(AF718&lt;&gt;0,"INVALID – qty variance: use Fail or Pass after CA",""),"")&amp;IF(AND(TRIM(U718)="Pass",TRIM(AB718)&lt;&gt;"",TRIM(AB718)&lt;&gt;"Closed"),"INVALID – corrective action not closed: use Fail, then Pass after CA","")&amp;IF(AND(TRIM(AA718)&lt;&gt;"",TRIM(AB718)=""),"INVALID – CA status missing for the recorded corrective action","")&amp;IF(AND(TRIM(U718)="Pass after CA",OR(TRIM(AA718)="",TRIM(AB718)&lt;&gt;"Closed")),"INVALID – corrective action not recorded/closed",""),IF(AND(AS718=1,Documents!$J$26&lt;&gt;"ON FILE"),"INVALID – GLD not on file (Documents sheet)",IF(AND(AS718=2,Documents!$O$26&lt;&gt;"ON FILE"),"INVALID – menu checklist not on file (Documents sheet)",IF(AND(AS718=3,NOT(ISNUMBER(Flights!$AX$26))),"INVALID – enter carrying flight KUL departure (Flights AX)",IF(AND(AS718=3,OR(Flights!$AX$26&gt;=Flights!$AA$26,Flights!$AX$26&lt;Flights!$AA$26-3)),"INVALID – Flights AX must be before this leg's STD (within 3 days)",IF(AG718&gt;AsOfUTC,"INVALID – completion time is in the future",IF(AND(ISNUMBER(S718),AG718&lt;S718),IF(H718="Physical uplift","INVALID – before uplift window (cannot confirm loading)","INVALID – before valid window"),IF(AG718&gt;Flights!$AA$26,"INVALID – completed after departure (cannot establish readiness)",IF(AND(H718="Physical uplift",AG718&gt;Q718),"INVALID – recorded after the loading flight departed",IF(AG718&gt;Q718,"COMPLETE – LATE","COMPLETE")))))))))))))))))),IF(TRIM(U718)="Fail","FAIL – DISCREPANCY",IF(AND(TRIM(U718)&lt;&gt;"",TRIM(U718)&lt;&gt;"Not started",TRIM(U718)&lt;&gt;"In progress"),"INVALID – unrecognised status (use the list)",IF(AsOfUTC&gt;Q718,"OVERDUE",IF(N718="Clarification required","OPEN – CLARIFICATION","OPEN")))))))</f>
        <v>OPEN</v>
      </c>
      <c r="AI718" s="61" t="n">
        <f aca="false">IF(OR(AH718="N/A – RULE",AH718="N/A – JUSTIFIED"),0,1)</f>
        <v>1</v>
      </c>
      <c r="AJ718" s="61" t="n">
        <f aca="false">IF(LEFT(AH718,8)="COMPLETE",1,0)</f>
        <v>0</v>
      </c>
      <c r="AK718" s="61" t="n">
        <f aca="false">IF(AND(AI718=1,AJ718=0,AsOfUTC&gt;Q718),1,0)</f>
        <v>0</v>
      </c>
      <c r="AL718" s="61" t="n">
        <f aca="false">IF(AND(AI718=1,OR(TRIM(U718)="Fail",AND(TRIM(AB718)&lt;&gt;"",TRIM(AB718)&lt;&gt;"Closed"),AND(ISNUMBER(AF718),AF718&lt;&gt;0,TRIM(U718)&lt;&gt;"Pass after CA"))),1,0)</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row>
    <row r="719" customFormat="false" ht="91.5" hidden="false" customHeight="true" outlineLevel="0" collapsed="false">
      <c r="A719" s="57" t="s">
        <v>1415</v>
      </c>
      <c r="B719" s="57" t="s">
        <v>304</v>
      </c>
      <c r="C719" s="57" t="str">
        <f aca="false">Flights!$F$26</f>
        <v>MH0002</v>
      </c>
      <c r="D719" s="58" t="n">
        <f aca="false">Flights!$D$26</f>
        <v>46325</v>
      </c>
      <c r="E719" s="57" t="str">
        <f aca="false">Flights!$G$26&amp;"-"&amp;Flights!$H$26</f>
        <v>KUL-LHR</v>
      </c>
      <c r="F719" s="57" t="str">
        <f aca="false">Flights!$K$26</f>
        <v>BC</v>
      </c>
      <c r="G719" s="57" t="s">
        <v>385</v>
      </c>
      <c r="H719" s="57" t="s">
        <v>343</v>
      </c>
      <c r="I719" s="57" t="s">
        <v>405</v>
      </c>
      <c r="J719" s="57" t="s">
        <v>406</v>
      </c>
      <c r="K719" s="67" t="s">
        <v>466</v>
      </c>
      <c r="L719" s="67" t="s">
        <v>408</v>
      </c>
      <c r="M719" s="67" t="s">
        <v>691</v>
      </c>
      <c r="N719" s="67" t="s">
        <v>409</v>
      </c>
      <c r="O719" s="67" t="s">
        <v>692</v>
      </c>
      <c r="P719" s="57" t="s">
        <v>179</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59" t="n">
        <f aca="false">Q719-T12EarlyH/24</f>
        <v>46324.6388888889</v>
      </c>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IF(N719="N/A – rule","N/A – RULE",IF(TRIM(U719)="N/A",IF(AT719=0,"INVALID – N/A not permitted for this mandatory check",IF(AND(TRIM(AC719)&lt;&gt;"",TRIM(AE719)&lt;&gt;"",TRIM(T719)&lt;&gt;"",TRIM(AE719)&lt;&gt;TRIM(T719)),"N/A – JUSTIFIED","INVALID – N/A needs justification, PIC and a different verifier")),IF(OR(TRIM(U719)="Pass",TRIM(U719)="Pass after CA"),IF(NOT(ISNUMBER(AD719)),"INVALID – completion time missing",IF(TRIM(T719)="","INVALID – PIC missing",IF(TRIM(V719)="","INVALID – result / assessment missing",IF(TRIM(Z719)="","INVALID – evidence missing",IF(TRIM(AE719)="","INVALID – verifier missing",IF(TRIM(AE719)=TRIM(T719),"INVALID – verifier must be someone other than the PIC",IF(AND(AQ719=1,TRIM(W719)=""),"INVALID – batch ID missing",IF(AND(AR719=1,OR(NOT(ISNUMBER(X719)),NOT(ISNUMBER(Y719)))),"INVALID – expected/actual qty missing",IF(IF(AND(TRIM(U719)="Pass",ISNUMBER(AF719)),IF(AF719&lt;&gt;0,"INVALID – qty variance: use Fail or Pass after CA",""),"")&amp;IF(AND(TRIM(U719)="Pass",TRIM(AB719)&lt;&gt;"",TRIM(AB719)&lt;&gt;"Closed"),"INVALID – corrective action not closed: use Fail, then Pass after CA","")&amp;IF(AND(TRIM(AA719)&lt;&gt;"",TRIM(AB719)=""),"INVALID – CA status missing for the recorded corrective action","")&amp;IF(AND(TRIM(U719)="Pass after CA",OR(TRIM(AA719)="",TRIM(AB719)&lt;&gt;"Closed")),"INVALID – corrective action not recorded/closed","")&lt;&gt;"",IF(AND(TRIM(U719)="Pass",ISNUMBER(AF719)),IF(AF719&lt;&gt;0,"INVALID – qty variance: use Fail or Pass after CA",""),"")&amp;IF(AND(TRIM(U719)="Pass",TRIM(AB719)&lt;&gt;"",TRIM(AB719)&lt;&gt;"Closed"),"INVALID – corrective action not closed: use Fail, then Pass after CA","")&amp;IF(AND(TRIM(AA719)&lt;&gt;"",TRIM(AB719)=""),"INVALID – CA status missing for the recorded corrective action","")&amp;IF(AND(TRIM(U719)="Pass after CA",OR(TRIM(AA719)="",TRIM(AB719)&lt;&gt;"Closed")),"INVALID – corrective action not recorded/closed",""),IF(AND(AS719=1,Documents!$J$26&lt;&gt;"ON FILE"),"INVALID – GLD not on file (Documents sheet)",IF(AND(AS719=2,Documents!$O$26&lt;&gt;"ON FILE"),"INVALID – menu checklist not on file (Documents sheet)",IF(AND(AS719=3,NOT(ISNUMBER(Flights!$AX$26))),"INVALID – enter carrying flight KUL departure (Flights AX)",IF(AND(AS719=3,OR(Flights!$AX$26&gt;=Flights!$AA$26,Flights!$AX$26&lt;Flights!$AA$26-3)),"INVALID – Flights AX must be before this leg's STD (within 3 days)",IF(AG719&gt;AsOfUTC,"INVALID – completion time is in the future",IF(AND(ISNUMBER(S719),AG719&lt;S719),IF(H719="Physical uplift","INVALID – before uplift window (cannot confirm loading)","INVALID – before valid window"),IF(AG719&gt;Flights!$AA$26,"INVALID – completed after departure (cannot establish readiness)",IF(AND(H719="Physical uplift",AG719&gt;Q719),"INVALID – recorded after the loading flight departed",IF(AG719&gt;Q719,"COMPLETE – LATE","COMPLETE")))))))))))))))))),IF(TRIM(U719)="Fail","FAIL – DISCREPANCY",IF(AND(TRIM(U719)&lt;&gt;"",TRIM(U719)&lt;&gt;"Not started",TRIM(U719)&lt;&gt;"In progress"),"INVALID – unrecognised status (use the list)",IF(AsOfUTC&gt;Q719,"OVERDUE",IF(N719="Clarification required","OPEN – CLARIFICATION","OPEN")))))))</f>
        <v>OPEN – CLARIFICATION</v>
      </c>
      <c r="AI719" s="61" t="n">
        <f aca="false">IF(OR(AH719="N/A – RULE",AH719="N/A – JUSTIFIED"),0,1)</f>
        <v>1</v>
      </c>
      <c r="AJ719" s="61" t="n">
        <f aca="false">IF(LEFT(AH719,8)="COMPLETE",1,0)</f>
        <v>0</v>
      </c>
      <c r="AK719" s="61" t="n">
        <f aca="false">IF(AND(AI719=1,AJ719=0,AsOfUTC&gt;Q719),1,0)</f>
        <v>0</v>
      </c>
      <c r="AL719" s="61" t="n">
        <f aca="false">IF(AND(AI719=1,OR(TRIM(U719)="Fail",AND(TRIM(AB719)&lt;&gt;"",TRIM(AB719)&lt;&gt;"Closed"),AND(ISNUMBER(AF719),AF719&lt;&gt;0,TRIM(U719)&lt;&gt;"Pass after CA"))),1,0)</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8" t="b">
        <f aca="false">TRUE()</f>
        <v>1</v>
      </c>
    </row>
    <row r="720" customFormat="false" ht="39.75" hidden="false" customHeight="true" outlineLevel="0" collapsed="false">
      <c r="A720" s="57" t="s">
        <v>1416</v>
      </c>
      <c r="B720" s="57" t="s">
        <v>304</v>
      </c>
      <c r="C720" s="57" t="str">
        <f aca="false">Flights!$F$26</f>
        <v>MH0002</v>
      </c>
      <c r="D720" s="58" t="n">
        <f aca="false">Flights!$D$26</f>
        <v>46325</v>
      </c>
      <c r="E720" s="57" t="str">
        <f aca="false">Flights!$G$26&amp;"-"&amp;Flights!$H$26</f>
        <v>KUL-LHR</v>
      </c>
      <c r="F720" s="57" t="str">
        <f aca="false">Flights!$K$26</f>
        <v>BC</v>
      </c>
      <c r="G720" s="57" t="s">
        <v>385</v>
      </c>
      <c r="H720" s="57" t="s">
        <v>343</v>
      </c>
      <c r="I720" s="57" t="s">
        <v>405</v>
      </c>
      <c r="J720" s="57" t="s">
        <v>694</v>
      </c>
      <c r="K720" s="67" t="s">
        <v>695</v>
      </c>
      <c r="L720" s="67" t="s">
        <v>696</v>
      </c>
      <c r="M720" s="67" t="s">
        <v>179</v>
      </c>
      <c r="N720" s="67" t="s">
        <v>348</v>
      </c>
      <c r="O720" s="67" t="s">
        <v>697</v>
      </c>
      <c r="P720" s="57" t="s">
        <v>179</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59" t="n">
        <f aca="false">Q720-T12EarlyH/24</f>
        <v>46324.6388888889</v>
      </c>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IF(N720="N/A – rule","N/A – RULE",IF(TRIM(U720)="N/A",IF(AT720=0,"INVALID – N/A not permitted for this mandatory check",IF(AND(TRIM(AC720)&lt;&gt;"",TRIM(AE720)&lt;&gt;"",TRIM(T720)&lt;&gt;"",TRIM(AE720)&lt;&gt;TRIM(T720)),"N/A – JUSTIFIED","INVALID – N/A needs justification, PIC and a different verifier")),IF(OR(TRIM(U720)="Pass",TRIM(U720)="Pass after CA"),IF(NOT(ISNUMBER(AD720)),"INVALID – completion time missing",IF(TRIM(T720)="","INVALID – PIC missing",IF(TRIM(V720)="","INVALID – result / assessment missing",IF(TRIM(Z720)="","INVALID – evidence missing",IF(TRIM(AE720)="","INVALID – verifier missing",IF(TRIM(AE720)=TRIM(T720),"INVALID – verifier must be someone other than the PIC",IF(AND(AQ720=1,TRIM(W720)=""),"INVALID – batch ID missing",IF(AND(AR720=1,OR(NOT(ISNUMBER(X720)),NOT(ISNUMBER(Y720)))),"INVALID – expected/actual qty missing",IF(IF(AND(TRIM(U720)="Pass",ISNUMBER(AF720)),IF(AF720&lt;&gt;0,"INVALID – qty variance: use Fail or Pass after CA",""),"")&amp;IF(AND(TRIM(U720)="Pass",TRIM(AB720)&lt;&gt;"",TRIM(AB720)&lt;&gt;"Closed"),"INVALID – corrective action not closed: use Fail, then Pass after CA","")&amp;IF(AND(TRIM(AA720)&lt;&gt;"",TRIM(AB720)=""),"INVALID – CA status missing for the recorded corrective action","")&amp;IF(AND(TRIM(U720)="Pass after CA",OR(TRIM(AA720)="",TRIM(AB720)&lt;&gt;"Closed")),"INVALID – corrective action not recorded/closed","")&lt;&gt;"",IF(AND(TRIM(U720)="Pass",ISNUMBER(AF720)),IF(AF720&lt;&gt;0,"INVALID – qty variance: use Fail or Pass after CA",""),"")&amp;IF(AND(TRIM(U720)="Pass",TRIM(AB720)&lt;&gt;"",TRIM(AB720)&lt;&gt;"Closed"),"INVALID – corrective action not closed: use Fail, then Pass after CA","")&amp;IF(AND(TRIM(AA720)&lt;&gt;"",TRIM(AB720)=""),"INVALID – CA status missing for the recorded corrective action","")&amp;IF(AND(TRIM(U720)="Pass after CA",OR(TRIM(AA720)="",TRIM(AB720)&lt;&gt;"Closed")),"INVALID – corrective action not recorded/closed",""),IF(AND(AS720=1,Documents!$J$26&lt;&gt;"ON FILE"),"INVALID – GLD not on file (Documents sheet)",IF(AND(AS720=2,Documents!$O$26&lt;&gt;"ON FILE"),"INVALID – menu checklist not on file (Documents sheet)",IF(AND(AS720=3,NOT(ISNUMBER(Flights!$AX$26))),"INVALID – enter carrying flight KUL departure (Flights AX)",IF(AND(AS720=3,OR(Flights!$AX$26&gt;=Flights!$AA$26,Flights!$AX$26&lt;Flights!$AA$26-3)),"INVALID – Flights AX must be before this leg's STD (within 3 days)",IF(AG720&gt;AsOfUTC,"INVALID – completion time is in the future",IF(AND(ISNUMBER(S720),AG720&lt;S720),IF(H720="Physical uplift","INVALID – before uplift window (cannot confirm loading)","INVALID – before valid window"),IF(AG720&gt;Flights!$AA$26,"INVALID – completed after departure (cannot establish readiness)",IF(AND(H720="Physical uplift",AG720&gt;Q720),"INVALID – recorded after the loading flight departed",IF(AG720&gt;Q720,"COMPLETE – LATE","COMPLETE")))))))))))))))))),IF(TRIM(U720)="Fail","FAIL – DISCREPANCY",IF(AND(TRIM(U720)&lt;&gt;"",TRIM(U720)&lt;&gt;"Not started",TRIM(U720)&lt;&gt;"In progress"),"INVALID – unrecognised status (use the list)",IF(AsOfUTC&gt;Q720,"OVERDUE",IF(N720="Clarification required","OPEN – CLARIFICATION","OPEN")))))))</f>
        <v>OPEN</v>
      </c>
      <c r="AI720" s="61" t="n">
        <f aca="false">IF(OR(AH720="N/A – RULE",AH720="N/A – JUSTIFIED"),0,1)</f>
        <v>1</v>
      </c>
      <c r="AJ720" s="61" t="n">
        <f aca="false">IF(LEFT(AH720,8)="COMPLETE",1,0)</f>
        <v>0</v>
      </c>
      <c r="AK720" s="61" t="n">
        <f aca="false">IF(AND(AI720=1,AJ720=0,AsOfUTC&gt;Q720),1,0)</f>
        <v>0</v>
      </c>
      <c r="AL720" s="61" t="n">
        <f aca="false">IF(AND(AI720=1,OR(TRIM(U720)="Fail",AND(TRIM(AB720)&lt;&gt;"",TRIM(AB720)&lt;&gt;"Closed"),AND(ISNUMBER(AF720),AF720&lt;&gt;0,TRIM(U720)&lt;&gt;"Pass after CA"))),1,0)</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8" t="b">
        <f aca="false">TRUE()</f>
        <v>1</v>
      </c>
    </row>
    <row r="721" customFormat="false" ht="39.75" hidden="false" customHeight="true" outlineLevel="0" collapsed="false">
      <c r="A721" s="57" t="s">
        <v>1417</v>
      </c>
      <c r="B721" s="57" t="s">
        <v>304</v>
      </c>
      <c r="C721" s="57" t="str">
        <f aca="false">Flights!$F$26</f>
        <v>MH0002</v>
      </c>
      <c r="D721" s="58" t="n">
        <f aca="false">Flights!$D$26</f>
        <v>46325</v>
      </c>
      <c r="E721" s="57" t="str">
        <f aca="false">Flights!$G$26&amp;"-"&amp;Flights!$H$26</f>
        <v>KUL-LHR</v>
      </c>
      <c r="F721" s="57" t="str">
        <f aca="false">Flights!$K$26</f>
        <v>BC</v>
      </c>
      <c r="G721" s="57" t="s">
        <v>385</v>
      </c>
      <c r="H721" s="57" t="s">
        <v>343</v>
      </c>
      <c r="I721" s="57" t="s">
        <v>405</v>
      </c>
      <c r="J721" s="57" t="s">
        <v>568</v>
      </c>
      <c r="K721" s="67" t="s">
        <v>466</v>
      </c>
      <c r="L721" s="67" t="s">
        <v>699</v>
      </c>
      <c r="M721" s="67" t="s">
        <v>179</v>
      </c>
      <c r="N721" s="67" t="s">
        <v>348</v>
      </c>
      <c r="O721" s="67"/>
      <c r="P721" s="57" t="s">
        <v>179</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59" t="n">
        <f aca="false">Q721-T12EarlyH/24</f>
        <v>46324.6388888889</v>
      </c>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IF(N721="N/A – rule","N/A – RULE",IF(TRIM(U721)="N/A",IF(AT721=0,"INVALID – N/A not permitted for this mandatory check",IF(AND(TRIM(AC721)&lt;&gt;"",TRIM(AE721)&lt;&gt;"",TRIM(T721)&lt;&gt;"",TRIM(AE721)&lt;&gt;TRIM(T721)),"N/A – JUSTIFIED","INVALID – N/A needs justification, PIC and a different verifier")),IF(OR(TRIM(U721)="Pass",TRIM(U721)="Pass after CA"),IF(NOT(ISNUMBER(AD721)),"INVALID – completion time missing",IF(TRIM(T721)="","INVALID – PIC missing",IF(TRIM(V721)="","INVALID – result / assessment missing",IF(TRIM(Z721)="","INVALID – evidence missing",IF(TRIM(AE721)="","INVALID – verifier missing",IF(TRIM(AE721)=TRIM(T721),"INVALID – verifier must be someone other than the PIC",IF(AND(AQ721=1,TRIM(W721)=""),"INVALID – batch ID missing",IF(AND(AR721=1,OR(NOT(ISNUMBER(X721)),NOT(ISNUMBER(Y721)))),"INVALID – expected/actual qty missing",IF(IF(AND(TRIM(U721)="Pass",ISNUMBER(AF721)),IF(AF721&lt;&gt;0,"INVALID – qty variance: use Fail or Pass after CA",""),"")&amp;IF(AND(TRIM(U721)="Pass",TRIM(AB721)&lt;&gt;"",TRIM(AB721)&lt;&gt;"Closed"),"INVALID – corrective action not closed: use Fail, then Pass after CA","")&amp;IF(AND(TRIM(AA721)&lt;&gt;"",TRIM(AB721)=""),"INVALID – CA status missing for the recorded corrective action","")&amp;IF(AND(TRIM(U721)="Pass after CA",OR(TRIM(AA721)="",TRIM(AB721)&lt;&gt;"Closed")),"INVALID – corrective action not recorded/closed","")&lt;&gt;"",IF(AND(TRIM(U721)="Pass",ISNUMBER(AF721)),IF(AF721&lt;&gt;0,"INVALID – qty variance: use Fail or Pass after CA",""),"")&amp;IF(AND(TRIM(U721)="Pass",TRIM(AB721)&lt;&gt;"",TRIM(AB721)&lt;&gt;"Closed"),"INVALID – corrective action not closed: use Fail, then Pass after CA","")&amp;IF(AND(TRIM(AA721)&lt;&gt;"",TRIM(AB721)=""),"INVALID – CA status missing for the recorded corrective action","")&amp;IF(AND(TRIM(U721)="Pass after CA",OR(TRIM(AA721)="",TRIM(AB721)&lt;&gt;"Closed")),"INVALID – corrective action not recorded/closed",""),IF(AND(AS721=1,Documents!$J$26&lt;&gt;"ON FILE"),"INVALID – GLD not on file (Documents sheet)",IF(AND(AS721=2,Documents!$O$26&lt;&gt;"ON FILE"),"INVALID – menu checklist not on file (Documents sheet)",IF(AND(AS721=3,NOT(ISNUMBER(Flights!$AX$26))),"INVALID – enter carrying flight KUL departure (Flights AX)",IF(AND(AS721=3,OR(Flights!$AX$26&gt;=Flights!$AA$26,Flights!$AX$26&lt;Flights!$AA$26-3)),"INVALID – Flights AX must be before this leg's STD (within 3 days)",IF(AG721&gt;AsOfUTC,"INVALID – completion time is in the future",IF(AND(ISNUMBER(S721),AG721&lt;S721),IF(H721="Physical uplift","INVALID – before uplift window (cannot confirm loading)","INVALID – before valid window"),IF(AG721&gt;Flights!$AA$26,"INVALID – completed after departure (cannot establish readiness)",IF(AND(H721="Physical uplift",AG721&gt;Q721),"INVALID – recorded after the loading flight departed",IF(AG721&gt;Q721,"COMPLETE – LATE","COMPLETE")))))))))))))))))),IF(TRIM(U721)="Fail","FAIL – DISCREPANCY",IF(AND(TRIM(U721)&lt;&gt;"",TRIM(U721)&lt;&gt;"Not started",TRIM(U721)&lt;&gt;"In progress"),"INVALID – unrecognised status (use the list)",IF(AsOfUTC&gt;Q721,"OVERDUE",IF(N721="Clarification required","OPEN – CLARIFICATION","OPEN")))))))</f>
        <v>OPEN</v>
      </c>
      <c r="AI721" s="61" t="n">
        <f aca="false">IF(OR(AH721="N/A – RULE",AH721="N/A – JUSTIFIED"),0,1)</f>
        <v>1</v>
      </c>
      <c r="AJ721" s="61" t="n">
        <f aca="false">IF(LEFT(AH721,8)="COMPLETE",1,0)</f>
        <v>0</v>
      </c>
      <c r="AK721" s="61" t="n">
        <f aca="false">IF(AND(AI721=1,AJ721=0,AsOfUTC&gt;Q721),1,0)</f>
        <v>0</v>
      </c>
      <c r="AL721" s="61" t="n">
        <f aca="false">IF(AND(AI721=1,OR(TRIM(U721)="Fail",AND(TRIM(AB721)&lt;&gt;"",TRIM(AB721)&lt;&gt;"Closed"),AND(ISNUMBER(AF721),AF721&lt;&gt;0,TRIM(U721)&lt;&gt;"Pass after CA"))),1,0)</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8" t="b">
        <f aca="false">TRUE()</f>
        <v>1</v>
      </c>
    </row>
    <row r="722" customFormat="false" ht="41.25" hidden="false" customHeight="true" outlineLevel="0" collapsed="false">
      <c r="A722" s="57" t="s">
        <v>1418</v>
      </c>
      <c r="B722" s="57" t="s">
        <v>304</v>
      </c>
      <c r="C722" s="57" t="str">
        <f aca="false">Flights!$F$26</f>
        <v>MH0002</v>
      </c>
      <c r="D722" s="58" t="n">
        <f aca="false">Flights!$D$26</f>
        <v>46325</v>
      </c>
      <c r="E722" s="57" t="str">
        <f aca="false">Flights!$G$26&amp;"-"&amp;Flights!$H$26</f>
        <v>KUL-LHR</v>
      </c>
      <c r="F722" s="57" t="str">
        <f aca="false">Flights!$K$26</f>
        <v>BC</v>
      </c>
      <c r="G722" s="57" t="s">
        <v>385</v>
      </c>
      <c r="H722" s="57" t="s">
        <v>343</v>
      </c>
      <c r="I722" s="57" t="s">
        <v>464</v>
      </c>
      <c r="J722" s="57" t="s">
        <v>465</v>
      </c>
      <c r="K722" s="67" t="s">
        <v>466</v>
      </c>
      <c r="L722" s="67" t="s">
        <v>701</v>
      </c>
      <c r="M722" s="67" t="s">
        <v>416</v>
      </c>
      <c r="N722" s="67" t="s">
        <v>348</v>
      </c>
      <c r="O722" s="67" t="s">
        <v>468</v>
      </c>
      <c r="P722" s="57" t="s">
        <v>179</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59" t="n">
        <f aca="false">Q722-T12EarlyH/24</f>
        <v>46324.6388888889</v>
      </c>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IF(N722="N/A – rule","N/A – RULE",IF(TRIM(U722)="N/A",IF(AT722=0,"INVALID – N/A not permitted for this mandatory check",IF(AND(TRIM(AC722)&lt;&gt;"",TRIM(AE722)&lt;&gt;"",TRIM(T722)&lt;&gt;"",TRIM(AE722)&lt;&gt;TRIM(T722)),"N/A – JUSTIFIED","INVALID – N/A needs justification, PIC and a different verifier")),IF(OR(TRIM(U722)="Pass",TRIM(U722)="Pass after CA"),IF(NOT(ISNUMBER(AD722)),"INVALID – completion time missing",IF(TRIM(T722)="","INVALID – PIC missing",IF(TRIM(V722)="","INVALID – result / assessment missing",IF(TRIM(Z722)="","INVALID – evidence missing",IF(TRIM(AE722)="","INVALID – verifier missing",IF(TRIM(AE722)=TRIM(T722),"INVALID – verifier must be someone other than the PIC",IF(AND(AQ722=1,TRIM(W722)=""),"INVALID – batch ID missing",IF(AND(AR722=1,OR(NOT(ISNUMBER(X722)),NOT(ISNUMBER(Y722)))),"INVALID – expected/actual qty missing",IF(IF(AND(TRIM(U722)="Pass",ISNUMBER(AF722)),IF(AF722&lt;&gt;0,"INVALID – qty variance: use Fail or Pass after CA",""),"")&amp;IF(AND(TRIM(U722)="Pass",TRIM(AB722)&lt;&gt;"",TRIM(AB722)&lt;&gt;"Closed"),"INVALID – corrective action not closed: use Fail, then Pass after CA","")&amp;IF(AND(TRIM(AA722)&lt;&gt;"",TRIM(AB722)=""),"INVALID – CA status missing for the recorded corrective action","")&amp;IF(AND(TRIM(U722)="Pass after CA",OR(TRIM(AA722)="",TRIM(AB722)&lt;&gt;"Closed")),"INVALID – corrective action not recorded/closed","")&lt;&gt;"",IF(AND(TRIM(U722)="Pass",ISNUMBER(AF722)),IF(AF722&lt;&gt;0,"INVALID – qty variance: use Fail or Pass after CA",""),"")&amp;IF(AND(TRIM(U722)="Pass",TRIM(AB722)&lt;&gt;"",TRIM(AB722)&lt;&gt;"Closed"),"INVALID – corrective action not closed: use Fail, then Pass after CA","")&amp;IF(AND(TRIM(AA722)&lt;&gt;"",TRIM(AB722)=""),"INVALID – CA status missing for the recorded corrective action","")&amp;IF(AND(TRIM(U722)="Pass after CA",OR(TRIM(AA722)="",TRIM(AB722)&lt;&gt;"Closed")),"INVALID – corrective action not recorded/closed",""),IF(AND(AS722=1,Documents!$J$26&lt;&gt;"ON FILE"),"INVALID – GLD not on file (Documents sheet)",IF(AND(AS722=2,Documents!$O$26&lt;&gt;"ON FILE"),"INVALID – menu checklist not on file (Documents sheet)",IF(AND(AS722=3,NOT(ISNUMBER(Flights!$AX$26))),"INVALID – enter carrying flight KUL departure (Flights AX)",IF(AND(AS722=3,OR(Flights!$AX$26&gt;=Flights!$AA$26,Flights!$AX$26&lt;Flights!$AA$26-3)),"INVALID – Flights AX must be before this leg's STD (within 3 days)",IF(AG722&gt;AsOfUTC,"INVALID – completion time is in the future",IF(AND(ISNUMBER(S722),AG722&lt;S722),IF(H722="Physical uplift","INVALID – before uplift window (cannot confirm loading)","INVALID – before valid window"),IF(AG722&gt;Flights!$AA$26,"INVALID – completed after departure (cannot establish readiness)",IF(AND(H722="Physical uplift",AG722&gt;Q722),"INVALID – recorded after the loading flight departed",IF(AG722&gt;Q722,"COMPLETE – LATE","COMPLETE")))))))))))))))))),IF(TRIM(U722)="Fail","FAIL – DISCREPANCY",IF(AND(TRIM(U722)&lt;&gt;"",TRIM(U722)&lt;&gt;"Not started",TRIM(U722)&lt;&gt;"In progress"),"INVALID – unrecognised status (use the list)",IF(AsOfUTC&gt;Q722,"OVERDUE",IF(N722="Clarification required","OPEN – CLARIFICATION","OPEN")))))))</f>
        <v>OPEN</v>
      </c>
      <c r="AI722" s="61" t="n">
        <f aca="false">IF(OR(AH722="N/A – RULE",AH722="N/A – JUSTIFIED"),0,1)</f>
        <v>1</v>
      </c>
      <c r="AJ722" s="61" t="n">
        <f aca="false">IF(LEFT(AH722,8)="COMPLETE",1,0)</f>
        <v>0</v>
      </c>
      <c r="AK722" s="61" t="n">
        <f aca="false">IF(AND(AI722=1,AJ722=0,AsOfUTC&gt;Q722),1,0)</f>
        <v>0</v>
      </c>
      <c r="AL722" s="61" t="n">
        <f aca="false">IF(AND(AI722=1,OR(TRIM(U722)="Fail",AND(TRIM(AB722)&lt;&gt;"",TRIM(AB722)&lt;&gt;"Closed"),AND(ISNUMBER(AF722),AF722&lt;&gt;0,TRIM(U722)&lt;&gt;"Pass after CA"))),1,0)</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8" t="b">
        <f aca="false">TRUE()</f>
        <v>1</v>
      </c>
    </row>
    <row r="723" customFormat="false" ht="41.25" hidden="false" customHeight="true" outlineLevel="0" collapsed="false">
      <c r="A723" s="57" t="s">
        <v>1419</v>
      </c>
      <c r="B723" s="57" t="s">
        <v>304</v>
      </c>
      <c r="C723" s="57" t="str">
        <f aca="false">Flights!$F$26</f>
        <v>MH0002</v>
      </c>
      <c r="D723" s="58" t="n">
        <f aca="false">Flights!$D$26</f>
        <v>46325</v>
      </c>
      <c r="E723" s="57" t="str">
        <f aca="false">Flights!$G$26&amp;"-"&amp;Flights!$H$26</f>
        <v>KUL-LHR</v>
      </c>
      <c r="F723" s="57" t="str">
        <f aca="false">Flights!$K$26</f>
        <v>BC</v>
      </c>
      <c r="G723" s="57" t="s">
        <v>385</v>
      </c>
      <c r="H723" s="57" t="s">
        <v>343</v>
      </c>
      <c r="I723" s="57" t="s">
        <v>464</v>
      </c>
      <c r="J723" s="57" t="s">
        <v>470</v>
      </c>
      <c r="K723" s="67" t="s">
        <v>466</v>
      </c>
      <c r="L723" s="67" t="s">
        <v>703</v>
      </c>
      <c r="M723" s="67" t="s">
        <v>416</v>
      </c>
      <c r="N723" s="67" t="s">
        <v>348</v>
      </c>
      <c r="O723" s="67" t="s">
        <v>468</v>
      </c>
      <c r="P723" s="57" t="s">
        <v>179</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59" t="n">
        <f aca="false">Q723-T12EarlyH/24</f>
        <v>46324.6388888889</v>
      </c>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IF(N723="N/A – rule","N/A – RULE",IF(TRIM(U723)="N/A",IF(AT723=0,"INVALID – N/A not permitted for this mandatory check",IF(AND(TRIM(AC723)&lt;&gt;"",TRIM(AE723)&lt;&gt;"",TRIM(T723)&lt;&gt;"",TRIM(AE723)&lt;&gt;TRIM(T723)),"N/A – JUSTIFIED","INVALID – N/A needs justification, PIC and a different verifier")),IF(OR(TRIM(U723)="Pass",TRIM(U723)="Pass after CA"),IF(NOT(ISNUMBER(AD723)),"INVALID – completion time missing",IF(TRIM(T723)="","INVALID – PIC missing",IF(TRIM(V723)="","INVALID – result / assessment missing",IF(TRIM(Z723)="","INVALID – evidence missing",IF(TRIM(AE723)="","INVALID – verifier missing",IF(TRIM(AE723)=TRIM(T723),"INVALID – verifier must be someone other than the PIC",IF(AND(AQ723=1,TRIM(W723)=""),"INVALID – batch ID missing",IF(AND(AR723=1,OR(NOT(ISNUMBER(X723)),NOT(ISNUMBER(Y723)))),"INVALID – expected/actual qty missing",IF(IF(AND(TRIM(U723)="Pass",ISNUMBER(AF723)),IF(AF723&lt;&gt;0,"INVALID – qty variance: use Fail or Pass after CA",""),"")&amp;IF(AND(TRIM(U723)="Pass",TRIM(AB723)&lt;&gt;"",TRIM(AB723)&lt;&gt;"Closed"),"INVALID – corrective action not closed: use Fail, then Pass after CA","")&amp;IF(AND(TRIM(AA723)&lt;&gt;"",TRIM(AB723)=""),"INVALID – CA status missing for the recorded corrective action","")&amp;IF(AND(TRIM(U723)="Pass after CA",OR(TRIM(AA723)="",TRIM(AB723)&lt;&gt;"Closed")),"INVALID – corrective action not recorded/closed","")&lt;&gt;"",IF(AND(TRIM(U723)="Pass",ISNUMBER(AF723)),IF(AF723&lt;&gt;0,"INVALID – qty variance: use Fail or Pass after CA",""),"")&amp;IF(AND(TRIM(U723)="Pass",TRIM(AB723)&lt;&gt;"",TRIM(AB723)&lt;&gt;"Closed"),"INVALID – corrective action not closed: use Fail, then Pass after CA","")&amp;IF(AND(TRIM(AA723)&lt;&gt;"",TRIM(AB723)=""),"INVALID – CA status missing for the recorded corrective action","")&amp;IF(AND(TRIM(U723)="Pass after CA",OR(TRIM(AA723)="",TRIM(AB723)&lt;&gt;"Closed")),"INVALID – corrective action not recorded/closed",""),IF(AND(AS723=1,Documents!$J$26&lt;&gt;"ON FILE"),"INVALID – GLD not on file (Documents sheet)",IF(AND(AS723=2,Documents!$O$26&lt;&gt;"ON FILE"),"INVALID – menu checklist not on file (Documents sheet)",IF(AND(AS723=3,NOT(ISNUMBER(Flights!$AX$26))),"INVALID – enter carrying flight KUL departure (Flights AX)",IF(AND(AS723=3,OR(Flights!$AX$26&gt;=Flights!$AA$26,Flights!$AX$26&lt;Flights!$AA$26-3)),"INVALID – Flights AX must be before this leg's STD (within 3 days)",IF(AG723&gt;AsOfUTC,"INVALID – completion time is in the future",IF(AND(ISNUMBER(S723),AG723&lt;S723),IF(H723="Physical uplift","INVALID – before uplift window (cannot confirm loading)","INVALID – before valid window"),IF(AG723&gt;Flights!$AA$26,"INVALID – completed after departure (cannot establish readiness)",IF(AND(H723="Physical uplift",AG723&gt;Q723),"INVALID – recorded after the loading flight departed",IF(AG723&gt;Q723,"COMPLETE – LATE","COMPLETE")))))))))))))))))),IF(TRIM(U723)="Fail","FAIL – DISCREPANCY",IF(AND(TRIM(U723)&lt;&gt;"",TRIM(U723)&lt;&gt;"Not started",TRIM(U723)&lt;&gt;"In progress"),"INVALID – unrecognised status (use the list)",IF(AsOfUTC&gt;Q723,"OVERDUE",IF(N723="Clarification required","OPEN – CLARIFICATION","OPEN")))))))</f>
        <v>OPEN</v>
      </c>
      <c r="AI723" s="61" t="n">
        <f aca="false">IF(OR(AH723="N/A – RULE",AH723="N/A – JUSTIFIED"),0,1)</f>
        <v>1</v>
      </c>
      <c r="AJ723" s="61" t="n">
        <f aca="false">IF(LEFT(AH723,8)="COMPLETE",1,0)</f>
        <v>0</v>
      </c>
      <c r="AK723" s="61" t="n">
        <f aca="false">IF(AND(AI723=1,AJ723=0,AsOfUTC&gt;Q723),1,0)</f>
        <v>0</v>
      </c>
      <c r="AL723" s="61" t="n">
        <f aca="false">IF(AND(AI723=1,OR(TRIM(U723)="Fail",AND(TRIM(AB723)&lt;&gt;"",TRIM(AB723)&lt;&gt;"Closed"),AND(ISNUMBER(AF723),AF723&lt;&gt;0,TRIM(U723)&lt;&gt;"Pass after CA"))),1,0)</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8" t="b">
        <f aca="false">TRUE()</f>
        <v>1</v>
      </c>
    </row>
    <row r="724" customFormat="false" ht="41.25" hidden="false" customHeight="true" outlineLevel="0" collapsed="false">
      <c r="A724" s="57" t="s">
        <v>1420</v>
      </c>
      <c r="B724" s="57" t="s">
        <v>304</v>
      </c>
      <c r="C724" s="57" t="str">
        <f aca="false">Flights!$F$26</f>
        <v>MH0002</v>
      </c>
      <c r="D724" s="58" t="n">
        <f aca="false">Flights!$D$26</f>
        <v>46325</v>
      </c>
      <c r="E724" s="57" t="str">
        <f aca="false">Flights!$G$26&amp;"-"&amp;Flights!$H$26</f>
        <v>KUL-LHR</v>
      </c>
      <c r="F724" s="57" t="str">
        <f aca="false">Flights!$K$26</f>
        <v>BC</v>
      </c>
      <c r="G724" s="57" t="s">
        <v>385</v>
      </c>
      <c r="H724" s="57" t="s">
        <v>343</v>
      </c>
      <c r="I724" s="57" t="s">
        <v>464</v>
      </c>
      <c r="J724" s="57" t="s">
        <v>473</v>
      </c>
      <c r="K724" s="67" t="s">
        <v>466</v>
      </c>
      <c r="L724" s="67" t="s">
        <v>705</v>
      </c>
      <c r="M724" s="67" t="s">
        <v>416</v>
      </c>
      <c r="N724" s="67" t="s">
        <v>348</v>
      </c>
      <c r="O724" s="67" t="s">
        <v>468</v>
      </c>
      <c r="P724" s="57" t="s">
        <v>179</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59" t="n">
        <f aca="false">Q724-T12EarlyH/24</f>
        <v>46324.6388888889</v>
      </c>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IF(N724="N/A – rule","N/A – RULE",IF(TRIM(U724)="N/A",IF(AT724=0,"INVALID – N/A not permitted for this mandatory check",IF(AND(TRIM(AC724)&lt;&gt;"",TRIM(AE724)&lt;&gt;"",TRIM(T724)&lt;&gt;"",TRIM(AE724)&lt;&gt;TRIM(T724)),"N/A – JUSTIFIED","INVALID – N/A needs justification, PIC and a different verifier")),IF(OR(TRIM(U724)="Pass",TRIM(U724)="Pass after CA"),IF(NOT(ISNUMBER(AD724)),"INVALID – completion time missing",IF(TRIM(T724)="","INVALID – PIC missing",IF(TRIM(V724)="","INVALID – result / assessment missing",IF(TRIM(Z724)="","INVALID – evidence missing",IF(TRIM(AE724)="","INVALID – verifier missing",IF(TRIM(AE724)=TRIM(T724),"INVALID – verifier must be someone other than the PIC",IF(AND(AQ724=1,TRIM(W724)=""),"INVALID – batch ID missing",IF(AND(AR724=1,OR(NOT(ISNUMBER(X724)),NOT(ISNUMBER(Y724)))),"INVALID – expected/actual qty missing",IF(IF(AND(TRIM(U724)="Pass",ISNUMBER(AF724)),IF(AF724&lt;&gt;0,"INVALID – qty variance: use Fail or Pass after CA",""),"")&amp;IF(AND(TRIM(U724)="Pass",TRIM(AB724)&lt;&gt;"",TRIM(AB724)&lt;&gt;"Closed"),"INVALID – corrective action not closed: use Fail, then Pass after CA","")&amp;IF(AND(TRIM(AA724)&lt;&gt;"",TRIM(AB724)=""),"INVALID – CA status missing for the recorded corrective action","")&amp;IF(AND(TRIM(U724)="Pass after CA",OR(TRIM(AA724)="",TRIM(AB724)&lt;&gt;"Closed")),"INVALID – corrective action not recorded/closed","")&lt;&gt;"",IF(AND(TRIM(U724)="Pass",ISNUMBER(AF724)),IF(AF724&lt;&gt;0,"INVALID – qty variance: use Fail or Pass after CA",""),"")&amp;IF(AND(TRIM(U724)="Pass",TRIM(AB724)&lt;&gt;"",TRIM(AB724)&lt;&gt;"Closed"),"INVALID – corrective action not closed: use Fail, then Pass after CA","")&amp;IF(AND(TRIM(AA724)&lt;&gt;"",TRIM(AB724)=""),"INVALID – CA status missing for the recorded corrective action","")&amp;IF(AND(TRIM(U724)="Pass after CA",OR(TRIM(AA724)="",TRIM(AB724)&lt;&gt;"Closed")),"INVALID – corrective action not recorded/closed",""),IF(AND(AS724=1,Documents!$J$26&lt;&gt;"ON FILE"),"INVALID – GLD not on file (Documents sheet)",IF(AND(AS724=2,Documents!$O$26&lt;&gt;"ON FILE"),"INVALID – menu checklist not on file (Documents sheet)",IF(AND(AS724=3,NOT(ISNUMBER(Flights!$AX$26))),"INVALID – enter carrying flight KUL departure (Flights AX)",IF(AND(AS724=3,OR(Flights!$AX$26&gt;=Flights!$AA$26,Flights!$AX$26&lt;Flights!$AA$26-3)),"INVALID – Flights AX must be before this leg's STD (within 3 days)",IF(AG724&gt;AsOfUTC,"INVALID – completion time is in the future",IF(AND(ISNUMBER(S724),AG724&lt;S724),IF(H724="Physical uplift","INVALID – before uplift window (cannot confirm loading)","INVALID – before valid window"),IF(AG724&gt;Flights!$AA$26,"INVALID – completed after departure (cannot establish readiness)",IF(AND(H724="Physical uplift",AG724&gt;Q724),"INVALID – recorded after the loading flight departed",IF(AG724&gt;Q724,"COMPLETE – LATE","COMPLETE")))))))))))))))))),IF(TRIM(U724)="Fail","FAIL – DISCREPANCY",IF(AND(TRIM(U724)&lt;&gt;"",TRIM(U724)&lt;&gt;"Not started",TRIM(U724)&lt;&gt;"In progress"),"INVALID – unrecognised status (use the list)",IF(AsOfUTC&gt;Q724,"OVERDUE",IF(N724="Clarification required","OPEN – CLARIFICATION","OPEN")))))))</f>
        <v>OPEN</v>
      </c>
      <c r="AI724" s="61" t="n">
        <f aca="false">IF(OR(AH724="N/A – RULE",AH724="N/A – JUSTIFIED"),0,1)</f>
        <v>1</v>
      </c>
      <c r="AJ724" s="61" t="n">
        <f aca="false">IF(LEFT(AH724,8)="COMPLETE",1,0)</f>
        <v>0</v>
      </c>
      <c r="AK724" s="61" t="n">
        <f aca="false">IF(AND(AI724=1,AJ724=0,AsOfUTC&gt;Q724),1,0)</f>
        <v>0</v>
      </c>
      <c r="AL724" s="61" t="n">
        <f aca="false">IF(AND(AI724=1,OR(TRIM(U724)="Fail",AND(TRIM(AB724)&lt;&gt;"",TRIM(AB724)&lt;&gt;"Closed"),AND(ISNUMBER(AF724),AF724&lt;&gt;0,TRIM(U724)&lt;&gt;"Pass after CA"))),1,0)</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8" t="b">
        <f aca="false">TRUE()</f>
        <v>1</v>
      </c>
    </row>
    <row r="725" customFormat="false" ht="41.25" hidden="false" customHeight="true" outlineLevel="0" collapsed="false">
      <c r="A725" s="57" t="s">
        <v>1421</v>
      </c>
      <c r="B725" s="57" t="s">
        <v>304</v>
      </c>
      <c r="C725" s="57" t="str">
        <f aca="false">Flights!$F$26</f>
        <v>MH0002</v>
      </c>
      <c r="D725" s="58" t="n">
        <f aca="false">Flights!$D$26</f>
        <v>46325</v>
      </c>
      <c r="E725" s="57" t="str">
        <f aca="false">Flights!$G$26&amp;"-"&amp;Flights!$H$26</f>
        <v>KUL-LHR</v>
      </c>
      <c r="F725" s="57" t="str">
        <f aca="false">Flights!$K$26</f>
        <v>BC</v>
      </c>
      <c r="G725" s="57" t="s">
        <v>385</v>
      </c>
      <c r="H725" s="57" t="s">
        <v>343</v>
      </c>
      <c r="I725" s="57" t="s">
        <v>464</v>
      </c>
      <c r="J725" s="57" t="s">
        <v>476</v>
      </c>
      <c r="K725" s="67" t="s">
        <v>466</v>
      </c>
      <c r="L725" s="67" t="s">
        <v>707</v>
      </c>
      <c r="M725" s="67" t="s">
        <v>416</v>
      </c>
      <c r="N725" s="67" t="s">
        <v>348</v>
      </c>
      <c r="O725" s="67" t="s">
        <v>468</v>
      </c>
      <c r="P725" s="57" t="s">
        <v>179</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59" t="n">
        <f aca="false">Q725-T12EarlyH/24</f>
        <v>46324.6388888889</v>
      </c>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IF(N725="N/A – rule","N/A – RULE",IF(TRIM(U725)="N/A",IF(AT725=0,"INVALID – N/A not permitted for this mandatory check",IF(AND(TRIM(AC725)&lt;&gt;"",TRIM(AE725)&lt;&gt;"",TRIM(T725)&lt;&gt;"",TRIM(AE725)&lt;&gt;TRIM(T725)),"N/A – JUSTIFIED","INVALID – N/A needs justification, PIC and a different verifier")),IF(OR(TRIM(U725)="Pass",TRIM(U725)="Pass after CA"),IF(NOT(ISNUMBER(AD725)),"INVALID – completion time missing",IF(TRIM(T725)="","INVALID – PIC missing",IF(TRIM(V725)="","INVALID – result / assessment missing",IF(TRIM(Z725)="","INVALID – evidence missing",IF(TRIM(AE725)="","INVALID – verifier missing",IF(TRIM(AE725)=TRIM(T725),"INVALID – verifier must be someone other than the PIC",IF(AND(AQ725=1,TRIM(W725)=""),"INVALID – batch ID missing",IF(AND(AR725=1,OR(NOT(ISNUMBER(X725)),NOT(ISNUMBER(Y725)))),"INVALID – expected/actual qty missing",IF(IF(AND(TRIM(U725)="Pass",ISNUMBER(AF725)),IF(AF725&lt;&gt;0,"INVALID – qty variance: use Fail or Pass after CA",""),"")&amp;IF(AND(TRIM(U725)="Pass",TRIM(AB725)&lt;&gt;"",TRIM(AB725)&lt;&gt;"Closed"),"INVALID – corrective action not closed: use Fail, then Pass after CA","")&amp;IF(AND(TRIM(AA725)&lt;&gt;"",TRIM(AB725)=""),"INVALID – CA status missing for the recorded corrective action","")&amp;IF(AND(TRIM(U725)="Pass after CA",OR(TRIM(AA725)="",TRIM(AB725)&lt;&gt;"Closed")),"INVALID – corrective action not recorded/closed","")&lt;&gt;"",IF(AND(TRIM(U725)="Pass",ISNUMBER(AF725)),IF(AF725&lt;&gt;0,"INVALID – qty variance: use Fail or Pass after CA",""),"")&amp;IF(AND(TRIM(U725)="Pass",TRIM(AB725)&lt;&gt;"",TRIM(AB725)&lt;&gt;"Closed"),"INVALID – corrective action not closed: use Fail, then Pass after CA","")&amp;IF(AND(TRIM(AA725)&lt;&gt;"",TRIM(AB725)=""),"INVALID – CA status missing for the recorded corrective action","")&amp;IF(AND(TRIM(U725)="Pass after CA",OR(TRIM(AA725)="",TRIM(AB725)&lt;&gt;"Closed")),"INVALID – corrective action not recorded/closed",""),IF(AND(AS725=1,Documents!$J$26&lt;&gt;"ON FILE"),"INVALID – GLD not on file (Documents sheet)",IF(AND(AS725=2,Documents!$O$26&lt;&gt;"ON FILE"),"INVALID – menu checklist not on file (Documents sheet)",IF(AND(AS725=3,NOT(ISNUMBER(Flights!$AX$26))),"INVALID – enter carrying flight KUL departure (Flights AX)",IF(AND(AS725=3,OR(Flights!$AX$26&gt;=Flights!$AA$26,Flights!$AX$26&lt;Flights!$AA$26-3)),"INVALID – Flights AX must be before this leg's STD (within 3 days)",IF(AG725&gt;AsOfUTC,"INVALID – completion time is in the future",IF(AND(ISNUMBER(S725),AG725&lt;S725),IF(H725="Physical uplift","INVALID – before uplift window (cannot confirm loading)","INVALID – before valid window"),IF(AG725&gt;Flights!$AA$26,"INVALID – completed after departure (cannot establish readiness)",IF(AND(H725="Physical uplift",AG725&gt;Q725),"INVALID – recorded after the loading flight departed",IF(AG725&gt;Q725,"COMPLETE – LATE","COMPLETE")))))))))))))))))),IF(TRIM(U725)="Fail","FAIL – DISCREPANCY",IF(AND(TRIM(U725)&lt;&gt;"",TRIM(U725)&lt;&gt;"Not started",TRIM(U725)&lt;&gt;"In progress"),"INVALID – unrecognised status (use the list)",IF(AsOfUTC&gt;Q725,"OVERDUE",IF(N725="Clarification required","OPEN – CLARIFICATION","OPEN")))))))</f>
        <v>OPEN</v>
      </c>
      <c r="AI725" s="61" t="n">
        <f aca="false">IF(OR(AH725="N/A – RULE",AH725="N/A – JUSTIFIED"),0,1)</f>
        <v>1</v>
      </c>
      <c r="AJ725" s="61" t="n">
        <f aca="false">IF(LEFT(AH725,8)="COMPLETE",1,0)</f>
        <v>0</v>
      </c>
      <c r="AK725" s="61" t="n">
        <f aca="false">IF(AND(AI725=1,AJ725=0,AsOfUTC&gt;Q725),1,0)</f>
        <v>0</v>
      </c>
      <c r="AL725" s="61" t="n">
        <f aca="false">IF(AND(AI725=1,OR(TRIM(U725)="Fail",AND(TRIM(AB725)&lt;&gt;"",TRIM(AB725)&lt;&gt;"Closed"),AND(ISNUMBER(AF725),AF725&lt;&gt;0,TRIM(U725)&lt;&gt;"Pass after CA"))),1,0)</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8" t="b">
        <f aca="false">TRUE()</f>
        <v>1</v>
      </c>
    </row>
    <row r="726" customFormat="false" ht="41.25" hidden="false" customHeight="true" outlineLevel="0" collapsed="false">
      <c r="A726" s="57" t="s">
        <v>1422</v>
      </c>
      <c r="B726" s="57" t="s">
        <v>304</v>
      </c>
      <c r="C726" s="57" t="str">
        <f aca="false">Flights!$F$26</f>
        <v>MH0002</v>
      </c>
      <c r="D726" s="58" t="n">
        <f aca="false">Flights!$D$26</f>
        <v>46325</v>
      </c>
      <c r="E726" s="57" t="str">
        <f aca="false">Flights!$G$26&amp;"-"&amp;Flights!$H$26</f>
        <v>KUL-LHR</v>
      </c>
      <c r="F726" s="57" t="str">
        <f aca="false">Flights!$K$26</f>
        <v>BC</v>
      </c>
      <c r="G726" s="57" t="s">
        <v>385</v>
      </c>
      <c r="H726" s="57" t="s">
        <v>343</v>
      </c>
      <c r="I726" s="57" t="s">
        <v>464</v>
      </c>
      <c r="J726" s="57" t="s">
        <v>480</v>
      </c>
      <c r="K726" s="67" t="s">
        <v>466</v>
      </c>
      <c r="L726" s="67" t="s">
        <v>709</v>
      </c>
      <c r="M726" s="67" t="s">
        <v>416</v>
      </c>
      <c r="N726" s="67" t="s">
        <v>348</v>
      </c>
      <c r="O726" s="67" t="s">
        <v>468</v>
      </c>
      <c r="P726" s="57" t="s">
        <v>179</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59" t="n">
        <f aca="false">Q726-T12EarlyH/24</f>
        <v>46324.6388888889</v>
      </c>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IF(N726="N/A – rule","N/A – RULE",IF(TRIM(U726)="N/A",IF(AT726=0,"INVALID – N/A not permitted for this mandatory check",IF(AND(TRIM(AC726)&lt;&gt;"",TRIM(AE726)&lt;&gt;"",TRIM(T726)&lt;&gt;"",TRIM(AE726)&lt;&gt;TRIM(T726)),"N/A – JUSTIFIED","INVALID – N/A needs justification, PIC and a different verifier")),IF(OR(TRIM(U726)="Pass",TRIM(U726)="Pass after CA"),IF(NOT(ISNUMBER(AD726)),"INVALID – completion time missing",IF(TRIM(T726)="","INVALID – PIC missing",IF(TRIM(V726)="","INVALID – result / assessment missing",IF(TRIM(Z726)="","INVALID – evidence missing",IF(TRIM(AE726)="","INVALID – verifier missing",IF(TRIM(AE726)=TRIM(T726),"INVALID – verifier must be someone other than the PIC",IF(AND(AQ726=1,TRIM(W726)=""),"INVALID – batch ID missing",IF(AND(AR726=1,OR(NOT(ISNUMBER(X726)),NOT(ISNUMBER(Y726)))),"INVALID – expected/actual qty missing",IF(IF(AND(TRIM(U726)="Pass",ISNUMBER(AF726)),IF(AF726&lt;&gt;0,"INVALID – qty variance: use Fail or Pass after CA",""),"")&amp;IF(AND(TRIM(U726)="Pass",TRIM(AB726)&lt;&gt;"",TRIM(AB726)&lt;&gt;"Closed"),"INVALID – corrective action not closed: use Fail, then Pass after CA","")&amp;IF(AND(TRIM(AA726)&lt;&gt;"",TRIM(AB726)=""),"INVALID – CA status missing for the recorded corrective action","")&amp;IF(AND(TRIM(U726)="Pass after CA",OR(TRIM(AA726)="",TRIM(AB726)&lt;&gt;"Closed")),"INVALID – corrective action not recorded/closed","")&lt;&gt;"",IF(AND(TRIM(U726)="Pass",ISNUMBER(AF726)),IF(AF726&lt;&gt;0,"INVALID – qty variance: use Fail or Pass after CA",""),"")&amp;IF(AND(TRIM(U726)="Pass",TRIM(AB726)&lt;&gt;"",TRIM(AB726)&lt;&gt;"Closed"),"INVALID – corrective action not closed: use Fail, then Pass after CA","")&amp;IF(AND(TRIM(AA726)&lt;&gt;"",TRIM(AB726)=""),"INVALID – CA status missing for the recorded corrective action","")&amp;IF(AND(TRIM(U726)="Pass after CA",OR(TRIM(AA726)="",TRIM(AB726)&lt;&gt;"Closed")),"INVALID – corrective action not recorded/closed",""),IF(AND(AS726=1,Documents!$J$26&lt;&gt;"ON FILE"),"INVALID – GLD not on file (Documents sheet)",IF(AND(AS726=2,Documents!$O$26&lt;&gt;"ON FILE"),"INVALID – menu checklist not on file (Documents sheet)",IF(AND(AS726=3,NOT(ISNUMBER(Flights!$AX$26))),"INVALID – enter carrying flight KUL departure (Flights AX)",IF(AND(AS726=3,OR(Flights!$AX$26&gt;=Flights!$AA$26,Flights!$AX$26&lt;Flights!$AA$26-3)),"INVALID – Flights AX must be before this leg's STD (within 3 days)",IF(AG726&gt;AsOfUTC,"INVALID – completion time is in the future",IF(AND(ISNUMBER(S726),AG726&lt;S726),IF(H726="Physical uplift","INVALID – before uplift window (cannot confirm loading)","INVALID – before valid window"),IF(AG726&gt;Flights!$AA$26,"INVALID – completed after departure (cannot establish readiness)",IF(AND(H726="Physical uplift",AG726&gt;Q726),"INVALID – recorded after the loading flight departed",IF(AG726&gt;Q726,"COMPLETE – LATE","COMPLETE")))))))))))))))))),IF(TRIM(U726)="Fail","FAIL – DISCREPANCY",IF(AND(TRIM(U726)&lt;&gt;"",TRIM(U726)&lt;&gt;"Not started",TRIM(U726)&lt;&gt;"In progress"),"INVALID – unrecognised status (use the list)",IF(AsOfUTC&gt;Q726,"OVERDUE",IF(N726="Clarification required","OPEN – CLARIFICATION","OPEN")))))))</f>
        <v>OPEN</v>
      </c>
      <c r="AI726" s="61" t="n">
        <f aca="false">IF(OR(AH726="N/A – RULE",AH726="N/A – JUSTIFIED"),0,1)</f>
        <v>1</v>
      </c>
      <c r="AJ726" s="61" t="n">
        <f aca="false">IF(LEFT(AH726,8)="COMPLETE",1,0)</f>
        <v>0</v>
      </c>
      <c r="AK726" s="61" t="n">
        <f aca="false">IF(AND(AI726=1,AJ726=0,AsOfUTC&gt;Q726),1,0)</f>
        <v>0</v>
      </c>
      <c r="AL726" s="61" t="n">
        <f aca="false">IF(AND(AI726=1,OR(TRIM(U726)="Fail",AND(TRIM(AB726)&lt;&gt;"",TRIM(AB726)&lt;&gt;"Closed"),AND(ISNUMBER(AF726),AF726&lt;&gt;0,TRIM(U726)&lt;&gt;"Pass after CA"))),1,0)</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8" t="b">
        <f aca="false">TRUE()</f>
        <v>1</v>
      </c>
    </row>
    <row r="727" customFormat="false" ht="54" hidden="false" customHeight="true" outlineLevel="0" collapsed="false">
      <c r="A727" s="57" t="s">
        <v>1423</v>
      </c>
      <c r="B727" s="57" t="s">
        <v>304</v>
      </c>
      <c r="C727" s="57" t="str">
        <f aca="false">Flights!$F$26</f>
        <v>MH0002</v>
      </c>
      <c r="D727" s="58" t="n">
        <f aca="false">Flights!$D$26</f>
        <v>46325</v>
      </c>
      <c r="E727" s="57" t="str">
        <f aca="false">Flights!$G$26&amp;"-"&amp;Flights!$H$26</f>
        <v>KUL-LHR</v>
      </c>
      <c r="F727" s="57" t="str">
        <f aca="false">Flights!$K$26</f>
        <v>BC</v>
      </c>
      <c r="G727" s="57" t="s">
        <v>385</v>
      </c>
      <c r="H727" s="57" t="s">
        <v>343</v>
      </c>
      <c r="I727" s="57" t="s">
        <v>464</v>
      </c>
      <c r="J727" s="57" t="s">
        <v>483</v>
      </c>
      <c r="K727" s="67" t="s">
        <v>581</v>
      </c>
      <c r="L727" s="67" t="s">
        <v>711</v>
      </c>
      <c r="M727" s="67" t="s">
        <v>416</v>
      </c>
      <c r="N727" s="67" t="s">
        <v>348</v>
      </c>
      <c r="O727" s="67" t="s">
        <v>486</v>
      </c>
      <c r="P727" s="57" t="s">
        <v>179</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59" t="n">
        <f aca="false">Q727-T12EarlyH/24</f>
        <v>46324.6388888889</v>
      </c>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IF(N727="N/A – rule","N/A – RULE",IF(TRIM(U727)="N/A",IF(AT727=0,"INVALID – N/A not permitted for this mandatory check",IF(AND(TRIM(AC727)&lt;&gt;"",TRIM(AE727)&lt;&gt;"",TRIM(T727)&lt;&gt;"",TRIM(AE727)&lt;&gt;TRIM(T727)),"N/A – JUSTIFIED","INVALID – N/A needs justification, PIC and a different verifier")),IF(OR(TRIM(U727)="Pass",TRIM(U727)="Pass after CA"),IF(NOT(ISNUMBER(AD727)),"INVALID – completion time missing",IF(TRIM(T727)="","INVALID – PIC missing",IF(TRIM(V727)="","INVALID – result / assessment missing",IF(TRIM(Z727)="","INVALID – evidence missing",IF(TRIM(AE727)="","INVALID – verifier missing",IF(TRIM(AE727)=TRIM(T727),"INVALID – verifier must be someone other than the PIC",IF(AND(AQ727=1,TRIM(W727)=""),"INVALID – batch ID missing",IF(AND(AR727=1,OR(NOT(ISNUMBER(X727)),NOT(ISNUMBER(Y727)))),"INVALID – expected/actual qty missing",IF(IF(AND(TRIM(U727)="Pass",ISNUMBER(AF727)),IF(AF727&lt;&gt;0,"INVALID – qty variance: use Fail or Pass after CA",""),"")&amp;IF(AND(TRIM(U727)="Pass",TRIM(AB727)&lt;&gt;"",TRIM(AB727)&lt;&gt;"Closed"),"INVALID – corrective action not closed: use Fail, then Pass after CA","")&amp;IF(AND(TRIM(AA727)&lt;&gt;"",TRIM(AB727)=""),"INVALID – CA status missing for the recorded corrective action","")&amp;IF(AND(TRIM(U727)="Pass after CA",OR(TRIM(AA727)="",TRIM(AB727)&lt;&gt;"Closed")),"INVALID – corrective action not recorded/closed","")&lt;&gt;"",IF(AND(TRIM(U727)="Pass",ISNUMBER(AF727)),IF(AF727&lt;&gt;0,"INVALID – qty variance: use Fail or Pass after CA",""),"")&amp;IF(AND(TRIM(U727)="Pass",TRIM(AB727)&lt;&gt;"",TRIM(AB727)&lt;&gt;"Closed"),"INVALID – corrective action not closed: use Fail, then Pass after CA","")&amp;IF(AND(TRIM(AA727)&lt;&gt;"",TRIM(AB727)=""),"INVALID – CA status missing for the recorded corrective action","")&amp;IF(AND(TRIM(U727)="Pass after CA",OR(TRIM(AA727)="",TRIM(AB727)&lt;&gt;"Closed")),"INVALID – corrective action not recorded/closed",""),IF(AND(AS727=1,Documents!$J$26&lt;&gt;"ON FILE"),"INVALID – GLD not on file (Documents sheet)",IF(AND(AS727=2,Documents!$O$26&lt;&gt;"ON FILE"),"INVALID – menu checklist not on file (Documents sheet)",IF(AND(AS727=3,NOT(ISNUMBER(Flights!$AX$26))),"INVALID – enter carrying flight KUL departure (Flights AX)",IF(AND(AS727=3,OR(Flights!$AX$26&gt;=Flights!$AA$26,Flights!$AX$26&lt;Flights!$AA$26-3)),"INVALID – Flights AX must be before this leg's STD (within 3 days)",IF(AG727&gt;AsOfUTC,"INVALID – completion time is in the future",IF(AND(ISNUMBER(S727),AG727&lt;S727),IF(H727="Physical uplift","INVALID – before uplift window (cannot confirm loading)","INVALID – before valid window"),IF(AG727&gt;Flights!$AA$26,"INVALID – completed after departure (cannot establish readiness)",IF(AND(H727="Physical uplift",AG727&gt;Q727),"INVALID – recorded after the loading flight departed",IF(AG727&gt;Q727,"COMPLETE – LATE","COMPLETE")))))))))))))))))),IF(TRIM(U727)="Fail","FAIL – DISCREPANCY",IF(AND(TRIM(U727)&lt;&gt;"",TRIM(U727)&lt;&gt;"Not started",TRIM(U727)&lt;&gt;"In progress"),"INVALID – unrecognised status (use the list)",IF(AsOfUTC&gt;Q727,"OVERDUE",IF(N727="Clarification required","OPEN – CLARIFICATION","OPEN")))))))</f>
        <v>OPEN</v>
      </c>
      <c r="AI727" s="61" t="n">
        <f aca="false">IF(OR(AH727="N/A – RULE",AH727="N/A – JUSTIFIED"),0,1)</f>
        <v>1</v>
      </c>
      <c r="AJ727" s="61" t="n">
        <f aca="false">IF(LEFT(AH727,8)="COMPLETE",1,0)</f>
        <v>0</v>
      </c>
      <c r="AK727" s="61" t="n">
        <f aca="false">IF(AND(AI727=1,AJ727=0,AsOfUTC&gt;Q727),1,0)</f>
        <v>0</v>
      </c>
      <c r="AL727" s="61" t="n">
        <f aca="false">IF(AND(AI727=1,OR(TRIM(U727)="Fail",AND(TRIM(AB727)&lt;&gt;"",TRIM(AB727)&lt;&gt;"Closed"),AND(ISNUMBER(AF727),AF727&lt;&gt;0,TRIM(U727)&lt;&gt;"Pass after CA"))),1,0)</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8" t="b">
        <f aca="false">TRUE()</f>
        <v>1</v>
      </c>
    </row>
    <row r="728" customFormat="false" ht="41.25" hidden="false" customHeight="true" outlineLevel="0" collapsed="false">
      <c r="A728" s="57" t="s">
        <v>1424</v>
      </c>
      <c r="B728" s="57" t="s">
        <v>304</v>
      </c>
      <c r="C728" s="57" t="str">
        <f aca="false">Flights!$F$26</f>
        <v>MH0002</v>
      </c>
      <c r="D728" s="58" t="n">
        <f aca="false">Flights!$D$26</f>
        <v>46325</v>
      </c>
      <c r="E728" s="57" t="str">
        <f aca="false">Flights!$G$26&amp;"-"&amp;Flights!$H$26</f>
        <v>KUL-LHR</v>
      </c>
      <c r="F728" s="57" t="str">
        <f aca="false">Flights!$K$26</f>
        <v>BC</v>
      </c>
      <c r="G728" s="57" t="s">
        <v>385</v>
      </c>
      <c r="H728" s="57" t="s">
        <v>343</v>
      </c>
      <c r="I728" s="57" t="s">
        <v>464</v>
      </c>
      <c r="J728" s="57" t="s">
        <v>488</v>
      </c>
      <c r="K728" s="67" t="s">
        <v>466</v>
      </c>
      <c r="L728" s="67" t="s">
        <v>713</v>
      </c>
      <c r="M728" s="67" t="s">
        <v>416</v>
      </c>
      <c r="N728" s="67" t="s">
        <v>348</v>
      </c>
      <c r="O728" s="67" t="s">
        <v>468</v>
      </c>
      <c r="P728" s="57" t="s">
        <v>179</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59" t="n">
        <f aca="false">Q728-T12EarlyH/24</f>
        <v>46324.6388888889</v>
      </c>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IF(N728="N/A – rule","N/A – RULE",IF(TRIM(U728)="N/A",IF(AT728=0,"INVALID – N/A not permitted for this mandatory check",IF(AND(TRIM(AC728)&lt;&gt;"",TRIM(AE728)&lt;&gt;"",TRIM(T728)&lt;&gt;"",TRIM(AE728)&lt;&gt;TRIM(T728)),"N/A – JUSTIFIED","INVALID – N/A needs justification, PIC and a different verifier")),IF(OR(TRIM(U728)="Pass",TRIM(U728)="Pass after CA"),IF(NOT(ISNUMBER(AD728)),"INVALID – completion time missing",IF(TRIM(T728)="","INVALID – PIC missing",IF(TRIM(V728)="","INVALID – result / assessment missing",IF(TRIM(Z728)="","INVALID – evidence missing",IF(TRIM(AE728)="","INVALID – verifier missing",IF(TRIM(AE728)=TRIM(T728),"INVALID – verifier must be someone other than the PIC",IF(AND(AQ728=1,TRIM(W728)=""),"INVALID – batch ID missing",IF(AND(AR728=1,OR(NOT(ISNUMBER(X728)),NOT(ISNUMBER(Y728)))),"INVALID – expected/actual qty missing",IF(IF(AND(TRIM(U728)="Pass",ISNUMBER(AF728)),IF(AF728&lt;&gt;0,"INVALID – qty variance: use Fail or Pass after CA",""),"")&amp;IF(AND(TRIM(U728)="Pass",TRIM(AB728)&lt;&gt;"",TRIM(AB728)&lt;&gt;"Closed"),"INVALID – corrective action not closed: use Fail, then Pass after CA","")&amp;IF(AND(TRIM(AA728)&lt;&gt;"",TRIM(AB728)=""),"INVALID – CA status missing for the recorded corrective action","")&amp;IF(AND(TRIM(U728)="Pass after CA",OR(TRIM(AA728)="",TRIM(AB728)&lt;&gt;"Closed")),"INVALID – corrective action not recorded/closed","")&lt;&gt;"",IF(AND(TRIM(U728)="Pass",ISNUMBER(AF728)),IF(AF728&lt;&gt;0,"INVALID – qty variance: use Fail or Pass after CA",""),"")&amp;IF(AND(TRIM(U728)="Pass",TRIM(AB728)&lt;&gt;"",TRIM(AB728)&lt;&gt;"Closed"),"INVALID – corrective action not closed: use Fail, then Pass after CA","")&amp;IF(AND(TRIM(AA728)&lt;&gt;"",TRIM(AB728)=""),"INVALID – CA status missing for the recorded corrective action","")&amp;IF(AND(TRIM(U728)="Pass after CA",OR(TRIM(AA728)="",TRIM(AB728)&lt;&gt;"Closed")),"INVALID – corrective action not recorded/closed",""),IF(AND(AS728=1,Documents!$J$26&lt;&gt;"ON FILE"),"INVALID – GLD not on file (Documents sheet)",IF(AND(AS728=2,Documents!$O$26&lt;&gt;"ON FILE"),"INVALID – menu checklist not on file (Documents sheet)",IF(AND(AS728=3,NOT(ISNUMBER(Flights!$AX$26))),"INVALID – enter carrying flight KUL departure (Flights AX)",IF(AND(AS728=3,OR(Flights!$AX$26&gt;=Flights!$AA$26,Flights!$AX$26&lt;Flights!$AA$26-3)),"INVALID – Flights AX must be before this leg's STD (within 3 days)",IF(AG728&gt;AsOfUTC,"INVALID – completion time is in the future",IF(AND(ISNUMBER(S728),AG728&lt;S728),IF(H728="Physical uplift","INVALID – before uplift window (cannot confirm loading)","INVALID – before valid window"),IF(AG728&gt;Flights!$AA$26,"INVALID – completed after departure (cannot establish readiness)",IF(AND(H728="Physical uplift",AG728&gt;Q728),"INVALID – recorded after the loading flight departed",IF(AG728&gt;Q728,"COMPLETE – LATE","COMPLETE")))))))))))))))))),IF(TRIM(U728)="Fail","FAIL – DISCREPANCY",IF(AND(TRIM(U728)&lt;&gt;"",TRIM(U728)&lt;&gt;"Not started",TRIM(U728)&lt;&gt;"In progress"),"INVALID – unrecognised status (use the list)",IF(AsOfUTC&gt;Q728,"OVERDUE",IF(N728="Clarification required","OPEN – CLARIFICATION","OPEN")))))))</f>
        <v>OPEN</v>
      </c>
      <c r="AI728" s="61" t="n">
        <f aca="false">IF(OR(AH728="N/A – RULE",AH728="N/A – JUSTIFIED"),0,1)</f>
        <v>1</v>
      </c>
      <c r="AJ728" s="61" t="n">
        <f aca="false">IF(LEFT(AH728,8)="COMPLETE",1,0)</f>
        <v>0</v>
      </c>
      <c r="AK728" s="61" t="n">
        <f aca="false">IF(AND(AI728=1,AJ728=0,AsOfUTC&gt;Q728),1,0)</f>
        <v>0</v>
      </c>
      <c r="AL728" s="61" t="n">
        <f aca="false">IF(AND(AI728=1,OR(TRIM(U728)="Fail",AND(TRIM(AB728)&lt;&gt;"",TRIM(AB728)&lt;&gt;"Closed"),AND(ISNUMBER(AF728),AF728&lt;&gt;0,TRIM(U728)&lt;&gt;"Pass after CA"))),1,0)</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8" t="b">
        <f aca="false">TRUE()</f>
        <v>1</v>
      </c>
    </row>
    <row r="729" customFormat="false" ht="41.25" hidden="false" customHeight="true" outlineLevel="0" collapsed="false">
      <c r="A729" s="57" t="s">
        <v>1425</v>
      </c>
      <c r="B729" s="57" t="s">
        <v>304</v>
      </c>
      <c r="C729" s="57" t="str">
        <f aca="false">Flights!$F$26</f>
        <v>MH0002</v>
      </c>
      <c r="D729" s="58" t="n">
        <f aca="false">Flights!$D$26</f>
        <v>46325</v>
      </c>
      <c r="E729" s="57" t="str">
        <f aca="false">Flights!$G$26&amp;"-"&amp;Flights!$H$26</f>
        <v>KUL-LHR</v>
      </c>
      <c r="F729" s="57" t="str">
        <f aca="false">Flights!$K$26</f>
        <v>BC</v>
      </c>
      <c r="G729" s="57" t="s">
        <v>385</v>
      </c>
      <c r="H729" s="57" t="s">
        <v>343</v>
      </c>
      <c r="I729" s="57" t="s">
        <v>412</v>
      </c>
      <c r="J729" s="57" t="s">
        <v>491</v>
      </c>
      <c r="K729" s="67" t="s">
        <v>414</v>
      </c>
      <c r="L729" s="67" t="s">
        <v>715</v>
      </c>
      <c r="M729" s="67" t="s">
        <v>416</v>
      </c>
      <c r="N729" s="67" t="s">
        <v>348</v>
      </c>
      <c r="O729" s="67" t="s">
        <v>468</v>
      </c>
      <c r="P729" s="57" t="s">
        <v>179</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59" t="n">
        <f aca="false">Q729-T12EarlyH/24</f>
        <v>46324.6388888889</v>
      </c>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IF(N729="N/A – rule","N/A – RULE",IF(TRIM(U729)="N/A",IF(AT729=0,"INVALID – N/A not permitted for this mandatory check",IF(AND(TRIM(AC729)&lt;&gt;"",TRIM(AE729)&lt;&gt;"",TRIM(T729)&lt;&gt;"",TRIM(AE729)&lt;&gt;TRIM(T729)),"N/A – JUSTIFIED","INVALID – N/A needs justification, PIC and a different verifier")),IF(OR(TRIM(U729)="Pass",TRIM(U729)="Pass after CA"),IF(NOT(ISNUMBER(AD729)),"INVALID – completion time missing",IF(TRIM(T729)="","INVALID – PIC missing",IF(TRIM(V729)="","INVALID – result / assessment missing",IF(TRIM(Z729)="","INVALID – evidence missing",IF(TRIM(AE729)="","INVALID – verifier missing",IF(TRIM(AE729)=TRIM(T729),"INVALID – verifier must be someone other than the PIC",IF(AND(AQ729=1,TRIM(W729)=""),"INVALID – batch ID missing",IF(AND(AR729=1,OR(NOT(ISNUMBER(X729)),NOT(ISNUMBER(Y729)))),"INVALID – expected/actual qty missing",IF(IF(AND(TRIM(U729)="Pass",ISNUMBER(AF729)),IF(AF729&lt;&gt;0,"INVALID – qty variance: use Fail or Pass after CA",""),"")&amp;IF(AND(TRIM(U729)="Pass",TRIM(AB729)&lt;&gt;"",TRIM(AB729)&lt;&gt;"Closed"),"INVALID – corrective action not closed: use Fail, then Pass after CA","")&amp;IF(AND(TRIM(AA729)&lt;&gt;"",TRIM(AB729)=""),"INVALID – CA status missing for the recorded corrective action","")&amp;IF(AND(TRIM(U729)="Pass after CA",OR(TRIM(AA729)="",TRIM(AB729)&lt;&gt;"Closed")),"INVALID – corrective action not recorded/closed","")&lt;&gt;"",IF(AND(TRIM(U729)="Pass",ISNUMBER(AF729)),IF(AF729&lt;&gt;0,"INVALID – qty variance: use Fail or Pass after CA",""),"")&amp;IF(AND(TRIM(U729)="Pass",TRIM(AB729)&lt;&gt;"",TRIM(AB729)&lt;&gt;"Closed"),"INVALID – corrective action not closed: use Fail, then Pass after CA","")&amp;IF(AND(TRIM(AA729)&lt;&gt;"",TRIM(AB729)=""),"INVALID – CA status missing for the recorded corrective action","")&amp;IF(AND(TRIM(U729)="Pass after CA",OR(TRIM(AA729)="",TRIM(AB729)&lt;&gt;"Closed")),"INVALID – corrective action not recorded/closed",""),IF(AND(AS729=1,Documents!$J$26&lt;&gt;"ON FILE"),"INVALID – GLD not on file (Documents sheet)",IF(AND(AS729=2,Documents!$O$26&lt;&gt;"ON FILE"),"INVALID – menu checklist not on file (Documents sheet)",IF(AND(AS729=3,NOT(ISNUMBER(Flights!$AX$26))),"INVALID – enter carrying flight KUL departure (Flights AX)",IF(AND(AS729=3,OR(Flights!$AX$26&gt;=Flights!$AA$26,Flights!$AX$26&lt;Flights!$AA$26-3)),"INVALID – Flights AX must be before this leg's STD (within 3 days)",IF(AG729&gt;AsOfUTC,"INVALID – completion time is in the future",IF(AND(ISNUMBER(S729),AG729&lt;S729),IF(H729="Physical uplift","INVALID – before uplift window (cannot confirm loading)","INVALID – before valid window"),IF(AG729&gt;Flights!$AA$26,"INVALID – completed after departure (cannot establish readiness)",IF(AND(H729="Physical uplift",AG729&gt;Q729),"INVALID – recorded after the loading flight departed",IF(AG729&gt;Q729,"COMPLETE – LATE","COMPLETE")))))))))))))))))),IF(TRIM(U729)="Fail","FAIL – DISCREPANCY",IF(AND(TRIM(U729)&lt;&gt;"",TRIM(U729)&lt;&gt;"Not started",TRIM(U729)&lt;&gt;"In progress"),"INVALID – unrecognised status (use the list)",IF(AsOfUTC&gt;Q729,"OVERDUE",IF(N729="Clarification required","OPEN – CLARIFICATION","OPEN")))))))</f>
        <v>OPEN</v>
      </c>
      <c r="AI729" s="61" t="n">
        <f aca="false">IF(OR(AH729="N/A – RULE",AH729="N/A – JUSTIFIED"),0,1)</f>
        <v>1</v>
      </c>
      <c r="AJ729" s="61" t="n">
        <f aca="false">IF(LEFT(AH729,8)="COMPLETE",1,0)</f>
        <v>0</v>
      </c>
      <c r="AK729" s="61" t="n">
        <f aca="false">IF(AND(AI729=1,AJ729=0,AsOfUTC&gt;Q729),1,0)</f>
        <v>0</v>
      </c>
      <c r="AL729" s="61" t="n">
        <f aca="false">IF(AND(AI729=1,OR(TRIM(U729)="Fail",AND(TRIM(AB729)&lt;&gt;"",TRIM(AB729)&lt;&gt;"Closed"),AND(ISNUMBER(AF729),AF729&lt;&gt;0,TRIM(U729)&lt;&gt;"Pass after CA"))),1,0)</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8" t="b">
        <f aca="false">TRUE()</f>
        <v>1</v>
      </c>
    </row>
    <row r="730" customFormat="false" ht="41.25" hidden="false" customHeight="true" outlineLevel="0" collapsed="false">
      <c r="A730" s="57" t="s">
        <v>1426</v>
      </c>
      <c r="B730" s="57" t="s">
        <v>304</v>
      </c>
      <c r="C730" s="57" t="str">
        <f aca="false">Flights!$F$26</f>
        <v>MH0002</v>
      </c>
      <c r="D730" s="58" t="n">
        <f aca="false">Flights!$D$26</f>
        <v>46325</v>
      </c>
      <c r="E730" s="57" t="str">
        <f aca="false">Flights!$G$26&amp;"-"&amp;Flights!$H$26</f>
        <v>KUL-LHR</v>
      </c>
      <c r="F730" s="57" t="str">
        <f aca="false">Flights!$K$26</f>
        <v>BC</v>
      </c>
      <c r="G730" s="57" t="s">
        <v>385</v>
      </c>
      <c r="H730" s="57" t="s">
        <v>343</v>
      </c>
      <c r="I730" s="57" t="s">
        <v>412</v>
      </c>
      <c r="J730" s="57" t="s">
        <v>588</v>
      </c>
      <c r="K730" s="67" t="s">
        <v>414</v>
      </c>
      <c r="L730" s="67" t="s">
        <v>717</v>
      </c>
      <c r="M730" s="67" t="s">
        <v>416</v>
      </c>
      <c r="N730" s="67" t="s">
        <v>348</v>
      </c>
      <c r="O730" s="67" t="s">
        <v>468</v>
      </c>
      <c r="P730" s="57" t="s">
        <v>179</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59" t="n">
        <f aca="false">Q730-T12EarlyH/24</f>
        <v>46324.6388888889</v>
      </c>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IF(N730="N/A – rule","N/A – RULE",IF(TRIM(U730)="N/A",IF(AT730=0,"INVALID – N/A not permitted for this mandatory check",IF(AND(TRIM(AC730)&lt;&gt;"",TRIM(AE730)&lt;&gt;"",TRIM(T730)&lt;&gt;"",TRIM(AE730)&lt;&gt;TRIM(T730)),"N/A – JUSTIFIED","INVALID – N/A needs justification, PIC and a different verifier")),IF(OR(TRIM(U730)="Pass",TRIM(U730)="Pass after CA"),IF(NOT(ISNUMBER(AD730)),"INVALID – completion time missing",IF(TRIM(T730)="","INVALID – PIC missing",IF(TRIM(V730)="","INVALID – result / assessment missing",IF(TRIM(Z730)="","INVALID – evidence missing",IF(TRIM(AE730)="","INVALID – verifier missing",IF(TRIM(AE730)=TRIM(T730),"INVALID – verifier must be someone other than the PIC",IF(AND(AQ730=1,TRIM(W730)=""),"INVALID – batch ID missing",IF(AND(AR730=1,OR(NOT(ISNUMBER(X730)),NOT(ISNUMBER(Y730)))),"INVALID – expected/actual qty missing",IF(IF(AND(TRIM(U730)="Pass",ISNUMBER(AF730)),IF(AF730&lt;&gt;0,"INVALID – qty variance: use Fail or Pass after CA",""),"")&amp;IF(AND(TRIM(U730)="Pass",TRIM(AB730)&lt;&gt;"",TRIM(AB730)&lt;&gt;"Closed"),"INVALID – corrective action not closed: use Fail, then Pass after CA","")&amp;IF(AND(TRIM(AA730)&lt;&gt;"",TRIM(AB730)=""),"INVALID – CA status missing for the recorded corrective action","")&amp;IF(AND(TRIM(U730)="Pass after CA",OR(TRIM(AA730)="",TRIM(AB730)&lt;&gt;"Closed")),"INVALID – corrective action not recorded/closed","")&lt;&gt;"",IF(AND(TRIM(U730)="Pass",ISNUMBER(AF730)),IF(AF730&lt;&gt;0,"INVALID – qty variance: use Fail or Pass after CA",""),"")&amp;IF(AND(TRIM(U730)="Pass",TRIM(AB730)&lt;&gt;"",TRIM(AB730)&lt;&gt;"Closed"),"INVALID – corrective action not closed: use Fail, then Pass after CA","")&amp;IF(AND(TRIM(AA730)&lt;&gt;"",TRIM(AB730)=""),"INVALID – CA status missing for the recorded corrective action","")&amp;IF(AND(TRIM(U730)="Pass after CA",OR(TRIM(AA730)="",TRIM(AB730)&lt;&gt;"Closed")),"INVALID – corrective action not recorded/closed",""),IF(AND(AS730=1,Documents!$J$26&lt;&gt;"ON FILE"),"INVALID – GLD not on file (Documents sheet)",IF(AND(AS730=2,Documents!$O$26&lt;&gt;"ON FILE"),"INVALID – menu checklist not on file (Documents sheet)",IF(AND(AS730=3,NOT(ISNUMBER(Flights!$AX$26))),"INVALID – enter carrying flight KUL departure (Flights AX)",IF(AND(AS730=3,OR(Flights!$AX$26&gt;=Flights!$AA$26,Flights!$AX$26&lt;Flights!$AA$26-3)),"INVALID – Flights AX must be before this leg's STD (within 3 days)",IF(AG730&gt;AsOfUTC,"INVALID – completion time is in the future",IF(AND(ISNUMBER(S730),AG730&lt;S730),IF(H730="Physical uplift","INVALID – before uplift window (cannot confirm loading)","INVALID – before valid window"),IF(AG730&gt;Flights!$AA$26,"INVALID – completed after departure (cannot establish readiness)",IF(AND(H730="Physical uplift",AG730&gt;Q730),"INVALID – recorded after the loading flight departed",IF(AG730&gt;Q730,"COMPLETE – LATE","COMPLETE")))))))))))))))))),IF(TRIM(U730)="Fail","FAIL – DISCREPANCY",IF(AND(TRIM(U730)&lt;&gt;"",TRIM(U730)&lt;&gt;"Not started",TRIM(U730)&lt;&gt;"In progress"),"INVALID – unrecognised status (use the list)",IF(AsOfUTC&gt;Q730,"OVERDUE",IF(N730="Clarification required","OPEN – CLARIFICATION","OPEN")))))))</f>
        <v>OPEN</v>
      </c>
      <c r="AI730" s="61" t="n">
        <f aca="false">IF(OR(AH730="N/A – RULE",AH730="N/A – JUSTIFIED"),0,1)</f>
        <v>1</v>
      </c>
      <c r="AJ730" s="61" t="n">
        <f aca="false">IF(LEFT(AH730,8)="COMPLETE",1,0)</f>
        <v>0</v>
      </c>
      <c r="AK730" s="61" t="n">
        <f aca="false">IF(AND(AI730=1,AJ730=0,AsOfUTC&gt;Q730),1,0)</f>
        <v>0</v>
      </c>
      <c r="AL730" s="61" t="n">
        <f aca="false">IF(AND(AI730=1,OR(TRIM(U730)="Fail",AND(TRIM(AB730)&lt;&gt;"",TRIM(AB730)&lt;&gt;"Closed"),AND(ISNUMBER(AF730),AF730&lt;&gt;0,TRIM(U730)&lt;&gt;"Pass after CA"))),1,0)</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8" t="b">
        <f aca="false">TRUE()</f>
        <v>1</v>
      </c>
    </row>
    <row r="731" customFormat="false" ht="41.25" hidden="false" customHeight="true" outlineLevel="0" collapsed="false">
      <c r="A731" s="57" t="s">
        <v>1427</v>
      </c>
      <c r="B731" s="57" t="s">
        <v>304</v>
      </c>
      <c r="C731" s="57" t="str">
        <f aca="false">Flights!$F$26</f>
        <v>MH0002</v>
      </c>
      <c r="D731" s="58" t="n">
        <f aca="false">Flights!$D$26</f>
        <v>46325</v>
      </c>
      <c r="E731" s="57" t="str">
        <f aca="false">Flights!$G$26&amp;"-"&amp;Flights!$H$26</f>
        <v>KUL-LHR</v>
      </c>
      <c r="F731" s="57" t="str">
        <f aca="false">Flights!$K$26</f>
        <v>BC</v>
      </c>
      <c r="G731" s="57" t="s">
        <v>385</v>
      </c>
      <c r="H731" s="57" t="s">
        <v>343</v>
      </c>
      <c r="I731" s="57" t="s">
        <v>412</v>
      </c>
      <c r="J731" s="57" t="s">
        <v>591</v>
      </c>
      <c r="K731" s="67" t="s">
        <v>414</v>
      </c>
      <c r="L731" s="67" t="s">
        <v>719</v>
      </c>
      <c r="M731" s="67" t="s">
        <v>416</v>
      </c>
      <c r="N731" s="67" t="s">
        <v>348</v>
      </c>
      <c r="O731" s="67" t="s">
        <v>468</v>
      </c>
      <c r="P731" s="57" t="s">
        <v>179</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59" t="n">
        <f aca="false">Q731-T12EarlyH/24</f>
        <v>46324.6388888889</v>
      </c>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IF(N731="N/A – rule","N/A – RULE",IF(TRIM(U731)="N/A",IF(AT731=0,"INVALID – N/A not permitted for this mandatory check",IF(AND(TRIM(AC731)&lt;&gt;"",TRIM(AE731)&lt;&gt;"",TRIM(T731)&lt;&gt;"",TRIM(AE731)&lt;&gt;TRIM(T731)),"N/A – JUSTIFIED","INVALID – N/A needs justification, PIC and a different verifier")),IF(OR(TRIM(U731)="Pass",TRIM(U731)="Pass after CA"),IF(NOT(ISNUMBER(AD731)),"INVALID – completion time missing",IF(TRIM(T731)="","INVALID – PIC missing",IF(TRIM(V731)="","INVALID – result / assessment missing",IF(TRIM(Z731)="","INVALID – evidence missing",IF(TRIM(AE731)="","INVALID – verifier missing",IF(TRIM(AE731)=TRIM(T731),"INVALID – verifier must be someone other than the PIC",IF(AND(AQ731=1,TRIM(W731)=""),"INVALID – batch ID missing",IF(AND(AR731=1,OR(NOT(ISNUMBER(X731)),NOT(ISNUMBER(Y731)))),"INVALID – expected/actual qty missing",IF(IF(AND(TRIM(U731)="Pass",ISNUMBER(AF731)),IF(AF731&lt;&gt;0,"INVALID – qty variance: use Fail or Pass after CA",""),"")&amp;IF(AND(TRIM(U731)="Pass",TRIM(AB731)&lt;&gt;"",TRIM(AB731)&lt;&gt;"Closed"),"INVALID – corrective action not closed: use Fail, then Pass after CA","")&amp;IF(AND(TRIM(AA731)&lt;&gt;"",TRIM(AB731)=""),"INVALID – CA status missing for the recorded corrective action","")&amp;IF(AND(TRIM(U731)="Pass after CA",OR(TRIM(AA731)="",TRIM(AB731)&lt;&gt;"Closed")),"INVALID – corrective action not recorded/closed","")&lt;&gt;"",IF(AND(TRIM(U731)="Pass",ISNUMBER(AF731)),IF(AF731&lt;&gt;0,"INVALID – qty variance: use Fail or Pass after CA",""),"")&amp;IF(AND(TRIM(U731)="Pass",TRIM(AB731)&lt;&gt;"",TRIM(AB731)&lt;&gt;"Closed"),"INVALID – corrective action not closed: use Fail, then Pass after CA","")&amp;IF(AND(TRIM(AA731)&lt;&gt;"",TRIM(AB731)=""),"INVALID – CA status missing for the recorded corrective action","")&amp;IF(AND(TRIM(U731)="Pass after CA",OR(TRIM(AA731)="",TRIM(AB731)&lt;&gt;"Closed")),"INVALID – corrective action not recorded/closed",""),IF(AND(AS731=1,Documents!$J$26&lt;&gt;"ON FILE"),"INVALID – GLD not on file (Documents sheet)",IF(AND(AS731=2,Documents!$O$26&lt;&gt;"ON FILE"),"INVALID – menu checklist not on file (Documents sheet)",IF(AND(AS731=3,NOT(ISNUMBER(Flights!$AX$26))),"INVALID – enter carrying flight KUL departure (Flights AX)",IF(AND(AS731=3,OR(Flights!$AX$26&gt;=Flights!$AA$26,Flights!$AX$26&lt;Flights!$AA$26-3)),"INVALID – Flights AX must be before this leg's STD (within 3 days)",IF(AG731&gt;AsOfUTC,"INVALID – completion time is in the future",IF(AND(ISNUMBER(S731),AG731&lt;S731),IF(H731="Physical uplift","INVALID – before uplift window (cannot confirm loading)","INVALID – before valid window"),IF(AG731&gt;Flights!$AA$26,"INVALID – completed after departure (cannot establish readiness)",IF(AND(H731="Physical uplift",AG731&gt;Q731),"INVALID – recorded after the loading flight departed",IF(AG731&gt;Q731,"COMPLETE – LATE","COMPLETE")))))))))))))))))),IF(TRIM(U731)="Fail","FAIL – DISCREPANCY",IF(AND(TRIM(U731)&lt;&gt;"",TRIM(U731)&lt;&gt;"Not started",TRIM(U731)&lt;&gt;"In progress"),"INVALID – unrecognised status (use the list)",IF(AsOfUTC&gt;Q731,"OVERDUE",IF(N731="Clarification required","OPEN – CLARIFICATION","OPEN")))))))</f>
        <v>OPEN</v>
      </c>
      <c r="AI731" s="61" t="n">
        <f aca="false">IF(OR(AH731="N/A – RULE",AH731="N/A – JUSTIFIED"),0,1)</f>
        <v>1</v>
      </c>
      <c r="AJ731" s="61" t="n">
        <f aca="false">IF(LEFT(AH731,8)="COMPLETE",1,0)</f>
        <v>0</v>
      </c>
      <c r="AK731" s="61" t="n">
        <f aca="false">IF(AND(AI731=1,AJ731=0,AsOfUTC&gt;Q731),1,0)</f>
        <v>0</v>
      </c>
      <c r="AL731" s="61" t="n">
        <f aca="false">IF(AND(AI731=1,OR(TRIM(U731)="Fail",AND(TRIM(AB731)&lt;&gt;"",TRIM(AB731)&lt;&gt;"Closed"),AND(ISNUMBER(AF731),AF731&lt;&gt;0,TRIM(U731)&lt;&gt;"Pass after CA"))),1,0)</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8" t="b">
        <f aca="false">TRUE()</f>
        <v>1</v>
      </c>
    </row>
    <row r="732" customFormat="false" ht="39.75" hidden="false" customHeight="true" outlineLevel="0" collapsed="false">
      <c r="A732" s="57" t="s">
        <v>1428</v>
      </c>
      <c r="B732" s="57" t="s">
        <v>304</v>
      </c>
      <c r="C732" s="57" t="str">
        <f aca="false">Flights!$F$26</f>
        <v>MH0002</v>
      </c>
      <c r="D732" s="58" t="n">
        <f aca="false">Flights!$D$26</f>
        <v>46325</v>
      </c>
      <c r="E732" s="57" t="str">
        <f aca="false">Flights!$G$26&amp;"-"&amp;Flights!$H$26</f>
        <v>KUL-LHR</v>
      </c>
      <c r="F732" s="57" t="str">
        <f aca="false">Flights!$K$26</f>
        <v>BC</v>
      </c>
      <c r="G732" s="57" t="s">
        <v>385</v>
      </c>
      <c r="H732" s="57" t="s">
        <v>343</v>
      </c>
      <c r="I732" s="57" t="s">
        <v>594</v>
      </c>
      <c r="J732" s="57" t="s">
        <v>595</v>
      </c>
      <c r="K732" s="67" t="s">
        <v>466</v>
      </c>
      <c r="L732" s="67" t="s">
        <v>721</v>
      </c>
      <c r="M732" s="67" t="s">
        <v>179</v>
      </c>
      <c r="N732" s="67" t="s">
        <v>348</v>
      </c>
      <c r="O732" s="67" t="s">
        <v>597</v>
      </c>
      <c r="P732" s="57" t="s">
        <v>179</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59" t="n">
        <f aca="false">Q732-T12EarlyH/24</f>
        <v>46324.6388888889</v>
      </c>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IF(N732="N/A – rule","N/A – RULE",IF(TRIM(U732)="N/A",IF(AT732=0,"INVALID – N/A not permitted for this mandatory check",IF(AND(TRIM(AC732)&lt;&gt;"",TRIM(AE732)&lt;&gt;"",TRIM(T732)&lt;&gt;"",TRIM(AE732)&lt;&gt;TRIM(T732)),"N/A – JUSTIFIED","INVALID – N/A needs justification, PIC and a different verifier")),IF(OR(TRIM(U732)="Pass",TRIM(U732)="Pass after CA"),IF(NOT(ISNUMBER(AD732)),"INVALID – completion time missing",IF(TRIM(T732)="","INVALID – PIC missing",IF(TRIM(V732)="","INVALID – result / assessment missing",IF(TRIM(Z732)="","INVALID – evidence missing",IF(TRIM(AE732)="","INVALID – verifier missing",IF(TRIM(AE732)=TRIM(T732),"INVALID – verifier must be someone other than the PIC",IF(AND(AQ732=1,TRIM(W732)=""),"INVALID – batch ID missing",IF(AND(AR732=1,OR(NOT(ISNUMBER(X732)),NOT(ISNUMBER(Y732)))),"INVALID – expected/actual qty missing",IF(IF(AND(TRIM(U732)="Pass",ISNUMBER(AF732)),IF(AF732&lt;&gt;0,"INVALID – qty variance: use Fail or Pass after CA",""),"")&amp;IF(AND(TRIM(U732)="Pass",TRIM(AB732)&lt;&gt;"",TRIM(AB732)&lt;&gt;"Closed"),"INVALID – corrective action not closed: use Fail, then Pass after CA","")&amp;IF(AND(TRIM(AA732)&lt;&gt;"",TRIM(AB732)=""),"INVALID – CA status missing for the recorded corrective action","")&amp;IF(AND(TRIM(U732)="Pass after CA",OR(TRIM(AA732)="",TRIM(AB732)&lt;&gt;"Closed")),"INVALID – corrective action not recorded/closed","")&lt;&gt;"",IF(AND(TRIM(U732)="Pass",ISNUMBER(AF732)),IF(AF732&lt;&gt;0,"INVALID – qty variance: use Fail or Pass after CA",""),"")&amp;IF(AND(TRIM(U732)="Pass",TRIM(AB732)&lt;&gt;"",TRIM(AB732)&lt;&gt;"Closed"),"INVALID – corrective action not closed: use Fail, then Pass after CA","")&amp;IF(AND(TRIM(AA732)&lt;&gt;"",TRIM(AB732)=""),"INVALID – CA status missing for the recorded corrective action","")&amp;IF(AND(TRIM(U732)="Pass after CA",OR(TRIM(AA732)="",TRIM(AB732)&lt;&gt;"Closed")),"INVALID – corrective action not recorded/closed",""),IF(AND(AS732=1,Documents!$J$26&lt;&gt;"ON FILE"),"INVALID – GLD not on file (Documents sheet)",IF(AND(AS732=2,Documents!$O$26&lt;&gt;"ON FILE"),"INVALID – menu checklist not on file (Documents sheet)",IF(AND(AS732=3,NOT(ISNUMBER(Flights!$AX$26))),"INVALID – enter carrying flight KUL departure (Flights AX)",IF(AND(AS732=3,OR(Flights!$AX$26&gt;=Flights!$AA$26,Flights!$AX$26&lt;Flights!$AA$26-3)),"INVALID – Flights AX must be before this leg's STD (within 3 days)",IF(AG732&gt;AsOfUTC,"INVALID – completion time is in the future",IF(AND(ISNUMBER(S732),AG732&lt;S732),IF(H732="Physical uplift","INVALID – before uplift window (cannot confirm loading)","INVALID – before valid window"),IF(AG732&gt;Flights!$AA$26,"INVALID – completed after departure (cannot establish readiness)",IF(AND(H732="Physical uplift",AG732&gt;Q732),"INVALID – recorded after the loading flight departed",IF(AG732&gt;Q732,"COMPLETE – LATE","COMPLETE")))))))))))))))))),IF(TRIM(U732)="Fail","FAIL – DISCREPANCY",IF(AND(TRIM(U732)&lt;&gt;"",TRIM(U732)&lt;&gt;"Not started",TRIM(U732)&lt;&gt;"In progress"),"INVALID – unrecognised status (use the list)",IF(AsOfUTC&gt;Q732,"OVERDUE",IF(N732="Clarification required","OPEN – CLARIFICATION","OPEN")))))))</f>
        <v>OPEN</v>
      </c>
      <c r="AI732" s="61" t="n">
        <f aca="false">IF(OR(AH732="N/A – RULE",AH732="N/A – JUSTIFIED"),0,1)</f>
        <v>1</v>
      </c>
      <c r="AJ732" s="61" t="n">
        <f aca="false">IF(LEFT(AH732,8)="COMPLETE",1,0)</f>
        <v>0</v>
      </c>
      <c r="AK732" s="61" t="n">
        <f aca="false">IF(AND(AI732=1,AJ732=0,AsOfUTC&gt;Q732),1,0)</f>
        <v>0</v>
      </c>
      <c r="AL732" s="61" t="n">
        <f aca="false">IF(AND(AI732=1,OR(TRIM(U732)="Fail",AND(TRIM(AB732)&lt;&gt;"",TRIM(AB732)&lt;&gt;"Closed"),AND(ISNUMBER(AF732),AF732&lt;&gt;0,TRIM(U732)&lt;&gt;"Pass after CA"))),1,0)</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8" t="b">
        <f aca="false">TRUE()</f>
        <v>1</v>
      </c>
    </row>
    <row r="733" customFormat="false" ht="39.75" hidden="false" customHeight="true" outlineLevel="0" collapsed="false">
      <c r="A733" s="57" t="s">
        <v>1429</v>
      </c>
      <c r="B733" s="57" t="s">
        <v>304</v>
      </c>
      <c r="C733" s="57" t="str">
        <f aca="false">Flights!$F$26</f>
        <v>MH0002</v>
      </c>
      <c r="D733" s="58" t="n">
        <f aca="false">Flights!$D$26</f>
        <v>46325</v>
      </c>
      <c r="E733" s="57" t="str">
        <f aca="false">Flights!$G$26&amp;"-"&amp;Flights!$H$26</f>
        <v>KUL-LHR</v>
      </c>
      <c r="F733" s="57" t="str">
        <f aca="false">Flights!$K$26</f>
        <v>BC</v>
      </c>
      <c r="G733" s="57" t="s">
        <v>424</v>
      </c>
      <c r="H733" s="57" t="s">
        <v>425</v>
      </c>
      <c r="I733" s="57" t="s">
        <v>344</v>
      </c>
      <c r="J733" s="57" t="s">
        <v>426</v>
      </c>
      <c r="K733" s="67" t="s">
        <v>391</v>
      </c>
      <c r="L733" s="67" t="s">
        <v>427</v>
      </c>
      <c r="M733" s="67"/>
      <c r="N733" s="67" t="s">
        <v>348</v>
      </c>
      <c r="O733" s="67" t="s">
        <v>428</v>
      </c>
      <c r="P733" s="57" t="s">
        <v>179</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59" t="n">
        <f aca="false">IF(ISNUMBER(Flights!$AY$26),MAX(Q733-UpliftWindowH/24,Flights!$AY$26+UpliftWindowH/24),Q733-UpliftWindowH/24)</f>
        <v>46325.3888888889</v>
      </c>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IF(N733="N/A – rule","N/A – RULE",IF(TRIM(U733)="N/A",IF(AT733=0,"INVALID – N/A not permitted for this mandatory check",IF(AND(TRIM(AC733)&lt;&gt;"",TRIM(AE733)&lt;&gt;"",TRIM(T733)&lt;&gt;"",TRIM(AE733)&lt;&gt;TRIM(T733)),"N/A – JUSTIFIED","INVALID – N/A needs justification, PIC and a different verifier")),IF(OR(TRIM(U733)="Pass",TRIM(U733)="Pass after CA"),IF(NOT(ISNUMBER(AD733)),"INVALID – completion time missing",IF(TRIM(T733)="","INVALID – PIC missing",IF(TRIM(V733)="","INVALID – result / assessment missing",IF(TRIM(Z733)="","INVALID – evidence missing",IF(TRIM(AE733)="","INVALID – verifier missing",IF(TRIM(AE733)=TRIM(T733),"INVALID – verifier must be someone other than the PIC",IF(AND(AQ733=1,TRIM(W733)=""),"INVALID – batch ID missing",IF(AND(AR733=1,OR(NOT(ISNUMBER(X733)),NOT(ISNUMBER(Y733)))),"INVALID – expected/actual qty missing",IF(IF(AND(TRIM(U733)="Pass",ISNUMBER(AF733)),IF(AF733&lt;&gt;0,"INVALID – qty variance: use Fail or Pass after CA",""),"")&amp;IF(AND(TRIM(U733)="Pass",TRIM(AB733)&lt;&gt;"",TRIM(AB733)&lt;&gt;"Closed"),"INVALID – corrective action not closed: use Fail, then Pass after CA","")&amp;IF(AND(TRIM(AA733)&lt;&gt;"",TRIM(AB733)=""),"INVALID – CA status missing for the recorded corrective action","")&amp;IF(AND(TRIM(U733)="Pass after CA",OR(TRIM(AA733)="",TRIM(AB733)&lt;&gt;"Closed")),"INVALID – corrective action not recorded/closed","")&lt;&gt;"",IF(AND(TRIM(U733)="Pass",ISNUMBER(AF733)),IF(AF733&lt;&gt;0,"INVALID – qty variance: use Fail or Pass after CA",""),"")&amp;IF(AND(TRIM(U733)="Pass",TRIM(AB733)&lt;&gt;"",TRIM(AB733)&lt;&gt;"Closed"),"INVALID – corrective action not closed: use Fail, then Pass after CA","")&amp;IF(AND(TRIM(AA733)&lt;&gt;"",TRIM(AB733)=""),"INVALID – CA status missing for the recorded corrective action","")&amp;IF(AND(TRIM(U733)="Pass after CA",OR(TRIM(AA733)="",TRIM(AB733)&lt;&gt;"Closed")),"INVALID – corrective action not recorded/closed",""),IF(AND(AS733=1,Documents!$J$26&lt;&gt;"ON FILE"),"INVALID – GLD not on file (Documents sheet)",IF(AND(AS733=2,Documents!$O$26&lt;&gt;"ON FILE"),"INVALID – menu checklist not on file (Documents sheet)",IF(AND(AS733=3,NOT(ISNUMBER(Flights!$AX$26))),"INVALID – enter carrying flight KUL departure (Flights AX)",IF(AND(AS733=3,OR(Flights!$AX$26&gt;=Flights!$AA$26,Flights!$AX$26&lt;Flights!$AA$26-3)),"INVALID – Flights AX must be before this leg's STD (within 3 days)",IF(AG733&gt;AsOfUTC,"INVALID – completion time is in the future",IF(AND(ISNUMBER(S733),AG733&lt;S733),IF(H733="Physical uplift","INVALID – before uplift window (cannot confirm loading)","INVALID – before valid window"),IF(AG733&gt;Flights!$AA$26,"INVALID – completed after departure (cannot establish readiness)",IF(AND(H733="Physical uplift",AG733&gt;Q733),"INVALID – recorded after the loading flight departed",IF(AG733&gt;Q733,"COMPLETE – LATE","COMPLETE")))))))))))))))))),IF(TRIM(U733)="Fail","FAIL – DISCREPANCY",IF(AND(TRIM(U733)&lt;&gt;"",TRIM(U733)&lt;&gt;"Not started",TRIM(U733)&lt;&gt;"In progress"),"INVALID – unrecognised status (use the list)",IF(AsOfUTC&gt;Q733,"OVERDUE",IF(N733="Clarification required","OPEN – CLARIFICATION","OPEN")))))))</f>
        <v>OPEN</v>
      </c>
      <c r="AI733" s="61" t="n">
        <f aca="false">IF(OR(AH733="N/A – RULE",AH733="N/A – JUSTIFIED"),0,1)</f>
        <v>1</v>
      </c>
      <c r="AJ733" s="61" t="n">
        <f aca="false">IF(LEFT(AH733,8)="COMPLETE",1,0)</f>
        <v>0</v>
      </c>
      <c r="AK733" s="61" t="n">
        <f aca="false">IF(AND(AI733=1,AJ733=0,AsOfUTC&gt;Q733),1,0)</f>
        <v>0</v>
      </c>
      <c r="AL733" s="61" t="n">
        <f aca="false">IF(AND(AI733=1,OR(TRIM(U733)="Fail",AND(TRIM(AB733)&lt;&gt;"",TRIM(AB733)&lt;&gt;"Closed"),AND(ISNUMBER(AF733),AF733&lt;&gt;0,TRIM(U733)&lt;&gt;"Pass after CA"))),1,0)</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row>
    <row r="734" customFormat="false" ht="39.75" hidden="false" customHeight="true" outlineLevel="0" collapsed="false">
      <c r="A734" s="57" t="s">
        <v>1430</v>
      </c>
      <c r="B734" s="57" t="s">
        <v>304</v>
      </c>
      <c r="C734" s="57" t="str">
        <f aca="false">Flights!$F$26</f>
        <v>MH0002</v>
      </c>
      <c r="D734" s="58" t="n">
        <f aca="false">Flights!$D$26</f>
        <v>46325</v>
      </c>
      <c r="E734" s="57" t="str">
        <f aca="false">Flights!$G$26&amp;"-"&amp;Flights!$H$26</f>
        <v>KUL-LHR</v>
      </c>
      <c r="F734" s="57" t="str">
        <f aca="false">Flights!$K$26</f>
        <v>BC</v>
      </c>
      <c r="G734" s="57" t="s">
        <v>424</v>
      </c>
      <c r="H734" s="57" t="s">
        <v>425</v>
      </c>
      <c r="I734" s="57" t="s">
        <v>393</v>
      </c>
      <c r="J734" s="57" t="s">
        <v>430</v>
      </c>
      <c r="K734" s="67" t="s">
        <v>391</v>
      </c>
      <c r="L734" s="67" t="s">
        <v>427</v>
      </c>
      <c r="M734" s="67"/>
      <c r="N734" s="67" t="s">
        <v>348</v>
      </c>
      <c r="O734" s="67" t="s">
        <v>428</v>
      </c>
      <c r="P734" s="57" t="s">
        <v>179</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59" t="n">
        <f aca="false">IF(ISNUMBER(Flights!$AY$26),MAX(Q734-UpliftWindowH/24,Flights!$AY$26+UpliftWindowH/24),Q734-UpliftWindowH/24)</f>
        <v>46325.3888888889</v>
      </c>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IF(N734="N/A – rule","N/A – RULE",IF(TRIM(U734)="N/A",IF(AT734=0,"INVALID – N/A not permitted for this mandatory check",IF(AND(TRIM(AC734)&lt;&gt;"",TRIM(AE734)&lt;&gt;"",TRIM(T734)&lt;&gt;"",TRIM(AE734)&lt;&gt;TRIM(T734)),"N/A – JUSTIFIED","INVALID – N/A needs justification, PIC and a different verifier")),IF(OR(TRIM(U734)="Pass",TRIM(U734)="Pass after CA"),IF(NOT(ISNUMBER(AD734)),"INVALID – completion time missing",IF(TRIM(T734)="","INVALID – PIC missing",IF(TRIM(V734)="","INVALID – result / assessment missing",IF(TRIM(Z734)="","INVALID – evidence missing",IF(TRIM(AE734)="","INVALID – verifier missing",IF(TRIM(AE734)=TRIM(T734),"INVALID – verifier must be someone other than the PIC",IF(AND(AQ734=1,TRIM(W734)=""),"INVALID – batch ID missing",IF(AND(AR734=1,OR(NOT(ISNUMBER(X734)),NOT(ISNUMBER(Y734)))),"INVALID – expected/actual qty missing",IF(IF(AND(TRIM(U734)="Pass",ISNUMBER(AF734)),IF(AF734&lt;&gt;0,"INVALID – qty variance: use Fail or Pass after CA",""),"")&amp;IF(AND(TRIM(U734)="Pass",TRIM(AB734)&lt;&gt;"",TRIM(AB734)&lt;&gt;"Closed"),"INVALID – corrective action not closed: use Fail, then Pass after CA","")&amp;IF(AND(TRIM(AA734)&lt;&gt;"",TRIM(AB734)=""),"INVALID – CA status missing for the recorded corrective action","")&amp;IF(AND(TRIM(U734)="Pass after CA",OR(TRIM(AA734)="",TRIM(AB734)&lt;&gt;"Closed")),"INVALID – corrective action not recorded/closed","")&lt;&gt;"",IF(AND(TRIM(U734)="Pass",ISNUMBER(AF734)),IF(AF734&lt;&gt;0,"INVALID – qty variance: use Fail or Pass after CA",""),"")&amp;IF(AND(TRIM(U734)="Pass",TRIM(AB734)&lt;&gt;"",TRIM(AB734)&lt;&gt;"Closed"),"INVALID – corrective action not closed: use Fail, then Pass after CA","")&amp;IF(AND(TRIM(AA734)&lt;&gt;"",TRIM(AB734)=""),"INVALID – CA status missing for the recorded corrective action","")&amp;IF(AND(TRIM(U734)="Pass after CA",OR(TRIM(AA734)="",TRIM(AB734)&lt;&gt;"Closed")),"INVALID – corrective action not recorded/closed",""),IF(AND(AS734=1,Documents!$J$26&lt;&gt;"ON FILE"),"INVALID – GLD not on file (Documents sheet)",IF(AND(AS734=2,Documents!$O$26&lt;&gt;"ON FILE"),"INVALID – menu checklist not on file (Documents sheet)",IF(AND(AS734=3,NOT(ISNUMBER(Flights!$AX$26))),"INVALID – enter carrying flight KUL departure (Flights AX)",IF(AND(AS734=3,OR(Flights!$AX$26&gt;=Flights!$AA$26,Flights!$AX$26&lt;Flights!$AA$26-3)),"INVALID – Flights AX must be before this leg's STD (within 3 days)",IF(AG734&gt;AsOfUTC,"INVALID – completion time is in the future",IF(AND(ISNUMBER(S734),AG734&lt;S734),IF(H734="Physical uplift","INVALID – before uplift window (cannot confirm loading)","INVALID – before valid window"),IF(AG734&gt;Flights!$AA$26,"INVALID – completed after departure (cannot establish readiness)",IF(AND(H734="Physical uplift",AG734&gt;Q734),"INVALID – recorded after the loading flight departed",IF(AG734&gt;Q734,"COMPLETE – LATE","COMPLETE")))))))))))))))))),IF(TRIM(U734)="Fail","FAIL – DISCREPANCY",IF(AND(TRIM(U734)&lt;&gt;"",TRIM(U734)&lt;&gt;"Not started",TRIM(U734)&lt;&gt;"In progress"),"INVALID – unrecognised status (use the list)",IF(AsOfUTC&gt;Q734,"OVERDUE",IF(N734="Clarification required","OPEN – CLARIFICATION","OPEN")))))))</f>
        <v>OPEN</v>
      </c>
      <c r="AI734" s="61" t="n">
        <f aca="false">IF(OR(AH734="N/A – RULE",AH734="N/A – JUSTIFIED"),0,1)</f>
        <v>1</v>
      </c>
      <c r="AJ734" s="61" t="n">
        <f aca="false">IF(LEFT(AH734,8)="COMPLETE",1,0)</f>
        <v>0</v>
      </c>
      <c r="AK734" s="61" t="n">
        <f aca="false">IF(AND(AI734=1,AJ734=0,AsOfUTC&gt;Q734),1,0)</f>
        <v>0</v>
      </c>
      <c r="AL734" s="61" t="n">
        <f aca="false">IF(AND(AI734=1,OR(TRIM(U734)="Fail",AND(TRIM(AB734)&lt;&gt;"",TRIM(AB734)&lt;&gt;"Closed"),AND(ISNUMBER(AF734),AF734&lt;&gt;0,TRIM(U734)&lt;&gt;"Pass after CA"))),1,0)</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row>
    <row r="735" customFormat="false" ht="91.5" hidden="false" customHeight="true" outlineLevel="0" collapsed="false">
      <c r="A735" s="57" t="s">
        <v>1431</v>
      </c>
      <c r="B735" s="57" t="s">
        <v>304</v>
      </c>
      <c r="C735" s="57" t="str">
        <f aca="false">Flights!$F$26</f>
        <v>MH0002</v>
      </c>
      <c r="D735" s="58" t="n">
        <f aca="false">Flights!$D$26</f>
        <v>46325</v>
      </c>
      <c r="E735" s="57" t="str">
        <f aca="false">Flights!$G$26&amp;"-"&amp;Flights!$H$26</f>
        <v>KUL-LHR</v>
      </c>
      <c r="F735" s="57" t="str">
        <f aca="false">Flights!$K$26</f>
        <v>BC</v>
      </c>
      <c r="G735" s="57" t="s">
        <v>424</v>
      </c>
      <c r="H735" s="57" t="s">
        <v>425</v>
      </c>
      <c r="I735" s="57" t="s">
        <v>405</v>
      </c>
      <c r="J735" s="57" t="s">
        <v>432</v>
      </c>
      <c r="K735" s="67" t="s">
        <v>466</v>
      </c>
      <c r="L735" s="67" t="s">
        <v>408</v>
      </c>
      <c r="M735" s="67" t="s">
        <v>691</v>
      </c>
      <c r="N735" s="67" t="s">
        <v>409</v>
      </c>
      <c r="O735" s="67" t="s">
        <v>692</v>
      </c>
      <c r="P735" s="57" t="s">
        <v>179</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59" t="n">
        <f aca="false">IF(ISNUMBER(Flights!$AY$26),MAX(Q735-UpliftWindowH/24,Flights!$AY$26+UpliftWindowH/24),Q735-UpliftWindowH/24)</f>
        <v>46325.3888888889</v>
      </c>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IF(N735="N/A – rule","N/A – RULE",IF(TRIM(U735)="N/A",IF(AT735=0,"INVALID – N/A not permitted for this mandatory check",IF(AND(TRIM(AC735)&lt;&gt;"",TRIM(AE735)&lt;&gt;"",TRIM(T735)&lt;&gt;"",TRIM(AE735)&lt;&gt;TRIM(T735)),"N/A – JUSTIFIED","INVALID – N/A needs justification, PIC and a different verifier")),IF(OR(TRIM(U735)="Pass",TRIM(U735)="Pass after CA"),IF(NOT(ISNUMBER(AD735)),"INVALID – completion time missing",IF(TRIM(T735)="","INVALID – PIC missing",IF(TRIM(V735)="","INVALID – result / assessment missing",IF(TRIM(Z735)="","INVALID – evidence missing",IF(TRIM(AE735)="","INVALID – verifier missing",IF(TRIM(AE735)=TRIM(T735),"INVALID – verifier must be someone other than the PIC",IF(AND(AQ735=1,TRIM(W735)=""),"INVALID – batch ID missing",IF(AND(AR735=1,OR(NOT(ISNUMBER(X735)),NOT(ISNUMBER(Y735)))),"INVALID – expected/actual qty missing",IF(IF(AND(TRIM(U735)="Pass",ISNUMBER(AF735)),IF(AF735&lt;&gt;0,"INVALID – qty variance: use Fail or Pass after CA",""),"")&amp;IF(AND(TRIM(U735)="Pass",TRIM(AB735)&lt;&gt;"",TRIM(AB735)&lt;&gt;"Closed"),"INVALID – corrective action not closed: use Fail, then Pass after CA","")&amp;IF(AND(TRIM(AA735)&lt;&gt;"",TRIM(AB735)=""),"INVALID – CA status missing for the recorded corrective action","")&amp;IF(AND(TRIM(U735)="Pass after CA",OR(TRIM(AA735)="",TRIM(AB735)&lt;&gt;"Closed")),"INVALID – corrective action not recorded/closed","")&lt;&gt;"",IF(AND(TRIM(U735)="Pass",ISNUMBER(AF735)),IF(AF735&lt;&gt;0,"INVALID – qty variance: use Fail or Pass after CA",""),"")&amp;IF(AND(TRIM(U735)="Pass",TRIM(AB735)&lt;&gt;"",TRIM(AB735)&lt;&gt;"Closed"),"INVALID – corrective action not closed: use Fail, then Pass after CA","")&amp;IF(AND(TRIM(AA735)&lt;&gt;"",TRIM(AB735)=""),"INVALID – CA status missing for the recorded corrective action","")&amp;IF(AND(TRIM(U735)="Pass after CA",OR(TRIM(AA735)="",TRIM(AB735)&lt;&gt;"Closed")),"INVALID – corrective action not recorded/closed",""),IF(AND(AS735=1,Documents!$J$26&lt;&gt;"ON FILE"),"INVALID – GLD not on file (Documents sheet)",IF(AND(AS735=2,Documents!$O$26&lt;&gt;"ON FILE"),"INVALID – menu checklist not on file (Documents sheet)",IF(AND(AS735=3,NOT(ISNUMBER(Flights!$AX$26))),"INVALID – enter carrying flight KUL departure (Flights AX)",IF(AND(AS735=3,OR(Flights!$AX$26&gt;=Flights!$AA$26,Flights!$AX$26&lt;Flights!$AA$26-3)),"INVALID – Flights AX must be before this leg's STD (within 3 days)",IF(AG735&gt;AsOfUTC,"INVALID – completion time is in the future",IF(AND(ISNUMBER(S735),AG735&lt;S735),IF(H735="Physical uplift","INVALID – before uplift window (cannot confirm loading)","INVALID – before valid window"),IF(AG735&gt;Flights!$AA$26,"INVALID – completed after departure (cannot establish readiness)",IF(AND(H735="Physical uplift",AG735&gt;Q735),"INVALID – recorded after the loading flight departed",IF(AG735&gt;Q735,"COMPLETE – LATE","COMPLETE")))))))))))))))))),IF(TRIM(U735)="Fail","FAIL – DISCREPANCY",IF(AND(TRIM(U735)&lt;&gt;"",TRIM(U735)&lt;&gt;"Not started",TRIM(U735)&lt;&gt;"In progress"),"INVALID – unrecognised status (use the list)",IF(AsOfUTC&gt;Q735,"OVERDUE",IF(N735="Clarification required","OPEN – CLARIFICATION","OPEN")))))))</f>
        <v>OPEN – CLARIFICATION</v>
      </c>
      <c r="AI735" s="61" t="n">
        <f aca="false">IF(OR(AH735="N/A – RULE",AH735="N/A – JUSTIFIED"),0,1)</f>
        <v>1</v>
      </c>
      <c r="AJ735" s="61" t="n">
        <f aca="false">IF(LEFT(AH735,8)="COMPLETE",1,0)</f>
        <v>0</v>
      </c>
      <c r="AK735" s="61" t="n">
        <f aca="false">IF(AND(AI735=1,AJ735=0,AsOfUTC&gt;Q735),1,0)</f>
        <v>0</v>
      </c>
      <c r="AL735" s="61" t="n">
        <f aca="false">IF(AND(AI735=1,OR(TRIM(U735)="Fail",AND(TRIM(AB735)&lt;&gt;"",TRIM(AB735)&lt;&gt;"Closed"),AND(ISNUMBER(AF735),AF735&lt;&gt;0,TRIM(U735)&lt;&gt;"Pass after CA"))),1,0)</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8" t="b">
        <f aca="false">TRUE()</f>
        <v>1</v>
      </c>
    </row>
    <row r="736" customFormat="false" ht="39.75" hidden="false" customHeight="true" outlineLevel="0" collapsed="false">
      <c r="A736" s="57" t="s">
        <v>1432</v>
      </c>
      <c r="B736" s="57" t="s">
        <v>304</v>
      </c>
      <c r="C736" s="57" t="str">
        <f aca="false">Flights!$F$26</f>
        <v>MH0002</v>
      </c>
      <c r="D736" s="58" t="n">
        <f aca="false">Flights!$D$26</f>
        <v>46325</v>
      </c>
      <c r="E736" s="57" t="str">
        <f aca="false">Flights!$G$26&amp;"-"&amp;Flights!$H$26</f>
        <v>KUL-LHR</v>
      </c>
      <c r="F736" s="57" t="str">
        <f aca="false">Flights!$K$26</f>
        <v>BC</v>
      </c>
      <c r="G736" s="57" t="s">
        <v>424</v>
      </c>
      <c r="H736" s="57" t="s">
        <v>425</v>
      </c>
      <c r="I736" s="57" t="s">
        <v>405</v>
      </c>
      <c r="J736" s="57" t="s">
        <v>726</v>
      </c>
      <c r="K736" s="67" t="s">
        <v>695</v>
      </c>
      <c r="L736" s="67" t="s">
        <v>696</v>
      </c>
      <c r="M736" s="67" t="s">
        <v>179</v>
      </c>
      <c r="N736" s="67" t="s">
        <v>348</v>
      </c>
      <c r="O736" s="67" t="s">
        <v>697</v>
      </c>
      <c r="P736" s="57" t="s">
        <v>179</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59" t="n">
        <f aca="false">IF(ISNUMBER(Flights!$AY$26),MAX(Q736-UpliftWindowH/24,Flights!$AY$26+UpliftWindowH/24),Q736-UpliftWindowH/24)</f>
        <v>46325.3888888889</v>
      </c>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IF(N736="N/A – rule","N/A – RULE",IF(TRIM(U736)="N/A",IF(AT736=0,"INVALID – N/A not permitted for this mandatory check",IF(AND(TRIM(AC736)&lt;&gt;"",TRIM(AE736)&lt;&gt;"",TRIM(T736)&lt;&gt;"",TRIM(AE736)&lt;&gt;TRIM(T736)),"N/A – JUSTIFIED","INVALID – N/A needs justification, PIC and a different verifier")),IF(OR(TRIM(U736)="Pass",TRIM(U736)="Pass after CA"),IF(NOT(ISNUMBER(AD736)),"INVALID – completion time missing",IF(TRIM(T736)="","INVALID – PIC missing",IF(TRIM(V736)="","INVALID – result / assessment missing",IF(TRIM(Z736)="","INVALID – evidence missing",IF(TRIM(AE736)="","INVALID – verifier missing",IF(TRIM(AE736)=TRIM(T736),"INVALID – verifier must be someone other than the PIC",IF(AND(AQ736=1,TRIM(W736)=""),"INVALID – batch ID missing",IF(AND(AR736=1,OR(NOT(ISNUMBER(X736)),NOT(ISNUMBER(Y736)))),"INVALID – expected/actual qty missing",IF(IF(AND(TRIM(U736)="Pass",ISNUMBER(AF736)),IF(AF736&lt;&gt;0,"INVALID – qty variance: use Fail or Pass after CA",""),"")&amp;IF(AND(TRIM(U736)="Pass",TRIM(AB736)&lt;&gt;"",TRIM(AB736)&lt;&gt;"Closed"),"INVALID – corrective action not closed: use Fail, then Pass after CA","")&amp;IF(AND(TRIM(AA736)&lt;&gt;"",TRIM(AB736)=""),"INVALID – CA status missing for the recorded corrective action","")&amp;IF(AND(TRIM(U736)="Pass after CA",OR(TRIM(AA736)="",TRIM(AB736)&lt;&gt;"Closed")),"INVALID – corrective action not recorded/closed","")&lt;&gt;"",IF(AND(TRIM(U736)="Pass",ISNUMBER(AF736)),IF(AF736&lt;&gt;0,"INVALID – qty variance: use Fail or Pass after CA",""),"")&amp;IF(AND(TRIM(U736)="Pass",TRIM(AB736)&lt;&gt;"",TRIM(AB736)&lt;&gt;"Closed"),"INVALID – corrective action not closed: use Fail, then Pass after CA","")&amp;IF(AND(TRIM(AA736)&lt;&gt;"",TRIM(AB736)=""),"INVALID – CA status missing for the recorded corrective action","")&amp;IF(AND(TRIM(U736)="Pass after CA",OR(TRIM(AA736)="",TRIM(AB736)&lt;&gt;"Closed")),"INVALID – corrective action not recorded/closed",""),IF(AND(AS736=1,Documents!$J$26&lt;&gt;"ON FILE"),"INVALID – GLD not on file (Documents sheet)",IF(AND(AS736=2,Documents!$O$26&lt;&gt;"ON FILE"),"INVALID – menu checklist not on file (Documents sheet)",IF(AND(AS736=3,NOT(ISNUMBER(Flights!$AX$26))),"INVALID – enter carrying flight KUL departure (Flights AX)",IF(AND(AS736=3,OR(Flights!$AX$26&gt;=Flights!$AA$26,Flights!$AX$26&lt;Flights!$AA$26-3)),"INVALID – Flights AX must be before this leg's STD (within 3 days)",IF(AG736&gt;AsOfUTC,"INVALID – completion time is in the future",IF(AND(ISNUMBER(S736),AG736&lt;S736),IF(H736="Physical uplift","INVALID – before uplift window (cannot confirm loading)","INVALID – before valid window"),IF(AG736&gt;Flights!$AA$26,"INVALID – completed after departure (cannot establish readiness)",IF(AND(H736="Physical uplift",AG736&gt;Q736),"INVALID – recorded after the loading flight departed",IF(AG736&gt;Q736,"COMPLETE – LATE","COMPLETE")))))))))))))))))),IF(TRIM(U736)="Fail","FAIL – DISCREPANCY",IF(AND(TRIM(U736)&lt;&gt;"",TRIM(U736)&lt;&gt;"Not started",TRIM(U736)&lt;&gt;"In progress"),"INVALID – unrecognised status (use the list)",IF(AsOfUTC&gt;Q736,"OVERDUE",IF(N736="Clarification required","OPEN – CLARIFICATION","OPEN")))))))</f>
        <v>OPEN</v>
      </c>
      <c r="AI736" s="61" t="n">
        <f aca="false">IF(OR(AH736="N/A – RULE",AH736="N/A – JUSTIFIED"),0,1)</f>
        <v>1</v>
      </c>
      <c r="AJ736" s="61" t="n">
        <f aca="false">IF(LEFT(AH736,8)="COMPLETE",1,0)</f>
        <v>0</v>
      </c>
      <c r="AK736" s="61" t="n">
        <f aca="false">IF(AND(AI736=1,AJ736=0,AsOfUTC&gt;Q736),1,0)</f>
        <v>0</v>
      </c>
      <c r="AL736" s="61" t="n">
        <f aca="false">IF(AND(AI736=1,OR(TRIM(U736)="Fail",AND(TRIM(AB736)&lt;&gt;"",TRIM(AB736)&lt;&gt;"Closed"),AND(ISNUMBER(AF736),AF736&lt;&gt;0,TRIM(U736)&lt;&gt;"Pass after CA"))),1,0)</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8" t="b">
        <f aca="false">TRUE()</f>
        <v>1</v>
      </c>
    </row>
    <row r="737" customFormat="false" ht="39.75" hidden="false" customHeight="true" outlineLevel="0" collapsed="false">
      <c r="A737" s="57" t="s">
        <v>1433</v>
      </c>
      <c r="B737" s="57" t="s">
        <v>304</v>
      </c>
      <c r="C737" s="57" t="str">
        <f aca="false">Flights!$F$26</f>
        <v>MH0002</v>
      </c>
      <c r="D737" s="58" t="n">
        <f aca="false">Flights!$D$26</f>
        <v>46325</v>
      </c>
      <c r="E737" s="57" t="str">
        <f aca="false">Flights!$G$26&amp;"-"&amp;Flights!$H$26</f>
        <v>KUL-LHR</v>
      </c>
      <c r="F737" s="57" t="str">
        <f aca="false">Flights!$K$26</f>
        <v>BC</v>
      </c>
      <c r="G737" s="57" t="s">
        <v>424</v>
      </c>
      <c r="H737" s="57" t="s">
        <v>425</v>
      </c>
      <c r="I737" s="57" t="s">
        <v>405</v>
      </c>
      <c r="J737" s="57" t="s">
        <v>608</v>
      </c>
      <c r="K737" s="67" t="s">
        <v>466</v>
      </c>
      <c r="L737" s="67" t="s">
        <v>699</v>
      </c>
      <c r="M737" s="67" t="s">
        <v>179</v>
      </c>
      <c r="N737" s="67" t="s">
        <v>348</v>
      </c>
      <c r="O737" s="67"/>
      <c r="P737" s="57" t="s">
        <v>179</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59" t="n">
        <f aca="false">IF(ISNUMBER(Flights!$AY$26),MAX(Q737-UpliftWindowH/24,Flights!$AY$26+UpliftWindowH/24),Q737-UpliftWindowH/24)</f>
        <v>46325.3888888889</v>
      </c>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IF(N737="N/A – rule","N/A – RULE",IF(TRIM(U737)="N/A",IF(AT737=0,"INVALID – N/A not permitted for this mandatory check",IF(AND(TRIM(AC737)&lt;&gt;"",TRIM(AE737)&lt;&gt;"",TRIM(T737)&lt;&gt;"",TRIM(AE737)&lt;&gt;TRIM(T737)),"N/A – JUSTIFIED","INVALID – N/A needs justification, PIC and a different verifier")),IF(OR(TRIM(U737)="Pass",TRIM(U737)="Pass after CA"),IF(NOT(ISNUMBER(AD737)),"INVALID – completion time missing",IF(TRIM(T737)="","INVALID – PIC missing",IF(TRIM(V737)="","INVALID – result / assessment missing",IF(TRIM(Z737)="","INVALID – evidence missing",IF(TRIM(AE737)="","INVALID – verifier missing",IF(TRIM(AE737)=TRIM(T737),"INVALID – verifier must be someone other than the PIC",IF(AND(AQ737=1,TRIM(W737)=""),"INVALID – batch ID missing",IF(AND(AR737=1,OR(NOT(ISNUMBER(X737)),NOT(ISNUMBER(Y737)))),"INVALID – expected/actual qty missing",IF(IF(AND(TRIM(U737)="Pass",ISNUMBER(AF737)),IF(AF737&lt;&gt;0,"INVALID – qty variance: use Fail or Pass after CA",""),"")&amp;IF(AND(TRIM(U737)="Pass",TRIM(AB737)&lt;&gt;"",TRIM(AB737)&lt;&gt;"Closed"),"INVALID – corrective action not closed: use Fail, then Pass after CA","")&amp;IF(AND(TRIM(AA737)&lt;&gt;"",TRIM(AB737)=""),"INVALID – CA status missing for the recorded corrective action","")&amp;IF(AND(TRIM(U737)="Pass after CA",OR(TRIM(AA737)="",TRIM(AB737)&lt;&gt;"Closed")),"INVALID – corrective action not recorded/closed","")&lt;&gt;"",IF(AND(TRIM(U737)="Pass",ISNUMBER(AF737)),IF(AF737&lt;&gt;0,"INVALID – qty variance: use Fail or Pass after CA",""),"")&amp;IF(AND(TRIM(U737)="Pass",TRIM(AB737)&lt;&gt;"",TRIM(AB737)&lt;&gt;"Closed"),"INVALID – corrective action not closed: use Fail, then Pass after CA","")&amp;IF(AND(TRIM(AA737)&lt;&gt;"",TRIM(AB737)=""),"INVALID – CA status missing for the recorded corrective action","")&amp;IF(AND(TRIM(U737)="Pass after CA",OR(TRIM(AA737)="",TRIM(AB737)&lt;&gt;"Closed")),"INVALID – corrective action not recorded/closed",""),IF(AND(AS737=1,Documents!$J$26&lt;&gt;"ON FILE"),"INVALID – GLD not on file (Documents sheet)",IF(AND(AS737=2,Documents!$O$26&lt;&gt;"ON FILE"),"INVALID – menu checklist not on file (Documents sheet)",IF(AND(AS737=3,NOT(ISNUMBER(Flights!$AX$26))),"INVALID – enter carrying flight KUL departure (Flights AX)",IF(AND(AS737=3,OR(Flights!$AX$26&gt;=Flights!$AA$26,Flights!$AX$26&lt;Flights!$AA$26-3)),"INVALID – Flights AX must be before this leg's STD (within 3 days)",IF(AG737&gt;AsOfUTC,"INVALID – completion time is in the future",IF(AND(ISNUMBER(S737),AG737&lt;S737),IF(H737="Physical uplift","INVALID – before uplift window (cannot confirm loading)","INVALID – before valid window"),IF(AG737&gt;Flights!$AA$26,"INVALID – completed after departure (cannot establish readiness)",IF(AND(H737="Physical uplift",AG737&gt;Q737),"INVALID – recorded after the loading flight departed",IF(AG737&gt;Q737,"COMPLETE – LATE","COMPLETE")))))))))))))))))),IF(TRIM(U737)="Fail","FAIL – DISCREPANCY",IF(AND(TRIM(U737)&lt;&gt;"",TRIM(U737)&lt;&gt;"Not started",TRIM(U737)&lt;&gt;"In progress"),"INVALID – unrecognised status (use the list)",IF(AsOfUTC&gt;Q737,"OVERDUE",IF(N737="Clarification required","OPEN – CLARIFICATION","OPEN")))))))</f>
        <v>OPEN</v>
      </c>
      <c r="AI737" s="61" t="n">
        <f aca="false">IF(OR(AH737="N/A – RULE",AH737="N/A – JUSTIFIED"),0,1)</f>
        <v>1</v>
      </c>
      <c r="AJ737" s="61" t="n">
        <f aca="false">IF(LEFT(AH737,8)="COMPLETE",1,0)</f>
        <v>0</v>
      </c>
      <c r="AK737" s="61" t="n">
        <f aca="false">IF(AND(AI737=1,AJ737=0,AsOfUTC&gt;Q737),1,0)</f>
        <v>0</v>
      </c>
      <c r="AL737" s="61" t="n">
        <f aca="false">IF(AND(AI737=1,OR(TRIM(U737)="Fail",AND(TRIM(AB737)&lt;&gt;"",TRIM(AB737)&lt;&gt;"Closed"),AND(ISNUMBER(AF737),AF737&lt;&gt;0,TRIM(U737)&lt;&gt;"Pass after CA"))),1,0)</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8" t="b">
        <f aca="false">TRUE()</f>
        <v>1</v>
      </c>
    </row>
    <row r="738" customFormat="false" ht="39.75" hidden="false" customHeight="true" outlineLevel="0" collapsed="false">
      <c r="A738" s="57" t="s">
        <v>1434</v>
      </c>
      <c r="B738" s="57" t="s">
        <v>304</v>
      </c>
      <c r="C738" s="57" t="str">
        <f aca="false">Flights!$F$26</f>
        <v>MH0002</v>
      </c>
      <c r="D738" s="58" t="n">
        <f aca="false">Flights!$D$26</f>
        <v>46325</v>
      </c>
      <c r="E738" s="57" t="str">
        <f aca="false">Flights!$G$26&amp;"-"&amp;Flights!$H$26</f>
        <v>KUL-LHR</v>
      </c>
      <c r="F738" s="57" t="str">
        <f aca="false">Flights!$K$26</f>
        <v>BC</v>
      </c>
      <c r="G738" s="57" t="s">
        <v>424</v>
      </c>
      <c r="H738" s="57" t="s">
        <v>425</v>
      </c>
      <c r="I738" s="57" t="s">
        <v>464</v>
      </c>
      <c r="J738" s="57" t="s">
        <v>502</v>
      </c>
      <c r="K738" s="67" t="s">
        <v>466</v>
      </c>
      <c r="L738" s="67" t="s">
        <v>701</v>
      </c>
      <c r="M738" s="67" t="s">
        <v>416</v>
      </c>
      <c r="N738" s="67" t="s">
        <v>348</v>
      </c>
      <c r="O738" s="67"/>
      <c r="P738" s="57" t="s">
        <v>179</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59" t="n">
        <f aca="false">IF(ISNUMBER(Flights!$AY$26),MAX(Q738-UpliftWindowH/24,Flights!$AY$26+UpliftWindowH/24),Q738-UpliftWindowH/24)</f>
        <v>46325.3888888889</v>
      </c>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IF(N738="N/A – rule","N/A – RULE",IF(TRIM(U738)="N/A",IF(AT738=0,"INVALID – N/A not permitted for this mandatory check",IF(AND(TRIM(AC738)&lt;&gt;"",TRIM(AE738)&lt;&gt;"",TRIM(T738)&lt;&gt;"",TRIM(AE738)&lt;&gt;TRIM(T738)),"N/A – JUSTIFIED","INVALID – N/A needs justification, PIC and a different verifier")),IF(OR(TRIM(U738)="Pass",TRIM(U738)="Pass after CA"),IF(NOT(ISNUMBER(AD738)),"INVALID – completion time missing",IF(TRIM(T738)="","INVALID – PIC missing",IF(TRIM(V738)="","INVALID – result / assessment missing",IF(TRIM(Z738)="","INVALID – evidence missing",IF(TRIM(AE738)="","INVALID – verifier missing",IF(TRIM(AE738)=TRIM(T738),"INVALID – verifier must be someone other than the PIC",IF(AND(AQ738=1,TRIM(W738)=""),"INVALID – batch ID missing",IF(AND(AR738=1,OR(NOT(ISNUMBER(X738)),NOT(ISNUMBER(Y738)))),"INVALID – expected/actual qty missing",IF(IF(AND(TRIM(U738)="Pass",ISNUMBER(AF738)),IF(AF738&lt;&gt;0,"INVALID – qty variance: use Fail or Pass after CA",""),"")&amp;IF(AND(TRIM(U738)="Pass",TRIM(AB738)&lt;&gt;"",TRIM(AB738)&lt;&gt;"Closed"),"INVALID – corrective action not closed: use Fail, then Pass after CA","")&amp;IF(AND(TRIM(AA738)&lt;&gt;"",TRIM(AB738)=""),"INVALID – CA status missing for the recorded corrective action","")&amp;IF(AND(TRIM(U738)="Pass after CA",OR(TRIM(AA738)="",TRIM(AB738)&lt;&gt;"Closed")),"INVALID – corrective action not recorded/closed","")&lt;&gt;"",IF(AND(TRIM(U738)="Pass",ISNUMBER(AF738)),IF(AF738&lt;&gt;0,"INVALID – qty variance: use Fail or Pass after CA",""),"")&amp;IF(AND(TRIM(U738)="Pass",TRIM(AB738)&lt;&gt;"",TRIM(AB738)&lt;&gt;"Closed"),"INVALID – corrective action not closed: use Fail, then Pass after CA","")&amp;IF(AND(TRIM(AA738)&lt;&gt;"",TRIM(AB738)=""),"INVALID – CA status missing for the recorded corrective action","")&amp;IF(AND(TRIM(U738)="Pass after CA",OR(TRIM(AA738)="",TRIM(AB738)&lt;&gt;"Closed")),"INVALID – corrective action not recorded/closed",""),IF(AND(AS738=1,Documents!$J$26&lt;&gt;"ON FILE"),"INVALID – GLD not on file (Documents sheet)",IF(AND(AS738=2,Documents!$O$26&lt;&gt;"ON FILE"),"INVALID – menu checklist not on file (Documents sheet)",IF(AND(AS738=3,NOT(ISNUMBER(Flights!$AX$26))),"INVALID – enter carrying flight KUL departure (Flights AX)",IF(AND(AS738=3,OR(Flights!$AX$26&gt;=Flights!$AA$26,Flights!$AX$26&lt;Flights!$AA$26-3)),"INVALID – Flights AX must be before this leg's STD (within 3 days)",IF(AG738&gt;AsOfUTC,"INVALID – completion time is in the future",IF(AND(ISNUMBER(S738),AG738&lt;S738),IF(H738="Physical uplift","INVALID – before uplift window (cannot confirm loading)","INVALID – before valid window"),IF(AG738&gt;Flights!$AA$26,"INVALID – completed after departure (cannot establish readiness)",IF(AND(H738="Physical uplift",AG738&gt;Q738),"INVALID – recorded after the loading flight departed",IF(AG738&gt;Q738,"COMPLETE – LATE","COMPLETE")))))))))))))))))),IF(TRIM(U738)="Fail","FAIL – DISCREPANCY",IF(AND(TRIM(U738)&lt;&gt;"",TRIM(U738)&lt;&gt;"Not started",TRIM(U738)&lt;&gt;"In progress"),"INVALID – unrecognised status (use the list)",IF(AsOfUTC&gt;Q738,"OVERDUE",IF(N738="Clarification required","OPEN – CLARIFICATION","OPEN")))))))</f>
        <v>OPEN</v>
      </c>
      <c r="AI738" s="61" t="n">
        <f aca="false">IF(OR(AH738="N/A – RULE",AH738="N/A – JUSTIFIED"),0,1)</f>
        <v>1</v>
      </c>
      <c r="AJ738" s="61" t="n">
        <f aca="false">IF(LEFT(AH738,8)="COMPLETE",1,0)</f>
        <v>0</v>
      </c>
      <c r="AK738" s="61" t="n">
        <f aca="false">IF(AND(AI738=1,AJ738=0,AsOfUTC&gt;Q738),1,0)</f>
        <v>0</v>
      </c>
      <c r="AL738" s="61" t="n">
        <f aca="false">IF(AND(AI738=1,OR(TRIM(U738)="Fail",AND(TRIM(AB738)&lt;&gt;"",TRIM(AB738)&lt;&gt;"Closed"),AND(ISNUMBER(AF738),AF738&lt;&gt;0,TRIM(U738)&lt;&gt;"Pass after CA"))),1,0)</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8" t="b">
        <f aca="false">TRUE()</f>
        <v>1</v>
      </c>
    </row>
    <row r="739" customFormat="false" ht="39.75" hidden="false" customHeight="true" outlineLevel="0" collapsed="false">
      <c r="A739" s="57" t="s">
        <v>1435</v>
      </c>
      <c r="B739" s="57" t="s">
        <v>304</v>
      </c>
      <c r="C739" s="57" t="str">
        <f aca="false">Flights!$F$26</f>
        <v>MH0002</v>
      </c>
      <c r="D739" s="58" t="n">
        <f aca="false">Flights!$D$26</f>
        <v>46325</v>
      </c>
      <c r="E739" s="57" t="str">
        <f aca="false">Flights!$G$26&amp;"-"&amp;Flights!$H$26</f>
        <v>KUL-LHR</v>
      </c>
      <c r="F739" s="57" t="str">
        <f aca="false">Flights!$K$26</f>
        <v>BC</v>
      </c>
      <c r="G739" s="57" t="s">
        <v>424</v>
      </c>
      <c r="H739" s="57" t="s">
        <v>425</v>
      </c>
      <c r="I739" s="57" t="s">
        <v>464</v>
      </c>
      <c r="J739" s="57" t="s">
        <v>504</v>
      </c>
      <c r="K739" s="67" t="s">
        <v>466</v>
      </c>
      <c r="L739" s="67" t="s">
        <v>703</v>
      </c>
      <c r="M739" s="67" t="s">
        <v>416</v>
      </c>
      <c r="N739" s="67" t="s">
        <v>348</v>
      </c>
      <c r="O739" s="67"/>
      <c r="P739" s="57" t="s">
        <v>179</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59" t="n">
        <f aca="false">IF(ISNUMBER(Flights!$AY$26),MAX(Q739-UpliftWindowH/24,Flights!$AY$26+UpliftWindowH/24),Q739-UpliftWindowH/24)</f>
        <v>46325.3888888889</v>
      </c>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IF(N739="N/A – rule","N/A – RULE",IF(TRIM(U739)="N/A",IF(AT739=0,"INVALID – N/A not permitted for this mandatory check",IF(AND(TRIM(AC739)&lt;&gt;"",TRIM(AE739)&lt;&gt;"",TRIM(T739)&lt;&gt;"",TRIM(AE739)&lt;&gt;TRIM(T739)),"N/A – JUSTIFIED","INVALID – N/A needs justification, PIC and a different verifier")),IF(OR(TRIM(U739)="Pass",TRIM(U739)="Pass after CA"),IF(NOT(ISNUMBER(AD739)),"INVALID – completion time missing",IF(TRIM(T739)="","INVALID – PIC missing",IF(TRIM(V739)="","INVALID – result / assessment missing",IF(TRIM(Z739)="","INVALID – evidence missing",IF(TRIM(AE739)="","INVALID – verifier missing",IF(TRIM(AE739)=TRIM(T739),"INVALID – verifier must be someone other than the PIC",IF(AND(AQ739=1,TRIM(W739)=""),"INVALID – batch ID missing",IF(AND(AR739=1,OR(NOT(ISNUMBER(X739)),NOT(ISNUMBER(Y739)))),"INVALID – expected/actual qty missing",IF(IF(AND(TRIM(U739)="Pass",ISNUMBER(AF739)),IF(AF739&lt;&gt;0,"INVALID – qty variance: use Fail or Pass after CA",""),"")&amp;IF(AND(TRIM(U739)="Pass",TRIM(AB739)&lt;&gt;"",TRIM(AB739)&lt;&gt;"Closed"),"INVALID – corrective action not closed: use Fail, then Pass after CA","")&amp;IF(AND(TRIM(AA739)&lt;&gt;"",TRIM(AB739)=""),"INVALID – CA status missing for the recorded corrective action","")&amp;IF(AND(TRIM(U739)="Pass after CA",OR(TRIM(AA739)="",TRIM(AB739)&lt;&gt;"Closed")),"INVALID – corrective action not recorded/closed","")&lt;&gt;"",IF(AND(TRIM(U739)="Pass",ISNUMBER(AF739)),IF(AF739&lt;&gt;0,"INVALID – qty variance: use Fail or Pass after CA",""),"")&amp;IF(AND(TRIM(U739)="Pass",TRIM(AB739)&lt;&gt;"",TRIM(AB739)&lt;&gt;"Closed"),"INVALID – corrective action not closed: use Fail, then Pass after CA","")&amp;IF(AND(TRIM(AA739)&lt;&gt;"",TRIM(AB739)=""),"INVALID – CA status missing for the recorded corrective action","")&amp;IF(AND(TRIM(U739)="Pass after CA",OR(TRIM(AA739)="",TRIM(AB739)&lt;&gt;"Closed")),"INVALID – corrective action not recorded/closed",""),IF(AND(AS739=1,Documents!$J$26&lt;&gt;"ON FILE"),"INVALID – GLD not on file (Documents sheet)",IF(AND(AS739=2,Documents!$O$26&lt;&gt;"ON FILE"),"INVALID – menu checklist not on file (Documents sheet)",IF(AND(AS739=3,NOT(ISNUMBER(Flights!$AX$26))),"INVALID – enter carrying flight KUL departure (Flights AX)",IF(AND(AS739=3,OR(Flights!$AX$26&gt;=Flights!$AA$26,Flights!$AX$26&lt;Flights!$AA$26-3)),"INVALID – Flights AX must be before this leg's STD (within 3 days)",IF(AG739&gt;AsOfUTC,"INVALID – completion time is in the future",IF(AND(ISNUMBER(S739),AG739&lt;S739),IF(H739="Physical uplift","INVALID – before uplift window (cannot confirm loading)","INVALID – before valid window"),IF(AG739&gt;Flights!$AA$26,"INVALID – completed after departure (cannot establish readiness)",IF(AND(H739="Physical uplift",AG739&gt;Q739),"INVALID – recorded after the loading flight departed",IF(AG739&gt;Q739,"COMPLETE – LATE","COMPLETE")))))))))))))))))),IF(TRIM(U739)="Fail","FAIL – DISCREPANCY",IF(AND(TRIM(U739)&lt;&gt;"",TRIM(U739)&lt;&gt;"Not started",TRIM(U739)&lt;&gt;"In progress"),"INVALID – unrecognised status (use the list)",IF(AsOfUTC&gt;Q739,"OVERDUE",IF(N739="Clarification required","OPEN – CLARIFICATION","OPEN")))))))</f>
        <v>OPEN</v>
      </c>
      <c r="AI739" s="61" t="n">
        <f aca="false">IF(OR(AH739="N/A – RULE",AH739="N/A – JUSTIFIED"),0,1)</f>
        <v>1</v>
      </c>
      <c r="AJ739" s="61" t="n">
        <f aca="false">IF(LEFT(AH739,8)="COMPLETE",1,0)</f>
        <v>0</v>
      </c>
      <c r="AK739" s="61" t="n">
        <f aca="false">IF(AND(AI739=1,AJ739=0,AsOfUTC&gt;Q739),1,0)</f>
        <v>0</v>
      </c>
      <c r="AL739" s="61" t="n">
        <f aca="false">IF(AND(AI739=1,OR(TRIM(U739)="Fail",AND(TRIM(AB739)&lt;&gt;"",TRIM(AB739)&lt;&gt;"Closed"),AND(ISNUMBER(AF739),AF739&lt;&gt;0,TRIM(U739)&lt;&gt;"Pass after CA"))),1,0)</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8" t="b">
        <f aca="false">TRUE()</f>
        <v>1</v>
      </c>
    </row>
    <row r="740" customFormat="false" ht="39.75" hidden="false" customHeight="true" outlineLevel="0" collapsed="false">
      <c r="A740" s="57" t="s">
        <v>1436</v>
      </c>
      <c r="B740" s="57" t="s">
        <v>304</v>
      </c>
      <c r="C740" s="57" t="str">
        <f aca="false">Flights!$F$26</f>
        <v>MH0002</v>
      </c>
      <c r="D740" s="58" t="n">
        <f aca="false">Flights!$D$26</f>
        <v>46325</v>
      </c>
      <c r="E740" s="57" t="str">
        <f aca="false">Flights!$G$26&amp;"-"&amp;Flights!$H$26</f>
        <v>KUL-LHR</v>
      </c>
      <c r="F740" s="57" t="str">
        <f aca="false">Flights!$K$26</f>
        <v>BC</v>
      </c>
      <c r="G740" s="57" t="s">
        <v>424</v>
      </c>
      <c r="H740" s="57" t="s">
        <v>425</v>
      </c>
      <c r="I740" s="57" t="s">
        <v>464</v>
      </c>
      <c r="J740" s="57" t="s">
        <v>506</v>
      </c>
      <c r="K740" s="67" t="s">
        <v>466</v>
      </c>
      <c r="L740" s="67" t="s">
        <v>705</v>
      </c>
      <c r="M740" s="67" t="s">
        <v>416</v>
      </c>
      <c r="N740" s="67" t="s">
        <v>348</v>
      </c>
      <c r="O740" s="67"/>
      <c r="P740" s="57" t="s">
        <v>179</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59" t="n">
        <f aca="false">IF(ISNUMBER(Flights!$AY$26),MAX(Q740-UpliftWindowH/24,Flights!$AY$26+UpliftWindowH/24),Q740-UpliftWindowH/24)</f>
        <v>46325.3888888889</v>
      </c>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IF(N740="N/A – rule","N/A – RULE",IF(TRIM(U740)="N/A",IF(AT740=0,"INVALID – N/A not permitted for this mandatory check",IF(AND(TRIM(AC740)&lt;&gt;"",TRIM(AE740)&lt;&gt;"",TRIM(T740)&lt;&gt;"",TRIM(AE740)&lt;&gt;TRIM(T740)),"N/A – JUSTIFIED","INVALID – N/A needs justification, PIC and a different verifier")),IF(OR(TRIM(U740)="Pass",TRIM(U740)="Pass after CA"),IF(NOT(ISNUMBER(AD740)),"INVALID – completion time missing",IF(TRIM(T740)="","INVALID – PIC missing",IF(TRIM(V740)="","INVALID – result / assessment missing",IF(TRIM(Z740)="","INVALID – evidence missing",IF(TRIM(AE740)="","INVALID – verifier missing",IF(TRIM(AE740)=TRIM(T740),"INVALID – verifier must be someone other than the PIC",IF(AND(AQ740=1,TRIM(W740)=""),"INVALID – batch ID missing",IF(AND(AR740=1,OR(NOT(ISNUMBER(X740)),NOT(ISNUMBER(Y740)))),"INVALID – expected/actual qty missing",IF(IF(AND(TRIM(U740)="Pass",ISNUMBER(AF740)),IF(AF740&lt;&gt;0,"INVALID – qty variance: use Fail or Pass after CA",""),"")&amp;IF(AND(TRIM(U740)="Pass",TRIM(AB740)&lt;&gt;"",TRIM(AB740)&lt;&gt;"Closed"),"INVALID – corrective action not closed: use Fail, then Pass after CA","")&amp;IF(AND(TRIM(AA740)&lt;&gt;"",TRIM(AB740)=""),"INVALID – CA status missing for the recorded corrective action","")&amp;IF(AND(TRIM(U740)="Pass after CA",OR(TRIM(AA740)="",TRIM(AB740)&lt;&gt;"Closed")),"INVALID – corrective action not recorded/closed","")&lt;&gt;"",IF(AND(TRIM(U740)="Pass",ISNUMBER(AF740)),IF(AF740&lt;&gt;0,"INVALID – qty variance: use Fail or Pass after CA",""),"")&amp;IF(AND(TRIM(U740)="Pass",TRIM(AB740)&lt;&gt;"",TRIM(AB740)&lt;&gt;"Closed"),"INVALID – corrective action not closed: use Fail, then Pass after CA","")&amp;IF(AND(TRIM(AA740)&lt;&gt;"",TRIM(AB740)=""),"INVALID – CA status missing for the recorded corrective action","")&amp;IF(AND(TRIM(U740)="Pass after CA",OR(TRIM(AA740)="",TRIM(AB740)&lt;&gt;"Closed")),"INVALID – corrective action not recorded/closed",""),IF(AND(AS740=1,Documents!$J$26&lt;&gt;"ON FILE"),"INVALID – GLD not on file (Documents sheet)",IF(AND(AS740=2,Documents!$O$26&lt;&gt;"ON FILE"),"INVALID – menu checklist not on file (Documents sheet)",IF(AND(AS740=3,NOT(ISNUMBER(Flights!$AX$26))),"INVALID – enter carrying flight KUL departure (Flights AX)",IF(AND(AS740=3,OR(Flights!$AX$26&gt;=Flights!$AA$26,Flights!$AX$26&lt;Flights!$AA$26-3)),"INVALID – Flights AX must be before this leg's STD (within 3 days)",IF(AG740&gt;AsOfUTC,"INVALID – completion time is in the future",IF(AND(ISNUMBER(S740),AG740&lt;S740),IF(H740="Physical uplift","INVALID – before uplift window (cannot confirm loading)","INVALID – before valid window"),IF(AG740&gt;Flights!$AA$26,"INVALID – completed after departure (cannot establish readiness)",IF(AND(H740="Physical uplift",AG740&gt;Q740),"INVALID – recorded after the loading flight departed",IF(AG740&gt;Q740,"COMPLETE – LATE","COMPLETE")))))))))))))))))),IF(TRIM(U740)="Fail","FAIL – DISCREPANCY",IF(AND(TRIM(U740)&lt;&gt;"",TRIM(U740)&lt;&gt;"Not started",TRIM(U740)&lt;&gt;"In progress"),"INVALID – unrecognised status (use the list)",IF(AsOfUTC&gt;Q740,"OVERDUE",IF(N740="Clarification required","OPEN – CLARIFICATION","OPEN")))))))</f>
        <v>OPEN</v>
      </c>
      <c r="AI740" s="61" t="n">
        <f aca="false">IF(OR(AH740="N/A – RULE",AH740="N/A – JUSTIFIED"),0,1)</f>
        <v>1</v>
      </c>
      <c r="AJ740" s="61" t="n">
        <f aca="false">IF(LEFT(AH740,8)="COMPLETE",1,0)</f>
        <v>0</v>
      </c>
      <c r="AK740" s="61" t="n">
        <f aca="false">IF(AND(AI740=1,AJ740=0,AsOfUTC&gt;Q740),1,0)</f>
        <v>0</v>
      </c>
      <c r="AL740" s="61" t="n">
        <f aca="false">IF(AND(AI740=1,OR(TRIM(U740)="Fail",AND(TRIM(AB740)&lt;&gt;"",TRIM(AB740)&lt;&gt;"Closed"),AND(ISNUMBER(AF740),AF740&lt;&gt;0,TRIM(U740)&lt;&gt;"Pass after CA"))),1,0)</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8" t="b">
        <f aca="false">TRUE()</f>
        <v>1</v>
      </c>
    </row>
    <row r="741" customFormat="false" ht="39.75" hidden="false" customHeight="true" outlineLevel="0" collapsed="false">
      <c r="A741" s="57" t="s">
        <v>1437</v>
      </c>
      <c r="B741" s="57" t="s">
        <v>304</v>
      </c>
      <c r="C741" s="57" t="str">
        <f aca="false">Flights!$F$26</f>
        <v>MH0002</v>
      </c>
      <c r="D741" s="58" t="n">
        <f aca="false">Flights!$D$26</f>
        <v>46325</v>
      </c>
      <c r="E741" s="57" t="str">
        <f aca="false">Flights!$G$26&amp;"-"&amp;Flights!$H$26</f>
        <v>KUL-LHR</v>
      </c>
      <c r="F741" s="57" t="str">
        <f aca="false">Flights!$K$26</f>
        <v>BC</v>
      </c>
      <c r="G741" s="57" t="s">
        <v>424</v>
      </c>
      <c r="H741" s="57" t="s">
        <v>425</v>
      </c>
      <c r="I741" s="57" t="s">
        <v>464</v>
      </c>
      <c r="J741" s="57" t="s">
        <v>508</v>
      </c>
      <c r="K741" s="67" t="s">
        <v>466</v>
      </c>
      <c r="L741" s="67" t="s">
        <v>707</v>
      </c>
      <c r="M741" s="67" t="s">
        <v>416</v>
      </c>
      <c r="N741" s="67" t="s">
        <v>348</v>
      </c>
      <c r="O741" s="67"/>
      <c r="P741" s="57" t="s">
        <v>179</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59" t="n">
        <f aca="false">IF(ISNUMBER(Flights!$AY$26),MAX(Q741-UpliftWindowH/24,Flights!$AY$26+UpliftWindowH/24),Q741-UpliftWindowH/24)</f>
        <v>46325.3888888889</v>
      </c>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IF(N741="N/A – rule","N/A – RULE",IF(TRIM(U741)="N/A",IF(AT741=0,"INVALID – N/A not permitted for this mandatory check",IF(AND(TRIM(AC741)&lt;&gt;"",TRIM(AE741)&lt;&gt;"",TRIM(T741)&lt;&gt;"",TRIM(AE741)&lt;&gt;TRIM(T741)),"N/A – JUSTIFIED","INVALID – N/A needs justification, PIC and a different verifier")),IF(OR(TRIM(U741)="Pass",TRIM(U741)="Pass after CA"),IF(NOT(ISNUMBER(AD741)),"INVALID – completion time missing",IF(TRIM(T741)="","INVALID – PIC missing",IF(TRIM(V741)="","INVALID – result / assessment missing",IF(TRIM(Z741)="","INVALID – evidence missing",IF(TRIM(AE741)="","INVALID – verifier missing",IF(TRIM(AE741)=TRIM(T741),"INVALID – verifier must be someone other than the PIC",IF(AND(AQ741=1,TRIM(W741)=""),"INVALID – batch ID missing",IF(AND(AR741=1,OR(NOT(ISNUMBER(X741)),NOT(ISNUMBER(Y741)))),"INVALID – expected/actual qty missing",IF(IF(AND(TRIM(U741)="Pass",ISNUMBER(AF741)),IF(AF741&lt;&gt;0,"INVALID – qty variance: use Fail or Pass after CA",""),"")&amp;IF(AND(TRIM(U741)="Pass",TRIM(AB741)&lt;&gt;"",TRIM(AB741)&lt;&gt;"Closed"),"INVALID – corrective action not closed: use Fail, then Pass after CA","")&amp;IF(AND(TRIM(AA741)&lt;&gt;"",TRIM(AB741)=""),"INVALID – CA status missing for the recorded corrective action","")&amp;IF(AND(TRIM(U741)="Pass after CA",OR(TRIM(AA741)="",TRIM(AB741)&lt;&gt;"Closed")),"INVALID – corrective action not recorded/closed","")&lt;&gt;"",IF(AND(TRIM(U741)="Pass",ISNUMBER(AF741)),IF(AF741&lt;&gt;0,"INVALID – qty variance: use Fail or Pass after CA",""),"")&amp;IF(AND(TRIM(U741)="Pass",TRIM(AB741)&lt;&gt;"",TRIM(AB741)&lt;&gt;"Closed"),"INVALID – corrective action not closed: use Fail, then Pass after CA","")&amp;IF(AND(TRIM(AA741)&lt;&gt;"",TRIM(AB741)=""),"INVALID – CA status missing for the recorded corrective action","")&amp;IF(AND(TRIM(U741)="Pass after CA",OR(TRIM(AA741)="",TRIM(AB741)&lt;&gt;"Closed")),"INVALID – corrective action not recorded/closed",""),IF(AND(AS741=1,Documents!$J$26&lt;&gt;"ON FILE"),"INVALID – GLD not on file (Documents sheet)",IF(AND(AS741=2,Documents!$O$26&lt;&gt;"ON FILE"),"INVALID – menu checklist not on file (Documents sheet)",IF(AND(AS741=3,NOT(ISNUMBER(Flights!$AX$26))),"INVALID – enter carrying flight KUL departure (Flights AX)",IF(AND(AS741=3,OR(Flights!$AX$26&gt;=Flights!$AA$26,Flights!$AX$26&lt;Flights!$AA$26-3)),"INVALID – Flights AX must be before this leg's STD (within 3 days)",IF(AG741&gt;AsOfUTC,"INVALID – completion time is in the future",IF(AND(ISNUMBER(S741),AG741&lt;S741),IF(H741="Physical uplift","INVALID – before uplift window (cannot confirm loading)","INVALID – before valid window"),IF(AG741&gt;Flights!$AA$26,"INVALID – completed after departure (cannot establish readiness)",IF(AND(H741="Physical uplift",AG741&gt;Q741),"INVALID – recorded after the loading flight departed",IF(AG741&gt;Q741,"COMPLETE – LATE","COMPLETE")))))))))))))))))),IF(TRIM(U741)="Fail","FAIL – DISCREPANCY",IF(AND(TRIM(U741)&lt;&gt;"",TRIM(U741)&lt;&gt;"Not started",TRIM(U741)&lt;&gt;"In progress"),"INVALID – unrecognised status (use the list)",IF(AsOfUTC&gt;Q741,"OVERDUE",IF(N741="Clarification required","OPEN – CLARIFICATION","OPEN")))))))</f>
        <v>OPEN</v>
      </c>
      <c r="AI741" s="61" t="n">
        <f aca="false">IF(OR(AH741="N/A – RULE",AH741="N/A – JUSTIFIED"),0,1)</f>
        <v>1</v>
      </c>
      <c r="AJ741" s="61" t="n">
        <f aca="false">IF(LEFT(AH741,8)="COMPLETE",1,0)</f>
        <v>0</v>
      </c>
      <c r="AK741" s="61" t="n">
        <f aca="false">IF(AND(AI741=1,AJ741=0,AsOfUTC&gt;Q741),1,0)</f>
        <v>0</v>
      </c>
      <c r="AL741" s="61" t="n">
        <f aca="false">IF(AND(AI741=1,OR(TRIM(U741)="Fail",AND(TRIM(AB741)&lt;&gt;"",TRIM(AB741)&lt;&gt;"Closed"),AND(ISNUMBER(AF741),AF741&lt;&gt;0,TRIM(U741)&lt;&gt;"Pass after CA"))),1,0)</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8" t="b">
        <f aca="false">TRUE()</f>
        <v>1</v>
      </c>
    </row>
    <row r="742" customFormat="false" ht="39.75" hidden="false" customHeight="true" outlineLevel="0" collapsed="false">
      <c r="A742" s="57" t="s">
        <v>1438</v>
      </c>
      <c r="B742" s="57" t="s">
        <v>304</v>
      </c>
      <c r="C742" s="57" t="str">
        <f aca="false">Flights!$F$26</f>
        <v>MH0002</v>
      </c>
      <c r="D742" s="58" t="n">
        <f aca="false">Flights!$D$26</f>
        <v>46325</v>
      </c>
      <c r="E742" s="57" t="str">
        <f aca="false">Flights!$G$26&amp;"-"&amp;Flights!$H$26</f>
        <v>KUL-LHR</v>
      </c>
      <c r="F742" s="57" t="str">
        <f aca="false">Flights!$K$26</f>
        <v>BC</v>
      </c>
      <c r="G742" s="57" t="s">
        <v>424</v>
      </c>
      <c r="H742" s="57" t="s">
        <v>425</v>
      </c>
      <c r="I742" s="57" t="s">
        <v>464</v>
      </c>
      <c r="J742" s="57" t="s">
        <v>511</v>
      </c>
      <c r="K742" s="67" t="s">
        <v>466</v>
      </c>
      <c r="L742" s="67" t="s">
        <v>709</v>
      </c>
      <c r="M742" s="67" t="s">
        <v>416</v>
      </c>
      <c r="N742" s="67" t="s">
        <v>348</v>
      </c>
      <c r="O742" s="67"/>
      <c r="P742" s="57" t="s">
        <v>179</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59" t="n">
        <f aca="false">IF(ISNUMBER(Flights!$AY$26),MAX(Q742-UpliftWindowH/24,Flights!$AY$26+UpliftWindowH/24),Q742-UpliftWindowH/24)</f>
        <v>46325.3888888889</v>
      </c>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IF(N742="N/A – rule","N/A – RULE",IF(TRIM(U742)="N/A",IF(AT742=0,"INVALID – N/A not permitted for this mandatory check",IF(AND(TRIM(AC742)&lt;&gt;"",TRIM(AE742)&lt;&gt;"",TRIM(T742)&lt;&gt;"",TRIM(AE742)&lt;&gt;TRIM(T742)),"N/A – JUSTIFIED","INVALID – N/A needs justification, PIC and a different verifier")),IF(OR(TRIM(U742)="Pass",TRIM(U742)="Pass after CA"),IF(NOT(ISNUMBER(AD742)),"INVALID – completion time missing",IF(TRIM(T742)="","INVALID – PIC missing",IF(TRIM(V742)="","INVALID – result / assessment missing",IF(TRIM(Z742)="","INVALID – evidence missing",IF(TRIM(AE742)="","INVALID – verifier missing",IF(TRIM(AE742)=TRIM(T742),"INVALID – verifier must be someone other than the PIC",IF(AND(AQ742=1,TRIM(W742)=""),"INVALID – batch ID missing",IF(AND(AR742=1,OR(NOT(ISNUMBER(X742)),NOT(ISNUMBER(Y742)))),"INVALID – expected/actual qty missing",IF(IF(AND(TRIM(U742)="Pass",ISNUMBER(AF742)),IF(AF742&lt;&gt;0,"INVALID – qty variance: use Fail or Pass after CA",""),"")&amp;IF(AND(TRIM(U742)="Pass",TRIM(AB742)&lt;&gt;"",TRIM(AB742)&lt;&gt;"Closed"),"INVALID – corrective action not closed: use Fail, then Pass after CA","")&amp;IF(AND(TRIM(AA742)&lt;&gt;"",TRIM(AB742)=""),"INVALID – CA status missing for the recorded corrective action","")&amp;IF(AND(TRIM(U742)="Pass after CA",OR(TRIM(AA742)="",TRIM(AB742)&lt;&gt;"Closed")),"INVALID – corrective action not recorded/closed","")&lt;&gt;"",IF(AND(TRIM(U742)="Pass",ISNUMBER(AF742)),IF(AF742&lt;&gt;0,"INVALID – qty variance: use Fail or Pass after CA",""),"")&amp;IF(AND(TRIM(U742)="Pass",TRIM(AB742)&lt;&gt;"",TRIM(AB742)&lt;&gt;"Closed"),"INVALID – corrective action not closed: use Fail, then Pass after CA","")&amp;IF(AND(TRIM(AA742)&lt;&gt;"",TRIM(AB742)=""),"INVALID – CA status missing for the recorded corrective action","")&amp;IF(AND(TRIM(U742)="Pass after CA",OR(TRIM(AA742)="",TRIM(AB742)&lt;&gt;"Closed")),"INVALID – corrective action not recorded/closed",""),IF(AND(AS742=1,Documents!$J$26&lt;&gt;"ON FILE"),"INVALID – GLD not on file (Documents sheet)",IF(AND(AS742=2,Documents!$O$26&lt;&gt;"ON FILE"),"INVALID – menu checklist not on file (Documents sheet)",IF(AND(AS742=3,NOT(ISNUMBER(Flights!$AX$26))),"INVALID – enter carrying flight KUL departure (Flights AX)",IF(AND(AS742=3,OR(Flights!$AX$26&gt;=Flights!$AA$26,Flights!$AX$26&lt;Flights!$AA$26-3)),"INVALID – Flights AX must be before this leg's STD (within 3 days)",IF(AG742&gt;AsOfUTC,"INVALID – completion time is in the future",IF(AND(ISNUMBER(S742),AG742&lt;S742),IF(H742="Physical uplift","INVALID – before uplift window (cannot confirm loading)","INVALID – before valid window"),IF(AG742&gt;Flights!$AA$26,"INVALID – completed after departure (cannot establish readiness)",IF(AND(H742="Physical uplift",AG742&gt;Q742),"INVALID – recorded after the loading flight departed",IF(AG742&gt;Q742,"COMPLETE – LATE","COMPLETE")))))))))))))))))),IF(TRIM(U742)="Fail","FAIL – DISCREPANCY",IF(AND(TRIM(U742)&lt;&gt;"",TRIM(U742)&lt;&gt;"Not started",TRIM(U742)&lt;&gt;"In progress"),"INVALID – unrecognised status (use the list)",IF(AsOfUTC&gt;Q742,"OVERDUE",IF(N742="Clarification required","OPEN – CLARIFICATION","OPEN")))))))</f>
        <v>OPEN</v>
      </c>
      <c r="AI742" s="61" t="n">
        <f aca="false">IF(OR(AH742="N/A – RULE",AH742="N/A – JUSTIFIED"),0,1)</f>
        <v>1</v>
      </c>
      <c r="AJ742" s="61" t="n">
        <f aca="false">IF(LEFT(AH742,8)="COMPLETE",1,0)</f>
        <v>0</v>
      </c>
      <c r="AK742" s="61" t="n">
        <f aca="false">IF(AND(AI742=1,AJ742=0,AsOfUTC&gt;Q742),1,0)</f>
        <v>0</v>
      </c>
      <c r="AL742" s="61" t="n">
        <f aca="false">IF(AND(AI742=1,OR(TRIM(U742)="Fail",AND(TRIM(AB742)&lt;&gt;"",TRIM(AB742)&lt;&gt;"Closed"),AND(ISNUMBER(AF742),AF742&lt;&gt;0,TRIM(U742)&lt;&gt;"Pass after CA"))),1,0)</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8" t="b">
        <f aca="false">TRUE()</f>
        <v>1</v>
      </c>
    </row>
    <row r="743" customFormat="false" ht="39.75" hidden="false" customHeight="true" outlineLevel="0" collapsed="false">
      <c r="A743" s="57" t="s">
        <v>1439</v>
      </c>
      <c r="B743" s="57" t="s">
        <v>304</v>
      </c>
      <c r="C743" s="57" t="str">
        <f aca="false">Flights!$F$26</f>
        <v>MH0002</v>
      </c>
      <c r="D743" s="58" t="n">
        <f aca="false">Flights!$D$26</f>
        <v>46325</v>
      </c>
      <c r="E743" s="57" t="str">
        <f aca="false">Flights!$G$26&amp;"-"&amp;Flights!$H$26</f>
        <v>KUL-LHR</v>
      </c>
      <c r="F743" s="57" t="str">
        <f aca="false">Flights!$K$26</f>
        <v>BC</v>
      </c>
      <c r="G743" s="57" t="s">
        <v>424</v>
      </c>
      <c r="H743" s="57" t="s">
        <v>425</v>
      </c>
      <c r="I743" s="57" t="s">
        <v>464</v>
      </c>
      <c r="J743" s="57" t="s">
        <v>513</v>
      </c>
      <c r="K743" s="67" t="s">
        <v>581</v>
      </c>
      <c r="L743" s="67" t="s">
        <v>711</v>
      </c>
      <c r="M743" s="67" t="s">
        <v>416</v>
      </c>
      <c r="N743" s="67" t="s">
        <v>348</v>
      </c>
      <c r="O743" s="67" t="s">
        <v>514</v>
      </c>
      <c r="P743" s="57" t="s">
        <v>179</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59" t="n">
        <f aca="false">IF(ISNUMBER(Flights!$AY$26),MAX(Q743-UpliftWindowH/24,Flights!$AY$26+UpliftWindowH/24),Q743-UpliftWindowH/24)</f>
        <v>46325.3888888889</v>
      </c>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IF(N743="N/A – rule","N/A – RULE",IF(TRIM(U743)="N/A",IF(AT743=0,"INVALID – N/A not permitted for this mandatory check",IF(AND(TRIM(AC743)&lt;&gt;"",TRIM(AE743)&lt;&gt;"",TRIM(T743)&lt;&gt;"",TRIM(AE743)&lt;&gt;TRIM(T743)),"N/A – JUSTIFIED","INVALID – N/A needs justification, PIC and a different verifier")),IF(OR(TRIM(U743)="Pass",TRIM(U743)="Pass after CA"),IF(NOT(ISNUMBER(AD743)),"INVALID – completion time missing",IF(TRIM(T743)="","INVALID – PIC missing",IF(TRIM(V743)="","INVALID – result / assessment missing",IF(TRIM(Z743)="","INVALID – evidence missing",IF(TRIM(AE743)="","INVALID – verifier missing",IF(TRIM(AE743)=TRIM(T743),"INVALID – verifier must be someone other than the PIC",IF(AND(AQ743=1,TRIM(W743)=""),"INVALID – batch ID missing",IF(AND(AR743=1,OR(NOT(ISNUMBER(X743)),NOT(ISNUMBER(Y743)))),"INVALID – expected/actual qty missing",IF(IF(AND(TRIM(U743)="Pass",ISNUMBER(AF743)),IF(AF743&lt;&gt;0,"INVALID – qty variance: use Fail or Pass after CA",""),"")&amp;IF(AND(TRIM(U743)="Pass",TRIM(AB743)&lt;&gt;"",TRIM(AB743)&lt;&gt;"Closed"),"INVALID – corrective action not closed: use Fail, then Pass after CA","")&amp;IF(AND(TRIM(AA743)&lt;&gt;"",TRIM(AB743)=""),"INVALID – CA status missing for the recorded corrective action","")&amp;IF(AND(TRIM(U743)="Pass after CA",OR(TRIM(AA743)="",TRIM(AB743)&lt;&gt;"Closed")),"INVALID – corrective action not recorded/closed","")&lt;&gt;"",IF(AND(TRIM(U743)="Pass",ISNUMBER(AF743)),IF(AF743&lt;&gt;0,"INVALID – qty variance: use Fail or Pass after CA",""),"")&amp;IF(AND(TRIM(U743)="Pass",TRIM(AB743)&lt;&gt;"",TRIM(AB743)&lt;&gt;"Closed"),"INVALID – corrective action not closed: use Fail, then Pass after CA","")&amp;IF(AND(TRIM(AA743)&lt;&gt;"",TRIM(AB743)=""),"INVALID – CA status missing for the recorded corrective action","")&amp;IF(AND(TRIM(U743)="Pass after CA",OR(TRIM(AA743)="",TRIM(AB743)&lt;&gt;"Closed")),"INVALID – corrective action not recorded/closed",""),IF(AND(AS743=1,Documents!$J$26&lt;&gt;"ON FILE"),"INVALID – GLD not on file (Documents sheet)",IF(AND(AS743=2,Documents!$O$26&lt;&gt;"ON FILE"),"INVALID – menu checklist not on file (Documents sheet)",IF(AND(AS743=3,NOT(ISNUMBER(Flights!$AX$26))),"INVALID – enter carrying flight KUL departure (Flights AX)",IF(AND(AS743=3,OR(Flights!$AX$26&gt;=Flights!$AA$26,Flights!$AX$26&lt;Flights!$AA$26-3)),"INVALID – Flights AX must be before this leg's STD (within 3 days)",IF(AG743&gt;AsOfUTC,"INVALID – completion time is in the future",IF(AND(ISNUMBER(S743),AG743&lt;S743),IF(H743="Physical uplift","INVALID – before uplift window (cannot confirm loading)","INVALID – before valid window"),IF(AG743&gt;Flights!$AA$26,"INVALID – completed after departure (cannot establish readiness)",IF(AND(H743="Physical uplift",AG743&gt;Q743),"INVALID – recorded after the loading flight departed",IF(AG743&gt;Q743,"COMPLETE – LATE","COMPLETE")))))))))))))))))),IF(TRIM(U743)="Fail","FAIL – DISCREPANCY",IF(AND(TRIM(U743)&lt;&gt;"",TRIM(U743)&lt;&gt;"Not started",TRIM(U743)&lt;&gt;"In progress"),"INVALID – unrecognised status (use the list)",IF(AsOfUTC&gt;Q743,"OVERDUE",IF(N743="Clarification required","OPEN – CLARIFICATION","OPEN")))))))</f>
        <v>OPEN</v>
      </c>
      <c r="AI743" s="61" t="n">
        <f aca="false">IF(OR(AH743="N/A – RULE",AH743="N/A – JUSTIFIED"),0,1)</f>
        <v>1</v>
      </c>
      <c r="AJ743" s="61" t="n">
        <f aca="false">IF(LEFT(AH743,8)="COMPLETE",1,0)</f>
        <v>0</v>
      </c>
      <c r="AK743" s="61" t="n">
        <f aca="false">IF(AND(AI743=1,AJ743=0,AsOfUTC&gt;Q743),1,0)</f>
        <v>0</v>
      </c>
      <c r="AL743" s="61" t="n">
        <f aca="false">IF(AND(AI743=1,OR(TRIM(U743)="Fail",AND(TRIM(AB743)&lt;&gt;"",TRIM(AB743)&lt;&gt;"Closed"),AND(ISNUMBER(AF743),AF743&lt;&gt;0,TRIM(U743)&lt;&gt;"Pass after CA"))),1,0)</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8" t="b">
        <f aca="false">TRUE()</f>
        <v>1</v>
      </c>
    </row>
    <row r="744" customFormat="false" ht="39.75" hidden="false" customHeight="true" outlineLevel="0" collapsed="false">
      <c r="A744" s="57" t="s">
        <v>1440</v>
      </c>
      <c r="B744" s="57" t="s">
        <v>304</v>
      </c>
      <c r="C744" s="57" t="str">
        <f aca="false">Flights!$F$26</f>
        <v>MH0002</v>
      </c>
      <c r="D744" s="58" t="n">
        <f aca="false">Flights!$D$26</f>
        <v>46325</v>
      </c>
      <c r="E744" s="57" t="str">
        <f aca="false">Flights!$G$26&amp;"-"&amp;Flights!$H$26</f>
        <v>KUL-LHR</v>
      </c>
      <c r="F744" s="57" t="str">
        <f aca="false">Flights!$K$26</f>
        <v>BC</v>
      </c>
      <c r="G744" s="57" t="s">
        <v>424</v>
      </c>
      <c r="H744" s="57" t="s">
        <v>425</v>
      </c>
      <c r="I744" s="57" t="s">
        <v>464</v>
      </c>
      <c r="J744" s="57" t="s">
        <v>516</v>
      </c>
      <c r="K744" s="67" t="s">
        <v>466</v>
      </c>
      <c r="L744" s="67" t="s">
        <v>713</v>
      </c>
      <c r="M744" s="67" t="s">
        <v>416</v>
      </c>
      <c r="N744" s="67" t="s">
        <v>348</v>
      </c>
      <c r="O744" s="67"/>
      <c r="P744" s="57" t="s">
        <v>179</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59" t="n">
        <f aca="false">IF(ISNUMBER(Flights!$AY$26),MAX(Q744-UpliftWindowH/24,Flights!$AY$26+UpliftWindowH/24),Q744-UpliftWindowH/24)</f>
        <v>46325.3888888889</v>
      </c>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IF(N744="N/A – rule","N/A – RULE",IF(TRIM(U744)="N/A",IF(AT744=0,"INVALID – N/A not permitted for this mandatory check",IF(AND(TRIM(AC744)&lt;&gt;"",TRIM(AE744)&lt;&gt;"",TRIM(T744)&lt;&gt;"",TRIM(AE744)&lt;&gt;TRIM(T744)),"N/A – JUSTIFIED","INVALID – N/A needs justification, PIC and a different verifier")),IF(OR(TRIM(U744)="Pass",TRIM(U744)="Pass after CA"),IF(NOT(ISNUMBER(AD744)),"INVALID – completion time missing",IF(TRIM(T744)="","INVALID – PIC missing",IF(TRIM(V744)="","INVALID – result / assessment missing",IF(TRIM(Z744)="","INVALID – evidence missing",IF(TRIM(AE744)="","INVALID – verifier missing",IF(TRIM(AE744)=TRIM(T744),"INVALID – verifier must be someone other than the PIC",IF(AND(AQ744=1,TRIM(W744)=""),"INVALID – batch ID missing",IF(AND(AR744=1,OR(NOT(ISNUMBER(X744)),NOT(ISNUMBER(Y744)))),"INVALID – expected/actual qty missing",IF(IF(AND(TRIM(U744)="Pass",ISNUMBER(AF744)),IF(AF744&lt;&gt;0,"INVALID – qty variance: use Fail or Pass after CA",""),"")&amp;IF(AND(TRIM(U744)="Pass",TRIM(AB744)&lt;&gt;"",TRIM(AB744)&lt;&gt;"Closed"),"INVALID – corrective action not closed: use Fail, then Pass after CA","")&amp;IF(AND(TRIM(AA744)&lt;&gt;"",TRIM(AB744)=""),"INVALID – CA status missing for the recorded corrective action","")&amp;IF(AND(TRIM(U744)="Pass after CA",OR(TRIM(AA744)="",TRIM(AB744)&lt;&gt;"Closed")),"INVALID – corrective action not recorded/closed","")&lt;&gt;"",IF(AND(TRIM(U744)="Pass",ISNUMBER(AF744)),IF(AF744&lt;&gt;0,"INVALID – qty variance: use Fail or Pass after CA",""),"")&amp;IF(AND(TRIM(U744)="Pass",TRIM(AB744)&lt;&gt;"",TRIM(AB744)&lt;&gt;"Closed"),"INVALID – corrective action not closed: use Fail, then Pass after CA","")&amp;IF(AND(TRIM(AA744)&lt;&gt;"",TRIM(AB744)=""),"INVALID – CA status missing for the recorded corrective action","")&amp;IF(AND(TRIM(U744)="Pass after CA",OR(TRIM(AA744)="",TRIM(AB744)&lt;&gt;"Closed")),"INVALID – corrective action not recorded/closed",""),IF(AND(AS744=1,Documents!$J$26&lt;&gt;"ON FILE"),"INVALID – GLD not on file (Documents sheet)",IF(AND(AS744=2,Documents!$O$26&lt;&gt;"ON FILE"),"INVALID – menu checklist not on file (Documents sheet)",IF(AND(AS744=3,NOT(ISNUMBER(Flights!$AX$26))),"INVALID – enter carrying flight KUL departure (Flights AX)",IF(AND(AS744=3,OR(Flights!$AX$26&gt;=Flights!$AA$26,Flights!$AX$26&lt;Flights!$AA$26-3)),"INVALID – Flights AX must be before this leg's STD (within 3 days)",IF(AG744&gt;AsOfUTC,"INVALID – completion time is in the future",IF(AND(ISNUMBER(S744),AG744&lt;S744),IF(H744="Physical uplift","INVALID – before uplift window (cannot confirm loading)","INVALID – before valid window"),IF(AG744&gt;Flights!$AA$26,"INVALID – completed after departure (cannot establish readiness)",IF(AND(H744="Physical uplift",AG744&gt;Q744),"INVALID – recorded after the loading flight departed",IF(AG744&gt;Q744,"COMPLETE – LATE","COMPLETE")))))))))))))))))),IF(TRIM(U744)="Fail","FAIL – DISCREPANCY",IF(AND(TRIM(U744)&lt;&gt;"",TRIM(U744)&lt;&gt;"Not started",TRIM(U744)&lt;&gt;"In progress"),"INVALID – unrecognised status (use the list)",IF(AsOfUTC&gt;Q744,"OVERDUE",IF(N744="Clarification required","OPEN – CLARIFICATION","OPEN")))))))</f>
        <v>OPEN</v>
      </c>
      <c r="AI744" s="61" t="n">
        <f aca="false">IF(OR(AH744="N/A – RULE",AH744="N/A – JUSTIFIED"),0,1)</f>
        <v>1</v>
      </c>
      <c r="AJ744" s="61" t="n">
        <f aca="false">IF(LEFT(AH744,8)="COMPLETE",1,0)</f>
        <v>0</v>
      </c>
      <c r="AK744" s="61" t="n">
        <f aca="false">IF(AND(AI744=1,AJ744=0,AsOfUTC&gt;Q744),1,0)</f>
        <v>0</v>
      </c>
      <c r="AL744" s="61" t="n">
        <f aca="false">IF(AND(AI744=1,OR(TRIM(U744)="Fail",AND(TRIM(AB744)&lt;&gt;"",TRIM(AB744)&lt;&gt;"Closed"),AND(ISNUMBER(AF744),AF744&lt;&gt;0,TRIM(U744)&lt;&gt;"Pass after CA"))),1,0)</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8" t="b">
        <f aca="false">TRUE()</f>
        <v>1</v>
      </c>
    </row>
    <row r="745" customFormat="false" ht="39.75" hidden="false" customHeight="true" outlineLevel="0" collapsed="false">
      <c r="A745" s="57" t="s">
        <v>1441</v>
      </c>
      <c r="B745" s="57" t="s">
        <v>304</v>
      </c>
      <c r="C745" s="57" t="str">
        <f aca="false">Flights!$F$26</f>
        <v>MH0002</v>
      </c>
      <c r="D745" s="58" t="n">
        <f aca="false">Flights!$D$26</f>
        <v>46325</v>
      </c>
      <c r="E745" s="57" t="str">
        <f aca="false">Flights!$G$26&amp;"-"&amp;Flights!$H$26</f>
        <v>KUL-LHR</v>
      </c>
      <c r="F745" s="57" t="str">
        <f aca="false">Flights!$K$26</f>
        <v>BC</v>
      </c>
      <c r="G745" s="57" t="s">
        <v>424</v>
      </c>
      <c r="H745" s="57" t="s">
        <v>425</v>
      </c>
      <c r="I745" s="57" t="s">
        <v>412</v>
      </c>
      <c r="J745" s="57" t="s">
        <v>518</v>
      </c>
      <c r="K745" s="67" t="s">
        <v>414</v>
      </c>
      <c r="L745" s="67" t="s">
        <v>715</v>
      </c>
      <c r="M745" s="67" t="s">
        <v>416</v>
      </c>
      <c r="N745" s="67" t="s">
        <v>348</v>
      </c>
      <c r="O745" s="67"/>
      <c r="P745" s="57" t="s">
        <v>179</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59" t="n">
        <f aca="false">IF(ISNUMBER(Flights!$AY$26),MAX(Q745-UpliftWindowH/24,Flights!$AY$26+UpliftWindowH/24),Q745-UpliftWindowH/24)</f>
        <v>46325.3888888889</v>
      </c>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IF(N745="N/A – rule","N/A – RULE",IF(TRIM(U745)="N/A",IF(AT745=0,"INVALID – N/A not permitted for this mandatory check",IF(AND(TRIM(AC745)&lt;&gt;"",TRIM(AE745)&lt;&gt;"",TRIM(T745)&lt;&gt;"",TRIM(AE745)&lt;&gt;TRIM(T745)),"N/A – JUSTIFIED","INVALID – N/A needs justification, PIC and a different verifier")),IF(OR(TRIM(U745)="Pass",TRIM(U745)="Pass after CA"),IF(NOT(ISNUMBER(AD745)),"INVALID – completion time missing",IF(TRIM(T745)="","INVALID – PIC missing",IF(TRIM(V745)="","INVALID – result / assessment missing",IF(TRIM(Z745)="","INVALID – evidence missing",IF(TRIM(AE745)="","INVALID – verifier missing",IF(TRIM(AE745)=TRIM(T745),"INVALID – verifier must be someone other than the PIC",IF(AND(AQ745=1,TRIM(W745)=""),"INVALID – batch ID missing",IF(AND(AR745=1,OR(NOT(ISNUMBER(X745)),NOT(ISNUMBER(Y745)))),"INVALID – expected/actual qty missing",IF(IF(AND(TRIM(U745)="Pass",ISNUMBER(AF745)),IF(AF745&lt;&gt;0,"INVALID – qty variance: use Fail or Pass after CA",""),"")&amp;IF(AND(TRIM(U745)="Pass",TRIM(AB745)&lt;&gt;"",TRIM(AB745)&lt;&gt;"Closed"),"INVALID – corrective action not closed: use Fail, then Pass after CA","")&amp;IF(AND(TRIM(AA745)&lt;&gt;"",TRIM(AB745)=""),"INVALID – CA status missing for the recorded corrective action","")&amp;IF(AND(TRIM(U745)="Pass after CA",OR(TRIM(AA745)="",TRIM(AB745)&lt;&gt;"Closed")),"INVALID – corrective action not recorded/closed","")&lt;&gt;"",IF(AND(TRIM(U745)="Pass",ISNUMBER(AF745)),IF(AF745&lt;&gt;0,"INVALID – qty variance: use Fail or Pass after CA",""),"")&amp;IF(AND(TRIM(U745)="Pass",TRIM(AB745)&lt;&gt;"",TRIM(AB745)&lt;&gt;"Closed"),"INVALID – corrective action not closed: use Fail, then Pass after CA","")&amp;IF(AND(TRIM(AA745)&lt;&gt;"",TRIM(AB745)=""),"INVALID – CA status missing for the recorded corrective action","")&amp;IF(AND(TRIM(U745)="Pass after CA",OR(TRIM(AA745)="",TRIM(AB745)&lt;&gt;"Closed")),"INVALID – corrective action not recorded/closed",""),IF(AND(AS745=1,Documents!$J$26&lt;&gt;"ON FILE"),"INVALID – GLD not on file (Documents sheet)",IF(AND(AS745=2,Documents!$O$26&lt;&gt;"ON FILE"),"INVALID – menu checklist not on file (Documents sheet)",IF(AND(AS745=3,NOT(ISNUMBER(Flights!$AX$26))),"INVALID – enter carrying flight KUL departure (Flights AX)",IF(AND(AS745=3,OR(Flights!$AX$26&gt;=Flights!$AA$26,Flights!$AX$26&lt;Flights!$AA$26-3)),"INVALID – Flights AX must be before this leg's STD (within 3 days)",IF(AG745&gt;AsOfUTC,"INVALID – completion time is in the future",IF(AND(ISNUMBER(S745),AG745&lt;S745),IF(H745="Physical uplift","INVALID – before uplift window (cannot confirm loading)","INVALID – before valid window"),IF(AG745&gt;Flights!$AA$26,"INVALID – completed after departure (cannot establish readiness)",IF(AND(H745="Physical uplift",AG745&gt;Q745),"INVALID – recorded after the loading flight departed",IF(AG745&gt;Q745,"COMPLETE – LATE","COMPLETE")))))))))))))))))),IF(TRIM(U745)="Fail","FAIL – DISCREPANCY",IF(AND(TRIM(U745)&lt;&gt;"",TRIM(U745)&lt;&gt;"Not started",TRIM(U745)&lt;&gt;"In progress"),"INVALID – unrecognised status (use the list)",IF(AsOfUTC&gt;Q745,"OVERDUE",IF(N745="Clarification required","OPEN – CLARIFICATION","OPEN")))))))</f>
        <v>OPEN</v>
      </c>
      <c r="AI745" s="61" t="n">
        <f aca="false">IF(OR(AH745="N/A – RULE",AH745="N/A – JUSTIFIED"),0,1)</f>
        <v>1</v>
      </c>
      <c r="AJ745" s="61" t="n">
        <f aca="false">IF(LEFT(AH745,8)="COMPLETE",1,0)</f>
        <v>0</v>
      </c>
      <c r="AK745" s="61" t="n">
        <f aca="false">IF(AND(AI745=1,AJ745=0,AsOfUTC&gt;Q745),1,0)</f>
        <v>0</v>
      </c>
      <c r="AL745" s="61" t="n">
        <f aca="false">IF(AND(AI745=1,OR(TRIM(U745)="Fail",AND(TRIM(AB745)&lt;&gt;"",TRIM(AB745)&lt;&gt;"Closed"),AND(ISNUMBER(AF745),AF745&lt;&gt;0,TRIM(U745)&lt;&gt;"Pass after CA"))),1,0)</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8" t="b">
        <f aca="false">TRUE()</f>
        <v>1</v>
      </c>
    </row>
    <row r="746" customFormat="false" ht="39.75" hidden="false" customHeight="true" outlineLevel="0" collapsed="false">
      <c r="A746" s="57" t="s">
        <v>1442</v>
      </c>
      <c r="B746" s="57" t="s">
        <v>304</v>
      </c>
      <c r="C746" s="57" t="str">
        <f aca="false">Flights!$F$26</f>
        <v>MH0002</v>
      </c>
      <c r="D746" s="58" t="n">
        <f aca="false">Flights!$D$26</f>
        <v>46325</v>
      </c>
      <c r="E746" s="57" t="str">
        <f aca="false">Flights!$G$26&amp;"-"&amp;Flights!$H$26</f>
        <v>KUL-LHR</v>
      </c>
      <c r="F746" s="57" t="str">
        <f aca="false">Flights!$K$26</f>
        <v>BC</v>
      </c>
      <c r="G746" s="57" t="s">
        <v>424</v>
      </c>
      <c r="H746" s="57" t="s">
        <v>425</v>
      </c>
      <c r="I746" s="57" t="s">
        <v>412</v>
      </c>
      <c r="J746" s="57" t="s">
        <v>618</v>
      </c>
      <c r="K746" s="67" t="s">
        <v>414</v>
      </c>
      <c r="L746" s="67" t="s">
        <v>717</v>
      </c>
      <c r="M746" s="67" t="s">
        <v>416</v>
      </c>
      <c r="N746" s="67" t="s">
        <v>348</v>
      </c>
      <c r="O746" s="67"/>
      <c r="P746" s="57" t="s">
        <v>179</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59" t="n">
        <f aca="false">IF(ISNUMBER(Flights!$AY$26),MAX(Q746-UpliftWindowH/24,Flights!$AY$26+UpliftWindowH/24),Q746-UpliftWindowH/24)</f>
        <v>46325.3888888889</v>
      </c>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IF(N746="N/A – rule","N/A – RULE",IF(TRIM(U746)="N/A",IF(AT746=0,"INVALID – N/A not permitted for this mandatory check",IF(AND(TRIM(AC746)&lt;&gt;"",TRIM(AE746)&lt;&gt;"",TRIM(T746)&lt;&gt;"",TRIM(AE746)&lt;&gt;TRIM(T746)),"N/A – JUSTIFIED","INVALID – N/A needs justification, PIC and a different verifier")),IF(OR(TRIM(U746)="Pass",TRIM(U746)="Pass after CA"),IF(NOT(ISNUMBER(AD746)),"INVALID – completion time missing",IF(TRIM(T746)="","INVALID – PIC missing",IF(TRIM(V746)="","INVALID – result / assessment missing",IF(TRIM(Z746)="","INVALID – evidence missing",IF(TRIM(AE746)="","INVALID – verifier missing",IF(TRIM(AE746)=TRIM(T746),"INVALID – verifier must be someone other than the PIC",IF(AND(AQ746=1,TRIM(W746)=""),"INVALID – batch ID missing",IF(AND(AR746=1,OR(NOT(ISNUMBER(X746)),NOT(ISNUMBER(Y746)))),"INVALID – expected/actual qty missing",IF(IF(AND(TRIM(U746)="Pass",ISNUMBER(AF746)),IF(AF746&lt;&gt;0,"INVALID – qty variance: use Fail or Pass after CA",""),"")&amp;IF(AND(TRIM(U746)="Pass",TRIM(AB746)&lt;&gt;"",TRIM(AB746)&lt;&gt;"Closed"),"INVALID – corrective action not closed: use Fail, then Pass after CA","")&amp;IF(AND(TRIM(AA746)&lt;&gt;"",TRIM(AB746)=""),"INVALID – CA status missing for the recorded corrective action","")&amp;IF(AND(TRIM(U746)="Pass after CA",OR(TRIM(AA746)="",TRIM(AB746)&lt;&gt;"Closed")),"INVALID – corrective action not recorded/closed","")&lt;&gt;"",IF(AND(TRIM(U746)="Pass",ISNUMBER(AF746)),IF(AF746&lt;&gt;0,"INVALID – qty variance: use Fail or Pass after CA",""),"")&amp;IF(AND(TRIM(U746)="Pass",TRIM(AB746)&lt;&gt;"",TRIM(AB746)&lt;&gt;"Closed"),"INVALID – corrective action not closed: use Fail, then Pass after CA","")&amp;IF(AND(TRIM(AA746)&lt;&gt;"",TRIM(AB746)=""),"INVALID – CA status missing for the recorded corrective action","")&amp;IF(AND(TRIM(U746)="Pass after CA",OR(TRIM(AA746)="",TRIM(AB746)&lt;&gt;"Closed")),"INVALID – corrective action not recorded/closed",""),IF(AND(AS746=1,Documents!$J$26&lt;&gt;"ON FILE"),"INVALID – GLD not on file (Documents sheet)",IF(AND(AS746=2,Documents!$O$26&lt;&gt;"ON FILE"),"INVALID – menu checklist not on file (Documents sheet)",IF(AND(AS746=3,NOT(ISNUMBER(Flights!$AX$26))),"INVALID – enter carrying flight KUL departure (Flights AX)",IF(AND(AS746=3,OR(Flights!$AX$26&gt;=Flights!$AA$26,Flights!$AX$26&lt;Flights!$AA$26-3)),"INVALID – Flights AX must be before this leg's STD (within 3 days)",IF(AG746&gt;AsOfUTC,"INVALID – completion time is in the future",IF(AND(ISNUMBER(S746),AG746&lt;S746),IF(H746="Physical uplift","INVALID – before uplift window (cannot confirm loading)","INVALID – before valid window"),IF(AG746&gt;Flights!$AA$26,"INVALID – completed after departure (cannot establish readiness)",IF(AND(H746="Physical uplift",AG746&gt;Q746),"INVALID – recorded after the loading flight departed",IF(AG746&gt;Q746,"COMPLETE – LATE","COMPLETE")))))))))))))))))),IF(TRIM(U746)="Fail","FAIL – DISCREPANCY",IF(AND(TRIM(U746)&lt;&gt;"",TRIM(U746)&lt;&gt;"Not started",TRIM(U746)&lt;&gt;"In progress"),"INVALID – unrecognised status (use the list)",IF(AsOfUTC&gt;Q746,"OVERDUE",IF(N746="Clarification required","OPEN – CLARIFICATION","OPEN")))))))</f>
        <v>OPEN</v>
      </c>
      <c r="AI746" s="61" t="n">
        <f aca="false">IF(OR(AH746="N/A – RULE",AH746="N/A – JUSTIFIED"),0,1)</f>
        <v>1</v>
      </c>
      <c r="AJ746" s="61" t="n">
        <f aca="false">IF(LEFT(AH746,8)="COMPLETE",1,0)</f>
        <v>0</v>
      </c>
      <c r="AK746" s="61" t="n">
        <f aca="false">IF(AND(AI746=1,AJ746=0,AsOfUTC&gt;Q746),1,0)</f>
        <v>0</v>
      </c>
      <c r="AL746" s="61" t="n">
        <f aca="false">IF(AND(AI746=1,OR(TRIM(U746)="Fail",AND(TRIM(AB746)&lt;&gt;"",TRIM(AB746)&lt;&gt;"Closed"),AND(ISNUMBER(AF746),AF746&lt;&gt;0,TRIM(U746)&lt;&gt;"Pass after CA"))),1,0)</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8" t="b">
        <f aca="false">TRUE()</f>
        <v>1</v>
      </c>
    </row>
    <row r="747" customFormat="false" ht="39.75" hidden="false" customHeight="true" outlineLevel="0" collapsed="false">
      <c r="A747" s="57" t="s">
        <v>1443</v>
      </c>
      <c r="B747" s="57" t="s">
        <v>304</v>
      </c>
      <c r="C747" s="57" t="str">
        <f aca="false">Flights!$F$26</f>
        <v>MH0002</v>
      </c>
      <c r="D747" s="58" t="n">
        <f aca="false">Flights!$D$26</f>
        <v>46325</v>
      </c>
      <c r="E747" s="57" t="str">
        <f aca="false">Flights!$G$26&amp;"-"&amp;Flights!$H$26</f>
        <v>KUL-LHR</v>
      </c>
      <c r="F747" s="57" t="str">
        <f aca="false">Flights!$K$26</f>
        <v>BC</v>
      </c>
      <c r="G747" s="57" t="s">
        <v>424</v>
      </c>
      <c r="H747" s="57" t="s">
        <v>425</v>
      </c>
      <c r="I747" s="57" t="s">
        <v>412</v>
      </c>
      <c r="J747" s="57" t="s">
        <v>620</v>
      </c>
      <c r="K747" s="67" t="s">
        <v>414</v>
      </c>
      <c r="L747" s="67" t="s">
        <v>719</v>
      </c>
      <c r="M747" s="67" t="s">
        <v>416</v>
      </c>
      <c r="N747" s="67" t="s">
        <v>348</v>
      </c>
      <c r="O747" s="67"/>
      <c r="P747" s="57" t="s">
        <v>179</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59" t="n">
        <f aca="false">IF(ISNUMBER(Flights!$AY$26),MAX(Q747-UpliftWindowH/24,Flights!$AY$26+UpliftWindowH/24),Q747-UpliftWindowH/24)</f>
        <v>46325.3888888889</v>
      </c>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IF(N747="N/A – rule","N/A – RULE",IF(TRIM(U747)="N/A",IF(AT747=0,"INVALID – N/A not permitted for this mandatory check",IF(AND(TRIM(AC747)&lt;&gt;"",TRIM(AE747)&lt;&gt;"",TRIM(T747)&lt;&gt;"",TRIM(AE747)&lt;&gt;TRIM(T747)),"N/A – JUSTIFIED","INVALID – N/A needs justification, PIC and a different verifier")),IF(OR(TRIM(U747)="Pass",TRIM(U747)="Pass after CA"),IF(NOT(ISNUMBER(AD747)),"INVALID – completion time missing",IF(TRIM(T747)="","INVALID – PIC missing",IF(TRIM(V747)="","INVALID – result / assessment missing",IF(TRIM(Z747)="","INVALID – evidence missing",IF(TRIM(AE747)="","INVALID – verifier missing",IF(TRIM(AE747)=TRIM(T747),"INVALID – verifier must be someone other than the PIC",IF(AND(AQ747=1,TRIM(W747)=""),"INVALID – batch ID missing",IF(AND(AR747=1,OR(NOT(ISNUMBER(X747)),NOT(ISNUMBER(Y747)))),"INVALID – expected/actual qty missing",IF(IF(AND(TRIM(U747)="Pass",ISNUMBER(AF747)),IF(AF747&lt;&gt;0,"INVALID – qty variance: use Fail or Pass after CA",""),"")&amp;IF(AND(TRIM(U747)="Pass",TRIM(AB747)&lt;&gt;"",TRIM(AB747)&lt;&gt;"Closed"),"INVALID – corrective action not closed: use Fail, then Pass after CA","")&amp;IF(AND(TRIM(AA747)&lt;&gt;"",TRIM(AB747)=""),"INVALID – CA status missing for the recorded corrective action","")&amp;IF(AND(TRIM(U747)="Pass after CA",OR(TRIM(AA747)="",TRIM(AB747)&lt;&gt;"Closed")),"INVALID – corrective action not recorded/closed","")&lt;&gt;"",IF(AND(TRIM(U747)="Pass",ISNUMBER(AF747)),IF(AF747&lt;&gt;0,"INVALID – qty variance: use Fail or Pass after CA",""),"")&amp;IF(AND(TRIM(U747)="Pass",TRIM(AB747)&lt;&gt;"",TRIM(AB747)&lt;&gt;"Closed"),"INVALID – corrective action not closed: use Fail, then Pass after CA","")&amp;IF(AND(TRIM(AA747)&lt;&gt;"",TRIM(AB747)=""),"INVALID – CA status missing for the recorded corrective action","")&amp;IF(AND(TRIM(U747)="Pass after CA",OR(TRIM(AA747)="",TRIM(AB747)&lt;&gt;"Closed")),"INVALID – corrective action not recorded/closed",""),IF(AND(AS747=1,Documents!$J$26&lt;&gt;"ON FILE"),"INVALID – GLD not on file (Documents sheet)",IF(AND(AS747=2,Documents!$O$26&lt;&gt;"ON FILE"),"INVALID – menu checklist not on file (Documents sheet)",IF(AND(AS747=3,NOT(ISNUMBER(Flights!$AX$26))),"INVALID – enter carrying flight KUL departure (Flights AX)",IF(AND(AS747=3,OR(Flights!$AX$26&gt;=Flights!$AA$26,Flights!$AX$26&lt;Flights!$AA$26-3)),"INVALID – Flights AX must be before this leg's STD (within 3 days)",IF(AG747&gt;AsOfUTC,"INVALID – completion time is in the future",IF(AND(ISNUMBER(S747),AG747&lt;S747),IF(H747="Physical uplift","INVALID – before uplift window (cannot confirm loading)","INVALID – before valid window"),IF(AG747&gt;Flights!$AA$26,"INVALID – completed after departure (cannot establish readiness)",IF(AND(H747="Physical uplift",AG747&gt;Q747),"INVALID – recorded after the loading flight departed",IF(AG747&gt;Q747,"COMPLETE – LATE","COMPLETE")))))))))))))))))),IF(TRIM(U747)="Fail","FAIL – DISCREPANCY",IF(AND(TRIM(U747)&lt;&gt;"",TRIM(U747)&lt;&gt;"Not started",TRIM(U747)&lt;&gt;"In progress"),"INVALID – unrecognised status (use the list)",IF(AsOfUTC&gt;Q747,"OVERDUE",IF(N747="Clarification required","OPEN – CLARIFICATION","OPEN")))))))</f>
        <v>OPEN</v>
      </c>
      <c r="AI747" s="61" t="n">
        <f aca="false">IF(OR(AH747="N/A – RULE",AH747="N/A – JUSTIFIED"),0,1)</f>
        <v>1</v>
      </c>
      <c r="AJ747" s="61" t="n">
        <f aca="false">IF(LEFT(AH747,8)="COMPLETE",1,0)</f>
        <v>0</v>
      </c>
      <c r="AK747" s="61" t="n">
        <f aca="false">IF(AND(AI747=1,AJ747=0,AsOfUTC&gt;Q747),1,0)</f>
        <v>0</v>
      </c>
      <c r="AL747" s="61" t="n">
        <f aca="false">IF(AND(AI747=1,OR(TRIM(U747)="Fail",AND(TRIM(AB747)&lt;&gt;"",TRIM(AB747)&lt;&gt;"Closed"),AND(ISNUMBER(AF747),AF747&lt;&gt;0,TRIM(U747)&lt;&gt;"Pass after CA"))),1,0)</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8" t="b">
        <f aca="false">TRUE()</f>
        <v>1</v>
      </c>
    </row>
    <row r="748" customFormat="false" ht="39.75" hidden="false" customHeight="true" outlineLevel="0" collapsed="false">
      <c r="A748" s="57" t="s">
        <v>1444</v>
      </c>
      <c r="B748" s="57" t="s">
        <v>304</v>
      </c>
      <c r="C748" s="57" t="str">
        <f aca="false">Flights!$F$26</f>
        <v>MH0002</v>
      </c>
      <c r="D748" s="58" t="n">
        <f aca="false">Flights!$D$26</f>
        <v>46325</v>
      </c>
      <c r="E748" s="57" t="str">
        <f aca="false">Flights!$G$26&amp;"-"&amp;Flights!$H$26</f>
        <v>KUL-LHR</v>
      </c>
      <c r="F748" s="57" t="str">
        <f aca="false">Flights!$K$26</f>
        <v>BC</v>
      </c>
      <c r="G748" s="57" t="s">
        <v>424</v>
      </c>
      <c r="H748" s="57" t="s">
        <v>425</v>
      </c>
      <c r="I748" s="57" t="s">
        <v>594</v>
      </c>
      <c r="J748" s="57" t="s">
        <v>622</v>
      </c>
      <c r="K748" s="67" t="s">
        <v>466</v>
      </c>
      <c r="L748" s="67" t="s">
        <v>721</v>
      </c>
      <c r="M748" s="67" t="s">
        <v>179</v>
      </c>
      <c r="N748" s="67" t="s">
        <v>348</v>
      </c>
      <c r="O748" s="67" t="s">
        <v>597</v>
      </c>
      <c r="P748" s="57" t="s">
        <v>179</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59" t="n">
        <f aca="false">IF(ISNUMBER(Flights!$AY$26),MAX(Q748-UpliftWindowH/24,Flights!$AY$26+UpliftWindowH/24),Q748-UpliftWindowH/24)</f>
        <v>46325.3888888889</v>
      </c>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IF(N748="N/A – rule","N/A – RULE",IF(TRIM(U748)="N/A",IF(AT748=0,"INVALID – N/A not permitted for this mandatory check",IF(AND(TRIM(AC748)&lt;&gt;"",TRIM(AE748)&lt;&gt;"",TRIM(T748)&lt;&gt;"",TRIM(AE748)&lt;&gt;TRIM(T748)),"N/A – JUSTIFIED","INVALID – N/A needs justification, PIC and a different verifier")),IF(OR(TRIM(U748)="Pass",TRIM(U748)="Pass after CA"),IF(NOT(ISNUMBER(AD748)),"INVALID – completion time missing",IF(TRIM(T748)="","INVALID – PIC missing",IF(TRIM(V748)="","INVALID – result / assessment missing",IF(TRIM(Z748)="","INVALID – evidence missing",IF(TRIM(AE748)="","INVALID – verifier missing",IF(TRIM(AE748)=TRIM(T748),"INVALID – verifier must be someone other than the PIC",IF(AND(AQ748=1,TRIM(W748)=""),"INVALID – batch ID missing",IF(AND(AR748=1,OR(NOT(ISNUMBER(X748)),NOT(ISNUMBER(Y748)))),"INVALID – expected/actual qty missing",IF(IF(AND(TRIM(U748)="Pass",ISNUMBER(AF748)),IF(AF748&lt;&gt;0,"INVALID – qty variance: use Fail or Pass after CA",""),"")&amp;IF(AND(TRIM(U748)="Pass",TRIM(AB748)&lt;&gt;"",TRIM(AB748)&lt;&gt;"Closed"),"INVALID – corrective action not closed: use Fail, then Pass after CA","")&amp;IF(AND(TRIM(AA748)&lt;&gt;"",TRIM(AB748)=""),"INVALID – CA status missing for the recorded corrective action","")&amp;IF(AND(TRIM(U748)="Pass after CA",OR(TRIM(AA748)="",TRIM(AB748)&lt;&gt;"Closed")),"INVALID – corrective action not recorded/closed","")&lt;&gt;"",IF(AND(TRIM(U748)="Pass",ISNUMBER(AF748)),IF(AF748&lt;&gt;0,"INVALID – qty variance: use Fail or Pass after CA",""),"")&amp;IF(AND(TRIM(U748)="Pass",TRIM(AB748)&lt;&gt;"",TRIM(AB748)&lt;&gt;"Closed"),"INVALID – corrective action not closed: use Fail, then Pass after CA","")&amp;IF(AND(TRIM(AA748)&lt;&gt;"",TRIM(AB748)=""),"INVALID – CA status missing for the recorded corrective action","")&amp;IF(AND(TRIM(U748)="Pass after CA",OR(TRIM(AA748)="",TRIM(AB748)&lt;&gt;"Closed")),"INVALID – corrective action not recorded/closed",""),IF(AND(AS748=1,Documents!$J$26&lt;&gt;"ON FILE"),"INVALID – GLD not on file (Documents sheet)",IF(AND(AS748=2,Documents!$O$26&lt;&gt;"ON FILE"),"INVALID – menu checklist not on file (Documents sheet)",IF(AND(AS748=3,NOT(ISNUMBER(Flights!$AX$26))),"INVALID – enter carrying flight KUL departure (Flights AX)",IF(AND(AS748=3,OR(Flights!$AX$26&gt;=Flights!$AA$26,Flights!$AX$26&lt;Flights!$AA$26-3)),"INVALID – Flights AX must be before this leg's STD (within 3 days)",IF(AG748&gt;AsOfUTC,"INVALID – completion time is in the future",IF(AND(ISNUMBER(S748),AG748&lt;S748),IF(H748="Physical uplift","INVALID – before uplift window (cannot confirm loading)","INVALID – before valid window"),IF(AG748&gt;Flights!$AA$26,"INVALID – completed after departure (cannot establish readiness)",IF(AND(H748="Physical uplift",AG748&gt;Q748),"INVALID – recorded after the loading flight departed",IF(AG748&gt;Q748,"COMPLETE – LATE","COMPLETE")))))))))))))))))),IF(TRIM(U748)="Fail","FAIL – DISCREPANCY",IF(AND(TRIM(U748)&lt;&gt;"",TRIM(U748)&lt;&gt;"Not started",TRIM(U748)&lt;&gt;"In progress"),"INVALID – unrecognised status (use the list)",IF(AsOfUTC&gt;Q748,"OVERDUE",IF(N748="Clarification required","OPEN – CLARIFICATION","OPEN")))))))</f>
        <v>OPEN</v>
      </c>
      <c r="AI748" s="61" t="n">
        <f aca="false">IF(OR(AH748="N/A – RULE",AH748="N/A – JUSTIFIED"),0,1)</f>
        <v>1</v>
      </c>
      <c r="AJ748" s="61" t="n">
        <f aca="false">IF(LEFT(AH748,8)="COMPLETE",1,0)</f>
        <v>0</v>
      </c>
      <c r="AK748" s="61" t="n">
        <f aca="false">IF(AND(AI748=1,AJ748=0,AsOfUTC&gt;Q748),1,0)</f>
        <v>0</v>
      </c>
      <c r="AL748" s="61" t="n">
        <f aca="false">IF(AND(AI748=1,OR(TRIM(U748)="Fail",AND(TRIM(AB748)&lt;&gt;"",TRIM(AB748)&lt;&gt;"Closed"),AND(ISNUMBER(AF748),AF748&lt;&gt;0,TRIM(U748)&lt;&gt;"Pass after CA"))),1,0)</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8" t="b">
        <f aca="false">TRUE()</f>
        <v>1</v>
      </c>
    </row>
  </sheetData>
  <sheetProtection sheet="true" formatCells="false" formatColumns="false" formatRows="false" sort="false" autoFilter="false"/>
  <autoFilter ref="A4:AS748"/>
  <mergeCells count="1">
    <mergeCell ref="D2:J2"/>
  </mergeCells>
  <conditionalFormatting sqref="AH5:AH748">
    <cfRule type="expression" priority="2" aboveAverage="0" equalAverage="0" bottom="0" percent="0" rank="0" text="" dxfId="23">
      <formula>LEFT(AH5,8)="COMPLETE"</formula>
    </cfRule>
    <cfRule type="expression" priority="3" aboveAverage="0" equalAverage="0" bottom="0" percent="0" rank="0" text="" dxfId="24">
      <formula>OR(LEFT(AH5,7)="INVALID",AH5="OVERDUE",LEFT(AH5,4)="FAIL")</formula>
    </cfRule>
    <cfRule type="expression" priority="4" aboveAverage="0" equalAverage="0" bottom="0" percent="0" rank="0" text="" dxfId="17">
      <formula>LEFT(AH5,4)="OPEN"</formula>
    </cfRule>
    <cfRule type="expression" priority="5" aboveAverage="0" equalAverage="0" bottom="0" percent="0" rank="0" text="" dxfId="25">
      <formula>LEFT(AH5,3)="N/A"</formula>
    </cfRule>
  </conditionalFormatting>
  <conditionalFormatting sqref="A5:S748">
    <cfRule type="expression" priority="6" aboveAverage="0" equalAverage="0" bottom="0" percent="0" rank="0" text="" dxfId="26">
      <formula>$AH5="N/A – RULE"</formula>
    </cfRule>
  </conditionalFormatting>
  <conditionalFormatting sqref="N5:N748">
    <cfRule type="cellIs" priority="7"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Choose Open or Closed from the list." errorStyle="stop" errorTitle="CA status" operator="between" showDropDown="false" showErrorMessage="tru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s>
  <sheetData>
    <row r="1" customFormat="false" ht="24" hidden="false" customHeight="true" outlineLevel="0" collapsed="false">
      <c r="A1" s="54" t="s">
        <v>370</v>
      </c>
    </row>
    <row r="2" customFormat="false" ht="41.25" hidden="false" customHeight="true" outlineLevel="0" collapsed="false">
      <c r="C2" s="55" t="s">
        <v>1445</v>
      </c>
      <c r="D2" s="55"/>
      <c r="E2" s="55"/>
      <c r="F2" s="55"/>
      <c r="G2" s="55"/>
      <c r="H2" s="55"/>
      <c r="I2" s="55"/>
    </row>
    <row r="4" customFormat="false" ht="42" hidden="false" customHeight="true" outlineLevel="0" collapsed="false">
      <c r="A4" s="56" t="s">
        <v>132</v>
      </c>
      <c r="B4" s="56" t="s">
        <v>135</v>
      </c>
      <c r="C4" s="56" t="s">
        <v>103</v>
      </c>
      <c r="D4" s="56" t="s">
        <v>104</v>
      </c>
      <c r="E4" s="56" t="s">
        <v>106</v>
      </c>
      <c r="F4" s="56" t="s">
        <v>1446</v>
      </c>
      <c r="G4" s="56" t="s">
        <v>1447</v>
      </c>
      <c r="H4" s="56" t="s">
        <v>1448</v>
      </c>
      <c r="I4" s="56" t="s">
        <v>1449</v>
      </c>
      <c r="J4" s="56" t="s">
        <v>1450</v>
      </c>
      <c r="K4" s="56" t="s">
        <v>1451</v>
      </c>
      <c r="L4" s="56" t="s">
        <v>1452</v>
      </c>
      <c r="M4" s="56" t="s">
        <v>1453</v>
      </c>
      <c r="N4" s="56" t="s">
        <v>1454</v>
      </c>
      <c r="O4" s="56" t="s">
        <v>1455</v>
      </c>
      <c r="P4" s="56" t="s">
        <v>1456</v>
      </c>
      <c r="Q4" s="56" t="s">
        <v>1457</v>
      </c>
    </row>
    <row r="5" customFormat="false" ht="30" hidden="false" customHeight="true" outlineLevel="0" collapsed="false">
      <c r="A5" s="70" t="s">
        <v>175</v>
      </c>
      <c r="B5" s="57" t="str">
        <f aca="false">Flights!F5</f>
        <v>MH0001</v>
      </c>
      <c r="C5" s="71" t="n">
        <f aca="false">Flights!D5</f>
        <v>46303</v>
      </c>
      <c r="D5" s="70" t="str">
        <f aca="false">Flights!G5&amp;"-"&amp;Flights!H5</f>
        <v>LHR-KUL</v>
      </c>
      <c r="E5" s="70" t="str">
        <f aca="false">Flights!L5</f>
        <v>A350</v>
      </c>
      <c r="F5" s="60"/>
      <c r="G5" s="60"/>
      <c r="H5" s="72"/>
      <c r="I5" s="60"/>
      <c r="J5" s="73" t="str">
        <f aca="false">IF(AND(TRIM(F5)&lt;&gt;"",TRIM(G5)&lt;&gt;"",ISNUMBER(H5),TRIM(I5)&lt;&gt;""),"ON FILE","OUTSTANDING")</f>
        <v>OUTSTANDING</v>
      </c>
      <c r="K5" s="60"/>
      <c r="L5" s="60"/>
      <c r="M5" s="72"/>
      <c r="N5" s="60"/>
      <c r="O5" s="73" t="str">
        <f aca="false">IF(AND(TRIM(K5)&lt;&gt;"",TRIM(L5)&lt;&gt;"",ISNUMBER(M5),TRIM(N5)&lt;&gt;""),"ON FILE","OUTSTANDING")</f>
        <v>OUTSTANDING</v>
      </c>
      <c r="P5" s="74" t="n">
        <f aca="false">(J5="OUTSTANDING")+(O5="OUTSTANDING")</f>
        <v>2</v>
      </c>
      <c r="Q5" s="57" t="s">
        <v>1458</v>
      </c>
    </row>
    <row r="6" customFormat="false" ht="30" hidden="false" customHeight="true" outlineLevel="0" collapsed="false">
      <c r="A6" s="70" t="s">
        <v>190</v>
      </c>
      <c r="B6" s="57" t="str">
        <f aca="false">Flights!F6</f>
        <v>MH0727</v>
      </c>
      <c r="C6" s="71" t="n">
        <f aca="false">Flights!D6</f>
        <v>46304</v>
      </c>
      <c r="D6" s="70" t="str">
        <f aca="false">Flights!G6&amp;"-"&amp;Flights!H6</f>
        <v>KUL-CGK</v>
      </c>
      <c r="E6" s="70" t="str">
        <f aca="false">Flights!L6</f>
        <v>B738MAX</v>
      </c>
      <c r="F6" s="60"/>
      <c r="G6" s="60"/>
      <c r="H6" s="72"/>
      <c r="I6" s="60"/>
      <c r="J6" s="73" t="str">
        <f aca="false">IF(AND(TRIM(F6)&lt;&gt;"",TRIM(G6)&lt;&gt;"",ISNUMBER(H6),TRIM(I6)&lt;&gt;""),"ON FILE","OUTSTANDING")</f>
        <v>OUTSTANDING</v>
      </c>
      <c r="K6" s="60"/>
      <c r="L6" s="60"/>
      <c r="M6" s="72"/>
      <c r="N6" s="60"/>
      <c r="O6" s="73" t="str">
        <f aca="false">IF(AND(TRIM(K6)&lt;&gt;"",TRIM(L6)&lt;&gt;"",ISNUMBER(M6),TRIM(N6)&lt;&gt;""),"ON FILE","OUTSTANDING")</f>
        <v>OUTSTANDING</v>
      </c>
      <c r="P6" s="74" t="n">
        <f aca="false">(J6="OUTSTANDING")+(O6="OUTSTANDING")</f>
        <v>2</v>
      </c>
      <c r="Q6" s="57" t="s">
        <v>1458</v>
      </c>
    </row>
    <row r="7" customFormat="false" ht="30" hidden="false" customHeight="true" outlineLevel="0" collapsed="false">
      <c r="A7" s="70" t="s">
        <v>204</v>
      </c>
      <c r="B7" s="57" t="str">
        <f aca="false">Flights!F7</f>
        <v>MH0720</v>
      </c>
      <c r="C7" s="71" t="n">
        <f aca="false">Flights!D7</f>
        <v>46305</v>
      </c>
      <c r="D7" s="70" t="str">
        <f aca="false">Flights!G7&amp;"-"&amp;Flights!H7</f>
        <v>CGK-KUL</v>
      </c>
      <c r="E7" s="70" t="str">
        <f aca="false">Flights!L7</f>
        <v>A333</v>
      </c>
      <c r="F7" s="60"/>
      <c r="G7" s="60"/>
      <c r="H7" s="72"/>
      <c r="I7" s="60"/>
      <c r="J7" s="73" t="str">
        <f aca="false">IF(AND(TRIM(F7)&lt;&gt;"",TRIM(G7)&lt;&gt;"",ISNUMBER(H7),TRIM(I7)&lt;&gt;""),"ON FILE","OUTSTANDING")</f>
        <v>OUTSTANDING</v>
      </c>
      <c r="K7" s="60"/>
      <c r="L7" s="60"/>
      <c r="M7" s="72"/>
      <c r="N7" s="60"/>
      <c r="O7" s="73" t="str">
        <f aca="false">IF(AND(TRIM(K7)&lt;&gt;"",TRIM(L7)&lt;&gt;"",ISNUMBER(M7),TRIM(N7)&lt;&gt;""),"ON FILE","OUTSTANDING")</f>
        <v>OUTSTANDING</v>
      </c>
      <c r="P7" s="74" t="n">
        <f aca="false">(J7="OUTSTANDING")+(O7="OUTSTANDING")</f>
        <v>2</v>
      </c>
      <c r="Q7" s="57" t="s">
        <v>1458</v>
      </c>
    </row>
    <row r="8" customFormat="false" ht="30" hidden="false" customHeight="true" outlineLevel="0" collapsed="false">
      <c r="A8" s="70" t="s">
        <v>210</v>
      </c>
      <c r="B8" s="57" t="str">
        <f aca="false">Flights!F8</f>
        <v>MH0088</v>
      </c>
      <c r="C8" s="71" t="n">
        <f aca="false">Flights!D8</f>
        <v>46305</v>
      </c>
      <c r="D8" s="70" t="str">
        <f aca="false">Flights!G8&amp;"-"&amp;Flights!H8</f>
        <v>KUL-NRT</v>
      </c>
      <c r="E8" s="70" t="str">
        <f aca="false">Flights!L8</f>
        <v>A350</v>
      </c>
      <c r="F8" s="60"/>
      <c r="G8" s="60"/>
      <c r="H8" s="72"/>
      <c r="I8" s="60"/>
      <c r="J8" s="73" t="str">
        <f aca="false">IF(AND(TRIM(F8)&lt;&gt;"",TRIM(G8)&lt;&gt;"",ISNUMBER(H8),TRIM(I8)&lt;&gt;""),"ON FILE","OUTSTANDING")</f>
        <v>OUTSTANDING</v>
      </c>
      <c r="K8" s="60"/>
      <c r="L8" s="60"/>
      <c r="M8" s="72"/>
      <c r="N8" s="60"/>
      <c r="O8" s="73" t="str">
        <f aca="false">IF(AND(TRIM(K8)&lt;&gt;"",TRIM(L8)&lt;&gt;"",ISNUMBER(M8),TRIM(N8)&lt;&gt;""),"ON FILE","OUTSTANDING")</f>
        <v>OUTSTANDING</v>
      </c>
      <c r="P8" s="74" t="n">
        <f aca="false">(J8="OUTSTANDING")+(O8="OUTSTANDING")</f>
        <v>2</v>
      </c>
      <c r="Q8" s="57" t="s">
        <v>1458</v>
      </c>
    </row>
    <row r="9" customFormat="false" ht="30" hidden="false" customHeight="true" outlineLevel="0" collapsed="false">
      <c r="A9" s="70" t="s">
        <v>220</v>
      </c>
      <c r="B9" s="57" t="str">
        <f aca="false">Flights!F9</f>
        <v>MH0089</v>
      </c>
      <c r="C9" s="71" t="n">
        <f aca="false">Flights!D9</f>
        <v>46310</v>
      </c>
      <c r="D9" s="70" t="str">
        <f aca="false">Flights!G9&amp;"-"&amp;Flights!H9</f>
        <v>NRT-KUL</v>
      </c>
      <c r="E9" s="70" t="str">
        <f aca="false">Flights!L9</f>
        <v>A350</v>
      </c>
      <c r="F9" s="60"/>
      <c r="G9" s="60"/>
      <c r="H9" s="72"/>
      <c r="I9" s="60"/>
      <c r="J9" s="73" t="str">
        <f aca="false">IF(AND(TRIM(F9)&lt;&gt;"",TRIM(G9)&lt;&gt;"",ISNUMBER(H9),TRIM(I9)&lt;&gt;""),"ON FILE","OUTSTANDING")</f>
        <v>OUTSTANDING</v>
      </c>
      <c r="K9" s="60"/>
      <c r="L9" s="60"/>
      <c r="M9" s="72"/>
      <c r="N9" s="60"/>
      <c r="O9" s="73" t="str">
        <f aca="false">IF(AND(TRIM(K9)&lt;&gt;"",TRIM(L9)&lt;&gt;"",ISNUMBER(M9),TRIM(N9)&lt;&gt;""),"ON FILE","OUTSTANDING")</f>
        <v>OUTSTANDING</v>
      </c>
      <c r="P9" s="74" t="n">
        <f aca="false">(J9="OUTSTANDING")+(O9="OUTSTANDING")</f>
        <v>2</v>
      </c>
      <c r="Q9" s="57" t="s">
        <v>1458</v>
      </c>
    </row>
    <row r="10" customFormat="false" ht="30" hidden="false" customHeight="true" outlineLevel="0" collapsed="false">
      <c r="A10" s="70" t="s">
        <v>223</v>
      </c>
      <c r="B10" s="57" t="str">
        <f aca="false">Flights!F10</f>
        <v>MH0002</v>
      </c>
      <c r="C10" s="71" t="n">
        <f aca="false">Flights!D10</f>
        <v>46310</v>
      </c>
      <c r="D10" s="70" t="str">
        <f aca="false">Flights!G10&amp;"-"&amp;Flights!H10</f>
        <v>KUL-LHR</v>
      </c>
      <c r="E10" s="70" t="str">
        <f aca="false">Flights!L10</f>
        <v>A350</v>
      </c>
      <c r="F10" s="60"/>
      <c r="G10" s="60"/>
      <c r="H10" s="72"/>
      <c r="I10" s="60"/>
      <c r="J10" s="73" t="str">
        <f aca="false">IF(AND(TRIM(F10)&lt;&gt;"",TRIM(G10)&lt;&gt;"",ISNUMBER(H10),TRIM(I10)&lt;&gt;""),"ON FILE","OUTSTANDING")</f>
        <v>OUTSTANDING</v>
      </c>
      <c r="K10" s="60"/>
      <c r="L10" s="60"/>
      <c r="M10" s="72"/>
      <c r="N10" s="60"/>
      <c r="O10" s="73" t="str">
        <f aca="false">IF(AND(TRIM(K10)&lt;&gt;"",TRIM(L10)&lt;&gt;"",ISNUMBER(M10),TRIM(N10)&lt;&gt;""),"ON FILE","OUTSTANDING")</f>
        <v>OUTSTANDING</v>
      </c>
      <c r="P10" s="74" t="n">
        <f aca="false">(J10="OUTSTANDING")+(O10="OUTSTANDING")</f>
        <v>2</v>
      </c>
      <c r="Q10" s="57" t="s">
        <v>1458</v>
      </c>
    </row>
    <row r="11" customFormat="false" ht="30" hidden="false" customHeight="true" outlineLevel="0" collapsed="false">
      <c r="A11" s="70" t="s">
        <v>227</v>
      </c>
      <c r="B11" s="57" t="str">
        <f aca="false">Flights!F11</f>
        <v>MH0003</v>
      </c>
      <c r="C11" s="71" t="n">
        <f aca="false">Flights!D11</f>
        <v>46304</v>
      </c>
      <c r="D11" s="70" t="str">
        <f aca="false">Flights!G11&amp;"-"&amp;Flights!H11</f>
        <v>LHR-KUL</v>
      </c>
      <c r="E11" s="70" t="str">
        <f aca="false">Flights!L11</f>
        <v>A350</v>
      </c>
      <c r="F11" s="60"/>
      <c r="G11" s="60"/>
      <c r="H11" s="72"/>
      <c r="I11" s="60"/>
      <c r="J11" s="73" t="str">
        <f aca="false">IF(AND(TRIM(F11)&lt;&gt;"",TRIM(G11)&lt;&gt;"",ISNUMBER(H11),TRIM(I11)&lt;&gt;""),"ON FILE","OUTSTANDING")</f>
        <v>OUTSTANDING</v>
      </c>
      <c r="K11" s="60"/>
      <c r="L11" s="60"/>
      <c r="M11" s="72"/>
      <c r="N11" s="60"/>
      <c r="O11" s="73" t="str">
        <f aca="false">IF(AND(TRIM(K11)&lt;&gt;"",TRIM(L11)&lt;&gt;"",ISNUMBER(M11),TRIM(N11)&lt;&gt;""),"ON FILE","OUTSTANDING")</f>
        <v>OUTSTANDING</v>
      </c>
      <c r="P11" s="74" t="n">
        <f aca="false">(J11="OUTSTANDING")+(O11="OUTSTANDING")</f>
        <v>2</v>
      </c>
      <c r="Q11" s="57" t="s">
        <v>1458</v>
      </c>
    </row>
    <row r="12" customFormat="false" ht="30" hidden="false" customHeight="true" outlineLevel="0" collapsed="false">
      <c r="A12" s="70" t="s">
        <v>230</v>
      </c>
      <c r="B12" s="57" t="str">
        <f aca="false">Flights!F12</f>
        <v>MH0752</v>
      </c>
      <c r="C12" s="71" t="n">
        <f aca="false">Flights!D12</f>
        <v>46305</v>
      </c>
      <c r="D12" s="70" t="str">
        <f aca="false">Flights!G12&amp;"-"&amp;Flights!H12</f>
        <v>KUL-HAN</v>
      </c>
      <c r="E12" s="70" t="str">
        <f aca="false">Flights!L12</f>
        <v>B738MAX</v>
      </c>
      <c r="F12" s="60"/>
      <c r="G12" s="60"/>
      <c r="H12" s="72"/>
      <c r="I12" s="60"/>
      <c r="J12" s="73" t="str">
        <f aca="false">IF(AND(TRIM(F12)&lt;&gt;"",TRIM(G12)&lt;&gt;"",ISNUMBER(H12),TRIM(I12)&lt;&gt;""),"ON FILE","OUTSTANDING")</f>
        <v>OUTSTANDING</v>
      </c>
      <c r="K12" s="60"/>
      <c r="L12" s="60"/>
      <c r="M12" s="72"/>
      <c r="N12" s="60"/>
      <c r="O12" s="73" t="str">
        <f aca="false">IF(AND(TRIM(K12)&lt;&gt;"",TRIM(L12)&lt;&gt;"",ISNUMBER(M12),TRIM(N12)&lt;&gt;""),"ON FILE","OUTSTANDING")</f>
        <v>OUTSTANDING</v>
      </c>
      <c r="P12" s="74" t="n">
        <f aca="false">(J12="OUTSTANDING")+(O12="OUTSTANDING")</f>
        <v>2</v>
      </c>
      <c r="Q12" s="57" t="s">
        <v>1458</v>
      </c>
    </row>
    <row r="13" customFormat="false" ht="30" hidden="false" customHeight="true" outlineLevel="0" collapsed="false">
      <c r="A13" s="70" t="s">
        <v>238</v>
      </c>
      <c r="B13" s="57" t="str">
        <f aca="false">Flights!F13</f>
        <v>MH0753</v>
      </c>
      <c r="C13" s="71" t="n">
        <f aca="false">Flights!D13</f>
        <v>46306</v>
      </c>
      <c r="D13" s="70" t="str">
        <f aca="false">Flights!G13&amp;"-"&amp;Flights!H13</f>
        <v>HAN-KUL</v>
      </c>
      <c r="E13" s="70" t="str">
        <f aca="false">Flights!L13</f>
        <v>B738MAX</v>
      </c>
      <c r="F13" s="60"/>
      <c r="G13" s="60"/>
      <c r="H13" s="72"/>
      <c r="I13" s="60"/>
      <c r="J13" s="73" t="str">
        <f aca="false">IF(AND(TRIM(F13)&lt;&gt;"",TRIM(G13)&lt;&gt;"",ISNUMBER(H13),TRIM(I13)&lt;&gt;""),"ON FILE","OUTSTANDING")</f>
        <v>OUTSTANDING</v>
      </c>
      <c r="K13" s="60"/>
      <c r="L13" s="60"/>
      <c r="M13" s="72"/>
      <c r="N13" s="60"/>
      <c r="O13" s="73" t="str">
        <f aca="false">IF(AND(TRIM(K13)&lt;&gt;"",TRIM(L13)&lt;&gt;"",ISNUMBER(M13),TRIM(N13)&lt;&gt;""),"ON FILE","OUTSTANDING")</f>
        <v>OUTSTANDING</v>
      </c>
      <c r="P13" s="74" t="n">
        <f aca="false">(J13="OUTSTANDING")+(O13="OUTSTANDING")</f>
        <v>2</v>
      </c>
      <c r="Q13" s="57" t="s">
        <v>1458</v>
      </c>
    </row>
    <row r="14" customFormat="false" ht="30" hidden="false" customHeight="true" outlineLevel="0" collapsed="false">
      <c r="A14" s="70" t="s">
        <v>243</v>
      </c>
      <c r="B14" s="57" t="str">
        <f aca="false">Flights!F14</f>
        <v>MH1140</v>
      </c>
      <c r="C14" s="71" t="n">
        <f aca="false">Flights!D14</f>
        <v>46307</v>
      </c>
      <c r="D14" s="70" t="str">
        <f aca="false">Flights!G14&amp;"-"&amp;Flights!H14</f>
        <v>KUL-PEN</v>
      </c>
      <c r="E14" s="70" t="str">
        <f aca="false">Flights!L14</f>
        <v>B738MAX</v>
      </c>
      <c r="F14" s="60"/>
      <c r="G14" s="60"/>
      <c r="H14" s="72"/>
      <c r="I14" s="60"/>
      <c r="J14" s="73" t="str">
        <f aca="false">IF(AND(TRIM(F14)&lt;&gt;"",TRIM(G14)&lt;&gt;"",ISNUMBER(H14),TRIM(I14)&lt;&gt;""),"ON FILE","OUTSTANDING")</f>
        <v>OUTSTANDING</v>
      </c>
      <c r="K14" s="60"/>
      <c r="L14" s="60"/>
      <c r="M14" s="72"/>
      <c r="N14" s="60"/>
      <c r="O14" s="73" t="str">
        <f aca="false">IF(AND(TRIM(K14)&lt;&gt;"",TRIM(L14)&lt;&gt;"",ISNUMBER(M14),TRIM(N14)&lt;&gt;""),"ON FILE","OUTSTANDING")</f>
        <v>OUTSTANDING</v>
      </c>
      <c r="P14" s="74" t="n">
        <f aca="false">(J14="OUTSTANDING")+(O14="OUTSTANDING")</f>
        <v>2</v>
      </c>
      <c r="Q14" s="57" t="s">
        <v>1458</v>
      </c>
    </row>
    <row r="15" customFormat="false" ht="30" hidden="false" customHeight="true" outlineLevel="0" collapsed="false">
      <c r="A15" s="70" t="s">
        <v>250</v>
      </c>
      <c r="B15" s="57" t="str">
        <f aca="false">Flights!F15</f>
        <v>MH1149</v>
      </c>
      <c r="C15" s="71" t="n">
        <f aca="false">Flights!D15</f>
        <v>46307</v>
      </c>
      <c r="D15" s="70" t="str">
        <f aca="false">Flights!G15&amp;"-"&amp;Flights!H15</f>
        <v>PEN-KUL</v>
      </c>
      <c r="E15" s="70" t="str">
        <f aca="false">Flights!L15</f>
        <v>B738MAX</v>
      </c>
      <c r="F15" s="60"/>
      <c r="G15" s="60"/>
      <c r="H15" s="72"/>
      <c r="I15" s="60"/>
      <c r="J15" s="73" t="str">
        <f aca="false">IF(AND(TRIM(F15)&lt;&gt;"",TRIM(G15)&lt;&gt;"",ISNUMBER(H15),TRIM(I15)&lt;&gt;""),"ON FILE","OUTSTANDING")</f>
        <v>OUTSTANDING</v>
      </c>
      <c r="K15" s="60"/>
      <c r="L15" s="60"/>
      <c r="M15" s="72"/>
      <c r="N15" s="60"/>
      <c r="O15" s="73" t="str">
        <f aca="false">IF(AND(TRIM(K15)&lt;&gt;"",TRIM(L15)&lt;&gt;"",ISNUMBER(M15),TRIM(N15)&lt;&gt;""),"ON FILE","OUTSTANDING")</f>
        <v>OUTSTANDING</v>
      </c>
      <c r="P15" s="74" t="n">
        <f aca="false">(J15="OUTSTANDING")+(O15="OUTSTANDING")</f>
        <v>2</v>
      </c>
      <c r="Q15" s="57" t="s">
        <v>1459</v>
      </c>
    </row>
    <row r="16" customFormat="false" ht="30" hidden="false" customHeight="true" outlineLevel="0" collapsed="false">
      <c r="A16" s="70" t="s">
        <v>253</v>
      </c>
      <c r="B16" s="57" t="str">
        <f aca="false">Flights!F16</f>
        <v>MH0139</v>
      </c>
      <c r="C16" s="71" t="n">
        <f aca="false">Flights!D16</f>
        <v>46307</v>
      </c>
      <c r="D16" s="70" t="str">
        <f aca="false">Flights!G16&amp;"-"&amp;Flights!H16</f>
        <v>KUL-ADL</v>
      </c>
      <c r="E16" s="70" t="str">
        <f aca="false">Flights!L16</f>
        <v>A339</v>
      </c>
      <c r="F16" s="60"/>
      <c r="G16" s="60"/>
      <c r="H16" s="72"/>
      <c r="I16" s="60"/>
      <c r="J16" s="73" t="str">
        <f aca="false">IF(AND(TRIM(F16)&lt;&gt;"",TRIM(G16)&lt;&gt;"",ISNUMBER(H16),TRIM(I16)&lt;&gt;""),"ON FILE","OUTSTANDING")</f>
        <v>OUTSTANDING</v>
      </c>
      <c r="K16" s="60"/>
      <c r="L16" s="60"/>
      <c r="M16" s="72"/>
      <c r="N16" s="60"/>
      <c r="O16" s="73" t="str">
        <f aca="false">IF(AND(TRIM(K16)&lt;&gt;"",TRIM(L16)&lt;&gt;"",ISNUMBER(M16),TRIM(N16)&lt;&gt;""),"ON FILE","OUTSTANDING")</f>
        <v>OUTSTANDING</v>
      </c>
      <c r="P16" s="74" t="n">
        <f aca="false">(J16="OUTSTANDING")+(O16="OUTSTANDING")</f>
        <v>2</v>
      </c>
      <c r="Q16" s="57" t="s">
        <v>1458</v>
      </c>
    </row>
    <row r="17" customFormat="false" ht="30" hidden="false" customHeight="true" outlineLevel="0" collapsed="false">
      <c r="A17" s="70" t="s">
        <v>264</v>
      </c>
      <c r="B17" s="57" t="str">
        <f aca="false">Flights!F17</f>
        <v>MH0138</v>
      </c>
      <c r="C17" s="71" t="n">
        <f aca="false">Flights!D17</f>
        <v>46309</v>
      </c>
      <c r="D17" s="70" t="str">
        <f aca="false">Flights!G17&amp;"-"&amp;Flights!H17</f>
        <v>ADL-KUL</v>
      </c>
      <c r="E17" s="70" t="str">
        <f aca="false">Flights!L17</f>
        <v>A339</v>
      </c>
      <c r="F17" s="60"/>
      <c r="G17" s="60"/>
      <c r="H17" s="72"/>
      <c r="I17" s="60"/>
      <c r="J17" s="73" t="str">
        <f aca="false">IF(AND(TRIM(F17)&lt;&gt;"",TRIM(G17)&lt;&gt;"",ISNUMBER(H17),TRIM(I17)&lt;&gt;""),"ON FILE","OUTSTANDING")</f>
        <v>OUTSTANDING</v>
      </c>
      <c r="K17" s="60"/>
      <c r="L17" s="60"/>
      <c r="M17" s="72"/>
      <c r="N17" s="60"/>
      <c r="O17" s="73" t="str">
        <f aca="false">IF(AND(TRIM(K17)&lt;&gt;"",TRIM(L17)&lt;&gt;"",ISNUMBER(M17),TRIM(N17)&lt;&gt;""),"ON FILE","OUTSTANDING")</f>
        <v>OUTSTANDING</v>
      </c>
      <c r="P17" s="74" t="n">
        <f aca="false">(J17="OUTSTANDING")+(O17="OUTSTANDING")</f>
        <v>2</v>
      </c>
      <c r="Q17" s="57" t="s">
        <v>1458</v>
      </c>
    </row>
    <row r="18" customFormat="false" ht="30" hidden="false" customHeight="true" outlineLevel="0" collapsed="false">
      <c r="A18" s="70" t="s">
        <v>268</v>
      </c>
      <c r="B18" s="57" t="str">
        <f aca="false">Flights!F18</f>
        <v>MH0004</v>
      </c>
      <c r="C18" s="71" t="n">
        <f aca="false">Flights!D18</f>
        <v>46310</v>
      </c>
      <c r="D18" s="70" t="str">
        <f aca="false">Flights!G18&amp;"-"&amp;Flights!H18</f>
        <v>KUL-LHR</v>
      </c>
      <c r="E18" s="70" t="str">
        <f aca="false">Flights!L18</f>
        <v>A350</v>
      </c>
      <c r="F18" s="60"/>
      <c r="G18" s="60"/>
      <c r="H18" s="72"/>
      <c r="I18" s="60"/>
      <c r="J18" s="73" t="str">
        <f aca="false">IF(AND(TRIM(F18)&lt;&gt;"",TRIM(G18)&lt;&gt;"",ISNUMBER(H18),TRIM(I18)&lt;&gt;""),"ON FILE","OUTSTANDING")</f>
        <v>OUTSTANDING</v>
      </c>
      <c r="K18" s="60"/>
      <c r="L18" s="60"/>
      <c r="M18" s="72"/>
      <c r="N18" s="60"/>
      <c r="O18" s="73" t="str">
        <f aca="false">IF(AND(TRIM(K18)&lt;&gt;"",TRIM(L18)&lt;&gt;"",ISNUMBER(M18),TRIM(N18)&lt;&gt;""),"ON FILE","OUTSTANDING")</f>
        <v>OUTSTANDING</v>
      </c>
      <c r="P18" s="74" t="n">
        <f aca="false">(J18="OUTSTANDING")+(O18="OUTSTANDING")</f>
        <v>2</v>
      </c>
      <c r="Q18" s="57" t="s">
        <v>1458</v>
      </c>
    </row>
    <row r="19" customFormat="false" ht="30" hidden="false" customHeight="true" outlineLevel="0" collapsed="false">
      <c r="A19" s="70" t="s">
        <v>270</v>
      </c>
      <c r="B19" s="57" t="str">
        <f aca="false">Flights!F19</f>
        <v>MH0003</v>
      </c>
      <c r="C19" s="71" t="n">
        <f aca="false">Flights!D19</f>
        <v>46320</v>
      </c>
      <c r="D19" s="70" t="str">
        <f aca="false">Flights!G19&amp;"-"&amp;Flights!H19</f>
        <v>LHR-KUL</v>
      </c>
      <c r="E19" s="70" t="str">
        <f aca="false">Flights!L19</f>
        <v>A350</v>
      </c>
      <c r="F19" s="60"/>
      <c r="G19" s="60"/>
      <c r="H19" s="72"/>
      <c r="I19" s="60"/>
      <c r="J19" s="73" t="str">
        <f aca="false">IF(AND(TRIM(F19)&lt;&gt;"",TRIM(G19)&lt;&gt;"",ISNUMBER(H19),TRIM(I19)&lt;&gt;""),"ON FILE","OUTSTANDING")</f>
        <v>OUTSTANDING</v>
      </c>
      <c r="K19" s="60"/>
      <c r="L19" s="60"/>
      <c r="M19" s="72"/>
      <c r="N19" s="60"/>
      <c r="O19" s="73" t="str">
        <f aca="false">IF(AND(TRIM(K19)&lt;&gt;"",TRIM(L19)&lt;&gt;"",ISNUMBER(M19),TRIM(N19)&lt;&gt;""),"ON FILE","OUTSTANDING")</f>
        <v>OUTSTANDING</v>
      </c>
      <c r="P19" s="74" t="n">
        <f aca="false">(J19="OUTSTANDING")+(O19="OUTSTANDING")</f>
        <v>2</v>
      </c>
      <c r="Q19" s="57" t="s">
        <v>1458</v>
      </c>
    </row>
    <row r="20" customFormat="false" ht="30" hidden="false" customHeight="true" outlineLevel="0" collapsed="false">
      <c r="A20" s="70" t="s">
        <v>272</v>
      </c>
      <c r="B20" s="57" t="str">
        <f aca="false">Flights!F20</f>
        <v>MH0072</v>
      </c>
      <c r="C20" s="71" t="n">
        <f aca="false">Flights!D20</f>
        <v>46321</v>
      </c>
      <c r="D20" s="70" t="str">
        <f aca="false">Flights!G20&amp;"-"&amp;Flights!H20</f>
        <v>KUL-HKG</v>
      </c>
      <c r="E20" s="70" t="str">
        <f aca="false">Flights!L20</f>
        <v>B738MAX</v>
      </c>
      <c r="F20" s="60"/>
      <c r="G20" s="60"/>
      <c r="H20" s="72"/>
      <c r="I20" s="60"/>
      <c r="J20" s="73" t="str">
        <f aca="false">IF(AND(TRIM(F20)&lt;&gt;"",TRIM(G20)&lt;&gt;"",ISNUMBER(H20),TRIM(I20)&lt;&gt;""),"ON FILE","OUTSTANDING")</f>
        <v>OUTSTANDING</v>
      </c>
      <c r="K20" s="60"/>
      <c r="L20" s="60"/>
      <c r="M20" s="72"/>
      <c r="N20" s="60"/>
      <c r="O20" s="73" t="str">
        <f aca="false">IF(AND(TRIM(K20)&lt;&gt;"",TRIM(L20)&lt;&gt;"",ISNUMBER(M20),TRIM(N20)&lt;&gt;""),"ON FILE","OUTSTANDING")</f>
        <v>OUTSTANDING</v>
      </c>
      <c r="P20" s="74" t="n">
        <f aca="false">(J20="OUTSTANDING")+(O20="OUTSTANDING")</f>
        <v>2</v>
      </c>
      <c r="Q20" s="57" t="s">
        <v>1458</v>
      </c>
    </row>
    <row r="21" customFormat="false" ht="30" hidden="false" customHeight="true" outlineLevel="0" collapsed="false">
      <c r="A21" s="70" t="s">
        <v>282</v>
      </c>
      <c r="B21" s="57" t="str">
        <f aca="false">Flights!F21</f>
        <v>MH0073</v>
      </c>
      <c r="C21" s="71" t="n">
        <f aca="false">Flights!D21</f>
        <v>46322</v>
      </c>
      <c r="D21" s="70" t="str">
        <f aca="false">Flights!G21&amp;"-"&amp;Flights!H21</f>
        <v>HKG-KUL</v>
      </c>
      <c r="E21" s="70" t="str">
        <f aca="false">Flights!L21</f>
        <v>B738MAX</v>
      </c>
      <c r="F21" s="60"/>
      <c r="G21" s="60"/>
      <c r="H21" s="72"/>
      <c r="I21" s="60"/>
      <c r="J21" s="73" t="str">
        <f aca="false">IF(AND(TRIM(F21)&lt;&gt;"",TRIM(G21)&lt;&gt;"",ISNUMBER(H21),TRIM(I21)&lt;&gt;""),"ON FILE","OUTSTANDING")</f>
        <v>OUTSTANDING</v>
      </c>
      <c r="K21" s="60"/>
      <c r="L21" s="60"/>
      <c r="M21" s="72"/>
      <c r="N21" s="60"/>
      <c r="O21" s="73" t="str">
        <f aca="false">IF(AND(TRIM(K21)&lt;&gt;"",TRIM(L21)&lt;&gt;"",ISNUMBER(M21),TRIM(N21)&lt;&gt;""),"ON FILE","OUTSTANDING")</f>
        <v>OUTSTANDING</v>
      </c>
      <c r="P21" s="74" t="n">
        <f aca="false">(J21="OUTSTANDING")+(O21="OUTSTANDING")</f>
        <v>2</v>
      </c>
      <c r="Q21" s="57" t="s">
        <v>1458</v>
      </c>
    </row>
    <row r="22" customFormat="false" ht="30" hidden="false" customHeight="true" outlineLevel="0" collapsed="false">
      <c r="A22" s="70" t="s">
        <v>285</v>
      </c>
      <c r="B22" s="57" t="str">
        <f aca="false">Flights!F22</f>
        <v>MH0052</v>
      </c>
      <c r="C22" s="71" t="n">
        <f aca="false">Flights!D22</f>
        <v>46322</v>
      </c>
      <c r="D22" s="70" t="str">
        <f aca="false">Flights!G22&amp;"-"&amp;Flights!H22</f>
        <v>KUL-KIX</v>
      </c>
      <c r="E22" s="70" t="str">
        <f aca="false">Flights!L22</f>
        <v>A333</v>
      </c>
      <c r="F22" s="60"/>
      <c r="G22" s="60"/>
      <c r="H22" s="72"/>
      <c r="I22" s="60"/>
      <c r="J22" s="73" t="str">
        <f aca="false">IF(AND(TRIM(F22)&lt;&gt;"",TRIM(G22)&lt;&gt;"",ISNUMBER(H22),TRIM(I22)&lt;&gt;""),"ON FILE","OUTSTANDING")</f>
        <v>OUTSTANDING</v>
      </c>
      <c r="K22" s="60"/>
      <c r="L22" s="60"/>
      <c r="M22" s="72"/>
      <c r="N22" s="60"/>
      <c r="O22" s="73" t="str">
        <f aca="false">IF(AND(TRIM(K22)&lt;&gt;"",TRIM(L22)&lt;&gt;"",ISNUMBER(M22),TRIM(N22)&lt;&gt;""),"ON FILE","OUTSTANDING")</f>
        <v>OUTSTANDING</v>
      </c>
      <c r="P22" s="74" t="n">
        <f aca="false">(J22="OUTSTANDING")+(O22="OUTSTANDING")</f>
        <v>2</v>
      </c>
      <c r="Q22" s="57" t="s">
        <v>1458</v>
      </c>
    </row>
    <row r="23" customFormat="false" ht="30" hidden="false" customHeight="true" outlineLevel="0" collapsed="false">
      <c r="A23" s="70" t="s">
        <v>293</v>
      </c>
      <c r="B23" s="57" t="str">
        <f aca="false">Flights!F23</f>
        <v>MH0053</v>
      </c>
      <c r="C23" s="71" t="n">
        <f aca="false">Flights!D23</f>
        <v>46324</v>
      </c>
      <c r="D23" s="70" t="str">
        <f aca="false">Flights!G23&amp;"-"&amp;Flights!H23</f>
        <v>KIX-KUL</v>
      </c>
      <c r="E23" s="70" t="str">
        <f aca="false">Flights!L23</f>
        <v>A333</v>
      </c>
      <c r="F23" s="60"/>
      <c r="G23" s="60"/>
      <c r="H23" s="72"/>
      <c r="I23" s="60"/>
      <c r="J23" s="73" t="str">
        <f aca="false">IF(AND(TRIM(F23)&lt;&gt;"",TRIM(G23)&lt;&gt;"",ISNUMBER(H23),TRIM(I23)&lt;&gt;""),"ON FILE","OUTSTANDING")</f>
        <v>OUTSTANDING</v>
      </c>
      <c r="K23" s="60"/>
      <c r="L23" s="60"/>
      <c r="M23" s="72"/>
      <c r="N23" s="60"/>
      <c r="O23" s="73" t="str">
        <f aca="false">IF(AND(TRIM(K23)&lt;&gt;"",TRIM(L23)&lt;&gt;"",ISNUMBER(M23),TRIM(N23)&lt;&gt;""),"ON FILE","OUTSTANDING")</f>
        <v>OUTSTANDING</v>
      </c>
      <c r="P23" s="74" t="n">
        <f aca="false">(J23="OUTSTANDING")+(O23="OUTSTANDING")</f>
        <v>2</v>
      </c>
      <c r="Q23" s="57" t="s">
        <v>1458</v>
      </c>
    </row>
    <row r="24" customFormat="false" ht="30" hidden="false" customHeight="true" outlineLevel="0" collapsed="false">
      <c r="A24" s="70" t="s">
        <v>296</v>
      </c>
      <c r="B24" s="57" t="str">
        <f aca="false">Flights!F24</f>
        <v>MH1450</v>
      </c>
      <c r="C24" s="71" t="n">
        <f aca="false">Flights!D24</f>
        <v>46324</v>
      </c>
      <c r="D24" s="70" t="str">
        <f aca="false">Flights!G24&amp;"-"&amp;Flights!H24</f>
        <v>KUL-LGK</v>
      </c>
      <c r="E24" s="70" t="str">
        <f aca="false">Flights!L24</f>
        <v>B738MAX</v>
      </c>
      <c r="F24" s="60"/>
      <c r="G24" s="60"/>
      <c r="H24" s="72"/>
      <c r="I24" s="60"/>
      <c r="J24" s="73" t="str">
        <f aca="false">IF(AND(TRIM(F24)&lt;&gt;"",TRIM(G24)&lt;&gt;"",ISNUMBER(H24),TRIM(I24)&lt;&gt;""),"ON FILE","OUTSTANDING")</f>
        <v>OUTSTANDING</v>
      </c>
      <c r="K24" s="60"/>
      <c r="L24" s="60"/>
      <c r="M24" s="72"/>
      <c r="N24" s="60"/>
      <c r="O24" s="73" t="str">
        <f aca="false">IF(AND(TRIM(K24)&lt;&gt;"",TRIM(L24)&lt;&gt;"",ISNUMBER(M24),TRIM(N24)&lt;&gt;""),"ON FILE","OUTSTANDING")</f>
        <v>OUTSTANDING</v>
      </c>
      <c r="P24" s="74" t="n">
        <f aca="false">(J24="OUTSTANDING")+(O24="OUTSTANDING")</f>
        <v>2</v>
      </c>
      <c r="Q24" s="57" t="s">
        <v>1458</v>
      </c>
    </row>
    <row r="25" customFormat="false" ht="30" hidden="false" customHeight="true" outlineLevel="0" collapsed="false">
      <c r="A25" s="70" t="s">
        <v>302</v>
      </c>
      <c r="B25" s="57" t="str">
        <f aca="false">Flights!F25</f>
        <v>MH1437</v>
      </c>
      <c r="C25" s="71" t="n">
        <f aca="false">Flights!D25</f>
        <v>46325</v>
      </c>
      <c r="D25" s="70" t="str">
        <f aca="false">Flights!G25&amp;"-"&amp;Flights!H25</f>
        <v>LGK-KUL</v>
      </c>
      <c r="E25" s="70" t="str">
        <f aca="false">Flights!L25</f>
        <v>B738MAX</v>
      </c>
      <c r="F25" s="60"/>
      <c r="G25" s="60"/>
      <c r="H25" s="72"/>
      <c r="I25" s="60"/>
      <c r="J25" s="73" t="str">
        <f aca="false">IF(AND(TRIM(F25)&lt;&gt;"",TRIM(G25)&lt;&gt;"",ISNUMBER(H25),TRIM(I25)&lt;&gt;""),"ON FILE","OUTSTANDING")</f>
        <v>OUTSTANDING</v>
      </c>
      <c r="K25" s="60"/>
      <c r="L25" s="60"/>
      <c r="M25" s="72"/>
      <c r="N25" s="60"/>
      <c r="O25" s="73" t="str">
        <f aca="false">IF(AND(TRIM(K25)&lt;&gt;"",TRIM(L25)&lt;&gt;"",ISNUMBER(M25),TRIM(N25)&lt;&gt;""),"ON FILE","OUTSTANDING")</f>
        <v>OUTSTANDING</v>
      </c>
      <c r="P25" s="74" t="n">
        <f aca="false">(J25="OUTSTANDING")+(O25="OUTSTANDING")</f>
        <v>2</v>
      </c>
      <c r="Q25" s="57" t="s">
        <v>1459</v>
      </c>
    </row>
    <row r="26" customFormat="false" ht="30" hidden="false" customHeight="true" outlineLevel="0" collapsed="false">
      <c r="A26" s="70" t="s">
        <v>304</v>
      </c>
      <c r="B26" s="57" t="str">
        <f aca="false">Flights!F26</f>
        <v>MH0002</v>
      </c>
      <c r="C26" s="71" t="n">
        <f aca="false">Flights!D26</f>
        <v>46325</v>
      </c>
      <c r="D26" s="70" t="str">
        <f aca="false">Flights!G26&amp;"-"&amp;Flights!H26</f>
        <v>KUL-LHR</v>
      </c>
      <c r="E26" s="70" t="str">
        <f aca="false">Flights!L26</f>
        <v>A350</v>
      </c>
      <c r="F26" s="60"/>
      <c r="G26" s="60"/>
      <c r="H26" s="72"/>
      <c r="I26" s="60"/>
      <c r="J26" s="73" t="str">
        <f aca="false">IF(AND(TRIM(F26)&lt;&gt;"",TRIM(G26)&lt;&gt;"",ISNUMBER(H26),TRIM(I26)&lt;&gt;""),"ON FILE","OUTSTANDING")</f>
        <v>OUTSTANDING</v>
      </c>
      <c r="K26" s="60"/>
      <c r="L26" s="60"/>
      <c r="M26" s="72"/>
      <c r="N26" s="60"/>
      <c r="O26" s="73" t="str">
        <f aca="false">IF(AND(TRIM(K26)&lt;&gt;"",TRIM(L26)&lt;&gt;"",ISNUMBER(M26),TRIM(N26)&lt;&gt;""),"ON FILE","OUTSTANDING")</f>
        <v>OUTSTANDING</v>
      </c>
      <c r="P26" s="74" t="n">
        <f aca="false">(J26="OUTSTANDING")+(O26="OUTSTANDING")</f>
        <v>2</v>
      </c>
      <c r="Q26" s="57" t="s">
        <v>1458</v>
      </c>
    </row>
  </sheetData>
  <sheetProtection sheet="true" formatCells="false" formatColumns="false" formatRows="false" sort="false" autoFilter="false"/>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5–2026)." errorStyle="stop" operator="between" showDropDown="false" showErrorMessage="true" showInputMessage="false" sqref="H5:H26 M5:M26" type="date">
      <formula1>45658</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1460</v>
      </c>
    </row>
    <row r="2" customFormat="false" ht="28.5" hidden="false" customHeight="true" outlineLevel="0" collapsed="false">
      <c r="A2" s="55" t="s">
        <v>1461</v>
      </c>
      <c r="B2" s="55"/>
      <c r="C2" s="55"/>
      <c r="D2" s="55"/>
      <c r="E2" s="55"/>
      <c r="F2" s="55"/>
      <c r="G2" s="55"/>
      <c r="H2" s="55"/>
      <c r="I2" s="55"/>
    </row>
    <row r="4" customFormat="false" ht="31.5" hidden="false" customHeight="true" outlineLevel="0" collapsed="false">
      <c r="A4" s="56" t="s">
        <v>116</v>
      </c>
      <c r="B4" s="56" t="s">
        <v>1462</v>
      </c>
      <c r="C4" s="56" t="s">
        <v>1463</v>
      </c>
      <c r="D4" s="56" t="s">
        <v>1464</v>
      </c>
      <c r="E4" s="56" t="s">
        <v>1465</v>
      </c>
      <c r="F4" s="56" t="s">
        <v>1466</v>
      </c>
      <c r="G4" s="56" t="s">
        <v>1467</v>
      </c>
      <c r="H4" s="56" t="s">
        <v>1468</v>
      </c>
      <c r="I4" s="56" t="s">
        <v>1469</v>
      </c>
    </row>
    <row r="5" customFormat="false" ht="24" hidden="false" customHeight="true" outlineLevel="0" collapsed="false">
      <c r="A5" s="57" t="n">
        <v>1</v>
      </c>
      <c r="B5" s="60"/>
      <c r="C5" s="60"/>
      <c r="D5" s="72"/>
      <c r="E5" s="60"/>
      <c r="F5" s="60"/>
      <c r="G5" s="72"/>
      <c r="H5" s="60"/>
      <c r="I5" s="60"/>
    </row>
    <row r="6" customFormat="false" ht="24" hidden="false" customHeight="true" outlineLevel="0" collapsed="false">
      <c r="A6" s="57" t="n">
        <v>2</v>
      </c>
      <c r="B6" s="60"/>
      <c r="C6" s="60"/>
      <c r="D6" s="72"/>
      <c r="E6" s="60"/>
      <c r="F6" s="60"/>
      <c r="G6" s="72"/>
      <c r="H6" s="60"/>
      <c r="I6" s="60"/>
    </row>
    <row r="7" customFormat="false" ht="24" hidden="false" customHeight="true" outlineLevel="0" collapsed="false">
      <c r="A7" s="57" t="n">
        <v>3</v>
      </c>
      <c r="B7" s="60"/>
      <c r="C7" s="60"/>
      <c r="D7" s="72"/>
      <c r="E7" s="60"/>
      <c r="F7" s="60"/>
      <c r="G7" s="72"/>
      <c r="H7" s="60"/>
      <c r="I7" s="60"/>
    </row>
    <row r="8" customFormat="false" ht="24" hidden="false" customHeight="true" outlineLevel="0" collapsed="false">
      <c r="A8" s="57" t="n">
        <v>4</v>
      </c>
      <c r="B8" s="60"/>
      <c r="C8" s="60"/>
      <c r="D8" s="72"/>
      <c r="E8" s="60"/>
      <c r="F8" s="60"/>
      <c r="G8" s="72"/>
      <c r="H8" s="60"/>
      <c r="I8" s="60"/>
    </row>
    <row r="9" customFormat="false" ht="24" hidden="false" customHeight="true" outlineLevel="0" collapsed="false">
      <c r="A9" s="57" t="n">
        <v>5</v>
      </c>
      <c r="B9" s="60"/>
      <c r="C9" s="60"/>
      <c r="D9" s="72"/>
      <c r="E9" s="60"/>
      <c r="F9" s="60"/>
      <c r="G9" s="72"/>
      <c r="H9" s="60"/>
      <c r="I9" s="60"/>
    </row>
    <row r="10" customFormat="false" ht="24" hidden="false" customHeight="true" outlineLevel="0" collapsed="false">
      <c r="A10" s="57" t="n">
        <v>6</v>
      </c>
      <c r="B10" s="60"/>
      <c r="C10" s="60"/>
      <c r="D10" s="72"/>
      <c r="E10" s="60"/>
      <c r="F10" s="60"/>
      <c r="G10" s="72"/>
      <c r="H10" s="60"/>
      <c r="I10" s="60"/>
    </row>
    <row r="11" customFormat="false" ht="24" hidden="false" customHeight="true" outlineLevel="0" collapsed="false">
      <c r="A11" s="57" t="n">
        <v>7</v>
      </c>
      <c r="B11" s="60"/>
      <c r="C11" s="60"/>
      <c r="D11" s="72"/>
      <c r="E11" s="60"/>
      <c r="F11" s="60"/>
      <c r="G11" s="72"/>
      <c r="H11" s="60"/>
      <c r="I11" s="60"/>
    </row>
    <row r="12" customFormat="false" ht="24" hidden="false" customHeight="true" outlineLevel="0" collapsed="false">
      <c r="A12" s="57" t="n">
        <v>8</v>
      </c>
      <c r="B12" s="60"/>
      <c r="C12" s="60"/>
      <c r="D12" s="72"/>
      <c r="E12" s="60"/>
      <c r="F12" s="60"/>
      <c r="G12" s="72"/>
      <c r="H12" s="60"/>
      <c r="I12" s="60"/>
    </row>
    <row r="13" customFormat="false" ht="24" hidden="false" customHeight="true" outlineLevel="0" collapsed="false">
      <c r="A13" s="57" t="n">
        <v>9</v>
      </c>
      <c r="B13" s="60"/>
      <c r="C13" s="60"/>
      <c r="D13" s="72"/>
      <c r="E13" s="60"/>
      <c r="F13" s="60"/>
      <c r="G13" s="72"/>
      <c r="H13" s="60"/>
      <c r="I13" s="60"/>
    </row>
    <row r="14" customFormat="false" ht="24" hidden="false" customHeight="true" outlineLevel="0" collapsed="false">
      <c r="A14" s="57" t="n">
        <v>10</v>
      </c>
      <c r="B14" s="60"/>
      <c r="C14" s="60"/>
      <c r="D14" s="72"/>
      <c r="E14" s="60"/>
      <c r="F14" s="60"/>
      <c r="G14" s="72"/>
      <c r="H14" s="60"/>
      <c r="I14" s="60"/>
    </row>
    <row r="15" customFormat="false" ht="24" hidden="false" customHeight="true" outlineLevel="0" collapsed="false">
      <c r="A15" s="57" t="n">
        <v>11</v>
      </c>
      <c r="B15" s="60"/>
      <c r="C15" s="60"/>
      <c r="D15" s="72"/>
      <c r="E15" s="60"/>
      <c r="F15" s="60"/>
      <c r="G15" s="72"/>
      <c r="H15" s="60"/>
      <c r="I15" s="60"/>
    </row>
    <row r="16" customFormat="false" ht="24" hidden="false" customHeight="true" outlineLevel="0" collapsed="false">
      <c r="A16" s="57" t="n">
        <v>12</v>
      </c>
      <c r="B16" s="60"/>
      <c r="C16" s="60"/>
      <c r="D16" s="72"/>
      <c r="E16" s="60"/>
      <c r="F16" s="60"/>
      <c r="G16" s="72"/>
      <c r="H16" s="60"/>
      <c r="I16" s="60"/>
    </row>
    <row r="17" customFormat="false" ht="24" hidden="false" customHeight="true" outlineLevel="0" collapsed="false">
      <c r="A17" s="57" t="n">
        <v>13</v>
      </c>
      <c r="B17" s="60"/>
      <c r="C17" s="60"/>
      <c r="D17" s="72"/>
      <c r="E17" s="60"/>
      <c r="F17" s="60"/>
      <c r="G17" s="72"/>
      <c r="H17" s="60"/>
      <c r="I17" s="60"/>
    </row>
    <row r="18" customFormat="false" ht="24" hidden="false" customHeight="true" outlineLevel="0" collapsed="false">
      <c r="A18" s="57" t="n">
        <v>14</v>
      </c>
      <c r="B18" s="60"/>
      <c r="C18" s="60"/>
      <c r="D18" s="72"/>
      <c r="E18" s="60"/>
      <c r="F18" s="60"/>
      <c r="G18" s="72"/>
      <c r="H18" s="60"/>
      <c r="I18" s="60"/>
    </row>
    <row r="19" customFormat="false" ht="24" hidden="false" customHeight="true" outlineLevel="0" collapsed="false">
      <c r="A19" s="57" t="n">
        <v>15</v>
      </c>
      <c r="B19" s="60"/>
      <c r="C19" s="60"/>
      <c r="D19" s="72"/>
      <c r="E19" s="60"/>
      <c r="F19" s="60"/>
      <c r="G19" s="72"/>
      <c r="H19" s="60"/>
      <c r="I19" s="60"/>
    </row>
    <row r="20" customFormat="false" ht="24" hidden="false" customHeight="true" outlineLevel="0" collapsed="false">
      <c r="A20" s="57" t="n">
        <v>16</v>
      </c>
      <c r="B20" s="60"/>
      <c r="C20" s="60"/>
      <c r="D20" s="72"/>
      <c r="E20" s="60"/>
      <c r="F20" s="60"/>
      <c r="G20" s="72"/>
      <c r="H20" s="60"/>
      <c r="I20" s="60"/>
    </row>
    <row r="21" customFormat="false" ht="24" hidden="false" customHeight="true" outlineLevel="0" collapsed="false">
      <c r="A21" s="57" t="n">
        <v>17</v>
      </c>
      <c r="B21" s="60"/>
      <c r="C21" s="60"/>
      <c r="D21" s="72"/>
      <c r="E21" s="60"/>
      <c r="F21" s="60"/>
      <c r="G21" s="72"/>
      <c r="H21" s="60"/>
      <c r="I21" s="60"/>
    </row>
    <row r="22" customFormat="false" ht="24" hidden="false" customHeight="true" outlineLevel="0" collapsed="false">
      <c r="A22" s="57" t="n">
        <v>18</v>
      </c>
      <c r="B22" s="60"/>
      <c r="C22" s="60"/>
      <c r="D22" s="72"/>
      <c r="E22" s="60"/>
      <c r="F22" s="60"/>
      <c r="G22" s="72"/>
      <c r="H22" s="60"/>
      <c r="I22" s="60"/>
    </row>
    <row r="23" customFormat="false" ht="24" hidden="false" customHeight="true" outlineLevel="0" collapsed="false">
      <c r="A23" s="57" t="n">
        <v>19</v>
      </c>
      <c r="B23" s="60"/>
      <c r="C23" s="60"/>
      <c r="D23" s="72"/>
      <c r="E23" s="60"/>
      <c r="F23" s="60"/>
      <c r="G23" s="72"/>
      <c r="H23" s="60"/>
      <c r="I23" s="60"/>
    </row>
    <row r="24" customFormat="false" ht="24" hidden="false" customHeight="true" outlineLevel="0" collapsed="false">
      <c r="A24" s="57" t="n">
        <v>20</v>
      </c>
      <c r="B24" s="60"/>
      <c r="C24" s="60"/>
      <c r="D24" s="72"/>
      <c r="E24" s="60"/>
      <c r="F24" s="60"/>
      <c r="G24" s="72"/>
      <c r="H24" s="60"/>
      <c r="I24" s="60"/>
    </row>
    <row r="25" customFormat="false" ht="24" hidden="false" customHeight="true" outlineLevel="0" collapsed="false">
      <c r="A25" s="57" t="n">
        <v>21</v>
      </c>
      <c r="B25" s="60"/>
      <c r="C25" s="60"/>
      <c r="D25" s="72"/>
      <c r="E25" s="60"/>
      <c r="F25" s="60"/>
      <c r="G25" s="72"/>
      <c r="H25" s="60"/>
      <c r="I25" s="60"/>
    </row>
    <row r="26" customFormat="false" ht="24" hidden="false" customHeight="true" outlineLevel="0" collapsed="false">
      <c r="A26" s="57" t="n">
        <v>22</v>
      </c>
      <c r="B26" s="60"/>
      <c r="C26" s="60"/>
      <c r="D26" s="72"/>
      <c r="E26" s="60"/>
      <c r="F26" s="60"/>
      <c r="G26" s="72"/>
      <c r="H26" s="60"/>
      <c r="I26" s="60"/>
    </row>
    <row r="27" customFormat="false" ht="24" hidden="false" customHeight="true" outlineLevel="0" collapsed="false">
      <c r="A27" s="57" t="n">
        <v>23</v>
      </c>
      <c r="B27" s="60"/>
      <c r="C27" s="60"/>
      <c r="D27" s="72"/>
      <c r="E27" s="60"/>
      <c r="F27" s="60"/>
      <c r="G27" s="72"/>
      <c r="H27" s="60"/>
      <c r="I27" s="60"/>
    </row>
    <row r="28" customFormat="false" ht="24" hidden="false" customHeight="true" outlineLevel="0" collapsed="false">
      <c r="A28" s="57" t="n">
        <v>24</v>
      </c>
      <c r="B28" s="60"/>
      <c r="C28" s="60"/>
      <c r="D28" s="72"/>
      <c r="E28" s="60"/>
      <c r="F28" s="60"/>
      <c r="G28" s="72"/>
      <c r="H28" s="60"/>
      <c r="I28" s="60"/>
    </row>
    <row r="29" customFormat="false" ht="24" hidden="false" customHeight="true" outlineLevel="0" collapsed="false">
      <c r="A29" s="57" t="n">
        <v>25</v>
      </c>
      <c r="B29" s="60"/>
      <c r="C29" s="60"/>
      <c r="D29" s="72"/>
      <c r="E29" s="60"/>
      <c r="F29" s="60"/>
      <c r="G29" s="72"/>
      <c r="H29" s="60"/>
      <c r="I29" s="60"/>
    </row>
    <row r="30" customFormat="false" ht="24" hidden="false" customHeight="true" outlineLevel="0" collapsed="false">
      <c r="A30" s="57" t="n">
        <v>26</v>
      </c>
      <c r="B30" s="60"/>
      <c r="C30" s="60"/>
      <c r="D30" s="72"/>
      <c r="E30" s="60"/>
      <c r="F30" s="60"/>
      <c r="G30" s="72"/>
      <c r="H30" s="60"/>
      <c r="I30" s="60"/>
    </row>
    <row r="31" customFormat="false" ht="24" hidden="false" customHeight="true" outlineLevel="0" collapsed="false">
      <c r="A31" s="57" t="n">
        <v>27</v>
      </c>
      <c r="B31" s="60"/>
      <c r="C31" s="60"/>
      <c r="D31" s="72"/>
      <c r="E31" s="60"/>
      <c r="F31" s="60"/>
      <c r="G31" s="72"/>
      <c r="H31" s="60"/>
      <c r="I31" s="60"/>
    </row>
    <row r="32" customFormat="false" ht="24" hidden="false" customHeight="true" outlineLevel="0" collapsed="false">
      <c r="A32" s="57" t="n">
        <v>28</v>
      </c>
      <c r="B32" s="60"/>
      <c r="C32" s="60"/>
      <c r="D32" s="72"/>
      <c r="E32" s="60"/>
      <c r="F32" s="60"/>
      <c r="G32" s="72"/>
      <c r="H32" s="60"/>
      <c r="I32" s="60"/>
    </row>
    <row r="33" customFormat="false" ht="24" hidden="false" customHeight="true" outlineLevel="0" collapsed="false">
      <c r="A33" s="57" t="n">
        <v>29</v>
      </c>
      <c r="B33" s="60"/>
      <c r="C33" s="60"/>
      <c r="D33" s="72"/>
      <c r="E33" s="60"/>
      <c r="F33" s="60"/>
      <c r="G33" s="72"/>
      <c r="H33" s="60"/>
      <c r="I33" s="60"/>
    </row>
    <row r="34" customFormat="false" ht="24" hidden="false" customHeight="true" outlineLevel="0" collapsed="false">
      <c r="A34" s="57" t="n">
        <v>30</v>
      </c>
      <c r="B34" s="60"/>
      <c r="C34" s="60"/>
      <c r="D34" s="72"/>
      <c r="E34" s="60"/>
      <c r="F34" s="60"/>
      <c r="G34" s="72"/>
      <c r="H34" s="60"/>
      <c r="I34" s="60"/>
    </row>
    <row r="35" customFormat="false" ht="24" hidden="false" customHeight="true" outlineLevel="0" collapsed="false">
      <c r="A35" s="57" t="n">
        <v>31</v>
      </c>
      <c r="B35" s="60"/>
      <c r="C35" s="60"/>
      <c r="D35" s="72"/>
      <c r="E35" s="60"/>
      <c r="F35" s="60"/>
      <c r="G35" s="72"/>
      <c r="H35" s="60"/>
      <c r="I35" s="60"/>
    </row>
    <row r="36" customFormat="false" ht="24" hidden="false" customHeight="true" outlineLevel="0" collapsed="false">
      <c r="A36" s="57" t="n">
        <v>32</v>
      </c>
      <c r="B36" s="60"/>
      <c r="C36" s="60"/>
      <c r="D36" s="72"/>
      <c r="E36" s="60"/>
      <c r="F36" s="60"/>
      <c r="G36" s="72"/>
      <c r="H36" s="60"/>
      <c r="I36" s="60"/>
    </row>
    <row r="37" customFormat="false" ht="24" hidden="false" customHeight="true" outlineLevel="0" collapsed="false">
      <c r="A37" s="57" t="n">
        <v>33</v>
      </c>
      <c r="B37" s="60"/>
      <c r="C37" s="60"/>
      <c r="D37" s="72"/>
      <c r="E37" s="60"/>
      <c r="F37" s="60"/>
      <c r="G37" s="72"/>
      <c r="H37" s="60"/>
      <c r="I37" s="60"/>
    </row>
    <row r="38" customFormat="false" ht="24" hidden="false" customHeight="true" outlineLevel="0" collapsed="false">
      <c r="A38" s="57" t="n">
        <v>34</v>
      </c>
      <c r="B38" s="60"/>
      <c r="C38" s="60"/>
      <c r="D38" s="72"/>
      <c r="E38" s="60"/>
      <c r="F38" s="60"/>
      <c r="G38" s="72"/>
      <c r="H38" s="60"/>
      <c r="I38" s="60"/>
    </row>
    <row r="39" customFormat="false" ht="24" hidden="false" customHeight="true" outlineLevel="0" collapsed="false">
      <c r="A39" s="57" t="n">
        <v>35</v>
      </c>
      <c r="B39" s="60"/>
      <c r="C39" s="60"/>
      <c r="D39" s="72"/>
      <c r="E39" s="60"/>
      <c r="F39" s="60"/>
      <c r="G39" s="72"/>
      <c r="H39" s="60"/>
      <c r="I39" s="60"/>
    </row>
    <row r="40" customFormat="false" ht="24" hidden="false" customHeight="true" outlineLevel="0" collapsed="false">
      <c r="A40" s="57" t="n">
        <v>36</v>
      </c>
      <c r="B40" s="60"/>
      <c r="C40" s="60"/>
      <c r="D40" s="72"/>
      <c r="E40" s="60"/>
      <c r="F40" s="60"/>
      <c r="G40" s="72"/>
      <c r="H40" s="60"/>
      <c r="I40" s="60"/>
    </row>
    <row r="41" customFormat="false" ht="24" hidden="false" customHeight="true" outlineLevel="0" collapsed="false">
      <c r="A41" s="57" t="n">
        <v>37</v>
      </c>
      <c r="B41" s="60"/>
      <c r="C41" s="60"/>
      <c r="D41" s="72"/>
      <c r="E41" s="60"/>
      <c r="F41" s="60"/>
      <c r="G41" s="72"/>
      <c r="H41" s="60"/>
      <c r="I41" s="60"/>
    </row>
    <row r="42" customFormat="false" ht="24" hidden="false" customHeight="true" outlineLevel="0" collapsed="false">
      <c r="A42" s="57" t="n">
        <v>38</v>
      </c>
      <c r="B42" s="60"/>
      <c r="C42" s="60"/>
      <c r="D42" s="72"/>
      <c r="E42" s="60"/>
      <c r="F42" s="60"/>
      <c r="G42" s="72"/>
      <c r="H42" s="60"/>
      <c r="I42" s="60"/>
    </row>
    <row r="43" customFormat="false" ht="24" hidden="false" customHeight="true" outlineLevel="0" collapsed="false">
      <c r="A43" s="57" t="n">
        <v>39</v>
      </c>
      <c r="B43" s="60"/>
      <c r="C43" s="60"/>
      <c r="D43" s="72"/>
      <c r="E43" s="60"/>
      <c r="F43" s="60"/>
      <c r="G43" s="72"/>
      <c r="H43" s="60"/>
      <c r="I43" s="60"/>
    </row>
    <row r="44" customFormat="false" ht="24" hidden="false" customHeight="true" outlineLevel="0" collapsed="false">
      <c r="A44" s="57" t="n">
        <v>40</v>
      </c>
      <c r="B44" s="60"/>
      <c r="C44" s="60"/>
      <c r="D44" s="72"/>
      <c r="E44" s="60"/>
      <c r="F44" s="60"/>
      <c r="G44" s="72"/>
      <c r="H44" s="60"/>
      <c r="I44" s="60"/>
    </row>
  </sheetData>
  <sheetProtection sheet="true" formatCells="false" formatColumns="false" formatRows="false" sort="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1470</v>
      </c>
    </row>
    <row r="2" customFormat="false" ht="41.25" hidden="false" customHeight="true" outlineLevel="0" collapsed="false">
      <c r="C2" s="55" t="s">
        <v>1471</v>
      </c>
      <c r="D2" s="55"/>
      <c r="E2" s="55"/>
      <c r="F2" s="55"/>
      <c r="G2" s="55"/>
      <c r="H2" s="55"/>
      <c r="I2" s="55"/>
    </row>
    <row r="4" customFormat="false" ht="42" hidden="false" customHeight="true" outlineLevel="0" collapsed="false">
      <c r="A4" s="56" t="s">
        <v>132</v>
      </c>
      <c r="B4" s="56" t="s">
        <v>135</v>
      </c>
      <c r="C4" s="56" t="s">
        <v>103</v>
      </c>
      <c r="D4" s="56" t="s">
        <v>104</v>
      </c>
      <c r="E4" s="56" t="s">
        <v>310</v>
      </c>
      <c r="F4" s="56" t="s">
        <v>106</v>
      </c>
      <c r="G4" s="56" t="s">
        <v>312</v>
      </c>
      <c r="H4" s="56" t="s">
        <v>1472</v>
      </c>
      <c r="I4" s="56" t="s">
        <v>1473</v>
      </c>
      <c r="J4" s="56" t="s">
        <v>1474</v>
      </c>
      <c r="K4" s="56" t="s">
        <v>1475</v>
      </c>
      <c r="L4" s="56" t="s">
        <v>316</v>
      </c>
      <c r="M4" s="56" t="s">
        <v>1476</v>
      </c>
      <c r="N4" s="56" t="s">
        <v>1477</v>
      </c>
    </row>
    <row r="5" customFormat="false" ht="40.5" hidden="false" customHeight="true" outlineLevel="0" collapsed="false">
      <c r="A5" s="57" t="s">
        <v>175</v>
      </c>
      <c r="B5" s="57" t="s">
        <v>177</v>
      </c>
      <c r="C5" s="58" t="n">
        <v>46303</v>
      </c>
      <c r="D5" s="57" t="s">
        <v>1478</v>
      </c>
      <c r="E5" s="57" t="s">
        <v>180</v>
      </c>
      <c r="F5" s="57" t="s">
        <v>181</v>
      </c>
      <c r="G5" s="57" t="s">
        <v>405</v>
      </c>
      <c r="H5" s="57" t="s">
        <v>1479</v>
      </c>
      <c r="I5" s="57" t="s">
        <v>407</v>
      </c>
      <c r="J5" s="57"/>
      <c r="K5" s="57" t="s">
        <v>178</v>
      </c>
      <c r="L5" s="75" t="s">
        <v>409</v>
      </c>
      <c r="M5" s="57" t="s">
        <v>410</v>
      </c>
      <c r="N5" s="57" t="s">
        <v>408</v>
      </c>
    </row>
    <row r="6" customFormat="false" ht="27.75" hidden="false" customHeight="true" outlineLevel="0" collapsed="false">
      <c r="A6" s="57" t="s">
        <v>175</v>
      </c>
      <c r="B6" s="57" t="s">
        <v>177</v>
      </c>
      <c r="C6" s="58" t="n">
        <v>46303</v>
      </c>
      <c r="D6" s="57" t="s">
        <v>1478</v>
      </c>
      <c r="E6" s="57" t="s">
        <v>180</v>
      </c>
      <c r="F6" s="57" t="s">
        <v>181</v>
      </c>
      <c r="G6" s="57" t="s">
        <v>412</v>
      </c>
      <c r="H6" s="57" t="s">
        <v>1480</v>
      </c>
      <c r="I6" s="57" t="s">
        <v>414</v>
      </c>
      <c r="J6" s="57"/>
      <c r="K6" s="57" t="s">
        <v>416</v>
      </c>
      <c r="L6" s="57" t="s">
        <v>348</v>
      </c>
      <c r="M6" s="57"/>
      <c r="N6" s="57" t="s">
        <v>415</v>
      </c>
    </row>
    <row r="7" customFormat="false" ht="52.5" hidden="false" customHeight="true" outlineLevel="0" collapsed="false">
      <c r="A7" s="57" t="s">
        <v>175</v>
      </c>
      <c r="B7" s="57" t="s">
        <v>177</v>
      </c>
      <c r="C7" s="58" t="n">
        <v>46303</v>
      </c>
      <c r="D7" s="57" t="s">
        <v>1478</v>
      </c>
      <c r="E7" s="57" t="s">
        <v>180</v>
      </c>
      <c r="F7" s="57" t="s">
        <v>181</v>
      </c>
      <c r="G7" s="57" t="s">
        <v>412</v>
      </c>
      <c r="H7" s="57" t="s">
        <v>1481</v>
      </c>
      <c r="I7" s="57" t="s">
        <v>414</v>
      </c>
      <c r="J7" s="57" t="s">
        <v>1482</v>
      </c>
      <c r="K7" s="57" t="s">
        <v>416</v>
      </c>
      <c r="L7" s="57" t="s">
        <v>348</v>
      </c>
      <c r="M7" s="57" t="s">
        <v>437</v>
      </c>
      <c r="N7" s="57" t="s">
        <v>421</v>
      </c>
    </row>
    <row r="8" customFormat="false" ht="27.75" hidden="false" customHeight="true" outlineLevel="0" collapsed="false">
      <c r="A8" s="57" t="s">
        <v>190</v>
      </c>
      <c r="B8" s="57" t="s">
        <v>192</v>
      </c>
      <c r="C8" s="58" t="n">
        <v>46304</v>
      </c>
      <c r="D8" s="57" t="s">
        <v>1483</v>
      </c>
      <c r="E8" s="57" t="s">
        <v>194</v>
      </c>
      <c r="F8" s="57" t="s">
        <v>195</v>
      </c>
      <c r="G8" s="57" t="s">
        <v>405</v>
      </c>
      <c r="H8" s="57" t="s">
        <v>1484</v>
      </c>
      <c r="I8" s="57" t="s">
        <v>460</v>
      </c>
      <c r="J8" s="57"/>
      <c r="K8" s="57" t="s">
        <v>416</v>
      </c>
      <c r="L8" s="57" t="s">
        <v>348</v>
      </c>
      <c r="M8" s="57" t="s">
        <v>500</v>
      </c>
      <c r="N8" s="57" t="s">
        <v>461</v>
      </c>
    </row>
    <row r="9" customFormat="false" ht="27.75" hidden="false" customHeight="true" outlineLevel="0" collapsed="false">
      <c r="A9" s="57" t="s">
        <v>190</v>
      </c>
      <c r="B9" s="57" t="s">
        <v>192</v>
      </c>
      <c r="C9" s="58" t="n">
        <v>46304</v>
      </c>
      <c r="D9" s="57" t="s">
        <v>1483</v>
      </c>
      <c r="E9" s="57" t="s">
        <v>194</v>
      </c>
      <c r="F9" s="57" t="s">
        <v>195</v>
      </c>
      <c r="G9" s="57" t="s">
        <v>464</v>
      </c>
      <c r="H9" s="57" t="s">
        <v>1485</v>
      </c>
      <c r="I9" s="57" t="s">
        <v>466</v>
      </c>
      <c r="J9" s="57"/>
      <c r="K9" s="57" t="s">
        <v>416</v>
      </c>
      <c r="L9" s="57" t="s">
        <v>348</v>
      </c>
      <c r="M9" s="57"/>
      <c r="N9" s="57" t="s">
        <v>467</v>
      </c>
    </row>
    <row r="10" customFormat="false" ht="27.75" hidden="false" customHeight="true" outlineLevel="0" collapsed="false">
      <c r="A10" s="57" t="s">
        <v>190</v>
      </c>
      <c r="B10" s="57" t="s">
        <v>192</v>
      </c>
      <c r="C10" s="58" t="n">
        <v>46304</v>
      </c>
      <c r="D10" s="57" t="s">
        <v>1483</v>
      </c>
      <c r="E10" s="57" t="s">
        <v>194</v>
      </c>
      <c r="F10" s="57" t="s">
        <v>195</v>
      </c>
      <c r="G10" s="57" t="s">
        <v>464</v>
      </c>
      <c r="H10" s="57" t="s">
        <v>1486</v>
      </c>
      <c r="I10" s="57" t="s">
        <v>466</v>
      </c>
      <c r="J10" s="57"/>
      <c r="K10" s="57" t="s">
        <v>416</v>
      </c>
      <c r="L10" s="57" t="s">
        <v>348</v>
      </c>
      <c r="M10" s="57"/>
      <c r="N10" s="57" t="s">
        <v>471</v>
      </c>
    </row>
    <row r="11" customFormat="false" ht="27.75" hidden="false" customHeight="true" outlineLevel="0" collapsed="false">
      <c r="A11" s="57" t="s">
        <v>190</v>
      </c>
      <c r="B11" s="57" t="s">
        <v>192</v>
      </c>
      <c r="C11" s="58" t="n">
        <v>46304</v>
      </c>
      <c r="D11" s="57" t="s">
        <v>1483</v>
      </c>
      <c r="E11" s="57" t="s">
        <v>194</v>
      </c>
      <c r="F11" s="57" t="s">
        <v>195</v>
      </c>
      <c r="G11" s="57" t="s">
        <v>464</v>
      </c>
      <c r="H11" s="57" t="s">
        <v>1487</v>
      </c>
      <c r="I11" s="57" t="s">
        <v>466</v>
      </c>
      <c r="J11" s="57"/>
      <c r="K11" s="57" t="s">
        <v>416</v>
      </c>
      <c r="L11" s="57" t="s">
        <v>348</v>
      </c>
      <c r="M11" s="57"/>
      <c r="N11" s="57" t="s">
        <v>474</v>
      </c>
    </row>
    <row r="12" customFormat="false" ht="65.25" hidden="false" customHeight="true" outlineLevel="0" collapsed="false">
      <c r="A12" s="57" t="s">
        <v>190</v>
      </c>
      <c r="B12" s="57" t="s">
        <v>192</v>
      </c>
      <c r="C12" s="58" t="n">
        <v>46304</v>
      </c>
      <c r="D12" s="57" t="s">
        <v>1483</v>
      </c>
      <c r="E12" s="57" t="s">
        <v>194</v>
      </c>
      <c r="F12" s="57" t="s">
        <v>195</v>
      </c>
      <c r="G12" s="57" t="s">
        <v>464</v>
      </c>
      <c r="H12" s="57" t="s">
        <v>1488</v>
      </c>
      <c r="I12" s="57" t="s">
        <v>466</v>
      </c>
      <c r="J12" s="57"/>
      <c r="K12" s="57" t="s">
        <v>416</v>
      </c>
      <c r="L12" s="75" t="s">
        <v>409</v>
      </c>
      <c r="M12" s="57" t="s">
        <v>509</v>
      </c>
      <c r="N12" s="57" t="s">
        <v>477</v>
      </c>
    </row>
    <row r="13" customFormat="false" ht="65.25" hidden="false" customHeight="true" outlineLevel="0" collapsed="false">
      <c r="A13" s="57" t="s">
        <v>190</v>
      </c>
      <c r="B13" s="57" t="s">
        <v>192</v>
      </c>
      <c r="C13" s="58" t="n">
        <v>46304</v>
      </c>
      <c r="D13" s="57" t="s">
        <v>1483</v>
      </c>
      <c r="E13" s="57" t="s">
        <v>194</v>
      </c>
      <c r="F13" s="57" t="s">
        <v>195</v>
      </c>
      <c r="G13" s="57" t="s">
        <v>464</v>
      </c>
      <c r="H13" s="57" t="s">
        <v>1489</v>
      </c>
      <c r="I13" s="57" t="s">
        <v>466</v>
      </c>
      <c r="J13" s="57"/>
      <c r="K13" s="57" t="s">
        <v>416</v>
      </c>
      <c r="L13" s="75" t="s">
        <v>409</v>
      </c>
      <c r="M13" s="57" t="s">
        <v>509</v>
      </c>
      <c r="N13" s="57" t="s">
        <v>481</v>
      </c>
    </row>
    <row r="14" customFormat="false" ht="27.75" hidden="false" customHeight="true" outlineLevel="0" collapsed="false">
      <c r="A14" s="57" t="s">
        <v>190</v>
      </c>
      <c r="B14" s="57" t="s">
        <v>192</v>
      </c>
      <c r="C14" s="58" t="n">
        <v>46304</v>
      </c>
      <c r="D14" s="57" t="s">
        <v>1483</v>
      </c>
      <c r="E14" s="57" t="s">
        <v>194</v>
      </c>
      <c r="F14" s="57" t="s">
        <v>195</v>
      </c>
      <c r="G14" s="57" t="s">
        <v>464</v>
      </c>
      <c r="H14" s="57" t="s">
        <v>1490</v>
      </c>
      <c r="I14" s="57" t="s">
        <v>484</v>
      </c>
      <c r="J14" s="57"/>
      <c r="K14" s="57" t="s">
        <v>416</v>
      </c>
      <c r="L14" s="57" t="s">
        <v>348</v>
      </c>
      <c r="M14" s="57" t="s">
        <v>514</v>
      </c>
      <c r="N14" s="57" t="s">
        <v>485</v>
      </c>
    </row>
    <row r="15" customFormat="false" ht="27.75" hidden="false" customHeight="true" outlineLevel="0" collapsed="false">
      <c r="A15" s="57" t="s">
        <v>190</v>
      </c>
      <c r="B15" s="57" t="s">
        <v>192</v>
      </c>
      <c r="C15" s="58" t="n">
        <v>46304</v>
      </c>
      <c r="D15" s="57" t="s">
        <v>1483</v>
      </c>
      <c r="E15" s="57" t="s">
        <v>194</v>
      </c>
      <c r="F15" s="57" t="s">
        <v>195</v>
      </c>
      <c r="G15" s="57" t="s">
        <v>464</v>
      </c>
      <c r="H15" s="57" t="s">
        <v>1491</v>
      </c>
      <c r="I15" s="57" t="s">
        <v>466</v>
      </c>
      <c r="J15" s="57"/>
      <c r="K15" s="57" t="s">
        <v>416</v>
      </c>
      <c r="L15" s="57" t="s">
        <v>348</v>
      </c>
      <c r="M15" s="57"/>
      <c r="N15" s="57" t="s">
        <v>489</v>
      </c>
    </row>
    <row r="16" customFormat="false" ht="27.75" hidden="false" customHeight="true" outlineLevel="0" collapsed="false">
      <c r="A16" s="57" t="s">
        <v>190</v>
      </c>
      <c r="B16" s="57" t="s">
        <v>192</v>
      </c>
      <c r="C16" s="58" t="n">
        <v>46304</v>
      </c>
      <c r="D16" s="57" t="s">
        <v>1483</v>
      </c>
      <c r="E16" s="57" t="s">
        <v>194</v>
      </c>
      <c r="F16" s="57" t="s">
        <v>195</v>
      </c>
      <c r="G16" s="57" t="s">
        <v>412</v>
      </c>
      <c r="H16" s="57" t="s">
        <v>1492</v>
      </c>
      <c r="I16" s="57" t="s">
        <v>414</v>
      </c>
      <c r="J16" s="57"/>
      <c r="K16" s="57" t="s">
        <v>416</v>
      </c>
      <c r="L16" s="57" t="s">
        <v>348</v>
      </c>
      <c r="M16" s="57"/>
      <c r="N16" s="57" t="s">
        <v>492</v>
      </c>
    </row>
    <row r="17" customFormat="false" ht="27.75" hidden="false" customHeight="true" outlineLevel="0" collapsed="false">
      <c r="A17" s="57" t="s">
        <v>190</v>
      </c>
      <c r="B17" s="57" t="s">
        <v>192</v>
      </c>
      <c r="C17" s="58" t="n">
        <v>46304</v>
      </c>
      <c r="D17" s="57" t="s">
        <v>1483</v>
      </c>
      <c r="E17" s="57" t="s">
        <v>194</v>
      </c>
      <c r="F17" s="57" t="s">
        <v>195</v>
      </c>
      <c r="G17" s="57" t="s">
        <v>412</v>
      </c>
      <c r="H17" s="57" t="s">
        <v>1493</v>
      </c>
      <c r="I17" s="57" t="s">
        <v>414</v>
      </c>
      <c r="J17" s="57"/>
      <c r="K17" s="57" t="s">
        <v>416</v>
      </c>
      <c r="L17" s="57" t="s">
        <v>348</v>
      </c>
      <c r="M17" s="57"/>
      <c r="N17" s="57" t="s">
        <v>495</v>
      </c>
    </row>
    <row r="18" customFormat="false" ht="27.75" hidden="false" customHeight="true" outlineLevel="0" collapsed="false">
      <c r="A18" s="57" t="s">
        <v>204</v>
      </c>
      <c r="B18" s="57" t="s">
        <v>206</v>
      </c>
      <c r="C18" s="58" t="n">
        <v>46305</v>
      </c>
      <c r="D18" s="57" t="s">
        <v>1494</v>
      </c>
      <c r="E18" s="57" t="s">
        <v>180</v>
      </c>
      <c r="F18" s="57" t="s">
        <v>207</v>
      </c>
      <c r="G18" s="57" t="s">
        <v>412</v>
      </c>
      <c r="H18" s="57" t="s">
        <v>1480</v>
      </c>
      <c r="I18" s="57" t="s">
        <v>414</v>
      </c>
      <c r="J18" s="57"/>
      <c r="K18" s="57" t="s">
        <v>416</v>
      </c>
      <c r="L18" s="57" t="s">
        <v>348</v>
      </c>
      <c r="M18" s="57"/>
      <c r="N18" s="57" t="s">
        <v>541</v>
      </c>
    </row>
    <row r="19" customFormat="false" ht="27.75" hidden="false" customHeight="true" outlineLevel="0" collapsed="false">
      <c r="A19" s="57" t="s">
        <v>210</v>
      </c>
      <c r="B19" s="57" t="s">
        <v>211</v>
      </c>
      <c r="C19" s="58" t="n">
        <v>46305</v>
      </c>
      <c r="D19" s="57" t="s">
        <v>1495</v>
      </c>
      <c r="E19" s="57" t="s">
        <v>194</v>
      </c>
      <c r="F19" s="57" t="s">
        <v>181</v>
      </c>
      <c r="G19" s="57" t="s">
        <v>405</v>
      </c>
      <c r="H19" s="57" t="s">
        <v>1479</v>
      </c>
      <c r="I19" s="57" t="s">
        <v>466</v>
      </c>
      <c r="J19" s="57"/>
      <c r="K19" s="57" t="s">
        <v>179</v>
      </c>
      <c r="L19" s="57" t="s">
        <v>348</v>
      </c>
      <c r="M19" s="57"/>
      <c r="N19" s="57" t="s">
        <v>566</v>
      </c>
    </row>
    <row r="20" customFormat="false" ht="27.75" hidden="false" customHeight="true" outlineLevel="0" collapsed="false">
      <c r="A20" s="57" t="s">
        <v>210</v>
      </c>
      <c r="B20" s="57" t="s">
        <v>211</v>
      </c>
      <c r="C20" s="58" t="n">
        <v>46305</v>
      </c>
      <c r="D20" s="57" t="s">
        <v>1495</v>
      </c>
      <c r="E20" s="57" t="s">
        <v>194</v>
      </c>
      <c r="F20" s="57" t="s">
        <v>181</v>
      </c>
      <c r="G20" s="57" t="s">
        <v>405</v>
      </c>
      <c r="H20" s="57" t="s">
        <v>1496</v>
      </c>
      <c r="I20" s="57" t="s">
        <v>466</v>
      </c>
      <c r="J20" s="57"/>
      <c r="K20" s="57" t="s">
        <v>179</v>
      </c>
      <c r="L20" s="57" t="s">
        <v>348</v>
      </c>
      <c r="M20" s="57"/>
      <c r="N20" s="57" t="s">
        <v>569</v>
      </c>
    </row>
    <row r="21" customFormat="false" ht="27.75" hidden="false" customHeight="true" outlineLevel="0" collapsed="false">
      <c r="A21" s="57" t="s">
        <v>210</v>
      </c>
      <c r="B21" s="57" t="s">
        <v>211</v>
      </c>
      <c r="C21" s="58" t="n">
        <v>46305</v>
      </c>
      <c r="D21" s="57" t="s">
        <v>1495</v>
      </c>
      <c r="E21" s="57" t="s">
        <v>194</v>
      </c>
      <c r="F21" s="57" t="s">
        <v>181</v>
      </c>
      <c r="G21" s="57" t="s">
        <v>464</v>
      </c>
      <c r="H21" s="57" t="s">
        <v>1485</v>
      </c>
      <c r="I21" s="57" t="s">
        <v>466</v>
      </c>
      <c r="J21" s="57"/>
      <c r="K21" s="57" t="s">
        <v>416</v>
      </c>
      <c r="L21" s="57" t="s">
        <v>348</v>
      </c>
      <c r="M21" s="57"/>
      <c r="N21" s="57" t="s">
        <v>571</v>
      </c>
    </row>
    <row r="22" customFormat="false" ht="27.75" hidden="false" customHeight="true" outlineLevel="0" collapsed="false">
      <c r="A22" s="57" t="s">
        <v>210</v>
      </c>
      <c r="B22" s="57" t="s">
        <v>211</v>
      </c>
      <c r="C22" s="58" t="n">
        <v>46305</v>
      </c>
      <c r="D22" s="57" t="s">
        <v>1495</v>
      </c>
      <c r="E22" s="57" t="s">
        <v>194</v>
      </c>
      <c r="F22" s="57" t="s">
        <v>181</v>
      </c>
      <c r="G22" s="57" t="s">
        <v>464</v>
      </c>
      <c r="H22" s="57" t="s">
        <v>1486</v>
      </c>
      <c r="I22" s="57" t="s">
        <v>466</v>
      </c>
      <c r="J22" s="57"/>
      <c r="K22" s="57" t="s">
        <v>416</v>
      </c>
      <c r="L22" s="57" t="s">
        <v>348</v>
      </c>
      <c r="M22" s="57"/>
      <c r="N22" s="57" t="s">
        <v>573</v>
      </c>
    </row>
    <row r="23" customFormat="false" ht="27.75" hidden="false" customHeight="true" outlineLevel="0" collapsed="false">
      <c r="A23" s="57" t="s">
        <v>210</v>
      </c>
      <c r="B23" s="57" t="s">
        <v>211</v>
      </c>
      <c r="C23" s="58" t="n">
        <v>46305</v>
      </c>
      <c r="D23" s="57" t="s">
        <v>1495</v>
      </c>
      <c r="E23" s="57" t="s">
        <v>194</v>
      </c>
      <c r="F23" s="57" t="s">
        <v>181</v>
      </c>
      <c r="G23" s="57" t="s">
        <v>464</v>
      </c>
      <c r="H23" s="57" t="s">
        <v>1487</v>
      </c>
      <c r="I23" s="57" t="s">
        <v>466</v>
      </c>
      <c r="J23" s="57"/>
      <c r="K23" s="57" t="s">
        <v>416</v>
      </c>
      <c r="L23" s="57" t="s">
        <v>348</v>
      </c>
      <c r="M23" s="57"/>
      <c r="N23" s="57" t="s">
        <v>575</v>
      </c>
    </row>
    <row r="24" customFormat="false" ht="27.75" hidden="false" customHeight="true" outlineLevel="0" collapsed="false">
      <c r="A24" s="57" t="s">
        <v>210</v>
      </c>
      <c r="B24" s="57" t="s">
        <v>211</v>
      </c>
      <c r="C24" s="58" t="n">
        <v>46305</v>
      </c>
      <c r="D24" s="57" t="s">
        <v>1495</v>
      </c>
      <c r="E24" s="57" t="s">
        <v>194</v>
      </c>
      <c r="F24" s="57" t="s">
        <v>181</v>
      </c>
      <c r="G24" s="57" t="s">
        <v>464</v>
      </c>
      <c r="H24" s="57" t="s">
        <v>1488</v>
      </c>
      <c r="I24" s="57" t="s">
        <v>466</v>
      </c>
      <c r="J24" s="57"/>
      <c r="K24" s="57" t="s">
        <v>416</v>
      </c>
      <c r="L24" s="57" t="s">
        <v>348</v>
      </c>
      <c r="M24" s="57"/>
      <c r="N24" s="57" t="s">
        <v>577</v>
      </c>
    </row>
    <row r="25" customFormat="false" ht="27.75" hidden="false" customHeight="true" outlineLevel="0" collapsed="false">
      <c r="A25" s="57" t="s">
        <v>210</v>
      </c>
      <c r="B25" s="57" t="s">
        <v>211</v>
      </c>
      <c r="C25" s="58" t="n">
        <v>46305</v>
      </c>
      <c r="D25" s="57" t="s">
        <v>1495</v>
      </c>
      <c r="E25" s="57" t="s">
        <v>194</v>
      </c>
      <c r="F25" s="57" t="s">
        <v>181</v>
      </c>
      <c r="G25" s="57" t="s">
        <v>464</v>
      </c>
      <c r="H25" s="57" t="s">
        <v>1489</v>
      </c>
      <c r="I25" s="57" t="s">
        <v>466</v>
      </c>
      <c r="J25" s="57"/>
      <c r="K25" s="57" t="s">
        <v>416</v>
      </c>
      <c r="L25" s="57" t="s">
        <v>348</v>
      </c>
      <c r="M25" s="57"/>
      <c r="N25" s="57" t="s">
        <v>579</v>
      </c>
    </row>
    <row r="26" customFormat="false" ht="27.75" hidden="false" customHeight="true" outlineLevel="0" collapsed="false">
      <c r="A26" s="57" t="s">
        <v>210</v>
      </c>
      <c r="B26" s="57" t="s">
        <v>211</v>
      </c>
      <c r="C26" s="58" t="n">
        <v>46305</v>
      </c>
      <c r="D26" s="57" t="s">
        <v>1495</v>
      </c>
      <c r="E26" s="57" t="s">
        <v>194</v>
      </c>
      <c r="F26" s="57" t="s">
        <v>181</v>
      </c>
      <c r="G26" s="57" t="s">
        <v>464</v>
      </c>
      <c r="H26" s="57" t="s">
        <v>1490</v>
      </c>
      <c r="I26" s="57" t="s">
        <v>581</v>
      </c>
      <c r="J26" s="57"/>
      <c r="K26" s="57" t="s">
        <v>416</v>
      </c>
      <c r="L26" s="57" t="s">
        <v>348</v>
      </c>
      <c r="M26" s="57" t="s">
        <v>514</v>
      </c>
      <c r="N26" s="57" t="s">
        <v>582</v>
      </c>
    </row>
    <row r="27" customFormat="false" ht="27.75" hidden="false" customHeight="true" outlineLevel="0" collapsed="false">
      <c r="A27" s="57" t="s">
        <v>210</v>
      </c>
      <c r="B27" s="57" t="s">
        <v>211</v>
      </c>
      <c r="C27" s="58" t="n">
        <v>46305</v>
      </c>
      <c r="D27" s="57" t="s">
        <v>1495</v>
      </c>
      <c r="E27" s="57" t="s">
        <v>194</v>
      </c>
      <c r="F27" s="57" t="s">
        <v>181</v>
      </c>
      <c r="G27" s="57" t="s">
        <v>464</v>
      </c>
      <c r="H27" s="57" t="s">
        <v>1491</v>
      </c>
      <c r="I27" s="57" t="s">
        <v>466</v>
      </c>
      <c r="J27" s="57"/>
      <c r="K27" s="57" t="s">
        <v>416</v>
      </c>
      <c r="L27" s="57" t="s">
        <v>348</v>
      </c>
      <c r="M27" s="57"/>
      <c r="N27" s="57" t="s">
        <v>584</v>
      </c>
    </row>
    <row r="28" customFormat="false" ht="27.75" hidden="false" customHeight="true" outlineLevel="0" collapsed="false">
      <c r="A28" s="57" t="s">
        <v>210</v>
      </c>
      <c r="B28" s="57" t="s">
        <v>211</v>
      </c>
      <c r="C28" s="58" t="n">
        <v>46305</v>
      </c>
      <c r="D28" s="57" t="s">
        <v>1495</v>
      </c>
      <c r="E28" s="57" t="s">
        <v>194</v>
      </c>
      <c r="F28" s="57" t="s">
        <v>181</v>
      </c>
      <c r="G28" s="57" t="s">
        <v>412</v>
      </c>
      <c r="H28" s="57" t="s">
        <v>1492</v>
      </c>
      <c r="I28" s="57" t="s">
        <v>414</v>
      </c>
      <c r="J28" s="57"/>
      <c r="K28" s="57" t="s">
        <v>416</v>
      </c>
      <c r="L28" s="57" t="s">
        <v>348</v>
      </c>
      <c r="M28" s="57"/>
      <c r="N28" s="57" t="s">
        <v>586</v>
      </c>
    </row>
    <row r="29" customFormat="false" ht="27.75" hidden="false" customHeight="true" outlineLevel="0" collapsed="false">
      <c r="A29" s="57" t="s">
        <v>210</v>
      </c>
      <c r="B29" s="57" t="s">
        <v>211</v>
      </c>
      <c r="C29" s="58" t="n">
        <v>46305</v>
      </c>
      <c r="D29" s="57" t="s">
        <v>1495</v>
      </c>
      <c r="E29" s="57" t="s">
        <v>194</v>
      </c>
      <c r="F29" s="57" t="s">
        <v>181</v>
      </c>
      <c r="G29" s="57" t="s">
        <v>412</v>
      </c>
      <c r="H29" s="57" t="s">
        <v>1497</v>
      </c>
      <c r="I29" s="57" t="s">
        <v>414</v>
      </c>
      <c r="J29" s="57"/>
      <c r="K29" s="57" t="s">
        <v>416</v>
      </c>
      <c r="L29" s="57" t="s">
        <v>348</v>
      </c>
      <c r="M29" s="57"/>
      <c r="N29" s="57" t="s">
        <v>589</v>
      </c>
    </row>
    <row r="30" customFormat="false" ht="27.75" hidden="false" customHeight="true" outlineLevel="0" collapsed="false">
      <c r="A30" s="57" t="s">
        <v>210</v>
      </c>
      <c r="B30" s="57" t="s">
        <v>211</v>
      </c>
      <c r="C30" s="58" t="n">
        <v>46305</v>
      </c>
      <c r="D30" s="57" t="s">
        <v>1495</v>
      </c>
      <c r="E30" s="57" t="s">
        <v>194</v>
      </c>
      <c r="F30" s="57" t="s">
        <v>181</v>
      </c>
      <c r="G30" s="57" t="s">
        <v>412</v>
      </c>
      <c r="H30" s="57" t="s">
        <v>1498</v>
      </c>
      <c r="I30" s="57" t="s">
        <v>414</v>
      </c>
      <c r="J30" s="57"/>
      <c r="K30" s="57" t="s">
        <v>416</v>
      </c>
      <c r="L30" s="57" t="s">
        <v>348</v>
      </c>
      <c r="M30" s="57"/>
      <c r="N30" s="57" t="s">
        <v>592</v>
      </c>
    </row>
    <row r="31" customFormat="false" ht="27.75" hidden="false" customHeight="true" outlineLevel="0" collapsed="false">
      <c r="A31" s="57" t="s">
        <v>210</v>
      </c>
      <c r="B31" s="57" t="s">
        <v>211</v>
      </c>
      <c r="C31" s="58" t="n">
        <v>46305</v>
      </c>
      <c r="D31" s="57" t="s">
        <v>1495</v>
      </c>
      <c r="E31" s="57" t="s">
        <v>194</v>
      </c>
      <c r="F31" s="57" t="s">
        <v>181</v>
      </c>
      <c r="G31" s="57" t="s">
        <v>594</v>
      </c>
      <c r="H31" s="57" t="s">
        <v>1499</v>
      </c>
      <c r="I31" s="57" t="s">
        <v>466</v>
      </c>
      <c r="J31" s="57"/>
      <c r="K31" s="57" t="s">
        <v>179</v>
      </c>
      <c r="L31" s="57" t="s">
        <v>348</v>
      </c>
      <c r="M31" s="57" t="s">
        <v>597</v>
      </c>
      <c r="N31" s="57" t="s">
        <v>596</v>
      </c>
    </row>
    <row r="32" customFormat="false" ht="40.5" hidden="false" customHeight="true" outlineLevel="0" collapsed="false">
      <c r="A32" s="57" t="s">
        <v>210</v>
      </c>
      <c r="B32" s="57" t="s">
        <v>211</v>
      </c>
      <c r="C32" s="58" t="n">
        <v>46305</v>
      </c>
      <c r="D32" s="57" t="s">
        <v>1495</v>
      </c>
      <c r="E32" s="57" t="s">
        <v>194</v>
      </c>
      <c r="F32" s="57" t="s">
        <v>181</v>
      </c>
      <c r="G32" s="57" t="s">
        <v>599</v>
      </c>
      <c r="H32" s="57" t="s">
        <v>1500</v>
      </c>
      <c r="I32" s="57" t="s">
        <v>601</v>
      </c>
      <c r="J32" s="57"/>
      <c r="K32" s="57" t="s">
        <v>416</v>
      </c>
      <c r="L32" s="57" t="s">
        <v>348</v>
      </c>
      <c r="M32" s="57" t="s">
        <v>625</v>
      </c>
      <c r="N32" s="57" t="s">
        <v>602</v>
      </c>
    </row>
    <row r="33" customFormat="false" ht="40.5" hidden="false" customHeight="true" outlineLevel="0" collapsed="false">
      <c r="A33" s="57" t="s">
        <v>220</v>
      </c>
      <c r="B33" s="57" t="s">
        <v>221</v>
      </c>
      <c r="C33" s="58" t="n">
        <v>46310</v>
      </c>
      <c r="D33" s="57" t="s">
        <v>1501</v>
      </c>
      <c r="E33" s="57" t="s">
        <v>180</v>
      </c>
      <c r="F33" s="57" t="s">
        <v>181</v>
      </c>
      <c r="G33" s="57" t="s">
        <v>405</v>
      </c>
      <c r="H33" s="57" t="s">
        <v>1479</v>
      </c>
      <c r="I33" s="57" t="s">
        <v>407</v>
      </c>
      <c r="J33" s="57"/>
      <c r="K33" s="57" t="s">
        <v>179</v>
      </c>
      <c r="L33" s="75" t="s">
        <v>409</v>
      </c>
      <c r="M33" s="57" t="s">
        <v>410</v>
      </c>
      <c r="N33" s="57" t="s">
        <v>566</v>
      </c>
    </row>
    <row r="34" customFormat="false" ht="27.75" hidden="false" customHeight="true" outlineLevel="0" collapsed="false">
      <c r="A34" s="57" t="s">
        <v>220</v>
      </c>
      <c r="B34" s="57" t="s">
        <v>221</v>
      </c>
      <c r="C34" s="58" t="n">
        <v>46310</v>
      </c>
      <c r="D34" s="57" t="s">
        <v>1501</v>
      </c>
      <c r="E34" s="57" t="s">
        <v>180</v>
      </c>
      <c r="F34" s="57" t="s">
        <v>181</v>
      </c>
      <c r="G34" s="57" t="s">
        <v>412</v>
      </c>
      <c r="H34" s="57" t="s">
        <v>1480</v>
      </c>
      <c r="I34" s="57" t="s">
        <v>414</v>
      </c>
      <c r="J34" s="57"/>
      <c r="K34" s="57" t="s">
        <v>416</v>
      </c>
      <c r="L34" s="57" t="s">
        <v>348</v>
      </c>
      <c r="M34" s="57"/>
      <c r="N34" s="57" t="s">
        <v>652</v>
      </c>
    </row>
    <row r="35" customFormat="false" ht="52.5" hidden="false" customHeight="true" outlineLevel="0" collapsed="false">
      <c r="A35" s="57" t="s">
        <v>220</v>
      </c>
      <c r="B35" s="57" t="s">
        <v>221</v>
      </c>
      <c r="C35" s="58" t="n">
        <v>46310</v>
      </c>
      <c r="D35" s="57" t="s">
        <v>1501</v>
      </c>
      <c r="E35" s="57" t="s">
        <v>180</v>
      </c>
      <c r="F35" s="57" t="s">
        <v>181</v>
      </c>
      <c r="G35" s="57" t="s">
        <v>412</v>
      </c>
      <c r="H35" s="57" t="s">
        <v>1481</v>
      </c>
      <c r="I35" s="57" t="s">
        <v>414</v>
      </c>
      <c r="J35" s="57" t="s">
        <v>1482</v>
      </c>
      <c r="K35" s="57" t="s">
        <v>416</v>
      </c>
      <c r="L35" s="57" t="s">
        <v>348</v>
      </c>
      <c r="M35" s="57" t="s">
        <v>669</v>
      </c>
      <c r="N35" s="57" t="s">
        <v>655</v>
      </c>
    </row>
    <row r="36" customFormat="false" ht="52.5" hidden="false" customHeight="true" outlineLevel="0" collapsed="false">
      <c r="A36" s="57" t="s">
        <v>220</v>
      </c>
      <c r="B36" s="57" t="s">
        <v>221</v>
      </c>
      <c r="C36" s="58" t="n">
        <v>46310</v>
      </c>
      <c r="D36" s="57" t="s">
        <v>1501</v>
      </c>
      <c r="E36" s="57" t="s">
        <v>180</v>
      </c>
      <c r="F36" s="57" t="s">
        <v>181</v>
      </c>
      <c r="G36" s="57" t="s">
        <v>599</v>
      </c>
      <c r="H36" s="57" t="s">
        <v>1500</v>
      </c>
      <c r="I36" s="57" t="s">
        <v>601</v>
      </c>
      <c r="J36" s="57"/>
      <c r="K36" s="57" t="s">
        <v>416</v>
      </c>
      <c r="L36" s="75" t="s">
        <v>409</v>
      </c>
      <c r="M36" s="57" t="s">
        <v>671</v>
      </c>
      <c r="N36" s="57" t="s">
        <v>602</v>
      </c>
    </row>
    <row r="37" customFormat="false" ht="78" hidden="false" customHeight="true" outlineLevel="0" collapsed="false">
      <c r="A37" s="57" t="s">
        <v>223</v>
      </c>
      <c r="B37" s="57" t="s">
        <v>224</v>
      </c>
      <c r="C37" s="58" t="n">
        <v>46310</v>
      </c>
      <c r="D37" s="57" t="s">
        <v>1502</v>
      </c>
      <c r="E37" s="57" t="s">
        <v>194</v>
      </c>
      <c r="F37" s="57" t="s">
        <v>181</v>
      </c>
      <c r="G37" s="57" t="s">
        <v>405</v>
      </c>
      <c r="H37" s="57" t="s">
        <v>1479</v>
      </c>
      <c r="I37" s="57" t="s">
        <v>466</v>
      </c>
      <c r="J37" s="57"/>
      <c r="K37" s="57" t="s">
        <v>691</v>
      </c>
      <c r="L37" s="75" t="s">
        <v>409</v>
      </c>
      <c r="M37" s="57" t="s">
        <v>692</v>
      </c>
      <c r="N37" s="57" t="s">
        <v>408</v>
      </c>
    </row>
    <row r="38" customFormat="false" ht="27.75" hidden="false" customHeight="true" outlineLevel="0" collapsed="false">
      <c r="A38" s="57" t="s">
        <v>223</v>
      </c>
      <c r="B38" s="57" t="s">
        <v>224</v>
      </c>
      <c r="C38" s="58" t="n">
        <v>46310</v>
      </c>
      <c r="D38" s="57" t="s">
        <v>1502</v>
      </c>
      <c r="E38" s="57" t="s">
        <v>194</v>
      </c>
      <c r="F38" s="57" t="s">
        <v>181</v>
      </c>
      <c r="G38" s="57" t="s">
        <v>405</v>
      </c>
      <c r="H38" s="57" t="s">
        <v>1503</v>
      </c>
      <c r="I38" s="57" t="s">
        <v>695</v>
      </c>
      <c r="J38" s="57"/>
      <c r="K38" s="57" t="s">
        <v>179</v>
      </c>
      <c r="L38" s="57" t="s">
        <v>348</v>
      </c>
      <c r="M38" s="57" t="s">
        <v>697</v>
      </c>
      <c r="N38" s="57" t="s">
        <v>696</v>
      </c>
    </row>
    <row r="39" customFormat="false" ht="27.75" hidden="false" customHeight="true" outlineLevel="0" collapsed="false">
      <c r="A39" s="57" t="s">
        <v>223</v>
      </c>
      <c r="B39" s="57" t="s">
        <v>224</v>
      </c>
      <c r="C39" s="58" t="n">
        <v>46310</v>
      </c>
      <c r="D39" s="57" t="s">
        <v>1502</v>
      </c>
      <c r="E39" s="57" t="s">
        <v>194</v>
      </c>
      <c r="F39" s="57" t="s">
        <v>181</v>
      </c>
      <c r="G39" s="57" t="s">
        <v>405</v>
      </c>
      <c r="H39" s="57" t="s">
        <v>1496</v>
      </c>
      <c r="I39" s="57" t="s">
        <v>466</v>
      </c>
      <c r="J39" s="57"/>
      <c r="K39" s="57" t="s">
        <v>179</v>
      </c>
      <c r="L39" s="57" t="s">
        <v>348</v>
      </c>
      <c r="M39" s="57"/>
      <c r="N39" s="57" t="s">
        <v>699</v>
      </c>
    </row>
    <row r="40" customFormat="false" ht="27.75" hidden="false" customHeight="true" outlineLevel="0" collapsed="false">
      <c r="A40" s="57" t="s">
        <v>223</v>
      </c>
      <c r="B40" s="57" t="s">
        <v>224</v>
      </c>
      <c r="C40" s="58" t="n">
        <v>46310</v>
      </c>
      <c r="D40" s="57" t="s">
        <v>1502</v>
      </c>
      <c r="E40" s="57" t="s">
        <v>194</v>
      </c>
      <c r="F40" s="57" t="s">
        <v>181</v>
      </c>
      <c r="G40" s="57" t="s">
        <v>464</v>
      </c>
      <c r="H40" s="57" t="s">
        <v>1485</v>
      </c>
      <c r="I40" s="57" t="s">
        <v>466</v>
      </c>
      <c r="J40" s="57"/>
      <c r="K40" s="57" t="s">
        <v>416</v>
      </c>
      <c r="L40" s="57" t="s">
        <v>348</v>
      </c>
      <c r="M40" s="57"/>
      <c r="N40" s="57" t="s">
        <v>701</v>
      </c>
    </row>
    <row r="41" customFormat="false" ht="27.75" hidden="false" customHeight="true" outlineLevel="0" collapsed="false">
      <c r="A41" s="57" t="s">
        <v>223</v>
      </c>
      <c r="B41" s="57" t="s">
        <v>224</v>
      </c>
      <c r="C41" s="58" t="n">
        <v>46310</v>
      </c>
      <c r="D41" s="57" t="s">
        <v>1502</v>
      </c>
      <c r="E41" s="57" t="s">
        <v>194</v>
      </c>
      <c r="F41" s="57" t="s">
        <v>181</v>
      </c>
      <c r="G41" s="57" t="s">
        <v>464</v>
      </c>
      <c r="H41" s="57" t="s">
        <v>1486</v>
      </c>
      <c r="I41" s="57" t="s">
        <v>466</v>
      </c>
      <c r="J41" s="57"/>
      <c r="K41" s="57" t="s">
        <v>416</v>
      </c>
      <c r="L41" s="57" t="s">
        <v>348</v>
      </c>
      <c r="M41" s="57"/>
      <c r="N41" s="57" t="s">
        <v>703</v>
      </c>
    </row>
    <row r="42" customFormat="false" ht="27.75" hidden="false" customHeight="true" outlineLevel="0" collapsed="false">
      <c r="A42" s="57" t="s">
        <v>223</v>
      </c>
      <c r="B42" s="57" t="s">
        <v>224</v>
      </c>
      <c r="C42" s="58" t="n">
        <v>46310</v>
      </c>
      <c r="D42" s="57" t="s">
        <v>1502</v>
      </c>
      <c r="E42" s="57" t="s">
        <v>194</v>
      </c>
      <c r="F42" s="57" t="s">
        <v>181</v>
      </c>
      <c r="G42" s="57" t="s">
        <v>464</v>
      </c>
      <c r="H42" s="57" t="s">
        <v>1487</v>
      </c>
      <c r="I42" s="57" t="s">
        <v>466</v>
      </c>
      <c r="J42" s="57"/>
      <c r="K42" s="57" t="s">
        <v>416</v>
      </c>
      <c r="L42" s="57" t="s">
        <v>348</v>
      </c>
      <c r="M42" s="57"/>
      <c r="N42" s="57" t="s">
        <v>705</v>
      </c>
    </row>
    <row r="43" customFormat="false" ht="27.75" hidden="false" customHeight="true" outlineLevel="0" collapsed="false">
      <c r="A43" s="57" t="s">
        <v>223</v>
      </c>
      <c r="B43" s="57" t="s">
        <v>224</v>
      </c>
      <c r="C43" s="58" t="n">
        <v>46310</v>
      </c>
      <c r="D43" s="57" t="s">
        <v>1502</v>
      </c>
      <c r="E43" s="57" t="s">
        <v>194</v>
      </c>
      <c r="F43" s="57" t="s">
        <v>181</v>
      </c>
      <c r="G43" s="57" t="s">
        <v>464</v>
      </c>
      <c r="H43" s="57" t="s">
        <v>1488</v>
      </c>
      <c r="I43" s="57" t="s">
        <v>466</v>
      </c>
      <c r="J43" s="57"/>
      <c r="K43" s="57" t="s">
        <v>416</v>
      </c>
      <c r="L43" s="57" t="s">
        <v>348</v>
      </c>
      <c r="M43" s="57"/>
      <c r="N43" s="57" t="s">
        <v>707</v>
      </c>
    </row>
    <row r="44" customFormat="false" ht="27.75" hidden="false" customHeight="true" outlineLevel="0" collapsed="false">
      <c r="A44" s="57" t="s">
        <v>223</v>
      </c>
      <c r="B44" s="57" t="s">
        <v>224</v>
      </c>
      <c r="C44" s="58" t="n">
        <v>46310</v>
      </c>
      <c r="D44" s="57" t="s">
        <v>1502</v>
      </c>
      <c r="E44" s="57" t="s">
        <v>194</v>
      </c>
      <c r="F44" s="57" t="s">
        <v>181</v>
      </c>
      <c r="G44" s="57" t="s">
        <v>464</v>
      </c>
      <c r="H44" s="57" t="s">
        <v>1489</v>
      </c>
      <c r="I44" s="57" t="s">
        <v>466</v>
      </c>
      <c r="J44" s="57"/>
      <c r="K44" s="57" t="s">
        <v>416</v>
      </c>
      <c r="L44" s="57" t="s">
        <v>348</v>
      </c>
      <c r="M44" s="57"/>
      <c r="N44" s="57" t="s">
        <v>709</v>
      </c>
    </row>
    <row r="45" customFormat="false" ht="27.75" hidden="false" customHeight="true" outlineLevel="0" collapsed="false">
      <c r="A45" s="57" t="s">
        <v>223</v>
      </c>
      <c r="B45" s="57" t="s">
        <v>224</v>
      </c>
      <c r="C45" s="58" t="n">
        <v>46310</v>
      </c>
      <c r="D45" s="57" t="s">
        <v>1502</v>
      </c>
      <c r="E45" s="57" t="s">
        <v>194</v>
      </c>
      <c r="F45" s="57" t="s">
        <v>181</v>
      </c>
      <c r="G45" s="57" t="s">
        <v>464</v>
      </c>
      <c r="H45" s="57" t="s">
        <v>1490</v>
      </c>
      <c r="I45" s="57" t="s">
        <v>581</v>
      </c>
      <c r="J45" s="57"/>
      <c r="K45" s="57" t="s">
        <v>416</v>
      </c>
      <c r="L45" s="57" t="s">
        <v>348</v>
      </c>
      <c r="M45" s="57" t="s">
        <v>514</v>
      </c>
      <c r="N45" s="57" t="s">
        <v>711</v>
      </c>
    </row>
    <row r="46" customFormat="false" ht="27.75" hidden="false" customHeight="true" outlineLevel="0" collapsed="false">
      <c r="A46" s="57" t="s">
        <v>223</v>
      </c>
      <c r="B46" s="57" t="s">
        <v>224</v>
      </c>
      <c r="C46" s="58" t="n">
        <v>46310</v>
      </c>
      <c r="D46" s="57" t="s">
        <v>1502</v>
      </c>
      <c r="E46" s="57" t="s">
        <v>194</v>
      </c>
      <c r="F46" s="57" t="s">
        <v>181</v>
      </c>
      <c r="G46" s="57" t="s">
        <v>464</v>
      </c>
      <c r="H46" s="57" t="s">
        <v>1491</v>
      </c>
      <c r="I46" s="57" t="s">
        <v>466</v>
      </c>
      <c r="J46" s="57"/>
      <c r="K46" s="57" t="s">
        <v>416</v>
      </c>
      <c r="L46" s="57" t="s">
        <v>348</v>
      </c>
      <c r="M46" s="57"/>
      <c r="N46" s="57" t="s">
        <v>713</v>
      </c>
    </row>
    <row r="47" customFormat="false" ht="27.75" hidden="false" customHeight="true" outlineLevel="0" collapsed="false">
      <c r="A47" s="57" t="s">
        <v>223</v>
      </c>
      <c r="B47" s="57" t="s">
        <v>224</v>
      </c>
      <c r="C47" s="58" t="n">
        <v>46310</v>
      </c>
      <c r="D47" s="57" t="s">
        <v>1502</v>
      </c>
      <c r="E47" s="57" t="s">
        <v>194</v>
      </c>
      <c r="F47" s="57" t="s">
        <v>181</v>
      </c>
      <c r="G47" s="57" t="s">
        <v>412</v>
      </c>
      <c r="H47" s="57" t="s">
        <v>1492</v>
      </c>
      <c r="I47" s="57" t="s">
        <v>414</v>
      </c>
      <c r="J47" s="57"/>
      <c r="K47" s="57" t="s">
        <v>416</v>
      </c>
      <c r="L47" s="57" t="s">
        <v>348</v>
      </c>
      <c r="M47" s="57"/>
      <c r="N47" s="57" t="s">
        <v>715</v>
      </c>
    </row>
    <row r="48" customFormat="false" ht="27.75" hidden="false" customHeight="true" outlineLevel="0" collapsed="false">
      <c r="A48" s="57" t="s">
        <v>223</v>
      </c>
      <c r="B48" s="57" t="s">
        <v>224</v>
      </c>
      <c r="C48" s="58" t="n">
        <v>46310</v>
      </c>
      <c r="D48" s="57" t="s">
        <v>1502</v>
      </c>
      <c r="E48" s="57" t="s">
        <v>194</v>
      </c>
      <c r="F48" s="57" t="s">
        <v>181</v>
      </c>
      <c r="G48" s="57" t="s">
        <v>412</v>
      </c>
      <c r="H48" s="57" t="s">
        <v>1497</v>
      </c>
      <c r="I48" s="57" t="s">
        <v>414</v>
      </c>
      <c r="J48" s="57"/>
      <c r="K48" s="57" t="s">
        <v>416</v>
      </c>
      <c r="L48" s="57" t="s">
        <v>348</v>
      </c>
      <c r="M48" s="57"/>
      <c r="N48" s="57" t="s">
        <v>717</v>
      </c>
    </row>
    <row r="49" customFormat="false" ht="27.75" hidden="false" customHeight="true" outlineLevel="0" collapsed="false">
      <c r="A49" s="57" t="s">
        <v>223</v>
      </c>
      <c r="B49" s="57" t="s">
        <v>224</v>
      </c>
      <c r="C49" s="58" t="n">
        <v>46310</v>
      </c>
      <c r="D49" s="57" t="s">
        <v>1502</v>
      </c>
      <c r="E49" s="57" t="s">
        <v>194</v>
      </c>
      <c r="F49" s="57" t="s">
        <v>181</v>
      </c>
      <c r="G49" s="57" t="s">
        <v>412</v>
      </c>
      <c r="H49" s="57" t="s">
        <v>1498</v>
      </c>
      <c r="I49" s="57" t="s">
        <v>414</v>
      </c>
      <c r="J49" s="57"/>
      <c r="K49" s="57" t="s">
        <v>416</v>
      </c>
      <c r="L49" s="57" t="s">
        <v>348</v>
      </c>
      <c r="M49" s="57"/>
      <c r="N49" s="57" t="s">
        <v>719</v>
      </c>
    </row>
    <row r="50" customFormat="false" ht="27.75" hidden="false" customHeight="true" outlineLevel="0" collapsed="false">
      <c r="A50" s="57" t="s">
        <v>223</v>
      </c>
      <c r="B50" s="57" t="s">
        <v>224</v>
      </c>
      <c r="C50" s="58" t="n">
        <v>46310</v>
      </c>
      <c r="D50" s="57" t="s">
        <v>1502</v>
      </c>
      <c r="E50" s="57" t="s">
        <v>194</v>
      </c>
      <c r="F50" s="57" t="s">
        <v>181</v>
      </c>
      <c r="G50" s="57" t="s">
        <v>594</v>
      </c>
      <c r="H50" s="57" t="s">
        <v>1499</v>
      </c>
      <c r="I50" s="57" t="s">
        <v>466</v>
      </c>
      <c r="J50" s="57"/>
      <c r="K50" s="57" t="s">
        <v>179</v>
      </c>
      <c r="L50" s="57" t="s">
        <v>348</v>
      </c>
      <c r="M50" s="57" t="s">
        <v>597</v>
      </c>
      <c r="N50" s="57" t="s">
        <v>721</v>
      </c>
    </row>
    <row r="51" customFormat="false" ht="27.75" hidden="false" customHeight="true" outlineLevel="0" collapsed="false">
      <c r="A51" s="57" t="s">
        <v>227</v>
      </c>
      <c r="B51" s="57" t="s">
        <v>228</v>
      </c>
      <c r="C51" s="58" t="n">
        <v>46304</v>
      </c>
      <c r="D51" s="57" t="s">
        <v>1478</v>
      </c>
      <c r="E51" s="57" t="s">
        <v>194</v>
      </c>
      <c r="F51" s="57" t="s">
        <v>181</v>
      </c>
      <c r="G51" s="57" t="s">
        <v>405</v>
      </c>
      <c r="H51" s="57" t="s">
        <v>1479</v>
      </c>
      <c r="I51" s="57" t="s">
        <v>466</v>
      </c>
      <c r="J51" s="57"/>
      <c r="K51" s="57" t="s">
        <v>178</v>
      </c>
      <c r="L51" s="57" t="s">
        <v>348</v>
      </c>
      <c r="M51" s="57"/>
      <c r="N51" s="57" t="s">
        <v>408</v>
      </c>
    </row>
    <row r="52" customFormat="false" ht="40.5" hidden="false" customHeight="true" outlineLevel="0" collapsed="false">
      <c r="A52" s="57" t="s">
        <v>227</v>
      </c>
      <c r="B52" s="57" t="s">
        <v>228</v>
      </c>
      <c r="C52" s="58" t="n">
        <v>46304</v>
      </c>
      <c r="D52" s="57" t="s">
        <v>1478</v>
      </c>
      <c r="E52" s="57" t="s">
        <v>194</v>
      </c>
      <c r="F52" s="57" t="s">
        <v>181</v>
      </c>
      <c r="G52" s="57" t="s">
        <v>405</v>
      </c>
      <c r="H52" s="57" t="s">
        <v>1503</v>
      </c>
      <c r="I52" s="57" t="s">
        <v>695</v>
      </c>
      <c r="J52" s="57"/>
      <c r="K52" s="57" t="s">
        <v>179</v>
      </c>
      <c r="L52" s="75" t="s">
        <v>409</v>
      </c>
      <c r="M52" s="57" t="s">
        <v>785</v>
      </c>
      <c r="N52" s="57" t="s">
        <v>696</v>
      </c>
    </row>
    <row r="53" customFormat="false" ht="27.75" hidden="false" customHeight="true" outlineLevel="0" collapsed="false">
      <c r="A53" s="57" t="s">
        <v>227</v>
      </c>
      <c r="B53" s="57" t="s">
        <v>228</v>
      </c>
      <c r="C53" s="58" t="n">
        <v>46304</v>
      </c>
      <c r="D53" s="57" t="s">
        <v>1478</v>
      </c>
      <c r="E53" s="57" t="s">
        <v>194</v>
      </c>
      <c r="F53" s="57" t="s">
        <v>181</v>
      </c>
      <c r="G53" s="57" t="s">
        <v>405</v>
      </c>
      <c r="H53" s="57" t="s">
        <v>1496</v>
      </c>
      <c r="I53" s="57" t="s">
        <v>466</v>
      </c>
      <c r="J53" s="57"/>
      <c r="K53" s="57" t="s">
        <v>179</v>
      </c>
      <c r="L53" s="57" t="s">
        <v>348</v>
      </c>
      <c r="M53" s="57"/>
      <c r="N53" s="57" t="s">
        <v>699</v>
      </c>
    </row>
    <row r="54" customFormat="false" ht="27.75" hidden="false" customHeight="true" outlineLevel="0" collapsed="false">
      <c r="A54" s="57" t="s">
        <v>227</v>
      </c>
      <c r="B54" s="57" t="s">
        <v>228</v>
      </c>
      <c r="C54" s="58" t="n">
        <v>46304</v>
      </c>
      <c r="D54" s="57" t="s">
        <v>1478</v>
      </c>
      <c r="E54" s="57" t="s">
        <v>194</v>
      </c>
      <c r="F54" s="57" t="s">
        <v>181</v>
      </c>
      <c r="G54" s="57" t="s">
        <v>464</v>
      </c>
      <c r="H54" s="57" t="s">
        <v>1485</v>
      </c>
      <c r="I54" s="57" t="s">
        <v>466</v>
      </c>
      <c r="J54" s="57"/>
      <c r="K54" s="57" t="s">
        <v>416</v>
      </c>
      <c r="L54" s="57" t="s">
        <v>348</v>
      </c>
      <c r="M54" s="57"/>
      <c r="N54" s="57" t="s">
        <v>701</v>
      </c>
    </row>
    <row r="55" customFormat="false" ht="27.75" hidden="false" customHeight="true" outlineLevel="0" collapsed="false">
      <c r="A55" s="57" t="s">
        <v>227</v>
      </c>
      <c r="B55" s="57" t="s">
        <v>228</v>
      </c>
      <c r="C55" s="58" t="n">
        <v>46304</v>
      </c>
      <c r="D55" s="57" t="s">
        <v>1478</v>
      </c>
      <c r="E55" s="57" t="s">
        <v>194</v>
      </c>
      <c r="F55" s="57" t="s">
        <v>181</v>
      </c>
      <c r="G55" s="57" t="s">
        <v>464</v>
      </c>
      <c r="H55" s="57" t="s">
        <v>1486</v>
      </c>
      <c r="I55" s="57" t="s">
        <v>466</v>
      </c>
      <c r="J55" s="57"/>
      <c r="K55" s="57" t="s">
        <v>416</v>
      </c>
      <c r="L55" s="57" t="s">
        <v>348</v>
      </c>
      <c r="M55" s="57"/>
      <c r="N55" s="57" t="s">
        <v>703</v>
      </c>
    </row>
    <row r="56" customFormat="false" ht="27.75" hidden="false" customHeight="true" outlineLevel="0" collapsed="false">
      <c r="A56" s="57" t="s">
        <v>227</v>
      </c>
      <c r="B56" s="57" t="s">
        <v>228</v>
      </c>
      <c r="C56" s="58" t="n">
        <v>46304</v>
      </c>
      <c r="D56" s="57" t="s">
        <v>1478</v>
      </c>
      <c r="E56" s="57" t="s">
        <v>194</v>
      </c>
      <c r="F56" s="57" t="s">
        <v>181</v>
      </c>
      <c r="G56" s="57" t="s">
        <v>464</v>
      </c>
      <c r="H56" s="57" t="s">
        <v>1487</v>
      </c>
      <c r="I56" s="57" t="s">
        <v>466</v>
      </c>
      <c r="J56" s="57"/>
      <c r="K56" s="57" t="s">
        <v>416</v>
      </c>
      <c r="L56" s="57" t="s">
        <v>348</v>
      </c>
      <c r="M56" s="57"/>
      <c r="N56" s="57" t="s">
        <v>705</v>
      </c>
    </row>
    <row r="57" customFormat="false" ht="27.75" hidden="false" customHeight="true" outlineLevel="0" collapsed="false">
      <c r="A57" s="57" t="s">
        <v>227</v>
      </c>
      <c r="B57" s="57" t="s">
        <v>228</v>
      </c>
      <c r="C57" s="58" t="n">
        <v>46304</v>
      </c>
      <c r="D57" s="57" t="s">
        <v>1478</v>
      </c>
      <c r="E57" s="57" t="s">
        <v>194</v>
      </c>
      <c r="F57" s="57" t="s">
        <v>181</v>
      </c>
      <c r="G57" s="57" t="s">
        <v>464</v>
      </c>
      <c r="H57" s="57" t="s">
        <v>1488</v>
      </c>
      <c r="I57" s="57" t="s">
        <v>466</v>
      </c>
      <c r="J57" s="57"/>
      <c r="K57" s="57" t="s">
        <v>416</v>
      </c>
      <c r="L57" s="57" t="s">
        <v>348</v>
      </c>
      <c r="M57" s="57"/>
      <c r="N57" s="57" t="s">
        <v>707</v>
      </c>
    </row>
    <row r="58" customFormat="false" ht="27.75" hidden="false" customHeight="true" outlineLevel="0" collapsed="false">
      <c r="A58" s="57" t="s">
        <v>227</v>
      </c>
      <c r="B58" s="57" t="s">
        <v>228</v>
      </c>
      <c r="C58" s="58" t="n">
        <v>46304</v>
      </c>
      <c r="D58" s="57" t="s">
        <v>1478</v>
      </c>
      <c r="E58" s="57" t="s">
        <v>194</v>
      </c>
      <c r="F58" s="57" t="s">
        <v>181</v>
      </c>
      <c r="G58" s="57" t="s">
        <v>464</v>
      </c>
      <c r="H58" s="57" t="s">
        <v>1489</v>
      </c>
      <c r="I58" s="57" t="s">
        <v>466</v>
      </c>
      <c r="J58" s="57"/>
      <c r="K58" s="57" t="s">
        <v>416</v>
      </c>
      <c r="L58" s="57" t="s">
        <v>348</v>
      </c>
      <c r="M58" s="57"/>
      <c r="N58" s="57" t="s">
        <v>709</v>
      </c>
    </row>
    <row r="59" customFormat="false" ht="27.75" hidden="false" customHeight="true" outlineLevel="0" collapsed="false">
      <c r="A59" s="57" t="s">
        <v>227</v>
      </c>
      <c r="B59" s="57" t="s">
        <v>228</v>
      </c>
      <c r="C59" s="58" t="n">
        <v>46304</v>
      </c>
      <c r="D59" s="57" t="s">
        <v>1478</v>
      </c>
      <c r="E59" s="57" t="s">
        <v>194</v>
      </c>
      <c r="F59" s="57" t="s">
        <v>181</v>
      </c>
      <c r="G59" s="57" t="s">
        <v>464</v>
      </c>
      <c r="H59" s="57" t="s">
        <v>1490</v>
      </c>
      <c r="I59" s="57" t="s">
        <v>581</v>
      </c>
      <c r="J59" s="57"/>
      <c r="K59" s="57" t="s">
        <v>416</v>
      </c>
      <c r="L59" s="57" t="s">
        <v>348</v>
      </c>
      <c r="M59" s="57" t="s">
        <v>514</v>
      </c>
      <c r="N59" s="57" t="s">
        <v>711</v>
      </c>
    </row>
    <row r="60" customFormat="false" ht="27.75" hidden="false" customHeight="true" outlineLevel="0" collapsed="false">
      <c r="A60" s="57" t="s">
        <v>227</v>
      </c>
      <c r="B60" s="57" t="s">
        <v>228</v>
      </c>
      <c r="C60" s="58" t="n">
        <v>46304</v>
      </c>
      <c r="D60" s="57" t="s">
        <v>1478</v>
      </c>
      <c r="E60" s="57" t="s">
        <v>194</v>
      </c>
      <c r="F60" s="57" t="s">
        <v>181</v>
      </c>
      <c r="G60" s="57" t="s">
        <v>464</v>
      </c>
      <c r="H60" s="57" t="s">
        <v>1491</v>
      </c>
      <c r="I60" s="57" t="s">
        <v>466</v>
      </c>
      <c r="J60" s="57"/>
      <c r="K60" s="57" t="s">
        <v>416</v>
      </c>
      <c r="L60" s="57" t="s">
        <v>348</v>
      </c>
      <c r="M60" s="57"/>
      <c r="N60" s="57" t="s">
        <v>713</v>
      </c>
    </row>
    <row r="61" customFormat="false" ht="27.75" hidden="false" customHeight="true" outlineLevel="0" collapsed="false">
      <c r="A61" s="57" t="s">
        <v>227</v>
      </c>
      <c r="B61" s="57" t="s">
        <v>228</v>
      </c>
      <c r="C61" s="58" t="n">
        <v>46304</v>
      </c>
      <c r="D61" s="57" t="s">
        <v>1478</v>
      </c>
      <c r="E61" s="57" t="s">
        <v>194</v>
      </c>
      <c r="F61" s="57" t="s">
        <v>181</v>
      </c>
      <c r="G61" s="57" t="s">
        <v>412</v>
      </c>
      <c r="H61" s="57" t="s">
        <v>1492</v>
      </c>
      <c r="I61" s="57" t="s">
        <v>414</v>
      </c>
      <c r="J61" s="57"/>
      <c r="K61" s="57" t="s">
        <v>416</v>
      </c>
      <c r="L61" s="57" t="s">
        <v>348</v>
      </c>
      <c r="M61" s="57"/>
      <c r="N61" s="57" t="s">
        <v>715</v>
      </c>
    </row>
    <row r="62" customFormat="false" ht="27.75" hidden="false" customHeight="true" outlineLevel="0" collapsed="false">
      <c r="A62" s="57" t="s">
        <v>227</v>
      </c>
      <c r="B62" s="57" t="s">
        <v>228</v>
      </c>
      <c r="C62" s="58" t="n">
        <v>46304</v>
      </c>
      <c r="D62" s="57" t="s">
        <v>1478</v>
      </c>
      <c r="E62" s="57" t="s">
        <v>194</v>
      </c>
      <c r="F62" s="57" t="s">
        <v>181</v>
      </c>
      <c r="G62" s="57" t="s">
        <v>412</v>
      </c>
      <c r="H62" s="57" t="s">
        <v>1497</v>
      </c>
      <c r="I62" s="57" t="s">
        <v>414</v>
      </c>
      <c r="J62" s="57"/>
      <c r="K62" s="57" t="s">
        <v>416</v>
      </c>
      <c r="L62" s="57" t="s">
        <v>348</v>
      </c>
      <c r="M62" s="57"/>
      <c r="N62" s="57" t="s">
        <v>717</v>
      </c>
    </row>
    <row r="63" customFormat="false" ht="27.75" hidden="false" customHeight="true" outlineLevel="0" collapsed="false">
      <c r="A63" s="57" t="s">
        <v>227</v>
      </c>
      <c r="B63" s="57" t="s">
        <v>228</v>
      </c>
      <c r="C63" s="58" t="n">
        <v>46304</v>
      </c>
      <c r="D63" s="57" t="s">
        <v>1478</v>
      </c>
      <c r="E63" s="57" t="s">
        <v>194</v>
      </c>
      <c r="F63" s="57" t="s">
        <v>181</v>
      </c>
      <c r="G63" s="57" t="s">
        <v>412</v>
      </c>
      <c r="H63" s="57" t="s">
        <v>1498</v>
      </c>
      <c r="I63" s="57" t="s">
        <v>414</v>
      </c>
      <c r="J63" s="57"/>
      <c r="K63" s="57" t="s">
        <v>416</v>
      </c>
      <c r="L63" s="57" t="s">
        <v>348</v>
      </c>
      <c r="M63" s="57"/>
      <c r="N63" s="57" t="s">
        <v>719</v>
      </c>
    </row>
    <row r="64" customFormat="false" ht="27.75" hidden="false" customHeight="true" outlineLevel="0" collapsed="false">
      <c r="A64" s="57" t="s">
        <v>227</v>
      </c>
      <c r="B64" s="57" t="s">
        <v>228</v>
      </c>
      <c r="C64" s="58" t="n">
        <v>46304</v>
      </c>
      <c r="D64" s="57" t="s">
        <v>1478</v>
      </c>
      <c r="E64" s="57" t="s">
        <v>194</v>
      </c>
      <c r="F64" s="57" t="s">
        <v>181</v>
      </c>
      <c r="G64" s="57" t="s">
        <v>594</v>
      </c>
      <c r="H64" s="57" t="s">
        <v>1499</v>
      </c>
      <c r="I64" s="57" t="s">
        <v>466</v>
      </c>
      <c r="J64" s="57"/>
      <c r="K64" s="57" t="s">
        <v>179</v>
      </c>
      <c r="L64" s="57" t="s">
        <v>348</v>
      </c>
      <c r="M64" s="57" t="s">
        <v>597</v>
      </c>
      <c r="N64" s="57" t="s">
        <v>721</v>
      </c>
    </row>
    <row r="65" customFormat="false" ht="27.75" hidden="false" customHeight="true" outlineLevel="0" collapsed="false">
      <c r="A65" s="57" t="s">
        <v>230</v>
      </c>
      <c r="B65" s="57" t="s">
        <v>231</v>
      </c>
      <c r="C65" s="58" t="n">
        <v>46305</v>
      </c>
      <c r="D65" s="57" t="s">
        <v>1504</v>
      </c>
      <c r="E65" s="57" t="s">
        <v>180</v>
      </c>
      <c r="F65" s="57" t="s">
        <v>195</v>
      </c>
      <c r="G65" s="57" t="s">
        <v>412</v>
      </c>
      <c r="H65" s="57" t="s">
        <v>1480</v>
      </c>
      <c r="I65" s="57" t="s">
        <v>414</v>
      </c>
      <c r="J65" s="57"/>
      <c r="K65" s="57" t="s">
        <v>416</v>
      </c>
      <c r="L65" s="57" t="s">
        <v>348</v>
      </c>
      <c r="M65" s="57"/>
      <c r="N65" s="57" t="s">
        <v>818</v>
      </c>
    </row>
    <row r="66" customFormat="false" ht="27.75" hidden="false" customHeight="true" outlineLevel="0" collapsed="false">
      <c r="A66" s="57" t="s">
        <v>238</v>
      </c>
      <c r="B66" s="57" t="s">
        <v>240</v>
      </c>
      <c r="C66" s="58" t="n">
        <v>46306</v>
      </c>
      <c r="D66" s="57" t="s">
        <v>1505</v>
      </c>
      <c r="E66" s="57" t="s">
        <v>194</v>
      </c>
      <c r="F66" s="57" t="s">
        <v>195</v>
      </c>
      <c r="G66" s="57" t="s">
        <v>405</v>
      </c>
      <c r="H66" s="57" t="s">
        <v>1484</v>
      </c>
      <c r="I66" s="57" t="s">
        <v>460</v>
      </c>
      <c r="J66" s="57"/>
      <c r="K66" s="57" t="s">
        <v>416</v>
      </c>
      <c r="L66" s="57" t="s">
        <v>348</v>
      </c>
      <c r="M66" s="57" t="s">
        <v>500</v>
      </c>
      <c r="N66" s="57" t="s">
        <v>841</v>
      </c>
    </row>
    <row r="67" customFormat="false" ht="27.75" hidden="false" customHeight="true" outlineLevel="0" collapsed="false">
      <c r="A67" s="57" t="s">
        <v>238</v>
      </c>
      <c r="B67" s="57" t="s">
        <v>240</v>
      </c>
      <c r="C67" s="58" t="n">
        <v>46306</v>
      </c>
      <c r="D67" s="57" t="s">
        <v>1505</v>
      </c>
      <c r="E67" s="57" t="s">
        <v>194</v>
      </c>
      <c r="F67" s="57" t="s">
        <v>195</v>
      </c>
      <c r="G67" s="57" t="s">
        <v>464</v>
      </c>
      <c r="H67" s="57" t="s">
        <v>1485</v>
      </c>
      <c r="I67" s="57" t="s">
        <v>466</v>
      </c>
      <c r="J67" s="57"/>
      <c r="K67" s="57" t="s">
        <v>416</v>
      </c>
      <c r="L67" s="57" t="s">
        <v>348</v>
      </c>
      <c r="M67" s="57"/>
      <c r="N67" s="57" t="s">
        <v>844</v>
      </c>
    </row>
    <row r="68" customFormat="false" ht="27.75" hidden="false" customHeight="true" outlineLevel="0" collapsed="false">
      <c r="A68" s="57" t="s">
        <v>238</v>
      </c>
      <c r="B68" s="57" t="s">
        <v>240</v>
      </c>
      <c r="C68" s="58" t="n">
        <v>46306</v>
      </c>
      <c r="D68" s="57" t="s">
        <v>1505</v>
      </c>
      <c r="E68" s="57" t="s">
        <v>194</v>
      </c>
      <c r="F68" s="57" t="s">
        <v>195</v>
      </c>
      <c r="G68" s="57" t="s">
        <v>464</v>
      </c>
      <c r="H68" s="57" t="s">
        <v>1486</v>
      </c>
      <c r="I68" s="57" t="s">
        <v>466</v>
      </c>
      <c r="J68" s="57"/>
      <c r="K68" s="57" t="s">
        <v>416</v>
      </c>
      <c r="L68" s="57" t="s">
        <v>348</v>
      </c>
      <c r="M68" s="57"/>
      <c r="N68" s="57" t="s">
        <v>847</v>
      </c>
    </row>
    <row r="69" customFormat="false" ht="27.75" hidden="false" customHeight="true" outlineLevel="0" collapsed="false">
      <c r="A69" s="57" t="s">
        <v>238</v>
      </c>
      <c r="B69" s="57" t="s">
        <v>240</v>
      </c>
      <c r="C69" s="58" t="n">
        <v>46306</v>
      </c>
      <c r="D69" s="57" t="s">
        <v>1505</v>
      </c>
      <c r="E69" s="57" t="s">
        <v>194</v>
      </c>
      <c r="F69" s="57" t="s">
        <v>195</v>
      </c>
      <c r="G69" s="57" t="s">
        <v>464</v>
      </c>
      <c r="H69" s="57" t="s">
        <v>1487</v>
      </c>
      <c r="I69" s="57" t="s">
        <v>466</v>
      </c>
      <c r="J69" s="57"/>
      <c r="K69" s="57" t="s">
        <v>416</v>
      </c>
      <c r="L69" s="57" t="s">
        <v>348</v>
      </c>
      <c r="M69" s="57"/>
      <c r="N69" s="57" t="s">
        <v>849</v>
      </c>
    </row>
    <row r="70" customFormat="false" ht="65.25" hidden="false" customHeight="true" outlineLevel="0" collapsed="false">
      <c r="A70" s="57" t="s">
        <v>238</v>
      </c>
      <c r="B70" s="57" t="s">
        <v>240</v>
      </c>
      <c r="C70" s="58" t="n">
        <v>46306</v>
      </c>
      <c r="D70" s="57" t="s">
        <v>1505</v>
      </c>
      <c r="E70" s="57" t="s">
        <v>194</v>
      </c>
      <c r="F70" s="57" t="s">
        <v>195</v>
      </c>
      <c r="G70" s="57" t="s">
        <v>464</v>
      </c>
      <c r="H70" s="57" t="s">
        <v>1488</v>
      </c>
      <c r="I70" s="57" t="s">
        <v>466</v>
      </c>
      <c r="J70" s="57"/>
      <c r="K70" s="57" t="s">
        <v>416</v>
      </c>
      <c r="L70" s="75" t="s">
        <v>409</v>
      </c>
      <c r="M70" s="57" t="s">
        <v>509</v>
      </c>
      <c r="N70" s="57" t="s">
        <v>851</v>
      </c>
    </row>
    <row r="71" customFormat="false" ht="65.25" hidden="false" customHeight="true" outlineLevel="0" collapsed="false">
      <c r="A71" s="57" t="s">
        <v>238</v>
      </c>
      <c r="B71" s="57" t="s">
        <v>240</v>
      </c>
      <c r="C71" s="58" t="n">
        <v>46306</v>
      </c>
      <c r="D71" s="57" t="s">
        <v>1505</v>
      </c>
      <c r="E71" s="57" t="s">
        <v>194</v>
      </c>
      <c r="F71" s="57" t="s">
        <v>195</v>
      </c>
      <c r="G71" s="57" t="s">
        <v>464</v>
      </c>
      <c r="H71" s="57" t="s">
        <v>1489</v>
      </c>
      <c r="I71" s="57" t="s">
        <v>466</v>
      </c>
      <c r="J71" s="57"/>
      <c r="K71" s="57" t="s">
        <v>416</v>
      </c>
      <c r="L71" s="75" t="s">
        <v>409</v>
      </c>
      <c r="M71" s="57" t="s">
        <v>509</v>
      </c>
      <c r="N71" s="57" t="s">
        <v>854</v>
      </c>
    </row>
    <row r="72" customFormat="false" ht="27.75" hidden="false" customHeight="true" outlineLevel="0" collapsed="false">
      <c r="A72" s="57" t="s">
        <v>238</v>
      </c>
      <c r="B72" s="57" t="s">
        <v>240</v>
      </c>
      <c r="C72" s="58" t="n">
        <v>46306</v>
      </c>
      <c r="D72" s="57" t="s">
        <v>1505</v>
      </c>
      <c r="E72" s="57" t="s">
        <v>194</v>
      </c>
      <c r="F72" s="57" t="s">
        <v>195</v>
      </c>
      <c r="G72" s="57" t="s">
        <v>464</v>
      </c>
      <c r="H72" s="57" t="s">
        <v>1490</v>
      </c>
      <c r="I72" s="57" t="s">
        <v>484</v>
      </c>
      <c r="J72" s="57"/>
      <c r="K72" s="57" t="s">
        <v>416</v>
      </c>
      <c r="L72" s="57" t="s">
        <v>348</v>
      </c>
      <c r="M72" s="57" t="s">
        <v>514</v>
      </c>
      <c r="N72" s="57" t="s">
        <v>856</v>
      </c>
    </row>
    <row r="73" customFormat="false" ht="27.75" hidden="false" customHeight="true" outlineLevel="0" collapsed="false">
      <c r="A73" s="57" t="s">
        <v>238</v>
      </c>
      <c r="B73" s="57" t="s">
        <v>240</v>
      </c>
      <c r="C73" s="58" t="n">
        <v>46306</v>
      </c>
      <c r="D73" s="57" t="s">
        <v>1505</v>
      </c>
      <c r="E73" s="57" t="s">
        <v>194</v>
      </c>
      <c r="F73" s="57" t="s">
        <v>195</v>
      </c>
      <c r="G73" s="57" t="s">
        <v>464</v>
      </c>
      <c r="H73" s="57" t="s">
        <v>1491</v>
      </c>
      <c r="I73" s="57" t="s">
        <v>466</v>
      </c>
      <c r="J73" s="57"/>
      <c r="K73" s="57" t="s">
        <v>416</v>
      </c>
      <c r="L73" s="57" t="s">
        <v>348</v>
      </c>
      <c r="M73" s="57"/>
      <c r="N73" s="57" t="s">
        <v>859</v>
      </c>
    </row>
    <row r="74" customFormat="false" ht="27.75" hidden="false" customHeight="true" outlineLevel="0" collapsed="false">
      <c r="A74" s="57" t="s">
        <v>238</v>
      </c>
      <c r="B74" s="57" t="s">
        <v>240</v>
      </c>
      <c r="C74" s="58" t="n">
        <v>46306</v>
      </c>
      <c r="D74" s="57" t="s">
        <v>1505</v>
      </c>
      <c r="E74" s="57" t="s">
        <v>194</v>
      </c>
      <c r="F74" s="57" t="s">
        <v>195</v>
      </c>
      <c r="G74" s="57" t="s">
        <v>412</v>
      </c>
      <c r="H74" s="57" t="s">
        <v>1492</v>
      </c>
      <c r="I74" s="57" t="s">
        <v>414</v>
      </c>
      <c r="J74" s="57"/>
      <c r="K74" s="57" t="s">
        <v>416</v>
      </c>
      <c r="L74" s="57" t="s">
        <v>348</v>
      </c>
      <c r="M74" s="57"/>
      <c r="N74" s="57" t="s">
        <v>861</v>
      </c>
    </row>
    <row r="75" customFormat="false" ht="27.75" hidden="false" customHeight="true" outlineLevel="0" collapsed="false">
      <c r="A75" s="57" t="s">
        <v>238</v>
      </c>
      <c r="B75" s="57" t="s">
        <v>240</v>
      </c>
      <c r="C75" s="58" t="n">
        <v>46306</v>
      </c>
      <c r="D75" s="57" t="s">
        <v>1505</v>
      </c>
      <c r="E75" s="57" t="s">
        <v>194</v>
      </c>
      <c r="F75" s="57" t="s">
        <v>195</v>
      </c>
      <c r="G75" s="57" t="s">
        <v>412</v>
      </c>
      <c r="H75" s="57" t="s">
        <v>1493</v>
      </c>
      <c r="I75" s="57" t="s">
        <v>414</v>
      </c>
      <c r="J75" s="57"/>
      <c r="K75" s="57" t="s">
        <v>416</v>
      </c>
      <c r="L75" s="57" t="s">
        <v>348</v>
      </c>
      <c r="M75" s="57"/>
      <c r="N75" s="57" t="s">
        <v>863</v>
      </c>
    </row>
    <row r="76" customFormat="false" ht="27.75" hidden="false" customHeight="true" outlineLevel="0" collapsed="false">
      <c r="A76" s="57" t="s">
        <v>243</v>
      </c>
      <c r="B76" s="57" t="s">
        <v>245</v>
      </c>
      <c r="C76" s="58" t="n">
        <v>46307</v>
      </c>
      <c r="D76" s="57" t="s">
        <v>1506</v>
      </c>
      <c r="E76" s="57" t="s">
        <v>194</v>
      </c>
      <c r="F76" s="57" t="s">
        <v>195</v>
      </c>
      <c r="G76" s="57" t="s">
        <v>405</v>
      </c>
      <c r="H76" s="57" t="s">
        <v>1484</v>
      </c>
      <c r="I76" s="57" t="s">
        <v>460</v>
      </c>
      <c r="J76" s="57"/>
      <c r="K76" s="57" t="s">
        <v>416</v>
      </c>
      <c r="L76" s="57" t="s">
        <v>348</v>
      </c>
      <c r="M76" s="57" t="s">
        <v>500</v>
      </c>
      <c r="N76" s="57" t="s">
        <v>898</v>
      </c>
    </row>
    <row r="77" customFormat="false" ht="27.75" hidden="false" customHeight="true" outlineLevel="0" collapsed="false">
      <c r="A77" s="57" t="s">
        <v>243</v>
      </c>
      <c r="B77" s="57" t="s">
        <v>245</v>
      </c>
      <c r="C77" s="58" t="n">
        <v>46307</v>
      </c>
      <c r="D77" s="57" t="s">
        <v>1506</v>
      </c>
      <c r="E77" s="57" t="s">
        <v>194</v>
      </c>
      <c r="F77" s="57" t="s">
        <v>195</v>
      </c>
      <c r="G77" s="57" t="s">
        <v>464</v>
      </c>
      <c r="H77" s="57" t="s">
        <v>1485</v>
      </c>
      <c r="I77" s="57" t="s">
        <v>466</v>
      </c>
      <c r="J77" s="57"/>
      <c r="K77" s="57" t="s">
        <v>416</v>
      </c>
      <c r="L77" s="57" t="s">
        <v>348</v>
      </c>
      <c r="M77" s="57"/>
      <c r="N77" s="57" t="s">
        <v>900</v>
      </c>
    </row>
    <row r="78" customFormat="false" ht="27.75" hidden="false" customHeight="true" outlineLevel="0" collapsed="false">
      <c r="A78" s="57" t="s">
        <v>243</v>
      </c>
      <c r="B78" s="57" t="s">
        <v>245</v>
      </c>
      <c r="C78" s="58" t="n">
        <v>46307</v>
      </c>
      <c r="D78" s="57" t="s">
        <v>1506</v>
      </c>
      <c r="E78" s="57" t="s">
        <v>194</v>
      </c>
      <c r="F78" s="57" t="s">
        <v>195</v>
      </c>
      <c r="G78" s="57" t="s">
        <v>464</v>
      </c>
      <c r="H78" s="57" t="s">
        <v>1486</v>
      </c>
      <c r="I78" s="57" t="s">
        <v>466</v>
      </c>
      <c r="J78" s="57"/>
      <c r="K78" s="57" t="s">
        <v>416</v>
      </c>
      <c r="L78" s="57" t="s">
        <v>348</v>
      </c>
      <c r="M78" s="57"/>
      <c r="N78" s="57" t="s">
        <v>902</v>
      </c>
    </row>
    <row r="79" customFormat="false" ht="27.75" hidden="false" customHeight="true" outlineLevel="0" collapsed="false">
      <c r="A79" s="57" t="s">
        <v>243</v>
      </c>
      <c r="B79" s="57" t="s">
        <v>245</v>
      </c>
      <c r="C79" s="58" t="n">
        <v>46307</v>
      </c>
      <c r="D79" s="57" t="s">
        <v>1506</v>
      </c>
      <c r="E79" s="57" t="s">
        <v>194</v>
      </c>
      <c r="F79" s="57" t="s">
        <v>195</v>
      </c>
      <c r="G79" s="57" t="s">
        <v>464</v>
      </c>
      <c r="H79" s="57" t="s">
        <v>1487</v>
      </c>
      <c r="I79" s="57" t="s">
        <v>466</v>
      </c>
      <c r="J79" s="57"/>
      <c r="K79" s="57" t="s">
        <v>416</v>
      </c>
      <c r="L79" s="57" t="s">
        <v>348</v>
      </c>
      <c r="M79" s="57"/>
      <c r="N79" s="57" t="s">
        <v>904</v>
      </c>
    </row>
    <row r="80" customFormat="false" ht="27.75" hidden="false" customHeight="true" outlineLevel="0" collapsed="false">
      <c r="A80" s="57" t="s">
        <v>243</v>
      </c>
      <c r="B80" s="57" t="s">
        <v>245</v>
      </c>
      <c r="C80" s="58" t="n">
        <v>46307</v>
      </c>
      <c r="D80" s="57" t="s">
        <v>1506</v>
      </c>
      <c r="E80" s="57" t="s">
        <v>194</v>
      </c>
      <c r="F80" s="57" t="s">
        <v>195</v>
      </c>
      <c r="G80" s="57" t="s">
        <v>464</v>
      </c>
      <c r="H80" s="57" t="s">
        <v>1490</v>
      </c>
      <c r="I80" s="57" t="s">
        <v>484</v>
      </c>
      <c r="J80" s="57"/>
      <c r="K80" s="57" t="s">
        <v>416</v>
      </c>
      <c r="L80" s="57" t="s">
        <v>348</v>
      </c>
      <c r="M80" s="57" t="s">
        <v>514</v>
      </c>
      <c r="N80" s="57" t="s">
        <v>906</v>
      </c>
    </row>
    <row r="81" customFormat="false" ht="27.75" hidden="false" customHeight="true" outlineLevel="0" collapsed="false">
      <c r="A81" s="57" t="s">
        <v>243</v>
      </c>
      <c r="B81" s="57" t="s">
        <v>245</v>
      </c>
      <c r="C81" s="58" t="n">
        <v>46307</v>
      </c>
      <c r="D81" s="57" t="s">
        <v>1506</v>
      </c>
      <c r="E81" s="57" t="s">
        <v>194</v>
      </c>
      <c r="F81" s="57" t="s">
        <v>195</v>
      </c>
      <c r="G81" s="57" t="s">
        <v>464</v>
      </c>
      <c r="H81" s="57" t="s">
        <v>1491</v>
      </c>
      <c r="I81" s="57" t="s">
        <v>466</v>
      </c>
      <c r="J81" s="57"/>
      <c r="K81" s="57" t="s">
        <v>416</v>
      </c>
      <c r="L81" s="57" t="s">
        <v>348</v>
      </c>
      <c r="M81" s="57"/>
      <c r="N81" s="57" t="s">
        <v>908</v>
      </c>
    </row>
    <row r="82" customFormat="false" ht="27.75" hidden="false" customHeight="true" outlineLevel="0" collapsed="false">
      <c r="A82" s="57" t="s">
        <v>243</v>
      </c>
      <c r="B82" s="57" t="s">
        <v>245</v>
      </c>
      <c r="C82" s="58" t="n">
        <v>46307</v>
      </c>
      <c r="D82" s="57" t="s">
        <v>1506</v>
      </c>
      <c r="E82" s="57" t="s">
        <v>194</v>
      </c>
      <c r="F82" s="57" t="s">
        <v>195</v>
      </c>
      <c r="G82" s="57" t="s">
        <v>412</v>
      </c>
      <c r="H82" s="57" t="s">
        <v>1492</v>
      </c>
      <c r="I82" s="57" t="s">
        <v>414</v>
      </c>
      <c r="J82" s="57"/>
      <c r="K82" s="57" t="s">
        <v>416</v>
      </c>
      <c r="L82" s="57" t="s">
        <v>348</v>
      </c>
      <c r="M82" s="57"/>
      <c r="N82" s="57" t="s">
        <v>910</v>
      </c>
    </row>
    <row r="83" customFormat="false" ht="27.75" hidden="false" customHeight="true" outlineLevel="0" collapsed="false">
      <c r="A83" s="57" t="s">
        <v>243</v>
      </c>
      <c r="B83" s="57" t="s">
        <v>245</v>
      </c>
      <c r="C83" s="58" t="n">
        <v>46307</v>
      </c>
      <c r="D83" s="57" t="s">
        <v>1506</v>
      </c>
      <c r="E83" s="57" t="s">
        <v>194</v>
      </c>
      <c r="F83" s="57" t="s">
        <v>195</v>
      </c>
      <c r="G83" s="57" t="s">
        <v>412</v>
      </c>
      <c r="H83" s="57" t="s">
        <v>1493</v>
      </c>
      <c r="I83" s="57" t="s">
        <v>414</v>
      </c>
      <c r="J83" s="57"/>
      <c r="K83" s="57" t="s">
        <v>416</v>
      </c>
      <c r="L83" s="57" t="s">
        <v>348</v>
      </c>
      <c r="M83" s="57"/>
      <c r="N83" s="57" t="s">
        <v>912</v>
      </c>
    </row>
    <row r="84" customFormat="false" ht="27.75" hidden="false" customHeight="true" outlineLevel="0" collapsed="false">
      <c r="A84" s="57" t="s">
        <v>250</v>
      </c>
      <c r="B84" s="57" t="s">
        <v>251</v>
      </c>
      <c r="C84" s="58" t="n">
        <v>46307</v>
      </c>
      <c r="D84" s="57" t="s">
        <v>1507</v>
      </c>
      <c r="E84" s="57" t="s">
        <v>180</v>
      </c>
      <c r="F84" s="57" t="s">
        <v>195</v>
      </c>
      <c r="G84" s="57" t="s">
        <v>412</v>
      </c>
      <c r="H84" s="57" t="s">
        <v>1480</v>
      </c>
      <c r="I84" s="57" t="s">
        <v>414</v>
      </c>
      <c r="J84" s="57"/>
      <c r="K84" s="57" t="s">
        <v>416</v>
      </c>
      <c r="L84" s="57" t="s">
        <v>348</v>
      </c>
      <c r="M84" s="57"/>
      <c r="N84" s="57" t="s">
        <v>948</v>
      </c>
    </row>
    <row r="85" customFormat="false" ht="27.75" hidden="false" customHeight="true" outlineLevel="0" collapsed="false">
      <c r="A85" s="57" t="s">
        <v>253</v>
      </c>
      <c r="B85" s="57" t="s">
        <v>254</v>
      </c>
      <c r="C85" s="58" t="n">
        <v>46307</v>
      </c>
      <c r="D85" s="57" t="s">
        <v>1508</v>
      </c>
      <c r="E85" s="57" t="s">
        <v>194</v>
      </c>
      <c r="F85" s="57" t="s">
        <v>256</v>
      </c>
      <c r="G85" s="57" t="s">
        <v>405</v>
      </c>
      <c r="H85" s="57" t="s">
        <v>1479</v>
      </c>
      <c r="I85" s="57" t="s">
        <v>466</v>
      </c>
      <c r="J85" s="57"/>
      <c r="K85" s="57" t="s">
        <v>179</v>
      </c>
      <c r="L85" s="57" t="s">
        <v>348</v>
      </c>
      <c r="M85" s="57"/>
      <c r="N85" s="57" t="s">
        <v>979</v>
      </c>
    </row>
    <row r="86" customFormat="false" ht="27.75" hidden="false" customHeight="true" outlineLevel="0" collapsed="false">
      <c r="A86" s="57" t="s">
        <v>253</v>
      </c>
      <c r="B86" s="57" t="s">
        <v>254</v>
      </c>
      <c r="C86" s="58" t="n">
        <v>46307</v>
      </c>
      <c r="D86" s="57" t="s">
        <v>1508</v>
      </c>
      <c r="E86" s="57" t="s">
        <v>194</v>
      </c>
      <c r="F86" s="57" t="s">
        <v>256</v>
      </c>
      <c r="G86" s="57" t="s">
        <v>405</v>
      </c>
      <c r="H86" s="57" t="s">
        <v>1496</v>
      </c>
      <c r="I86" s="57" t="s">
        <v>466</v>
      </c>
      <c r="J86" s="57"/>
      <c r="K86" s="57" t="s">
        <v>179</v>
      </c>
      <c r="L86" s="57" t="s">
        <v>348</v>
      </c>
      <c r="M86" s="57"/>
      <c r="N86" s="57" t="s">
        <v>981</v>
      </c>
    </row>
    <row r="87" customFormat="false" ht="27.75" hidden="false" customHeight="true" outlineLevel="0" collapsed="false">
      <c r="A87" s="57" t="s">
        <v>253</v>
      </c>
      <c r="B87" s="57" t="s">
        <v>254</v>
      </c>
      <c r="C87" s="58" t="n">
        <v>46307</v>
      </c>
      <c r="D87" s="57" t="s">
        <v>1508</v>
      </c>
      <c r="E87" s="57" t="s">
        <v>194</v>
      </c>
      <c r="F87" s="57" t="s">
        <v>256</v>
      </c>
      <c r="G87" s="57" t="s">
        <v>464</v>
      </c>
      <c r="H87" s="57" t="s">
        <v>1485</v>
      </c>
      <c r="I87" s="57" t="s">
        <v>466</v>
      </c>
      <c r="J87" s="57"/>
      <c r="K87" s="57" t="s">
        <v>416</v>
      </c>
      <c r="L87" s="57" t="s">
        <v>348</v>
      </c>
      <c r="M87" s="57"/>
      <c r="N87" s="57" t="s">
        <v>983</v>
      </c>
    </row>
    <row r="88" customFormat="false" ht="27.75" hidden="false" customHeight="true" outlineLevel="0" collapsed="false">
      <c r="A88" s="57" t="s">
        <v>253</v>
      </c>
      <c r="B88" s="57" t="s">
        <v>254</v>
      </c>
      <c r="C88" s="58" t="n">
        <v>46307</v>
      </c>
      <c r="D88" s="57" t="s">
        <v>1508</v>
      </c>
      <c r="E88" s="57" t="s">
        <v>194</v>
      </c>
      <c r="F88" s="57" t="s">
        <v>256</v>
      </c>
      <c r="G88" s="57" t="s">
        <v>464</v>
      </c>
      <c r="H88" s="57" t="s">
        <v>1486</v>
      </c>
      <c r="I88" s="57" t="s">
        <v>466</v>
      </c>
      <c r="J88" s="57"/>
      <c r="K88" s="57" t="s">
        <v>416</v>
      </c>
      <c r="L88" s="57" t="s">
        <v>348</v>
      </c>
      <c r="M88" s="57"/>
      <c r="N88" s="57" t="s">
        <v>985</v>
      </c>
    </row>
    <row r="89" customFormat="false" ht="27.75" hidden="false" customHeight="true" outlineLevel="0" collapsed="false">
      <c r="A89" s="57" t="s">
        <v>253</v>
      </c>
      <c r="B89" s="57" t="s">
        <v>254</v>
      </c>
      <c r="C89" s="58" t="n">
        <v>46307</v>
      </c>
      <c r="D89" s="57" t="s">
        <v>1508</v>
      </c>
      <c r="E89" s="57" t="s">
        <v>194</v>
      </c>
      <c r="F89" s="57" t="s">
        <v>256</v>
      </c>
      <c r="G89" s="57" t="s">
        <v>464</v>
      </c>
      <c r="H89" s="57" t="s">
        <v>1487</v>
      </c>
      <c r="I89" s="57" t="s">
        <v>466</v>
      </c>
      <c r="J89" s="57"/>
      <c r="K89" s="57" t="s">
        <v>416</v>
      </c>
      <c r="L89" s="57" t="s">
        <v>348</v>
      </c>
      <c r="M89" s="57"/>
      <c r="N89" s="57" t="s">
        <v>987</v>
      </c>
    </row>
    <row r="90" customFormat="false" ht="27.75" hidden="false" customHeight="true" outlineLevel="0" collapsed="false">
      <c r="A90" s="57" t="s">
        <v>253</v>
      </c>
      <c r="B90" s="57" t="s">
        <v>254</v>
      </c>
      <c r="C90" s="58" t="n">
        <v>46307</v>
      </c>
      <c r="D90" s="57" t="s">
        <v>1508</v>
      </c>
      <c r="E90" s="57" t="s">
        <v>194</v>
      </c>
      <c r="F90" s="57" t="s">
        <v>256</v>
      </c>
      <c r="G90" s="57" t="s">
        <v>464</v>
      </c>
      <c r="H90" s="57" t="s">
        <v>1488</v>
      </c>
      <c r="I90" s="57" t="s">
        <v>466</v>
      </c>
      <c r="J90" s="57"/>
      <c r="K90" s="57" t="s">
        <v>416</v>
      </c>
      <c r="L90" s="57" t="s">
        <v>348</v>
      </c>
      <c r="M90" s="57"/>
      <c r="N90" s="57" t="s">
        <v>989</v>
      </c>
    </row>
    <row r="91" customFormat="false" ht="27.75" hidden="false" customHeight="true" outlineLevel="0" collapsed="false">
      <c r="A91" s="57" t="s">
        <v>253</v>
      </c>
      <c r="B91" s="57" t="s">
        <v>254</v>
      </c>
      <c r="C91" s="58" t="n">
        <v>46307</v>
      </c>
      <c r="D91" s="57" t="s">
        <v>1508</v>
      </c>
      <c r="E91" s="57" t="s">
        <v>194</v>
      </c>
      <c r="F91" s="57" t="s">
        <v>256</v>
      </c>
      <c r="G91" s="57" t="s">
        <v>464</v>
      </c>
      <c r="H91" s="57" t="s">
        <v>1489</v>
      </c>
      <c r="I91" s="57" t="s">
        <v>466</v>
      </c>
      <c r="J91" s="57"/>
      <c r="K91" s="57" t="s">
        <v>416</v>
      </c>
      <c r="L91" s="57" t="s">
        <v>348</v>
      </c>
      <c r="M91" s="57"/>
      <c r="N91" s="57" t="s">
        <v>991</v>
      </c>
    </row>
    <row r="92" customFormat="false" ht="27.75" hidden="false" customHeight="true" outlineLevel="0" collapsed="false">
      <c r="A92" s="57" t="s">
        <v>253</v>
      </c>
      <c r="B92" s="57" t="s">
        <v>254</v>
      </c>
      <c r="C92" s="58" t="n">
        <v>46307</v>
      </c>
      <c r="D92" s="57" t="s">
        <v>1508</v>
      </c>
      <c r="E92" s="57" t="s">
        <v>194</v>
      </c>
      <c r="F92" s="57" t="s">
        <v>256</v>
      </c>
      <c r="G92" s="57" t="s">
        <v>464</v>
      </c>
      <c r="H92" s="57" t="s">
        <v>1490</v>
      </c>
      <c r="I92" s="57" t="s">
        <v>581</v>
      </c>
      <c r="J92" s="57"/>
      <c r="K92" s="57" t="s">
        <v>416</v>
      </c>
      <c r="L92" s="57" t="s">
        <v>348</v>
      </c>
      <c r="M92" s="57" t="s">
        <v>514</v>
      </c>
      <c r="N92" s="57" t="s">
        <v>993</v>
      </c>
    </row>
    <row r="93" customFormat="false" ht="27.75" hidden="false" customHeight="true" outlineLevel="0" collapsed="false">
      <c r="A93" s="57" t="s">
        <v>253</v>
      </c>
      <c r="B93" s="57" t="s">
        <v>254</v>
      </c>
      <c r="C93" s="58" t="n">
        <v>46307</v>
      </c>
      <c r="D93" s="57" t="s">
        <v>1508</v>
      </c>
      <c r="E93" s="57" t="s">
        <v>194</v>
      </c>
      <c r="F93" s="57" t="s">
        <v>256</v>
      </c>
      <c r="G93" s="57" t="s">
        <v>464</v>
      </c>
      <c r="H93" s="57" t="s">
        <v>1491</v>
      </c>
      <c r="I93" s="57" t="s">
        <v>466</v>
      </c>
      <c r="J93" s="57"/>
      <c r="K93" s="57" t="s">
        <v>416</v>
      </c>
      <c r="L93" s="57" t="s">
        <v>348</v>
      </c>
      <c r="M93" s="57"/>
      <c r="N93" s="57" t="s">
        <v>995</v>
      </c>
    </row>
    <row r="94" customFormat="false" ht="27.75" hidden="false" customHeight="true" outlineLevel="0" collapsed="false">
      <c r="A94" s="57" t="s">
        <v>253</v>
      </c>
      <c r="B94" s="57" t="s">
        <v>254</v>
      </c>
      <c r="C94" s="58" t="n">
        <v>46307</v>
      </c>
      <c r="D94" s="57" t="s">
        <v>1508</v>
      </c>
      <c r="E94" s="57" t="s">
        <v>194</v>
      </c>
      <c r="F94" s="57" t="s">
        <v>256</v>
      </c>
      <c r="G94" s="57" t="s">
        <v>412</v>
      </c>
      <c r="H94" s="57" t="s">
        <v>1492</v>
      </c>
      <c r="I94" s="57" t="s">
        <v>414</v>
      </c>
      <c r="J94" s="57"/>
      <c r="K94" s="57" t="s">
        <v>416</v>
      </c>
      <c r="L94" s="57" t="s">
        <v>348</v>
      </c>
      <c r="M94" s="57"/>
      <c r="N94" s="57" t="s">
        <v>997</v>
      </c>
    </row>
    <row r="95" customFormat="false" ht="27.75" hidden="false" customHeight="true" outlineLevel="0" collapsed="false">
      <c r="A95" s="57" t="s">
        <v>253</v>
      </c>
      <c r="B95" s="57" t="s">
        <v>254</v>
      </c>
      <c r="C95" s="58" t="n">
        <v>46307</v>
      </c>
      <c r="D95" s="57" t="s">
        <v>1508</v>
      </c>
      <c r="E95" s="57" t="s">
        <v>194</v>
      </c>
      <c r="F95" s="57" t="s">
        <v>256</v>
      </c>
      <c r="G95" s="57" t="s">
        <v>412</v>
      </c>
      <c r="H95" s="57" t="s">
        <v>1497</v>
      </c>
      <c r="I95" s="57" t="s">
        <v>414</v>
      </c>
      <c r="J95" s="57"/>
      <c r="K95" s="57" t="s">
        <v>416</v>
      </c>
      <c r="L95" s="57" t="s">
        <v>348</v>
      </c>
      <c r="M95" s="57"/>
      <c r="N95" s="57" t="s">
        <v>999</v>
      </c>
    </row>
    <row r="96" customFormat="false" ht="27.75" hidden="false" customHeight="true" outlineLevel="0" collapsed="false">
      <c r="A96" s="57" t="s">
        <v>253</v>
      </c>
      <c r="B96" s="57" t="s">
        <v>254</v>
      </c>
      <c r="C96" s="58" t="n">
        <v>46307</v>
      </c>
      <c r="D96" s="57" t="s">
        <v>1508</v>
      </c>
      <c r="E96" s="57" t="s">
        <v>194</v>
      </c>
      <c r="F96" s="57" t="s">
        <v>256</v>
      </c>
      <c r="G96" s="57" t="s">
        <v>412</v>
      </c>
      <c r="H96" s="57" t="s">
        <v>1498</v>
      </c>
      <c r="I96" s="57" t="s">
        <v>414</v>
      </c>
      <c r="J96" s="57"/>
      <c r="K96" s="57" t="s">
        <v>416</v>
      </c>
      <c r="L96" s="57" t="s">
        <v>348</v>
      </c>
      <c r="M96" s="57"/>
      <c r="N96" s="57" t="s">
        <v>1001</v>
      </c>
    </row>
    <row r="97" customFormat="false" ht="27.75" hidden="false" customHeight="true" outlineLevel="0" collapsed="false">
      <c r="A97" s="57" t="s">
        <v>253</v>
      </c>
      <c r="B97" s="57" t="s">
        <v>254</v>
      </c>
      <c r="C97" s="58" t="n">
        <v>46307</v>
      </c>
      <c r="D97" s="57" t="s">
        <v>1508</v>
      </c>
      <c r="E97" s="57" t="s">
        <v>194</v>
      </c>
      <c r="F97" s="57" t="s">
        <v>256</v>
      </c>
      <c r="G97" s="57" t="s">
        <v>594</v>
      </c>
      <c r="H97" s="57" t="s">
        <v>1499</v>
      </c>
      <c r="I97" s="57" t="s">
        <v>466</v>
      </c>
      <c r="J97" s="57"/>
      <c r="K97" s="57" t="s">
        <v>179</v>
      </c>
      <c r="L97" s="57" t="s">
        <v>348</v>
      </c>
      <c r="M97" s="57" t="s">
        <v>597</v>
      </c>
      <c r="N97" s="57" t="s">
        <v>1003</v>
      </c>
    </row>
    <row r="98" customFormat="false" ht="27.75" hidden="false" customHeight="true" outlineLevel="0" collapsed="false">
      <c r="A98" s="57" t="s">
        <v>253</v>
      </c>
      <c r="B98" s="57" t="s">
        <v>254</v>
      </c>
      <c r="C98" s="58" t="n">
        <v>46307</v>
      </c>
      <c r="D98" s="57" t="s">
        <v>1508</v>
      </c>
      <c r="E98" s="57" t="s">
        <v>194</v>
      </c>
      <c r="F98" s="57" t="s">
        <v>256</v>
      </c>
      <c r="G98" s="57" t="s">
        <v>599</v>
      </c>
      <c r="H98" s="57" t="s">
        <v>1500</v>
      </c>
      <c r="I98" s="57" t="s">
        <v>1005</v>
      </c>
      <c r="J98" s="57"/>
      <c r="K98" s="57" t="s">
        <v>416</v>
      </c>
      <c r="L98" s="57" t="s">
        <v>348</v>
      </c>
      <c r="M98" s="57" t="s">
        <v>1024</v>
      </c>
      <c r="N98" s="57" t="s">
        <v>1006</v>
      </c>
    </row>
    <row r="99" customFormat="false" ht="40.5" hidden="false" customHeight="true" outlineLevel="0" collapsed="false">
      <c r="A99" s="57" t="s">
        <v>264</v>
      </c>
      <c r="B99" s="57" t="s">
        <v>266</v>
      </c>
      <c r="C99" s="58" t="n">
        <v>46309</v>
      </c>
      <c r="D99" s="57" t="s">
        <v>1509</v>
      </c>
      <c r="E99" s="57" t="s">
        <v>180</v>
      </c>
      <c r="F99" s="57" t="s">
        <v>256</v>
      </c>
      <c r="G99" s="57" t="s">
        <v>405</v>
      </c>
      <c r="H99" s="57" t="s">
        <v>1479</v>
      </c>
      <c r="I99" s="57" t="s">
        <v>407</v>
      </c>
      <c r="J99" s="57"/>
      <c r="K99" s="57" t="s">
        <v>179</v>
      </c>
      <c r="L99" s="75" t="s">
        <v>409</v>
      </c>
      <c r="M99" s="57" t="s">
        <v>410</v>
      </c>
      <c r="N99" s="57" t="s">
        <v>979</v>
      </c>
    </row>
    <row r="100" customFormat="false" ht="27.75" hidden="false" customHeight="true" outlineLevel="0" collapsed="false">
      <c r="A100" s="57" t="s">
        <v>264</v>
      </c>
      <c r="B100" s="57" t="s">
        <v>266</v>
      </c>
      <c r="C100" s="58" t="n">
        <v>46309</v>
      </c>
      <c r="D100" s="57" t="s">
        <v>1509</v>
      </c>
      <c r="E100" s="57" t="s">
        <v>180</v>
      </c>
      <c r="F100" s="57" t="s">
        <v>256</v>
      </c>
      <c r="G100" s="57" t="s">
        <v>412</v>
      </c>
      <c r="H100" s="57" t="s">
        <v>1480</v>
      </c>
      <c r="I100" s="57" t="s">
        <v>414</v>
      </c>
      <c r="J100" s="57"/>
      <c r="K100" s="57" t="s">
        <v>416</v>
      </c>
      <c r="L100" s="57" t="s">
        <v>348</v>
      </c>
      <c r="M100" s="57"/>
      <c r="N100" s="57" t="s">
        <v>1050</v>
      </c>
    </row>
    <row r="101" customFormat="false" ht="40.5" hidden="false" customHeight="true" outlineLevel="0" collapsed="false">
      <c r="A101" s="57" t="s">
        <v>264</v>
      </c>
      <c r="B101" s="57" t="s">
        <v>266</v>
      </c>
      <c r="C101" s="58" t="n">
        <v>46309</v>
      </c>
      <c r="D101" s="57" t="s">
        <v>1509</v>
      </c>
      <c r="E101" s="57" t="s">
        <v>180</v>
      </c>
      <c r="F101" s="57" t="s">
        <v>256</v>
      </c>
      <c r="G101" s="57" t="s">
        <v>412</v>
      </c>
      <c r="H101" s="57" t="s">
        <v>1481</v>
      </c>
      <c r="I101" s="57" t="s">
        <v>414</v>
      </c>
      <c r="J101" s="57" t="s">
        <v>1510</v>
      </c>
      <c r="K101" s="57" t="s">
        <v>416</v>
      </c>
      <c r="L101" s="57" t="s">
        <v>348</v>
      </c>
      <c r="M101" s="57" t="s">
        <v>1065</v>
      </c>
      <c r="N101" s="57" t="s">
        <v>1054</v>
      </c>
    </row>
    <row r="102" customFormat="false" ht="52.5" hidden="false" customHeight="true" outlineLevel="0" collapsed="false">
      <c r="A102" s="57" t="s">
        <v>264</v>
      </c>
      <c r="B102" s="57" t="s">
        <v>266</v>
      </c>
      <c r="C102" s="58" t="n">
        <v>46309</v>
      </c>
      <c r="D102" s="57" t="s">
        <v>1509</v>
      </c>
      <c r="E102" s="57" t="s">
        <v>180</v>
      </c>
      <c r="F102" s="57" t="s">
        <v>256</v>
      </c>
      <c r="G102" s="57" t="s">
        <v>599</v>
      </c>
      <c r="H102" s="57" t="s">
        <v>1500</v>
      </c>
      <c r="I102" s="57" t="s">
        <v>1005</v>
      </c>
      <c r="J102" s="57"/>
      <c r="K102" s="57" t="s">
        <v>416</v>
      </c>
      <c r="L102" s="75" t="s">
        <v>409</v>
      </c>
      <c r="M102" s="57" t="s">
        <v>1067</v>
      </c>
      <c r="N102" s="57" t="s">
        <v>1006</v>
      </c>
    </row>
    <row r="103" customFormat="false" ht="102.75" hidden="false" customHeight="true" outlineLevel="0" collapsed="false">
      <c r="A103" s="57" t="s">
        <v>268</v>
      </c>
      <c r="B103" s="57" t="s">
        <v>269</v>
      </c>
      <c r="C103" s="58" t="n">
        <v>46310</v>
      </c>
      <c r="D103" s="57" t="s">
        <v>1502</v>
      </c>
      <c r="E103" s="57" t="s">
        <v>180</v>
      </c>
      <c r="F103" s="57" t="s">
        <v>181</v>
      </c>
      <c r="G103" s="57" t="s">
        <v>405</v>
      </c>
      <c r="H103" s="57" t="s">
        <v>1479</v>
      </c>
      <c r="I103" s="57" t="s">
        <v>466</v>
      </c>
      <c r="J103" s="57"/>
      <c r="K103" s="57" t="s">
        <v>691</v>
      </c>
      <c r="L103" s="75" t="s">
        <v>409</v>
      </c>
      <c r="M103" s="57" t="s">
        <v>1086</v>
      </c>
      <c r="N103" s="57" t="s">
        <v>408</v>
      </c>
    </row>
    <row r="104" customFormat="false" ht="27.75" hidden="false" customHeight="true" outlineLevel="0" collapsed="false">
      <c r="A104" s="57" t="s">
        <v>268</v>
      </c>
      <c r="B104" s="57" t="s">
        <v>269</v>
      </c>
      <c r="C104" s="58" t="n">
        <v>46310</v>
      </c>
      <c r="D104" s="57" t="s">
        <v>1502</v>
      </c>
      <c r="E104" s="57" t="s">
        <v>180</v>
      </c>
      <c r="F104" s="57" t="s">
        <v>181</v>
      </c>
      <c r="G104" s="57" t="s">
        <v>412</v>
      </c>
      <c r="H104" s="57" t="s">
        <v>1480</v>
      </c>
      <c r="I104" s="57" t="s">
        <v>414</v>
      </c>
      <c r="J104" s="57"/>
      <c r="K104" s="57" t="s">
        <v>416</v>
      </c>
      <c r="L104" s="57" t="s">
        <v>348</v>
      </c>
      <c r="M104" s="57"/>
      <c r="N104" s="57" t="s">
        <v>415</v>
      </c>
    </row>
    <row r="105" customFormat="false" ht="52.5" hidden="false" customHeight="true" outlineLevel="0" collapsed="false">
      <c r="A105" s="57" t="s">
        <v>268</v>
      </c>
      <c r="B105" s="57" t="s">
        <v>269</v>
      </c>
      <c r="C105" s="58" t="n">
        <v>46310</v>
      </c>
      <c r="D105" s="57" t="s">
        <v>1502</v>
      </c>
      <c r="E105" s="57" t="s">
        <v>180</v>
      </c>
      <c r="F105" s="57" t="s">
        <v>181</v>
      </c>
      <c r="G105" s="57" t="s">
        <v>412</v>
      </c>
      <c r="H105" s="57" t="s">
        <v>1481</v>
      </c>
      <c r="I105" s="57" t="s">
        <v>414</v>
      </c>
      <c r="J105" s="57" t="s">
        <v>1482</v>
      </c>
      <c r="K105" s="57" t="s">
        <v>416</v>
      </c>
      <c r="L105" s="57" t="s">
        <v>348</v>
      </c>
      <c r="M105" s="57" t="s">
        <v>1095</v>
      </c>
      <c r="N105" s="57" t="s">
        <v>421</v>
      </c>
    </row>
    <row r="106" customFormat="false" ht="40.5" hidden="false" customHeight="true" outlineLevel="0" collapsed="false">
      <c r="A106" s="57" t="s">
        <v>270</v>
      </c>
      <c r="B106" s="57" t="s">
        <v>228</v>
      </c>
      <c r="C106" s="58" t="n">
        <v>46320</v>
      </c>
      <c r="D106" s="57" t="s">
        <v>1478</v>
      </c>
      <c r="E106" s="57" t="s">
        <v>180</v>
      </c>
      <c r="F106" s="57" t="s">
        <v>181</v>
      </c>
      <c r="G106" s="57" t="s">
        <v>405</v>
      </c>
      <c r="H106" s="57" t="s">
        <v>1479</v>
      </c>
      <c r="I106" s="57" t="s">
        <v>407</v>
      </c>
      <c r="J106" s="57"/>
      <c r="K106" s="57" t="s">
        <v>178</v>
      </c>
      <c r="L106" s="75" t="s">
        <v>409</v>
      </c>
      <c r="M106" s="57" t="s">
        <v>410</v>
      </c>
      <c r="N106" s="57" t="s">
        <v>408</v>
      </c>
    </row>
    <row r="107" customFormat="false" ht="27.75" hidden="false" customHeight="true" outlineLevel="0" collapsed="false">
      <c r="A107" s="57" t="s">
        <v>270</v>
      </c>
      <c r="B107" s="57" t="s">
        <v>228</v>
      </c>
      <c r="C107" s="58" t="n">
        <v>46320</v>
      </c>
      <c r="D107" s="57" t="s">
        <v>1478</v>
      </c>
      <c r="E107" s="57" t="s">
        <v>180</v>
      </c>
      <c r="F107" s="57" t="s">
        <v>181</v>
      </c>
      <c r="G107" s="57" t="s">
        <v>412</v>
      </c>
      <c r="H107" s="57" t="s">
        <v>1480</v>
      </c>
      <c r="I107" s="57" t="s">
        <v>414</v>
      </c>
      <c r="J107" s="57"/>
      <c r="K107" s="57" t="s">
        <v>416</v>
      </c>
      <c r="L107" s="57" t="s">
        <v>348</v>
      </c>
      <c r="M107" s="57"/>
      <c r="N107" s="57" t="s">
        <v>415</v>
      </c>
    </row>
    <row r="108" customFormat="false" ht="52.5" hidden="false" customHeight="true" outlineLevel="0" collapsed="false">
      <c r="A108" s="57" t="s">
        <v>270</v>
      </c>
      <c r="B108" s="57" t="s">
        <v>228</v>
      </c>
      <c r="C108" s="58" t="n">
        <v>46320</v>
      </c>
      <c r="D108" s="57" t="s">
        <v>1478</v>
      </c>
      <c r="E108" s="57" t="s">
        <v>180</v>
      </c>
      <c r="F108" s="57" t="s">
        <v>181</v>
      </c>
      <c r="G108" s="57" t="s">
        <v>412</v>
      </c>
      <c r="H108" s="57" t="s">
        <v>1481</v>
      </c>
      <c r="I108" s="57" t="s">
        <v>414</v>
      </c>
      <c r="J108" s="57" t="s">
        <v>1482</v>
      </c>
      <c r="K108" s="57" t="s">
        <v>416</v>
      </c>
      <c r="L108" s="57" t="s">
        <v>348</v>
      </c>
      <c r="M108" s="57" t="s">
        <v>1122</v>
      </c>
      <c r="N108" s="57" t="s">
        <v>421</v>
      </c>
    </row>
    <row r="109" customFormat="false" ht="27.75" hidden="false" customHeight="true" outlineLevel="0" collapsed="false">
      <c r="A109" s="57" t="s">
        <v>272</v>
      </c>
      <c r="B109" s="57" t="s">
        <v>273</v>
      </c>
      <c r="C109" s="58" t="n">
        <v>46321</v>
      </c>
      <c r="D109" s="57" t="s">
        <v>1511</v>
      </c>
      <c r="E109" s="57" t="s">
        <v>180</v>
      </c>
      <c r="F109" s="57" t="s">
        <v>195</v>
      </c>
      <c r="G109" s="57" t="s">
        <v>412</v>
      </c>
      <c r="H109" s="57" t="s">
        <v>1480</v>
      </c>
      <c r="I109" s="57" t="s">
        <v>414</v>
      </c>
      <c r="J109" s="57"/>
      <c r="K109" s="57" t="s">
        <v>416</v>
      </c>
      <c r="L109" s="57" t="s">
        <v>348</v>
      </c>
      <c r="M109" s="57"/>
      <c r="N109" s="57" t="s">
        <v>1143</v>
      </c>
    </row>
    <row r="110" customFormat="false" ht="65.25" hidden="false" customHeight="true" outlineLevel="0" collapsed="false">
      <c r="A110" s="57" t="s">
        <v>272</v>
      </c>
      <c r="B110" s="57" t="s">
        <v>273</v>
      </c>
      <c r="C110" s="58" t="n">
        <v>46321</v>
      </c>
      <c r="D110" s="57" t="s">
        <v>1511</v>
      </c>
      <c r="E110" s="57" t="s">
        <v>180</v>
      </c>
      <c r="F110" s="57" t="s">
        <v>195</v>
      </c>
      <c r="G110" s="57" t="s">
        <v>412</v>
      </c>
      <c r="H110" s="57" t="s">
        <v>1481</v>
      </c>
      <c r="I110" s="57" t="s">
        <v>414</v>
      </c>
      <c r="J110" s="57"/>
      <c r="K110" s="57" t="s">
        <v>416</v>
      </c>
      <c r="L110" s="75" t="s">
        <v>409</v>
      </c>
      <c r="M110" s="57" t="s">
        <v>1156</v>
      </c>
      <c r="N110" s="57" t="s">
        <v>1145</v>
      </c>
    </row>
    <row r="111" customFormat="false" ht="27.75" hidden="false" customHeight="true" outlineLevel="0" collapsed="false">
      <c r="A111" s="57" t="s">
        <v>272</v>
      </c>
      <c r="B111" s="57" t="s">
        <v>273</v>
      </c>
      <c r="C111" s="58" t="n">
        <v>46321</v>
      </c>
      <c r="D111" s="57" t="s">
        <v>1511</v>
      </c>
      <c r="E111" s="57" t="s">
        <v>180</v>
      </c>
      <c r="F111" s="57" t="s">
        <v>195</v>
      </c>
      <c r="G111" s="57" t="s">
        <v>599</v>
      </c>
      <c r="H111" s="57" t="s">
        <v>1512</v>
      </c>
      <c r="I111" s="57" t="s">
        <v>1149</v>
      </c>
      <c r="J111" s="57"/>
      <c r="K111" s="57" t="s">
        <v>416</v>
      </c>
      <c r="L111" s="57" t="s">
        <v>348</v>
      </c>
      <c r="M111" s="57" t="s">
        <v>1159</v>
      </c>
      <c r="N111" s="57" t="s">
        <v>1150</v>
      </c>
    </row>
    <row r="112" customFormat="false" ht="27.75" hidden="false" customHeight="true" outlineLevel="0" collapsed="false">
      <c r="A112" s="57" t="s">
        <v>282</v>
      </c>
      <c r="B112" s="57" t="s">
        <v>284</v>
      </c>
      <c r="C112" s="58" t="n">
        <v>46322</v>
      </c>
      <c r="D112" s="57" t="s">
        <v>1513</v>
      </c>
      <c r="E112" s="57" t="s">
        <v>194</v>
      </c>
      <c r="F112" s="57" t="s">
        <v>195</v>
      </c>
      <c r="G112" s="57" t="s">
        <v>405</v>
      </c>
      <c r="H112" s="57" t="s">
        <v>1514</v>
      </c>
      <c r="I112" s="57" t="s">
        <v>466</v>
      </c>
      <c r="J112" s="57"/>
      <c r="K112" s="57" t="s">
        <v>179</v>
      </c>
      <c r="L112" s="57" t="s">
        <v>348</v>
      </c>
      <c r="M112" s="57"/>
      <c r="N112" s="57" t="s">
        <v>1184</v>
      </c>
    </row>
    <row r="113" customFormat="false" ht="27.75" hidden="false" customHeight="true" outlineLevel="0" collapsed="false">
      <c r="A113" s="57" t="s">
        <v>282</v>
      </c>
      <c r="B113" s="57" t="s">
        <v>284</v>
      </c>
      <c r="C113" s="58" t="n">
        <v>46322</v>
      </c>
      <c r="D113" s="57" t="s">
        <v>1513</v>
      </c>
      <c r="E113" s="57" t="s">
        <v>194</v>
      </c>
      <c r="F113" s="57" t="s">
        <v>195</v>
      </c>
      <c r="G113" s="57" t="s">
        <v>464</v>
      </c>
      <c r="H113" s="57" t="s">
        <v>1485</v>
      </c>
      <c r="I113" s="57" t="s">
        <v>466</v>
      </c>
      <c r="J113" s="57"/>
      <c r="K113" s="57" t="s">
        <v>416</v>
      </c>
      <c r="L113" s="57" t="s">
        <v>348</v>
      </c>
      <c r="M113" s="57"/>
      <c r="N113" s="57" t="s">
        <v>1187</v>
      </c>
    </row>
    <row r="114" customFormat="false" ht="27.75" hidden="false" customHeight="true" outlineLevel="0" collapsed="false">
      <c r="A114" s="57" t="s">
        <v>282</v>
      </c>
      <c r="B114" s="57" t="s">
        <v>284</v>
      </c>
      <c r="C114" s="58" t="n">
        <v>46322</v>
      </c>
      <c r="D114" s="57" t="s">
        <v>1513</v>
      </c>
      <c r="E114" s="57" t="s">
        <v>194</v>
      </c>
      <c r="F114" s="57" t="s">
        <v>195</v>
      </c>
      <c r="G114" s="57" t="s">
        <v>464</v>
      </c>
      <c r="H114" s="57" t="s">
        <v>1486</v>
      </c>
      <c r="I114" s="57" t="s">
        <v>466</v>
      </c>
      <c r="J114" s="57"/>
      <c r="K114" s="57" t="s">
        <v>416</v>
      </c>
      <c r="L114" s="57" t="s">
        <v>348</v>
      </c>
      <c r="M114" s="57"/>
      <c r="N114" s="57" t="s">
        <v>1190</v>
      </c>
    </row>
    <row r="115" customFormat="false" ht="27.75" hidden="false" customHeight="true" outlineLevel="0" collapsed="false">
      <c r="A115" s="57" t="s">
        <v>282</v>
      </c>
      <c r="B115" s="57" t="s">
        <v>284</v>
      </c>
      <c r="C115" s="58" t="n">
        <v>46322</v>
      </c>
      <c r="D115" s="57" t="s">
        <v>1513</v>
      </c>
      <c r="E115" s="57" t="s">
        <v>194</v>
      </c>
      <c r="F115" s="57" t="s">
        <v>195</v>
      </c>
      <c r="G115" s="57" t="s">
        <v>464</v>
      </c>
      <c r="H115" s="57" t="s">
        <v>1487</v>
      </c>
      <c r="I115" s="57" t="s">
        <v>466</v>
      </c>
      <c r="J115" s="57"/>
      <c r="K115" s="57" t="s">
        <v>416</v>
      </c>
      <c r="L115" s="57" t="s">
        <v>348</v>
      </c>
      <c r="M115" s="57"/>
      <c r="N115" s="57" t="s">
        <v>1192</v>
      </c>
    </row>
    <row r="116" customFormat="false" ht="65.25" hidden="false" customHeight="true" outlineLevel="0" collapsed="false">
      <c r="A116" s="57" t="s">
        <v>282</v>
      </c>
      <c r="B116" s="57" t="s">
        <v>284</v>
      </c>
      <c r="C116" s="58" t="n">
        <v>46322</v>
      </c>
      <c r="D116" s="57" t="s">
        <v>1513</v>
      </c>
      <c r="E116" s="57" t="s">
        <v>194</v>
      </c>
      <c r="F116" s="57" t="s">
        <v>195</v>
      </c>
      <c r="G116" s="57" t="s">
        <v>464</v>
      </c>
      <c r="H116" s="57" t="s">
        <v>1488</v>
      </c>
      <c r="I116" s="57" t="s">
        <v>466</v>
      </c>
      <c r="J116" s="57"/>
      <c r="K116" s="57" t="s">
        <v>416</v>
      </c>
      <c r="L116" s="75" t="s">
        <v>409</v>
      </c>
      <c r="M116" s="57" t="s">
        <v>1220</v>
      </c>
      <c r="N116" s="57" t="s">
        <v>1194</v>
      </c>
    </row>
    <row r="117" customFormat="false" ht="65.25" hidden="false" customHeight="true" outlineLevel="0" collapsed="false">
      <c r="A117" s="57" t="s">
        <v>282</v>
      </c>
      <c r="B117" s="57" t="s">
        <v>284</v>
      </c>
      <c r="C117" s="58" t="n">
        <v>46322</v>
      </c>
      <c r="D117" s="57" t="s">
        <v>1513</v>
      </c>
      <c r="E117" s="57" t="s">
        <v>194</v>
      </c>
      <c r="F117" s="57" t="s">
        <v>195</v>
      </c>
      <c r="G117" s="57" t="s">
        <v>464</v>
      </c>
      <c r="H117" s="57" t="s">
        <v>1489</v>
      </c>
      <c r="I117" s="57" t="s">
        <v>466</v>
      </c>
      <c r="J117" s="57"/>
      <c r="K117" s="57" t="s">
        <v>416</v>
      </c>
      <c r="L117" s="75" t="s">
        <v>409</v>
      </c>
      <c r="M117" s="57" t="s">
        <v>1220</v>
      </c>
      <c r="N117" s="57" t="s">
        <v>1197</v>
      </c>
    </row>
    <row r="118" customFormat="false" ht="27.75" hidden="false" customHeight="true" outlineLevel="0" collapsed="false">
      <c r="A118" s="57" t="s">
        <v>282</v>
      </c>
      <c r="B118" s="57" t="s">
        <v>284</v>
      </c>
      <c r="C118" s="58" t="n">
        <v>46322</v>
      </c>
      <c r="D118" s="57" t="s">
        <v>1513</v>
      </c>
      <c r="E118" s="57" t="s">
        <v>194</v>
      </c>
      <c r="F118" s="57" t="s">
        <v>195</v>
      </c>
      <c r="G118" s="57" t="s">
        <v>464</v>
      </c>
      <c r="H118" s="57" t="s">
        <v>1490</v>
      </c>
      <c r="I118" s="57" t="s">
        <v>484</v>
      </c>
      <c r="J118" s="57"/>
      <c r="K118" s="57" t="s">
        <v>416</v>
      </c>
      <c r="L118" s="57" t="s">
        <v>348</v>
      </c>
      <c r="M118" s="57" t="s">
        <v>514</v>
      </c>
      <c r="N118" s="57" t="s">
        <v>1199</v>
      </c>
    </row>
    <row r="119" customFormat="false" ht="27.75" hidden="false" customHeight="true" outlineLevel="0" collapsed="false">
      <c r="A119" s="57" t="s">
        <v>282</v>
      </c>
      <c r="B119" s="57" t="s">
        <v>284</v>
      </c>
      <c r="C119" s="58" t="n">
        <v>46322</v>
      </c>
      <c r="D119" s="57" t="s">
        <v>1513</v>
      </c>
      <c r="E119" s="57" t="s">
        <v>194</v>
      </c>
      <c r="F119" s="57" t="s">
        <v>195</v>
      </c>
      <c r="G119" s="57" t="s">
        <v>464</v>
      </c>
      <c r="H119" s="57" t="s">
        <v>1491</v>
      </c>
      <c r="I119" s="57" t="s">
        <v>466</v>
      </c>
      <c r="J119" s="57"/>
      <c r="K119" s="57" t="s">
        <v>416</v>
      </c>
      <c r="L119" s="57" t="s">
        <v>348</v>
      </c>
      <c r="M119" s="57"/>
      <c r="N119" s="57" t="s">
        <v>1202</v>
      </c>
    </row>
    <row r="120" customFormat="false" ht="27.75" hidden="false" customHeight="true" outlineLevel="0" collapsed="false">
      <c r="A120" s="57" t="s">
        <v>282</v>
      </c>
      <c r="B120" s="57" t="s">
        <v>284</v>
      </c>
      <c r="C120" s="58" t="n">
        <v>46322</v>
      </c>
      <c r="D120" s="57" t="s">
        <v>1513</v>
      </c>
      <c r="E120" s="57" t="s">
        <v>194</v>
      </c>
      <c r="F120" s="57" t="s">
        <v>195</v>
      </c>
      <c r="G120" s="57" t="s">
        <v>412</v>
      </c>
      <c r="H120" s="57" t="s">
        <v>1492</v>
      </c>
      <c r="I120" s="57" t="s">
        <v>414</v>
      </c>
      <c r="J120" s="57"/>
      <c r="K120" s="57" t="s">
        <v>416</v>
      </c>
      <c r="L120" s="57" t="s">
        <v>348</v>
      </c>
      <c r="M120" s="57"/>
      <c r="N120" s="57" t="s">
        <v>1204</v>
      </c>
    </row>
    <row r="121" customFormat="false" ht="27.75" hidden="false" customHeight="true" outlineLevel="0" collapsed="false">
      <c r="A121" s="57" t="s">
        <v>282</v>
      </c>
      <c r="B121" s="57" t="s">
        <v>284</v>
      </c>
      <c r="C121" s="58" t="n">
        <v>46322</v>
      </c>
      <c r="D121" s="57" t="s">
        <v>1513</v>
      </c>
      <c r="E121" s="57" t="s">
        <v>194</v>
      </c>
      <c r="F121" s="57" t="s">
        <v>195</v>
      </c>
      <c r="G121" s="57" t="s">
        <v>412</v>
      </c>
      <c r="H121" s="57" t="s">
        <v>1493</v>
      </c>
      <c r="I121" s="57" t="s">
        <v>414</v>
      </c>
      <c r="J121" s="57"/>
      <c r="K121" s="57" t="s">
        <v>416</v>
      </c>
      <c r="L121" s="57" t="s">
        <v>348</v>
      </c>
      <c r="M121" s="57"/>
      <c r="N121" s="57" t="s">
        <v>1206</v>
      </c>
    </row>
    <row r="122" customFormat="false" ht="52.5" hidden="false" customHeight="true" outlineLevel="0" collapsed="false">
      <c r="A122" s="57" t="s">
        <v>282</v>
      </c>
      <c r="B122" s="57" t="s">
        <v>284</v>
      </c>
      <c r="C122" s="58" t="n">
        <v>46322</v>
      </c>
      <c r="D122" s="57" t="s">
        <v>1513</v>
      </c>
      <c r="E122" s="57" t="s">
        <v>194</v>
      </c>
      <c r="F122" s="57" t="s">
        <v>195</v>
      </c>
      <c r="G122" s="57" t="s">
        <v>599</v>
      </c>
      <c r="H122" s="57" t="s">
        <v>1512</v>
      </c>
      <c r="I122" s="57" t="s">
        <v>1149</v>
      </c>
      <c r="J122" s="57"/>
      <c r="K122" s="57" t="s">
        <v>416</v>
      </c>
      <c r="L122" s="75" t="s">
        <v>409</v>
      </c>
      <c r="M122" s="57" t="s">
        <v>1227</v>
      </c>
      <c r="N122" s="57" t="s">
        <v>1150</v>
      </c>
    </row>
    <row r="123" customFormat="false" ht="27.75" hidden="false" customHeight="true" outlineLevel="0" collapsed="false">
      <c r="A123" s="57" t="s">
        <v>285</v>
      </c>
      <c r="B123" s="57" t="s">
        <v>286</v>
      </c>
      <c r="C123" s="58" t="n">
        <v>46322</v>
      </c>
      <c r="D123" s="57" t="s">
        <v>1515</v>
      </c>
      <c r="E123" s="57" t="s">
        <v>194</v>
      </c>
      <c r="F123" s="57" t="s">
        <v>207</v>
      </c>
      <c r="G123" s="57" t="s">
        <v>405</v>
      </c>
      <c r="H123" s="57" t="s">
        <v>1496</v>
      </c>
      <c r="I123" s="57" t="s">
        <v>466</v>
      </c>
      <c r="J123" s="57"/>
      <c r="K123" s="57" t="s">
        <v>179</v>
      </c>
      <c r="L123" s="57" t="s">
        <v>348</v>
      </c>
      <c r="M123" s="57"/>
      <c r="N123" s="57" t="s">
        <v>1248</v>
      </c>
    </row>
    <row r="124" customFormat="false" ht="27.75" hidden="false" customHeight="true" outlineLevel="0" collapsed="false">
      <c r="A124" s="57" t="s">
        <v>285</v>
      </c>
      <c r="B124" s="57" t="s">
        <v>286</v>
      </c>
      <c r="C124" s="58" t="n">
        <v>46322</v>
      </c>
      <c r="D124" s="57" t="s">
        <v>1515</v>
      </c>
      <c r="E124" s="57" t="s">
        <v>194</v>
      </c>
      <c r="F124" s="57" t="s">
        <v>207</v>
      </c>
      <c r="G124" s="57" t="s">
        <v>464</v>
      </c>
      <c r="H124" s="57" t="s">
        <v>1485</v>
      </c>
      <c r="I124" s="57" t="s">
        <v>466</v>
      </c>
      <c r="J124" s="57"/>
      <c r="K124" s="57" t="s">
        <v>416</v>
      </c>
      <c r="L124" s="57" t="s">
        <v>348</v>
      </c>
      <c r="M124" s="57"/>
      <c r="N124" s="57" t="s">
        <v>1250</v>
      </c>
    </row>
    <row r="125" customFormat="false" ht="27.75" hidden="false" customHeight="true" outlineLevel="0" collapsed="false">
      <c r="A125" s="57" t="s">
        <v>285</v>
      </c>
      <c r="B125" s="57" t="s">
        <v>286</v>
      </c>
      <c r="C125" s="58" t="n">
        <v>46322</v>
      </c>
      <c r="D125" s="57" t="s">
        <v>1515</v>
      </c>
      <c r="E125" s="57" t="s">
        <v>194</v>
      </c>
      <c r="F125" s="57" t="s">
        <v>207</v>
      </c>
      <c r="G125" s="57" t="s">
        <v>464</v>
      </c>
      <c r="H125" s="57" t="s">
        <v>1486</v>
      </c>
      <c r="I125" s="57" t="s">
        <v>466</v>
      </c>
      <c r="J125" s="57"/>
      <c r="K125" s="57" t="s">
        <v>416</v>
      </c>
      <c r="L125" s="57" t="s">
        <v>348</v>
      </c>
      <c r="M125" s="57"/>
      <c r="N125" s="57" t="s">
        <v>1252</v>
      </c>
    </row>
    <row r="126" customFormat="false" ht="27.75" hidden="false" customHeight="true" outlineLevel="0" collapsed="false">
      <c r="A126" s="57" t="s">
        <v>285</v>
      </c>
      <c r="B126" s="57" t="s">
        <v>286</v>
      </c>
      <c r="C126" s="58" t="n">
        <v>46322</v>
      </c>
      <c r="D126" s="57" t="s">
        <v>1515</v>
      </c>
      <c r="E126" s="57" t="s">
        <v>194</v>
      </c>
      <c r="F126" s="57" t="s">
        <v>207</v>
      </c>
      <c r="G126" s="57" t="s">
        <v>464</v>
      </c>
      <c r="H126" s="57" t="s">
        <v>1487</v>
      </c>
      <c r="I126" s="57" t="s">
        <v>466</v>
      </c>
      <c r="J126" s="57"/>
      <c r="K126" s="57" t="s">
        <v>416</v>
      </c>
      <c r="L126" s="57" t="s">
        <v>348</v>
      </c>
      <c r="M126" s="57"/>
      <c r="N126" s="57" t="s">
        <v>1254</v>
      </c>
    </row>
    <row r="127" customFormat="false" ht="27.75" hidden="false" customHeight="true" outlineLevel="0" collapsed="false">
      <c r="A127" s="57" t="s">
        <v>285</v>
      </c>
      <c r="B127" s="57" t="s">
        <v>286</v>
      </c>
      <c r="C127" s="58" t="n">
        <v>46322</v>
      </c>
      <c r="D127" s="57" t="s">
        <v>1515</v>
      </c>
      <c r="E127" s="57" t="s">
        <v>194</v>
      </c>
      <c r="F127" s="57" t="s">
        <v>207</v>
      </c>
      <c r="G127" s="57" t="s">
        <v>464</v>
      </c>
      <c r="H127" s="57" t="s">
        <v>1488</v>
      </c>
      <c r="I127" s="57" t="s">
        <v>466</v>
      </c>
      <c r="J127" s="57"/>
      <c r="K127" s="57" t="s">
        <v>416</v>
      </c>
      <c r="L127" s="57" t="s">
        <v>348</v>
      </c>
      <c r="M127" s="57"/>
      <c r="N127" s="57" t="s">
        <v>1256</v>
      </c>
    </row>
    <row r="128" customFormat="false" ht="27.75" hidden="false" customHeight="true" outlineLevel="0" collapsed="false">
      <c r="A128" s="57" t="s">
        <v>285</v>
      </c>
      <c r="B128" s="57" t="s">
        <v>286</v>
      </c>
      <c r="C128" s="58" t="n">
        <v>46322</v>
      </c>
      <c r="D128" s="57" t="s">
        <v>1515</v>
      </c>
      <c r="E128" s="57" t="s">
        <v>194</v>
      </c>
      <c r="F128" s="57" t="s">
        <v>207</v>
      </c>
      <c r="G128" s="57" t="s">
        <v>464</v>
      </c>
      <c r="H128" s="57" t="s">
        <v>1489</v>
      </c>
      <c r="I128" s="57" t="s">
        <v>466</v>
      </c>
      <c r="J128" s="57"/>
      <c r="K128" s="57" t="s">
        <v>416</v>
      </c>
      <c r="L128" s="57" t="s">
        <v>348</v>
      </c>
      <c r="M128" s="57"/>
      <c r="N128" s="57" t="s">
        <v>1258</v>
      </c>
    </row>
    <row r="129" customFormat="false" ht="27.75" hidden="false" customHeight="true" outlineLevel="0" collapsed="false">
      <c r="A129" s="57" t="s">
        <v>285</v>
      </c>
      <c r="B129" s="57" t="s">
        <v>286</v>
      </c>
      <c r="C129" s="58" t="n">
        <v>46322</v>
      </c>
      <c r="D129" s="57" t="s">
        <v>1515</v>
      </c>
      <c r="E129" s="57" t="s">
        <v>194</v>
      </c>
      <c r="F129" s="57" t="s">
        <v>207</v>
      </c>
      <c r="G129" s="57" t="s">
        <v>464</v>
      </c>
      <c r="H129" s="57" t="s">
        <v>1490</v>
      </c>
      <c r="I129" s="57" t="s">
        <v>581</v>
      </c>
      <c r="J129" s="57"/>
      <c r="K129" s="57" t="s">
        <v>416</v>
      </c>
      <c r="L129" s="57" t="s">
        <v>348</v>
      </c>
      <c r="M129" s="57" t="s">
        <v>514</v>
      </c>
      <c r="N129" s="57" t="s">
        <v>1260</v>
      </c>
    </row>
    <row r="130" customFormat="false" ht="27.75" hidden="false" customHeight="true" outlineLevel="0" collapsed="false">
      <c r="A130" s="57" t="s">
        <v>285</v>
      </c>
      <c r="B130" s="57" t="s">
        <v>286</v>
      </c>
      <c r="C130" s="58" t="n">
        <v>46322</v>
      </c>
      <c r="D130" s="57" t="s">
        <v>1515</v>
      </c>
      <c r="E130" s="57" t="s">
        <v>194</v>
      </c>
      <c r="F130" s="57" t="s">
        <v>207</v>
      </c>
      <c r="G130" s="57" t="s">
        <v>464</v>
      </c>
      <c r="H130" s="57" t="s">
        <v>1491</v>
      </c>
      <c r="I130" s="57" t="s">
        <v>466</v>
      </c>
      <c r="J130" s="57"/>
      <c r="K130" s="57" t="s">
        <v>416</v>
      </c>
      <c r="L130" s="57" t="s">
        <v>348</v>
      </c>
      <c r="M130" s="57"/>
      <c r="N130" s="57" t="s">
        <v>1262</v>
      </c>
    </row>
    <row r="131" customFormat="false" ht="27.75" hidden="false" customHeight="true" outlineLevel="0" collapsed="false">
      <c r="A131" s="57" t="s">
        <v>285</v>
      </c>
      <c r="B131" s="57" t="s">
        <v>286</v>
      </c>
      <c r="C131" s="58" t="n">
        <v>46322</v>
      </c>
      <c r="D131" s="57" t="s">
        <v>1515</v>
      </c>
      <c r="E131" s="57" t="s">
        <v>194</v>
      </c>
      <c r="F131" s="57" t="s">
        <v>207</v>
      </c>
      <c r="G131" s="57" t="s">
        <v>412</v>
      </c>
      <c r="H131" s="57" t="s">
        <v>1492</v>
      </c>
      <c r="I131" s="57" t="s">
        <v>414</v>
      </c>
      <c r="J131" s="57"/>
      <c r="K131" s="57" t="s">
        <v>416</v>
      </c>
      <c r="L131" s="57" t="s">
        <v>348</v>
      </c>
      <c r="M131" s="57"/>
      <c r="N131" s="57" t="s">
        <v>1264</v>
      </c>
    </row>
    <row r="132" customFormat="false" ht="27.75" hidden="false" customHeight="true" outlineLevel="0" collapsed="false">
      <c r="A132" s="57" t="s">
        <v>285</v>
      </c>
      <c r="B132" s="57" t="s">
        <v>286</v>
      </c>
      <c r="C132" s="58" t="n">
        <v>46322</v>
      </c>
      <c r="D132" s="57" t="s">
        <v>1515</v>
      </c>
      <c r="E132" s="57" t="s">
        <v>194</v>
      </c>
      <c r="F132" s="57" t="s">
        <v>207</v>
      </c>
      <c r="G132" s="57" t="s">
        <v>412</v>
      </c>
      <c r="H132" s="57" t="s">
        <v>1497</v>
      </c>
      <c r="I132" s="57" t="s">
        <v>414</v>
      </c>
      <c r="J132" s="57"/>
      <c r="K132" s="57" t="s">
        <v>416</v>
      </c>
      <c r="L132" s="57" t="s">
        <v>348</v>
      </c>
      <c r="M132" s="57"/>
      <c r="N132" s="57" t="s">
        <v>1266</v>
      </c>
    </row>
    <row r="133" customFormat="false" ht="27.75" hidden="false" customHeight="true" outlineLevel="0" collapsed="false">
      <c r="A133" s="57" t="s">
        <v>285</v>
      </c>
      <c r="B133" s="57" t="s">
        <v>286</v>
      </c>
      <c r="C133" s="58" t="n">
        <v>46322</v>
      </c>
      <c r="D133" s="57" t="s">
        <v>1515</v>
      </c>
      <c r="E133" s="57" t="s">
        <v>194</v>
      </c>
      <c r="F133" s="57" t="s">
        <v>207</v>
      </c>
      <c r="G133" s="57" t="s">
        <v>412</v>
      </c>
      <c r="H133" s="57" t="s">
        <v>1498</v>
      </c>
      <c r="I133" s="57" t="s">
        <v>414</v>
      </c>
      <c r="J133" s="57"/>
      <c r="K133" s="57" t="s">
        <v>416</v>
      </c>
      <c r="L133" s="57" t="s">
        <v>348</v>
      </c>
      <c r="M133" s="57"/>
      <c r="N133" s="57" t="s">
        <v>1268</v>
      </c>
    </row>
    <row r="134" customFormat="false" ht="27.75" hidden="false" customHeight="true" outlineLevel="0" collapsed="false">
      <c r="A134" s="57" t="s">
        <v>285</v>
      </c>
      <c r="B134" s="57" t="s">
        <v>286</v>
      </c>
      <c r="C134" s="58" t="n">
        <v>46322</v>
      </c>
      <c r="D134" s="57" t="s">
        <v>1515</v>
      </c>
      <c r="E134" s="57" t="s">
        <v>194</v>
      </c>
      <c r="F134" s="57" t="s">
        <v>207</v>
      </c>
      <c r="G134" s="57" t="s">
        <v>594</v>
      </c>
      <c r="H134" s="57" t="s">
        <v>1499</v>
      </c>
      <c r="I134" s="57" t="s">
        <v>466</v>
      </c>
      <c r="J134" s="57"/>
      <c r="K134" s="57" t="s">
        <v>179</v>
      </c>
      <c r="L134" s="57" t="s">
        <v>348</v>
      </c>
      <c r="M134" s="57" t="s">
        <v>597</v>
      </c>
      <c r="N134" s="57" t="s">
        <v>1270</v>
      </c>
    </row>
    <row r="135" customFormat="false" ht="27.75" hidden="false" customHeight="true" outlineLevel="0" collapsed="false">
      <c r="A135" s="57" t="s">
        <v>285</v>
      </c>
      <c r="B135" s="57" t="s">
        <v>286</v>
      </c>
      <c r="C135" s="58" t="n">
        <v>46322</v>
      </c>
      <c r="D135" s="57" t="s">
        <v>1515</v>
      </c>
      <c r="E135" s="57" t="s">
        <v>194</v>
      </c>
      <c r="F135" s="57" t="s">
        <v>207</v>
      </c>
      <c r="G135" s="57" t="s">
        <v>599</v>
      </c>
      <c r="H135" s="57" t="s">
        <v>1500</v>
      </c>
      <c r="I135" s="57" t="s">
        <v>1272</v>
      </c>
      <c r="J135" s="57"/>
      <c r="K135" s="57" t="s">
        <v>416</v>
      </c>
      <c r="L135" s="57" t="s">
        <v>348</v>
      </c>
      <c r="M135" s="57" t="s">
        <v>1290</v>
      </c>
      <c r="N135" s="57" t="s">
        <v>1273</v>
      </c>
    </row>
    <row r="136" customFormat="false" ht="27.75" hidden="false" customHeight="true" outlineLevel="0" collapsed="false">
      <c r="A136" s="57" t="s">
        <v>293</v>
      </c>
      <c r="B136" s="57" t="s">
        <v>294</v>
      </c>
      <c r="C136" s="58" t="n">
        <v>46324</v>
      </c>
      <c r="D136" s="57" t="s">
        <v>1516</v>
      </c>
      <c r="E136" s="57" t="s">
        <v>180</v>
      </c>
      <c r="F136" s="57" t="s">
        <v>207</v>
      </c>
      <c r="G136" s="57" t="s">
        <v>412</v>
      </c>
      <c r="H136" s="57" t="s">
        <v>1480</v>
      </c>
      <c r="I136" s="57" t="s">
        <v>414</v>
      </c>
      <c r="J136" s="57"/>
      <c r="K136" s="57" t="s">
        <v>416</v>
      </c>
      <c r="L136" s="57" t="s">
        <v>348</v>
      </c>
      <c r="M136" s="57"/>
      <c r="N136" s="57" t="s">
        <v>1310</v>
      </c>
    </row>
    <row r="137" customFormat="false" ht="40.5" hidden="false" customHeight="true" outlineLevel="0" collapsed="false">
      <c r="A137" s="57" t="s">
        <v>293</v>
      </c>
      <c r="B137" s="57" t="s">
        <v>294</v>
      </c>
      <c r="C137" s="58" t="n">
        <v>46324</v>
      </c>
      <c r="D137" s="57" t="s">
        <v>1516</v>
      </c>
      <c r="E137" s="57" t="s">
        <v>180</v>
      </c>
      <c r="F137" s="57" t="s">
        <v>207</v>
      </c>
      <c r="G137" s="57" t="s">
        <v>412</v>
      </c>
      <c r="H137" s="57" t="s">
        <v>1481</v>
      </c>
      <c r="I137" s="57" t="s">
        <v>414</v>
      </c>
      <c r="J137" s="57" t="s">
        <v>1510</v>
      </c>
      <c r="K137" s="57" t="s">
        <v>416</v>
      </c>
      <c r="L137" s="57" t="s">
        <v>348</v>
      </c>
      <c r="M137" s="57" t="s">
        <v>1321</v>
      </c>
      <c r="N137" s="57" t="s">
        <v>1313</v>
      </c>
    </row>
    <row r="138" customFormat="false" ht="52.5" hidden="false" customHeight="true" outlineLevel="0" collapsed="false">
      <c r="A138" s="57" t="s">
        <v>293</v>
      </c>
      <c r="B138" s="57" t="s">
        <v>294</v>
      </c>
      <c r="C138" s="58" t="n">
        <v>46324</v>
      </c>
      <c r="D138" s="57" t="s">
        <v>1516</v>
      </c>
      <c r="E138" s="57" t="s">
        <v>180</v>
      </c>
      <c r="F138" s="57" t="s">
        <v>207</v>
      </c>
      <c r="G138" s="57" t="s">
        <v>599</v>
      </c>
      <c r="H138" s="57" t="s">
        <v>1500</v>
      </c>
      <c r="I138" s="57" t="s">
        <v>1272</v>
      </c>
      <c r="J138" s="57"/>
      <c r="K138" s="57" t="s">
        <v>416</v>
      </c>
      <c r="L138" s="75" t="s">
        <v>409</v>
      </c>
      <c r="M138" s="57" t="s">
        <v>1323</v>
      </c>
      <c r="N138" s="57" t="s">
        <v>1273</v>
      </c>
    </row>
    <row r="139" customFormat="false" ht="27.75" hidden="false" customHeight="true" outlineLevel="0" collapsed="false">
      <c r="A139" s="57" t="s">
        <v>296</v>
      </c>
      <c r="B139" s="57" t="s">
        <v>297</v>
      </c>
      <c r="C139" s="58" t="n">
        <v>46324</v>
      </c>
      <c r="D139" s="57" t="s">
        <v>1517</v>
      </c>
      <c r="E139" s="57" t="s">
        <v>180</v>
      </c>
      <c r="F139" s="57" t="s">
        <v>195</v>
      </c>
      <c r="G139" s="57" t="s">
        <v>412</v>
      </c>
      <c r="H139" s="57" t="s">
        <v>1480</v>
      </c>
      <c r="I139" s="57" t="s">
        <v>414</v>
      </c>
      <c r="J139" s="57"/>
      <c r="K139" s="57" t="s">
        <v>416</v>
      </c>
      <c r="L139" s="57" t="s">
        <v>348</v>
      </c>
      <c r="M139" s="57"/>
      <c r="N139" s="57" t="s">
        <v>1343</v>
      </c>
    </row>
    <row r="140" customFormat="false" ht="27.75" hidden="false" customHeight="true" outlineLevel="0" collapsed="false">
      <c r="A140" s="57" t="s">
        <v>302</v>
      </c>
      <c r="B140" s="57" t="s">
        <v>303</v>
      </c>
      <c r="C140" s="58" t="n">
        <v>46325</v>
      </c>
      <c r="D140" s="57" t="s">
        <v>1518</v>
      </c>
      <c r="E140" s="57" t="s">
        <v>194</v>
      </c>
      <c r="F140" s="57" t="s">
        <v>195</v>
      </c>
      <c r="G140" s="57" t="s">
        <v>405</v>
      </c>
      <c r="H140" s="57" t="s">
        <v>1484</v>
      </c>
      <c r="I140" s="57" t="s">
        <v>460</v>
      </c>
      <c r="J140" s="57"/>
      <c r="K140" s="57" t="s">
        <v>416</v>
      </c>
      <c r="L140" s="57" t="s">
        <v>348</v>
      </c>
      <c r="M140" s="57" t="s">
        <v>500</v>
      </c>
      <c r="N140" s="57" t="s">
        <v>1368</v>
      </c>
    </row>
    <row r="141" customFormat="false" ht="27.75" hidden="false" customHeight="true" outlineLevel="0" collapsed="false">
      <c r="A141" s="57" t="s">
        <v>302</v>
      </c>
      <c r="B141" s="57" t="s">
        <v>303</v>
      </c>
      <c r="C141" s="58" t="n">
        <v>46325</v>
      </c>
      <c r="D141" s="57" t="s">
        <v>1518</v>
      </c>
      <c r="E141" s="57" t="s">
        <v>194</v>
      </c>
      <c r="F141" s="57" t="s">
        <v>195</v>
      </c>
      <c r="G141" s="57" t="s">
        <v>464</v>
      </c>
      <c r="H141" s="57" t="s">
        <v>1485</v>
      </c>
      <c r="I141" s="57" t="s">
        <v>466</v>
      </c>
      <c r="J141" s="57"/>
      <c r="K141" s="57" t="s">
        <v>416</v>
      </c>
      <c r="L141" s="57" t="s">
        <v>348</v>
      </c>
      <c r="M141" s="57"/>
      <c r="N141" s="57" t="s">
        <v>1371</v>
      </c>
    </row>
    <row r="142" customFormat="false" ht="27.75" hidden="false" customHeight="true" outlineLevel="0" collapsed="false">
      <c r="A142" s="57" t="s">
        <v>302</v>
      </c>
      <c r="B142" s="57" t="s">
        <v>303</v>
      </c>
      <c r="C142" s="58" t="n">
        <v>46325</v>
      </c>
      <c r="D142" s="57" t="s">
        <v>1518</v>
      </c>
      <c r="E142" s="57" t="s">
        <v>194</v>
      </c>
      <c r="F142" s="57" t="s">
        <v>195</v>
      </c>
      <c r="G142" s="57" t="s">
        <v>464</v>
      </c>
      <c r="H142" s="57" t="s">
        <v>1486</v>
      </c>
      <c r="I142" s="57" t="s">
        <v>466</v>
      </c>
      <c r="J142" s="57"/>
      <c r="K142" s="57" t="s">
        <v>416</v>
      </c>
      <c r="L142" s="57" t="s">
        <v>348</v>
      </c>
      <c r="M142" s="57"/>
      <c r="N142" s="57" t="s">
        <v>1373</v>
      </c>
    </row>
    <row r="143" customFormat="false" ht="27.75" hidden="false" customHeight="true" outlineLevel="0" collapsed="false">
      <c r="A143" s="57" t="s">
        <v>302</v>
      </c>
      <c r="B143" s="57" t="s">
        <v>303</v>
      </c>
      <c r="C143" s="58" t="n">
        <v>46325</v>
      </c>
      <c r="D143" s="57" t="s">
        <v>1518</v>
      </c>
      <c r="E143" s="57" t="s">
        <v>194</v>
      </c>
      <c r="F143" s="57" t="s">
        <v>195</v>
      </c>
      <c r="G143" s="57" t="s">
        <v>464</v>
      </c>
      <c r="H143" s="57" t="s">
        <v>1487</v>
      </c>
      <c r="I143" s="57" t="s">
        <v>466</v>
      </c>
      <c r="J143" s="57"/>
      <c r="K143" s="57" t="s">
        <v>416</v>
      </c>
      <c r="L143" s="57" t="s">
        <v>348</v>
      </c>
      <c r="M143" s="57"/>
      <c r="N143" s="57" t="s">
        <v>1375</v>
      </c>
    </row>
    <row r="144" customFormat="false" ht="27.75" hidden="false" customHeight="true" outlineLevel="0" collapsed="false">
      <c r="A144" s="57" t="s">
        <v>302</v>
      </c>
      <c r="B144" s="57" t="s">
        <v>303</v>
      </c>
      <c r="C144" s="58" t="n">
        <v>46325</v>
      </c>
      <c r="D144" s="57" t="s">
        <v>1518</v>
      </c>
      <c r="E144" s="57" t="s">
        <v>194</v>
      </c>
      <c r="F144" s="57" t="s">
        <v>195</v>
      </c>
      <c r="G144" s="57" t="s">
        <v>464</v>
      </c>
      <c r="H144" s="57" t="s">
        <v>1490</v>
      </c>
      <c r="I144" s="57" t="s">
        <v>484</v>
      </c>
      <c r="J144" s="57"/>
      <c r="K144" s="57" t="s">
        <v>416</v>
      </c>
      <c r="L144" s="57" t="s">
        <v>348</v>
      </c>
      <c r="M144" s="57" t="s">
        <v>514</v>
      </c>
      <c r="N144" s="57" t="s">
        <v>1377</v>
      </c>
    </row>
    <row r="145" customFormat="false" ht="27.75" hidden="false" customHeight="true" outlineLevel="0" collapsed="false">
      <c r="A145" s="57" t="s">
        <v>302</v>
      </c>
      <c r="B145" s="57" t="s">
        <v>303</v>
      </c>
      <c r="C145" s="58" t="n">
        <v>46325</v>
      </c>
      <c r="D145" s="57" t="s">
        <v>1518</v>
      </c>
      <c r="E145" s="57" t="s">
        <v>194</v>
      </c>
      <c r="F145" s="57" t="s">
        <v>195</v>
      </c>
      <c r="G145" s="57" t="s">
        <v>464</v>
      </c>
      <c r="H145" s="57" t="s">
        <v>1491</v>
      </c>
      <c r="I145" s="57" t="s">
        <v>466</v>
      </c>
      <c r="J145" s="57"/>
      <c r="K145" s="57" t="s">
        <v>416</v>
      </c>
      <c r="L145" s="57" t="s">
        <v>348</v>
      </c>
      <c r="M145" s="57"/>
      <c r="N145" s="57" t="s">
        <v>1380</v>
      </c>
    </row>
    <row r="146" customFormat="false" ht="27.75" hidden="false" customHeight="true" outlineLevel="0" collapsed="false">
      <c r="A146" s="57" t="s">
        <v>302</v>
      </c>
      <c r="B146" s="57" t="s">
        <v>303</v>
      </c>
      <c r="C146" s="58" t="n">
        <v>46325</v>
      </c>
      <c r="D146" s="57" t="s">
        <v>1518</v>
      </c>
      <c r="E146" s="57" t="s">
        <v>194</v>
      </c>
      <c r="F146" s="57" t="s">
        <v>195</v>
      </c>
      <c r="G146" s="57" t="s">
        <v>412</v>
      </c>
      <c r="H146" s="57" t="s">
        <v>1492</v>
      </c>
      <c r="I146" s="57" t="s">
        <v>414</v>
      </c>
      <c r="J146" s="57"/>
      <c r="K146" s="57" t="s">
        <v>416</v>
      </c>
      <c r="L146" s="57" t="s">
        <v>348</v>
      </c>
      <c r="M146" s="57"/>
      <c r="N146" s="57" t="s">
        <v>1382</v>
      </c>
    </row>
    <row r="147" customFormat="false" ht="27.75" hidden="false" customHeight="true" outlineLevel="0" collapsed="false">
      <c r="A147" s="57" t="s">
        <v>302</v>
      </c>
      <c r="B147" s="57" t="s">
        <v>303</v>
      </c>
      <c r="C147" s="58" t="n">
        <v>46325</v>
      </c>
      <c r="D147" s="57" t="s">
        <v>1518</v>
      </c>
      <c r="E147" s="57" t="s">
        <v>194</v>
      </c>
      <c r="F147" s="57" t="s">
        <v>195</v>
      </c>
      <c r="G147" s="57" t="s">
        <v>412</v>
      </c>
      <c r="H147" s="57" t="s">
        <v>1493</v>
      </c>
      <c r="I147" s="57" t="s">
        <v>414</v>
      </c>
      <c r="J147" s="57"/>
      <c r="K147" s="57" t="s">
        <v>416</v>
      </c>
      <c r="L147" s="57" t="s">
        <v>348</v>
      </c>
      <c r="M147" s="57"/>
      <c r="N147" s="57" t="s">
        <v>1384</v>
      </c>
    </row>
    <row r="148" customFormat="false" ht="78" hidden="false" customHeight="true" outlineLevel="0" collapsed="false">
      <c r="A148" s="57" t="s">
        <v>304</v>
      </c>
      <c r="B148" s="57" t="s">
        <v>224</v>
      </c>
      <c r="C148" s="58" t="n">
        <v>46325</v>
      </c>
      <c r="D148" s="57" t="s">
        <v>1502</v>
      </c>
      <c r="E148" s="57" t="s">
        <v>194</v>
      </c>
      <c r="F148" s="57" t="s">
        <v>181</v>
      </c>
      <c r="G148" s="57" t="s">
        <v>405</v>
      </c>
      <c r="H148" s="57" t="s">
        <v>1479</v>
      </c>
      <c r="I148" s="57" t="s">
        <v>466</v>
      </c>
      <c r="J148" s="57"/>
      <c r="K148" s="57" t="s">
        <v>691</v>
      </c>
      <c r="L148" s="75" t="s">
        <v>409</v>
      </c>
      <c r="M148" s="57" t="s">
        <v>692</v>
      </c>
      <c r="N148" s="57" t="s">
        <v>408</v>
      </c>
    </row>
    <row r="149" customFormat="false" ht="27.75" hidden="false" customHeight="true" outlineLevel="0" collapsed="false">
      <c r="A149" s="57" t="s">
        <v>304</v>
      </c>
      <c r="B149" s="57" t="s">
        <v>224</v>
      </c>
      <c r="C149" s="58" t="n">
        <v>46325</v>
      </c>
      <c r="D149" s="57" t="s">
        <v>1502</v>
      </c>
      <c r="E149" s="57" t="s">
        <v>194</v>
      </c>
      <c r="F149" s="57" t="s">
        <v>181</v>
      </c>
      <c r="G149" s="57" t="s">
        <v>405</v>
      </c>
      <c r="H149" s="57" t="s">
        <v>1503</v>
      </c>
      <c r="I149" s="57" t="s">
        <v>695</v>
      </c>
      <c r="J149" s="57"/>
      <c r="K149" s="57" t="s">
        <v>179</v>
      </c>
      <c r="L149" s="57" t="s">
        <v>348</v>
      </c>
      <c r="M149" s="57" t="s">
        <v>697</v>
      </c>
      <c r="N149" s="57" t="s">
        <v>696</v>
      </c>
    </row>
    <row r="150" customFormat="false" ht="27.75" hidden="false" customHeight="true" outlineLevel="0" collapsed="false">
      <c r="A150" s="57" t="s">
        <v>304</v>
      </c>
      <c r="B150" s="57" t="s">
        <v>224</v>
      </c>
      <c r="C150" s="58" t="n">
        <v>46325</v>
      </c>
      <c r="D150" s="57" t="s">
        <v>1502</v>
      </c>
      <c r="E150" s="57" t="s">
        <v>194</v>
      </c>
      <c r="F150" s="57" t="s">
        <v>181</v>
      </c>
      <c r="G150" s="57" t="s">
        <v>405</v>
      </c>
      <c r="H150" s="57" t="s">
        <v>1496</v>
      </c>
      <c r="I150" s="57" t="s">
        <v>466</v>
      </c>
      <c r="J150" s="57"/>
      <c r="K150" s="57" t="s">
        <v>179</v>
      </c>
      <c r="L150" s="57" t="s">
        <v>348</v>
      </c>
      <c r="M150" s="57"/>
      <c r="N150" s="57" t="s">
        <v>699</v>
      </c>
    </row>
    <row r="151" customFormat="false" ht="27.75" hidden="false" customHeight="true" outlineLevel="0" collapsed="false">
      <c r="A151" s="57" t="s">
        <v>304</v>
      </c>
      <c r="B151" s="57" t="s">
        <v>224</v>
      </c>
      <c r="C151" s="58" t="n">
        <v>46325</v>
      </c>
      <c r="D151" s="57" t="s">
        <v>1502</v>
      </c>
      <c r="E151" s="57" t="s">
        <v>194</v>
      </c>
      <c r="F151" s="57" t="s">
        <v>181</v>
      </c>
      <c r="G151" s="57" t="s">
        <v>464</v>
      </c>
      <c r="H151" s="57" t="s">
        <v>1485</v>
      </c>
      <c r="I151" s="57" t="s">
        <v>466</v>
      </c>
      <c r="J151" s="57"/>
      <c r="K151" s="57" t="s">
        <v>416</v>
      </c>
      <c r="L151" s="57" t="s">
        <v>348</v>
      </c>
      <c r="M151" s="57"/>
      <c r="N151" s="57" t="s">
        <v>701</v>
      </c>
    </row>
    <row r="152" customFormat="false" ht="27.75" hidden="false" customHeight="true" outlineLevel="0" collapsed="false">
      <c r="A152" s="57" t="s">
        <v>304</v>
      </c>
      <c r="B152" s="57" t="s">
        <v>224</v>
      </c>
      <c r="C152" s="58" t="n">
        <v>46325</v>
      </c>
      <c r="D152" s="57" t="s">
        <v>1502</v>
      </c>
      <c r="E152" s="57" t="s">
        <v>194</v>
      </c>
      <c r="F152" s="57" t="s">
        <v>181</v>
      </c>
      <c r="G152" s="57" t="s">
        <v>464</v>
      </c>
      <c r="H152" s="57" t="s">
        <v>1486</v>
      </c>
      <c r="I152" s="57" t="s">
        <v>466</v>
      </c>
      <c r="J152" s="57"/>
      <c r="K152" s="57" t="s">
        <v>416</v>
      </c>
      <c r="L152" s="57" t="s">
        <v>348</v>
      </c>
      <c r="M152" s="57"/>
      <c r="N152" s="57" t="s">
        <v>703</v>
      </c>
    </row>
    <row r="153" customFormat="false" ht="27.75" hidden="false" customHeight="true" outlineLevel="0" collapsed="false">
      <c r="A153" s="57" t="s">
        <v>304</v>
      </c>
      <c r="B153" s="57" t="s">
        <v>224</v>
      </c>
      <c r="C153" s="58" t="n">
        <v>46325</v>
      </c>
      <c r="D153" s="57" t="s">
        <v>1502</v>
      </c>
      <c r="E153" s="57" t="s">
        <v>194</v>
      </c>
      <c r="F153" s="57" t="s">
        <v>181</v>
      </c>
      <c r="G153" s="57" t="s">
        <v>464</v>
      </c>
      <c r="H153" s="57" t="s">
        <v>1487</v>
      </c>
      <c r="I153" s="57" t="s">
        <v>466</v>
      </c>
      <c r="J153" s="57"/>
      <c r="K153" s="57" t="s">
        <v>416</v>
      </c>
      <c r="L153" s="57" t="s">
        <v>348</v>
      </c>
      <c r="M153" s="57"/>
      <c r="N153" s="57" t="s">
        <v>705</v>
      </c>
    </row>
    <row r="154" customFormat="false" ht="27.75" hidden="false" customHeight="true" outlineLevel="0" collapsed="false">
      <c r="A154" s="57" t="s">
        <v>304</v>
      </c>
      <c r="B154" s="57" t="s">
        <v>224</v>
      </c>
      <c r="C154" s="58" t="n">
        <v>46325</v>
      </c>
      <c r="D154" s="57" t="s">
        <v>1502</v>
      </c>
      <c r="E154" s="57" t="s">
        <v>194</v>
      </c>
      <c r="F154" s="57" t="s">
        <v>181</v>
      </c>
      <c r="G154" s="57" t="s">
        <v>464</v>
      </c>
      <c r="H154" s="57" t="s">
        <v>1488</v>
      </c>
      <c r="I154" s="57" t="s">
        <v>466</v>
      </c>
      <c r="J154" s="57"/>
      <c r="K154" s="57" t="s">
        <v>416</v>
      </c>
      <c r="L154" s="57" t="s">
        <v>348</v>
      </c>
      <c r="M154" s="57"/>
      <c r="N154" s="57" t="s">
        <v>707</v>
      </c>
    </row>
    <row r="155" customFormat="false" ht="27.75" hidden="false" customHeight="true" outlineLevel="0" collapsed="false">
      <c r="A155" s="57" t="s">
        <v>304</v>
      </c>
      <c r="B155" s="57" t="s">
        <v>224</v>
      </c>
      <c r="C155" s="58" t="n">
        <v>46325</v>
      </c>
      <c r="D155" s="57" t="s">
        <v>1502</v>
      </c>
      <c r="E155" s="57" t="s">
        <v>194</v>
      </c>
      <c r="F155" s="57" t="s">
        <v>181</v>
      </c>
      <c r="G155" s="57" t="s">
        <v>464</v>
      </c>
      <c r="H155" s="57" t="s">
        <v>1489</v>
      </c>
      <c r="I155" s="57" t="s">
        <v>466</v>
      </c>
      <c r="J155" s="57"/>
      <c r="K155" s="57" t="s">
        <v>416</v>
      </c>
      <c r="L155" s="57" t="s">
        <v>348</v>
      </c>
      <c r="M155" s="57"/>
      <c r="N155" s="57" t="s">
        <v>709</v>
      </c>
    </row>
    <row r="156" customFormat="false" ht="27.75" hidden="false" customHeight="true" outlineLevel="0" collapsed="false">
      <c r="A156" s="57" t="s">
        <v>304</v>
      </c>
      <c r="B156" s="57" t="s">
        <v>224</v>
      </c>
      <c r="C156" s="58" t="n">
        <v>46325</v>
      </c>
      <c r="D156" s="57" t="s">
        <v>1502</v>
      </c>
      <c r="E156" s="57" t="s">
        <v>194</v>
      </c>
      <c r="F156" s="57" t="s">
        <v>181</v>
      </c>
      <c r="G156" s="57" t="s">
        <v>464</v>
      </c>
      <c r="H156" s="57" t="s">
        <v>1490</v>
      </c>
      <c r="I156" s="57" t="s">
        <v>581</v>
      </c>
      <c r="J156" s="57"/>
      <c r="K156" s="57" t="s">
        <v>416</v>
      </c>
      <c r="L156" s="57" t="s">
        <v>348</v>
      </c>
      <c r="M156" s="57" t="s">
        <v>514</v>
      </c>
      <c r="N156" s="57" t="s">
        <v>711</v>
      </c>
    </row>
    <row r="157" customFormat="false" ht="27.75" hidden="false" customHeight="true" outlineLevel="0" collapsed="false">
      <c r="A157" s="57" t="s">
        <v>304</v>
      </c>
      <c r="B157" s="57" t="s">
        <v>224</v>
      </c>
      <c r="C157" s="58" t="n">
        <v>46325</v>
      </c>
      <c r="D157" s="57" t="s">
        <v>1502</v>
      </c>
      <c r="E157" s="57" t="s">
        <v>194</v>
      </c>
      <c r="F157" s="57" t="s">
        <v>181</v>
      </c>
      <c r="G157" s="57" t="s">
        <v>464</v>
      </c>
      <c r="H157" s="57" t="s">
        <v>1491</v>
      </c>
      <c r="I157" s="57" t="s">
        <v>466</v>
      </c>
      <c r="J157" s="57"/>
      <c r="K157" s="57" t="s">
        <v>416</v>
      </c>
      <c r="L157" s="57" t="s">
        <v>348</v>
      </c>
      <c r="M157" s="57"/>
      <c r="N157" s="57" t="s">
        <v>713</v>
      </c>
    </row>
    <row r="158" customFormat="false" ht="27.75" hidden="false" customHeight="true" outlineLevel="0" collapsed="false">
      <c r="A158" s="57" t="s">
        <v>304</v>
      </c>
      <c r="B158" s="57" t="s">
        <v>224</v>
      </c>
      <c r="C158" s="58" t="n">
        <v>46325</v>
      </c>
      <c r="D158" s="57" t="s">
        <v>1502</v>
      </c>
      <c r="E158" s="57" t="s">
        <v>194</v>
      </c>
      <c r="F158" s="57" t="s">
        <v>181</v>
      </c>
      <c r="G158" s="57" t="s">
        <v>412</v>
      </c>
      <c r="H158" s="57" t="s">
        <v>1492</v>
      </c>
      <c r="I158" s="57" t="s">
        <v>414</v>
      </c>
      <c r="J158" s="57"/>
      <c r="K158" s="57" t="s">
        <v>416</v>
      </c>
      <c r="L158" s="57" t="s">
        <v>348</v>
      </c>
      <c r="M158" s="57"/>
      <c r="N158" s="57" t="s">
        <v>715</v>
      </c>
    </row>
    <row r="159" customFormat="false" ht="27.75" hidden="false" customHeight="true" outlineLevel="0" collapsed="false">
      <c r="A159" s="57" t="s">
        <v>304</v>
      </c>
      <c r="B159" s="57" t="s">
        <v>224</v>
      </c>
      <c r="C159" s="58" t="n">
        <v>46325</v>
      </c>
      <c r="D159" s="57" t="s">
        <v>1502</v>
      </c>
      <c r="E159" s="57" t="s">
        <v>194</v>
      </c>
      <c r="F159" s="57" t="s">
        <v>181</v>
      </c>
      <c r="G159" s="57" t="s">
        <v>412</v>
      </c>
      <c r="H159" s="57" t="s">
        <v>1497</v>
      </c>
      <c r="I159" s="57" t="s">
        <v>414</v>
      </c>
      <c r="J159" s="57"/>
      <c r="K159" s="57" t="s">
        <v>416</v>
      </c>
      <c r="L159" s="57" t="s">
        <v>348</v>
      </c>
      <c r="M159" s="57"/>
      <c r="N159" s="57" t="s">
        <v>717</v>
      </c>
    </row>
    <row r="160" customFormat="false" ht="27.75" hidden="false" customHeight="true" outlineLevel="0" collapsed="false">
      <c r="A160" s="57" t="s">
        <v>304</v>
      </c>
      <c r="B160" s="57" t="s">
        <v>224</v>
      </c>
      <c r="C160" s="58" t="n">
        <v>46325</v>
      </c>
      <c r="D160" s="57" t="s">
        <v>1502</v>
      </c>
      <c r="E160" s="57" t="s">
        <v>194</v>
      </c>
      <c r="F160" s="57" t="s">
        <v>181</v>
      </c>
      <c r="G160" s="57" t="s">
        <v>412</v>
      </c>
      <c r="H160" s="57" t="s">
        <v>1498</v>
      </c>
      <c r="I160" s="57" t="s">
        <v>414</v>
      </c>
      <c r="J160" s="57"/>
      <c r="K160" s="57" t="s">
        <v>416</v>
      </c>
      <c r="L160" s="57" t="s">
        <v>348</v>
      </c>
      <c r="M160" s="57"/>
      <c r="N160" s="57" t="s">
        <v>719</v>
      </c>
    </row>
    <row r="161" customFormat="false" ht="27.75" hidden="false" customHeight="true" outlineLevel="0" collapsed="false">
      <c r="A161" s="57" t="s">
        <v>304</v>
      </c>
      <c r="B161" s="57" t="s">
        <v>224</v>
      </c>
      <c r="C161" s="58" t="n">
        <v>46325</v>
      </c>
      <c r="D161" s="57" t="s">
        <v>1502</v>
      </c>
      <c r="E161" s="57" t="s">
        <v>194</v>
      </c>
      <c r="F161" s="57" t="s">
        <v>181</v>
      </c>
      <c r="G161" s="57" t="s">
        <v>594</v>
      </c>
      <c r="H161" s="57" t="s">
        <v>1499</v>
      </c>
      <c r="I161" s="57" t="s">
        <v>466</v>
      </c>
      <c r="J161" s="57"/>
      <c r="K161" s="57" t="s">
        <v>179</v>
      </c>
      <c r="L161" s="57" t="s">
        <v>348</v>
      </c>
      <c r="M161" s="57" t="s">
        <v>597</v>
      </c>
      <c r="N161" s="57" t="s">
        <v>721</v>
      </c>
    </row>
    <row r="163" customFormat="false" ht="15" hidden="false" customHeight="false" outlineLevel="0" collapsed="false">
      <c r="A163" s="76" t="s">
        <v>1519</v>
      </c>
    </row>
    <row r="164" customFormat="false" ht="30" hidden="false" customHeight="true" outlineLevel="0" collapsed="false">
      <c r="A164" s="56" t="s">
        <v>132</v>
      </c>
      <c r="B164" s="56" t="s">
        <v>135</v>
      </c>
      <c r="C164" s="56" t="s">
        <v>103</v>
      </c>
      <c r="D164" s="56" t="s">
        <v>104</v>
      </c>
      <c r="E164" s="56" t="s">
        <v>310</v>
      </c>
      <c r="F164" s="56" t="s">
        <v>106</v>
      </c>
      <c r="G164" s="56" t="s">
        <v>312</v>
      </c>
      <c r="H164" s="56" t="s">
        <v>1472</v>
      </c>
      <c r="I164" s="56" t="s">
        <v>1477</v>
      </c>
    </row>
    <row r="165" customFormat="false" ht="27.75" hidden="false" customHeight="true" outlineLevel="0" collapsed="false">
      <c r="A165" s="77" t="s">
        <v>175</v>
      </c>
      <c r="B165" s="77" t="s">
        <v>177</v>
      </c>
      <c r="C165" s="78" t="n">
        <v>46303</v>
      </c>
      <c r="D165" s="77" t="s">
        <v>1478</v>
      </c>
      <c r="E165" s="77" t="s">
        <v>180</v>
      </c>
      <c r="F165" s="77" t="s">
        <v>181</v>
      </c>
      <c r="G165" s="77" t="s">
        <v>599</v>
      </c>
      <c r="H165" s="77" t="s">
        <v>1520</v>
      </c>
      <c r="I165" s="77" t="s">
        <v>1521</v>
      </c>
    </row>
    <row r="166" customFormat="false" ht="27.75" hidden="false" customHeight="true" outlineLevel="0" collapsed="false">
      <c r="A166" s="77" t="s">
        <v>190</v>
      </c>
      <c r="B166" s="77" t="s">
        <v>192</v>
      </c>
      <c r="C166" s="78" t="n">
        <v>46304</v>
      </c>
      <c r="D166" s="77" t="s">
        <v>1483</v>
      </c>
      <c r="E166" s="77" t="s">
        <v>194</v>
      </c>
      <c r="F166" s="77" t="s">
        <v>195</v>
      </c>
      <c r="G166" s="77" t="s">
        <v>405</v>
      </c>
      <c r="H166" s="77" t="s">
        <v>1479</v>
      </c>
      <c r="I166" s="77" t="s">
        <v>1522</v>
      </c>
    </row>
    <row r="167" customFormat="false" ht="27.75" hidden="false" customHeight="true" outlineLevel="0" collapsed="false">
      <c r="A167" s="77" t="s">
        <v>190</v>
      </c>
      <c r="B167" s="77" t="s">
        <v>192</v>
      </c>
      <c r="C167" s="78" t="n">
        <v>46304</v>
      </c>
      <c r="D167" s="77" t="s">
        <v>1483</v>
      </c>
      <c r="E167" s="77" t="s">
        <v>194</v>
      </c>
      <c r="F167" s="77" t="s">
        <v>195</v>
      </c>
      <c r="G167" s="77" t="s">
        <v>405</v>
      </c>
      <c r="H167" s="77" t="s">
        <v>1523</v>
      </c>
      <c r="I167" s="77" t="s">
        <v>1524</v>
      </c>
    </row>
    <row r="168" customFormat="false" ht="27.75" hidden="false" customHeight="true" outlineLevel="0" collapsed="false">
      <c r="A168" s="77" t="s">
        <v>190</v>
      </c>
      <c r="B168" s="77" t="s">
        <v>192</v>
      </c>
      <c r="C168" s="78" t="n">
        <v>46304</v>
      </c>
      <c r="D168" s="77" t="s">
        <v>1483</v>
      </c>
      <c r="E168" s="77" t="s">
        <v>194</v>
      </c>
      <c r="F168" s="77" t="s">
        <v>195</v>
      </c>
      <c r="G168" s="77" t="s">
        <v>405</v>
      </c>
      <c r="H168" s="77" t="s">
        <v>1496</v>
      </c>
      <c r="I168" s="77" t="s">
        <v>1525</v>
      </c>
    </row>
    <row r="169" customFormat="false" ht="27.75" hidden="false" customHeight="true" outlineLevel="0" collapsed="false">
      <c r="A169" s="77" t="s">
        <v>190</v>
      </c>
      <c r="B169" s="77" t="s">
        <v>192</v>
      </c>
      <c r="C169" s="78" t="n">
        <v>46304</v>
      </c>
      <c r="D169" s="77" t="s">
        <v>1483</v>
      </c>
      <c r="E169" s="77" t="s">
        <v>194</v>
      </c>
      <c r="F169" s="77" t="s">
        <v>195</v>
      </c>
      <c r="G169" s="77" t="s">
        <v>594</v>
      </c>
      <c r="H169" s="77" t="s">
        <v>1526</v>
      </c>
      <c r="I169" s="77" t="s">
        <v>1527</v>
      </c>
    </row>
    <row r="170" customFormat="false" ht="27.75" hidden="false" customHeight="true" outlineLevel="0" collapsed="false">
      <c r="A170" s="77" t="s">
        <v>190</v>
      </c>
      <c r="B170" s="77" t="s">
        <v>192</v>
      </c>
      <c r="C170" s="78" t="n">
        <v>46304</v>
      </c>
      <c r="D170" s="77" t="s">
        <v>1483</v>
      </c>
      <c r="E170" s="77" t="s">
        <v>194</v>
      </c>
      <c r="F170" s="77" t="s">
        <v>195</v>
      </c>
      <c r="G170" s="77" t="s">
        <v>412</v>
      </c>
      <c r="H170" s="77" t="s">
        <v>1528</v>
      </c>
      <c r="I170" s="77" t="s">
        <v>1529</v>
      </c>
    </row>
    <row r="171" customFormat="false" ht="27.75" hidden="false" customHeight="true" outlineLevel="0" collapsed="false">
      <c r="A171" s="77" t="s">
        <v>190</v>
      </c>
      <c r="B171" s="77" t="s">
        <v>192</v>
      </c>
      <c r="C171" s="78" t="n">
        <v>46304</v>
      </c>
      <c r="D171" s="77" t="s">
        <v>1483</v>
      </c>
      <c r="E171" s="77" t="s">
        <v>194</v>
      </c>
      <c r="F171" s="77" t="s">
        <v>195</v>
      </c>
      <c r="G171" s="77" t="s">
        <v>412</v>
      </c>
      <c r="H171" s="77" t="s">
        <v>1530</v>
      </c>
      <c r="I171" s="77" t="s">
        <v>1531</v>
      </c>
    </row>
    <row r="172" customFormat="false" ht="27.75" hidden="false" customHeight="true" outlineLevel="0" collapsed="false">
      <c r="A172" s="77" t="s">
        <v>190</v>
      </c>
      <c r="B172" s="77" t="s">
        <v>192</v>
      </c>
      <c r="C172" s="78" t="n">
        <v>46304</v>
      </c>
      <c r="D172" s="77" t="s">
        <v>1483</v>
      </c>
      <c r="E172" s="77" t="s">
        <v>194</v>
      </c>
      <c r="F172" s="77" t="s">
        <v>195</v>
      </c>
      <c r="G172" s="77" t="s">
        <v>599</v>
      </c>
      <c r="H172" s="77" t="s">
        <v>1532</v>
      </c>
      <c r="I172" s="77" t="s">
        <v>1533</v>
      </c>
    </row>
    <row r="173" customFormat="false" ht="27.75" hidden="false" customHeight="true" outlineLevel="0" collapsed="false">
      <c r="A173" s="77" t="s">
        <v>204</v>
      </c>
      <c r="B173" s="77" t="s">
        <v>206</v>
      </c>
      <c r="C173" s="78" t="n">
        <v>46305</v>
      </c>
      <c r="D173" s="77" t="s">
        <v>1494</v>
      </c>
      <c r="E173" s="77" t="s">
        <v>180</v>
      </c>
      <c r="F173" s="77" t="s">
        <v>207</v>
      </c>
      <c r="G173" s="77" t="s">
        <v>405</v>
      </c>
      <c r="H173" s="77" t="s">
        <v>1479</v>
      </c>
      <c r="I173" s="77" t="s">
        <v>1522</v>
      </c>
    </row>
    <row r="174" customFormat="false" ht="27.75" hidden="false" customHeight="true" outlineLevel="0" collapsed="false">
      <c r="A174" s="77" t="s">
        <v>204</v>
      </c>
      <c r="B174" s="77" t="s">
        <v>206</v>
      </c>
      <c r="C174" s="78" t="n">
        <v>46305</v>
      </c>
      <c r="D174" s="77" t="s">
        <v>1494</v>
      </c>
      <c r="E174" s="77" t="s">
        <v>180</v>
      </c>
      <c r="F174" s="77" t="s">
        <v>207</v>
      </c>
      <c r="G174" s="77" t="s">
        <v>412</v>
      </c>
      <c r="H174" s="77" t="s">
        <v>1481</v>
      </c>
      <c r="I174" s="77" t="s">
        <v>1534</v>
      </c>
    </row>
    <row r="175" customFormat="false" ht="27.75" hidden="false" customHeight="true" outlineLevel="0" collapsed="false">
      <c r="A175" s="77" t="s">
        <v>204</v>
      </c>
      <c r="B175" s="77" t="s">
        <v>206</v>
      </c>
      <c r="C175" s="78" t="n">
        <v>46305</v>
      </c>
      <c r="D175" s="77" t="s">
        <v>1494</v>
      </c>
      <c r="E175" s="77" t="s">
        <v>180</v>
      </c>
      <c r="F175" s="77" t="s">
        <v>207</v>
      </c>
      <c r="G175" s="77" t="s">
        <v>599</v>
      </c>
      <c r="H175" s="77" t="s">
        <v>1532</v>
      </c>
      <c r="I175" s="77" t="s">
        <v>1533</v>
      </c>
    </row>
    <row r="176" customFormat="false" ht="27.75" hidden="false" customHeight="true" outlineLevel="0" collapsed="false">
      <c r="A176" s="77" t="s">
        <v>210</v>
      </c>
      <c r="B176" s="77" t="s">
        <v>211</v>
      </c>
      <c r="C176" s="78" t="n">
        <v>46305</v>
      </c>
      <c r="D176" s="77" t="s">
        <v>1495</v>
      </c>
      <c r="E176" s="77" t="s">
        <v>194</v>
      </c>
      <c r="F176" s="77" t="s">
        <v>181</v>
      </c>
      <c r="G176" s="77" t="s">
        <v>405</v>
      </c>
      <c r="H176" s="77" t="s">
        <v>1523</v>
      </c>
      <c r="I176" s="77" t="s">
        <v>1535</v>
      </c>
    </row>
    <row r="177" customFormat="false" ht="27.75" hidden="false" customHeight="true" outlineLevel="0" collapsed="false">
      <c r="A177" s="77" t="s">
        <v>210</v>
      </c>
      <c r="B177" s="77" t="s">
        <v>211</v>
      </c>
      <c r="C177" s="78" t="n">
        <v>46305</v>
      </c>
      <c r="D177" s="77" t="s">
        <v>1495</v>
      </c>
      <c r="E177" s="77" t="s">
        <v>194</v>
      </c>
      <c r="F177" s="77" t="s">
        <v>181</v>
      </c>
      <c r="G177" s="77" t="s">
        <v>412</v>
      </c>
      <c r="H177" s="77" t="s">
        <v>1536</v>
      </c>
      <c r="I177" s="77" t="s">
        <v>1537</v>
      </c>
    </row>
    <row r="178" customFormat="false" ht="27.75" hidden="false" customHeight="true" outlineLevel="0" collapsed="false">
      <c r="A178" s="77" t="s">
        <v>223</v>
      </c>
      <c r="B178" s="77" t="s">
        <v>224</v>
      </c>
      <c r="C178" s="78" t="n">
        <v>46310</v>
      </c>
      <c r="D178" s="77" t="s">
        <v>1502</v>
      </c>
      <c r="E178" s="77" t="s">
        <v>194</v>
      </c>
      <c r="F178" s="77" t="s">
        <v>181</v>
      </c>
      <c r="G178" s="77" t="s">
        <v>412</v>
      </c>
      <c r="H178" s="77" t="s">
        <v>1536</v>
      </c>
      <c r="I178" s="77" t="s">
        <v>1538</v>
      </c>
    </row>
    <row r="179" customFormat="false" ht="27.75" hidden="false" customHeight="true" outlineLevel="0" collapsed="false">
      <c r="A179" s="77" t="s">
        <v>223</v>
      </c>
      <c r="B179" s="77" t="s">
        <v>224</v>
      </c>
      <c r="C179" s="78" t="n">
        <v>46310</v>
      </c>
      <c r="D179" s="77" t="s">
        <v>1502</v>
      </c>
      <c r="E179" s="77" t="s">
        <v>194</v>
      </c>
      <c r="F179" s="77" t="s">
        <v>181</v>
      </c>
      <c r="G179" s="77" t="s">
        <v>599</v>
      </c>
      <c r="H179" s="77" t="s">
        <v>1520</v>
      </c>
      <c r="I179" s="77" t="s">
        <v>1521</v>
      </c>
    </row>
    <row r="180" customFormat="false" ht="27.75" hidden="false" customHeight="true" outlineLevel="0" collapsed="false">
      <c r="A180" s="77" t="s">
        <v>227</v>
      </c>
      <c r="B180" s="77" t="s">
        <v>228</v>
      </c>
      <c r="C180" s="78" t="n">
        <v>46304</v>
      </c>
      <c r="D180" s="77" t="s">
        <v>1478</v>
      </c>
      <c r="E180" s="77" t="s">
        <v>194</v>
      </c>
      <c r="F180" s="77" t="s">
        <v>181</v>
      </c>
      <c r="G180" s="77" t="s">
        <v>412</v>
      </c>
      <c r="H180" s="77" t="s">
        <v>1536</v>
      </c>
      <c r="I180" s="77" t="s">
        <v>1538</v>
      </c>
    </row>
    <row r="181" customFormat="false" ht="27.75" hidden="false" customHeight="true" outlineLevel="0" collapsed="false">
      <c r="A181" s="77" t="s">
        <v>227</v>
      </c>
      <c r="B181" s="77" t="s">
        <v>228</v>
      </c>
      <c r="C181" s="78" t="n">
        <v>46304</v>
      </c>
      <c r="D181" s="77" t="s">
        <v>1478</v>
      </c>
      <c r="E181" s="77" t="s">
        <v>194</v>
      </c>
      <c r="F181" s="77" t="s">
        <v>181</v>
      </c>
      <c r="G181" s="77" t="s">
        <v>599</v>
      </c>
      <c r="H181" s="77" t="s">
        <v>1520</v>
      </c>
      <c r="I181" s="77" t="s">
        <v>1521</v>
      </c>
    </row>
    <row r="182" customFormat="false" ht="27.75" hidden="false" customHeight="true" outlineLevel="0" collapsed="false">
      <c r="A182" s="77" t="s">
        <v>230</v>
      </c>
      <c r="B182" s="77" t="s">
        <v>231</v>
      </c>
      <c r="C182" s="78" t="n">
        <v>46305</v>
      </c>
      <c r="D182" s="77" t="s">
        <v>1504</v>
      </c>
      <c r="E182" s="77" t="s">
        <v>180</v>
      </c>
      <c r="F182" s="77" t="s">
        <v>195</v>
      </c>
      <c r="G182" s="77" t="s">
        <v>405</v>
      </c>
      <c r="H182" s="77" t="s">
        <v>1479</v>
      </c>
      <c r="I182" s="77" t="s">
        <v>1539</v>
      </c>
    </row>
    <row r="183" customFormat="false" ht="27.75" hidden="false" customHeight="true" outlineLevel="0" collapsed="false">
      <c r="A183" s="77" t="s">
        <v>230</v>
      </c>
      <c r="B183" s="77" t="s">
        <v>231</v>
      </c>
      <c r="C183" s="78" t="n">
        <v>46305</v>
      </c>
      <c r="D183" s="77" t="s">
        <v>1504</v>
      </c>
      <c r="E183" s="77" t="s">
        <v>180</v>
      </c>
      <c r="F183" s="77" t="s">
        <v>195</v>
      </c>
      <c r="G183" s="77" t="s">
        <v>412</v>
      </c>
      <c r="H183" s="77" t="s">
        <v>1481</v>
      </c>
      <c r="I183" s="77" t="s">
        <v>1534</v>
      </c>
    </row>
    <row r="184" customFormat="false" ht="27.75" hidden="false" customHeight="true" outlineLevel="0" collapsed="false">
      <c r="A184" s="77" t="s">
        <v>230</v>
      </c>
      <c r="B184" s="77" t="s">
        <v>231</v>
      </c>
      <c r="C184" s="78" t="n">
        <v>46305</v>
      </c>
      <c r="D184" s="77" t="s">
        <v>1504</v>
      </c>
      <c r="E184" s="77" t="s">
        <v>180</v>
      </c>
      <c r="F184" s="77" t="s">
        <v>195</v>
      </c>
      <c r="G184" s="77" t="s">
        <v>599</v>
      </c>
      <c r="H184" s="77" t="s">
        <v>1532</v>
      </c>
      <c r="I184" s="77" t="s">
        <v>1533</v>
      </c>
    </row>
    <row r="185" customFormat="false" ht="27.75" hidden="false" customHeight="true" outlineLevel="0" collapsed="false">
      <c r="A185" s="77" t="s">
        <v>238</v>
      </c>
      <c r="B185" s="77" t="s">
        <v>240</v>
      </c>
      <c r="C185" s="78" t="n">
        <v>46306</v>
      </c>
      <c r="D185" s="77" t="s">
        <v>1505</v>
      </c>
      <c r="E185" s="77" t="s">
        <v>194</v>
      </c>
      <c r="F185" s="77" t="s">
        <v>195</v>
      </c>
      <c r="G185" s="77" t="s">
        <v>405</v>
      </c>
      <c r="H185" s="77" t="s">
        <v>1479</v>
      </c>
      <c r="I185" s="77" t="s">
        <v>1539</v>
      </c>
    </row>
    <row r="186" customFormat="false" ht="27.75" hidden="false" customHeight="true" outlineLevel="0" collapsed="false">
      <c r="A186" s="77" t="s">
        <v>238</v>
      </c>
      <c r="B186" s="77" t="s">
        <v>240</v>
      </c>
      <c r="C186" s="78" t="n">
        <v>46306</v>
      </c>
      <c r="D186" s="77" t="s">
        <v>1505</v>
      </c>
      <c r="E186" s="77" t="s">
        <v>194</v>
      </c>
      <c r="F186" s="77" t="s">
        <v>195</v>
      </c>
      <c r="G186" s="77" t="s">
        <v>405</v>
      </c>
      <c r="H186" s="77" t="s">
        <v>1523</v>
      </c>
      <c r="I186" s="77" t="s">
        <v>1540</v>
      </c>
    </row>
    <row r="187" customFormat="false" ht="27.75" hidden="false" customHeight="true" outlineLevel="0" collapsed="false">
      <c r="A187" s="77" t="s">
        <v>238</v>
      </c>
      <c r="B187" s="77" t="s">
        <v>240</v>
      </c>
      <c r="C187" s="78" t="n">
        <v>46306</v>
      </c>
      <c r="D187" s="77" t="s">
        <v>1505</v>
      </c>
      <c r="E187" s="77" t="s">
        <v>194</v>
      </c>
      <c r="F187" s="77" t="s">
        <v>195</v>
      </c>
      <c r="G187" s="77" t="s">
        <v>405</v>
      </c>
      <c r="H187" s="77" t="s">
        <v>1496</v>
      </c>
      <c r="I187" s="77" t="s">
        <v>1541</v>
      </c>
    </row>
    <row r="188" customFormat="false" ht="27.75" hidden="false" customHeight="true" outlineLevel="0" collapsed="false">
      <c r="A188" s="77" t="s">
        <v>238</v>
      </c>
      <c r="B188" s="77" t="s">
        <v>240</v>
      </c>
      <c r="C188" s="78" t="n">
        <v>46306</v>
      </c>
      <c r="D188" s="77" t="s">
        <v>1505</v>
      </c>
      <c r="E188" s="77" t="s">
        <v>194</v>
      </c>
      <c r="F188" s="77" t="s">
        <v>195</v>
      </c>
      <c r="G188" s="77" t="s">
        <v>594</v>
      </c>
      <c r="H188" s="77" t="s">
        <v>1526</v>
      </c>
      <c r="I188" s="77" t="s">
        <v>1542</v>
      </c>
    </row>
    <row r="189" customFormat="false" ht="27.75" hidden="false" customHeight="true" outlineLevel="0" collapsed="false">
      <c r="A189" s="77" t="s">
        <v>238</v>
      </c>
      <c r="B189" s="77" t="s">
        <v>240</v>
      </c>
      <c r="C189" s="78" t="n">
        <v>46306</v>
      </c>
      <c r="D189" s="77" t="s">
        <v>1505</v>
      </c>
      <c r="E189" s="77" t="s">
        <v>194</v>
      </c>
      <c r="F189" s="77" t="s">
        <v>195</v>
      </c>
      <c r="G189" s="77" t="s">
        <v>412</v>
      </c>
      <c r="H189" s="77" t="s">
        <v>1528</v>
      </c>
      <c r="I189" s="77" t="s">
        <v>1543</v>
      </c>
    </row>
    <row r="190" customFormat="false" ht="27.75" hidden="false" customHeight="true" outlineLevel="0" collapsed="false">
      <c r="A190" s="77" t="s">
        <v>238</v>
      </c>
      <c r="B190" s="77" t="s">
        <v>240</v>
      </c>
      <c r="C190" s="78" t="n">
        <v>46306</v>
      </c>
      <c r="D190" s="77" t="s">
        <v>1505</v>
      </c>
      <c r="E190" s="77" t="s">
        <v>194</v>
      </c>
      <c r="F190" s="77" t="s">
        <v>195</v>
      </c>
      <c r="G190" s="77" t="s">
        <v>412</v>
      </c>
      <c r="H190" s="77" t="s">
        <v>1530</v>
      </c>
      <c r="I190" s="77" t="s">
        <v>1544</v>
      </c>
    </row>
    <row r="191" customFormat="false" ht="27.75" hidden="false" customHeight="true" outlineLevel="0" collapsed="false">
      <c r="A191" s="77" t="s">
        <v>238</v>
      </c>
      <c r="B191" s="77" t="s">
        <v>240</v>
      </c>
      <c r="C191" s="78" t="n">
        <v>46306</v>
      </c>
      <c r="D191" s="77" t="s">
        <v>1505</v>
      </c>
      <c r="E191" s="77" t="s">
        <v>194</v>
      </c>
      <c r="F191" s="77" t="s">
        <v>195</v>
      </c>
      <c r="G191" s="77" t="s">
        <v>599</v>
      </c>
      <c r="H191" s="77" t="s">
        <v>1532</v>
      </c>
      <c r="I191" s="77" t="s">
        <v>1533</v>
      </c>
    </row>
    <row r="192" customFormat="false" ht="27.75" hidden="false" customHeight="true" outlineLevel="0" collapsed="false">
      <c r="A192" s="77" t="s">
        <v>243</v>
      </c>
      <c r="B192" s="77" t="s">
        <v>245</v>
      </c>
      <c r="C192" s="78" t="n">
        <v>46307</v>
      </c>
      <c r="D192" s="77" t="s">
        <v>1506</v>
      </c>
      <c r="E192" s="77" t="s">
        <v>194</v>
      </c>
      <c r="F192" s="77" t="s">
        <v>195</v>
      </c>
      <c r="G192" s="77" t="s">
        <v>405</v>
      </c>
      <c r="H192" s="77" t="s">
        <v>1479</v>
      </c>
      <c r="I192" s="77" t="s">
        <v>1545</v>
      </c>
    </row>
    <row r="193" customFormat="false" ht="27.75" hidden="false" customHeight="true" outlineLevel="0" collapsed="false">
      <c r="A193" s="77" t="s">
        <v>243</v>
      </c>
      <c r="B193" s="77" t="s">
        <v>245</v>
      </c>
      <c r="C193" s="78" t="n">
        <v>46307</v>
      </c>
      <c r="D193" s="77" t="s">
        <v>1506</v>
      </c>
      <c r="E193" s="77" t="s">
        <v>194</v>
      </c>
      <c r="F193" s="77" t="s">
        <v>195</v>
      </c>
      <c r="G193" s="77" t="s">
        <v>405</v>
      </c>
      <c r="H193" s="77" t="s">
        <v>1523</v>
      </c>
      <c r="I193" s="77" t="s">
        <v>1546</v>
      </c>
    </row>
    <row r="194" customFormat="false" ht="27.75" hidden="false" customHeight="true" outlineLevel="0" collapsed="false">
      <c r="A194" s="77" t="s">
        <v>243</v>
      </c>
      <c r="B194" s="77" t="s">
        <v>245</v>
      </c>
      <c r="C194" s="78" t="n">
        <v>46307</v>
      </c>
      <c r="D194" s="77" t="s">
        <v>1506</v>
      </c>
      <c r="E194" s="77" t="s">
        <v>194</v>
      </c>
      <c r="F194" s="77" t="s">
        <v>195</v>
      </c>
      <c r="G194" s="77" t="s">
        <v>405</v>
      </c>
      <c r="H194" s="77" t="s">
        <v>1496</v>
      </c>
      <c r="I194" s="77" t="s">
        <v>1547</v>
      </c>
    </row>
    <row r="195" customFormat="false" ht="27.75" hidden="false" customHeight="true" outlineLevel="0" collapsed="false">
      <c r="A195" s="77" t="s">
        <v>243</v>
      </c>
      <c r="B195" s="77" t="s">
        <v>245</v>
      </c>
      <c r="C195" s="78" t="n">
        <v>46307</v>
      </c>
      <c r="D195" s="77" t="s">
        <v>1506</v>
      </c>
      <c r="E195" s="77" t="s">
        <v>194</v>
      </c>
      <c r="F195" s="77" t="s">
        <v>195</v>
      </c>
      <c r="G195" s="77" t="s">
        <v>464</v>
      </c>
      <c r="H195" s="77" t="s">
        <v>1488</v>
      </c>
      <c r="I195" s="77" t="s">
        <v>1548</v>
      </c>
    </row>
    <row r="196" customFormat="false" ht="27.75" hidden="false" customHeight="true" outlineLevel="0" collapsed="false">
      <c r="A196" s="77" t="s">
        <v>243</v>
      </c>
      <c r="B196" s="77" t="s">
        <v>245</v>
      </c>
      <c r="C196" s="78" t="n">
        <v>46307</v>
      </c>
      <c r="D196" s="77" t="s">
        <v>1506</v>
      </c>
      <c r="E196" s="77" t="s">
        <v>194</v>
      </c>
      <c r="F196" s="77" t="s">
        <v>195</v>
      </c>
      <c r="G196" s="77" t="s">
        <v>464</v>
      </c>
      <c r="H196" s="77" t="s">
        <v>1549</v>
      </c>
      <c r="I196" s="77" t="s">
        <v>1550</v>
      </c>
    </row>
    <row r="197" customFormat="false" ht="27.75" hidden="false" customHeight="true" outlineLevel="0" collapsed="false">
      <c r="A197" s="77" t="s">
        <v>243</v>
      </c>
      <c r="B197" s="77" t="s">
        <v>245</v>
      </c>
      <c r="C197" s="78" t="n">
        <v>46307</v>
      </c>
      <c r="D197" s="77" t="s">
        <v>1506</v>
      </c>
      <c r="E197" s="77" t="s">
        <v>194</v>
      </c>
      <c r="F197" s="77" t="s">
        <v>195</v>
      </c>
      <c r="G197" s="77" t="s">
        <v>594</v>
      </c>
      <c r="H197" s="77" t="s">
        <v>1526</v>
      </c>
      <c r="I197" s="77" t="s">
        <v>1551</v>
      </c>
    </row>
    <row r="198" customFormat="false" ht="27.75" hidden="false" customHeight="true" outlineLevel="0" collapsed="false">
      <c r="A198" s="77" t="s">
        <v>243</v>
      </c>
      <c r="B198" s="77" t="s">
        <v>245</v>
      </c>
      <c r="C198" s="78" t="n">
        <v>46307</v>
      </c>
      <c r="D198" s="77" t="s">
        <v>1506</v>
      </c>
      <c r="E198" s="77" t="s">
        <v>194</v>
      </c>
      <c r="F198" s="77" t="s">
        <v>195</v>
      </c>
      <c r="G198" s="77" t="s">
        <v>412</v>
      </c>
      <c r="H198" s="77" t="s">
        <v>1528</v>
      </c>
      <c r="I198" s="77" t="s">
        <v>1552</v>
      </c>
    </row>
    <row r="199" customFormat="false" ht="27.75" hidden="false" customHeight="true" outlineLevel="0" collapsed="false">
      <c r="A199" s="77" t="s">
        <v>243</v>
      </c>
      <c r="B199" s="77" t="s">
        <v>245</v>
      </c>
      <c r="C199" s="78" t="n">
        <v>46307</v>
      </c>
      <c r="D199" s="77" t="s">
        <v>1506</v>
      </c>
      <c r="E199" s="77" t="s">
        <v>194</v>
      </c>
      <c r="F199" s="77" t="s">
        <v>195</v>
      </c>
      <c r="G199" s="77" t="s">
        <v>412</v>
      </c>
      <c r="H199" s="77" t="s">
        <v>1530</v>
      </c>
      <c r="I199" s="77" t="s">
        <v>1553</v>
      </c>
    </row>
    <row r="200" customFormat="false" ht="27.75" hidden="false" customHeight="true" outlineLevel="0" collapsed="false">
      <c r="A200" s="77" t="s">
        <v>243</v>
      </c>
      <c r="B200" s="77" t="s">
        <v>245</v>
      </c>
      <c r="C200" s="78" t="n">
        <v>46307</v>
      </c>
      <c r="D200" s="77" t="s">
        <v>1506</v>
      </c>
      <c r="E200" s="77" t="s">
        <v>194</v>
      </c>
      <c r="F200" s="77" t="s">
        <v>195</v>
      </c>
      <c r="G200" s="77" t="s">
        <v>599</v>
      </c>
      <c r="H200" s="77" t="s">
        <v>1532</v>
      </c>
      <c r="I200" s="77" t="s">
        <v>1533</v>
      </c>
    </row>
    <row r="201" customFormat="false" ht="27.75" hidden="false" customHeight="true" outlineLevel="0" collapsed="false">
      <c r="A201" s="77" t="s">
        <v>250</v>
      </c>
      <c r="B201" s="77" t="s">
        <v>251</v>
      </c>
      <c r="C201" s="78" t="n">
        <v>46307</v>
      </c>
      <c r="D201" s="77" t="s">
        <v>1507</v>
      </c>
      <c r="E201" s="77" t="s">
        <v>180</v>
      </c>
      <c r="F201" s="77" t="s">
        <v>195</v>
      </c>
      <c r="G201" s="77" t="s">
        <v>405</v>
      </c>
      <c r="H201" s="77" t="s">
        <v>1479</v>
      </c>
      <c r="I201" s="77" t="s">
        <v>1545</v>
      </c>
    </row>
    <row r="202" customFormat="false" ht="27.75" hidden="false" customHeight="true" outlineLevel="0" collapsed="false">
      <c r="A202" s="77" t="s">
        <v>250</v>
      </c>
      <c r="B202" s="77" t="s">
        <v>251</v>
      </c>
      <c r="C202" s="78" t="n">
        <v>46307</v>
      </c>
      <c r="D202" s="77" t="s">
        <v>1507</v>
      </c>
      <c r="E202" s="77" t="s">
        <v>180</v>
      </c>
      <c r="F202" s="77" t="s">
        <v>195</v>
      </c>
      <c r="G202" s="77" t="s">
        <v>412</v>
      </c>
      <c r="H202" s="77" t="s">
        <v>1481</v>
      </c>
      <c r="I202" s="77" t="s">
        <v>1534</v>
      </c>
    </row>
    <row r="203" customFormat="false" ht="27.75" hidden="false" customHeight="true" outlineLevel="0" collapsed="false">
      <c r="A203" s="77" t="s">
        <v>250</v>
      </c>
      <c r="B203" s="77" t="s">
        <v>251</v>
      </c>
      <c r="C203" s="78" t="n">
        <v>46307</v>
      </c>
      <c r="D203" s="77" t="s">
        <v>1507</v>
      </c>
      <c r="E203" s="77" t="s">
        <v>180</v>
      </c>
      <c r="F203" s="77" t="s">
        <v>195</v>
      </c>
      <c r="G203" s="77" t="s">
        <v>599</v>
      </c>
      <c r="H203" s="77" t="s">
        <v>1532</v>
      </c>
      <c r="I203" s="77" t="s">
        <v>1533</v>
      </c>
    </row>
    <row r="204" customFormat="false" ht="27.75" hidden="false" customHeight="true" outlineLevel="0" collapsed="false">
      <c r="A204" s="77" t="s">
        <v>253</v>
      </c>
      <c r="B204" s="77" t="s">
        <v>254</v>
      </c>
      <c r="C204" s="78" t="n">
        <v>46307</v>
      </c>
      <c r="D204" s="77" t="s">
        <v>1508</v>
      </c>
      <c r="E204" s="77" t="s">
        <v>194</v>
      </c>
      <c r="F204" s="77" t="s">
        <v>256</v>
      </c>
      <c r="G204" s="77" t="s">
        <v>405</v>
      </c>
      <c r="H204" s="77" t="s">
        <v>1523</v>
      </c>
      <c r="I204" s="77" t="s">
        <v>1554</v>
      </c>
    </row>
    <row r="205" customFormat="false" ht="27.75" hidden="false" customHeight="true" outlineLevel="0" collapsed="false">
      <c r="A205" s="77" t="s">
        <v>253</v>
      </c>
      <c r="B205" s="77" t="s">
        <v>254</v>
      </c>
      <c r="C205" s="78" t="n">
        <v>46307</v>
      </c>
      <c r="D205" s="77" t="s">
        <v>1508</v>
      </c>
      <c r="E205" s="77" t="s">
        <v>194</v>
      </c>
      <c r="F205" s="77" t="s">
        <v>256</v>
      </c>
      <c r="G205" s="77" t="s">
        <v>412</v>
      </c>
      <c r="H205" s="77" t="s">
        <v>1536</v>
      </c>
      <c r="I205" s="77" t="s">
        <v>1555</v>
      </c>
    </row>
    <row r="206" customFormat="false" ht="27.75" hidden="false" customHeight="true" outlineLevel="0" collapsed="false">
      <c r="A206" s="77" t="s">
        <v>268</v>
      </c>
      <c r="B206" s="77" t="s">
        <v>269</v>
      </c>
      <c r="C206" s="78" t="n">
        <v>46310</v>
      </c>
      <c r="D206" s="77" t="s">
        <v>1502</v>
      </c>
      <c r="E206" s="77" t="s">
        <v>180</v>
      </c>
      <c r="F206" s="77" t="s">
        <v>181</v>
      </c>
      <c r="G206" s="77" t="s">
        <v>599</v>
      </c>
      <c r="H206" s="77" t="s">
        <v>1520</v>
      </c>
      <c r="I206" s="77" t="s">
        <v>1521</v>
      </c>
    </row>
    <row r="207" customFormat="false" ht="27.75" hidden="false" customHeight="true" outlineLevel="0" collapsed="false">
      <c r="A207" s="77" t="s">
        <v>270</v>
      </c>
      <c r="B207" s="77" t="s">
        <v>228</v>
      </c>
      <c r="C207" s="78" t="n">
        <v>46320</v>
      </c>
      <c r="D207" s="77" t="s">
        <v>1478</v>
      </c>
      <c r="E207" s="77" t="s">
        <v>180</v>
      </c>
      <c r="F207" s="77" t="s">
        <v>181</v>
      </c>
      <c r="G207" s="77" t="s">
        <v>599</v>
      </c>
      <c r="H207" s="77" t="s">
        <v>1520</v>
      </c>
      <c r="I207" s="77" t="s">
        <v>1521</v>
      </c>
    </row>
    <row r="208" customFormat="false" ht="27.75" hidden="false" customHeight="true" outlineLevel="0" collapsed="false">
      <c r="A208" s="77" t="s">
        <v>272</v>
      </c>
      <c r="B208" s="77" t="s">
        <v>273</v>
      </c>
      <c r="C208" s="78" t="n">
        <v>46321</v>
      </c>
      <c r="D208" s="77" t="s">
        <v>1511</v>
      </c>
      <c r="E208" s="77" t="s">
        <v>180</v>
      </c>
      <c r="F208" s="77" t="s">
        <v>195</v>
      </c>
      <c r="G208" s="77" t="s">
        <v>405</v>
      </c>
      <c r="H208" s="77" t="s">
        <v>1479</v>
      </c>
      <c r="I208" s="77" t="s">
        <v>1556</v>
      </c>
    </row>
    <row r="209" customFormat="false" ht="27.75" hidden="false" customHeight="true" outlineLevel="0" collapsed="false">
      <c r="A209" s="77" t="s">
        <v>282</v>
      </c>
      <c r="B209" s="77" t="s">
        <v>284</v>
      </c>
      <c r="C209" s="78" t="n">
        <v>46322</v>
      </c>
      <c r="D209" s="77" t="s">
        <v>1513</v>
      </c>
      <c r="E209" s="77" t="s">
        <v>194</v>
      </c>
      <c r="F209" s="77" t="s">
        <v>195</v>
      </c>
      <c r="G209" s="77" t="s">
        <v>405</v>
      </c>
      <c r="H209" s="77" t="s">
        <v>1479</v>
      </c>
      <c r="I209" s="77" t="s">
        <v>1556</v>
      </c>
    </row>
    <row r="210" customFormat="false" ht="27.75" hidden="false" customHeight="true" outlineLevel="0" collapsed="false">
      <c r="A210" s="77" t="s">
        <v>282</v>
      </c>
      <c r="B210" s="77" t="s">
        <v>284</v>
      </c>
      <c r="C210" s="78" t="n">
        <v>46322</v>
      </c>
      <c r="D210" s="77" t="s">
        <v>1513</v>
      </c>
      <c r="E210" s="77" t="s">
        <v>194</v>
      </c>
      <c r="F210" s="77" t="s">
        <v>195</v>
      </c>
      <c r="G210" s="77" t="s">
        <v>405</v>
      </c>
      <c r="H210" s="77" t="s">
        <v>1523</v>
      </c>
      <c r="I210" s="77" t="s">
        <v>1557</v>
      </c>
    </row>
    <row r="211" customFormat="false" ht="27.75" hidden="false" customHeight="true" outlineLevel="0" collapsed="false">
      <c r="A211" s="77" t="s">
        <v>282</v>
      </c>
      <c r="B211" s="77" t="s">
        <v>284</v>
      </c>
      <c r="C211" s="78" t="n">
        <v>46322</v>
      </c>
      <c r="D211" s="77" t="s">
        <v>1513</v>
      </c>
      <c r="E211" s="77" t="s">
        <v>194</v>
      </c>
      <c r="F211" s="77" t="s">
        <v>195</v>
      </c>
      <c r="G211" s="77" t="s">
        <v>594</v>
      </c>
      <c r="H211" s="77" t="s">
        <v>1526</v>
      </c>
      <c r="I211" s="77" t="s">
        <v>1558</v>
      </c>
    </row>
    <row r="212" customFormat="false" ht="27.75" hidden="false" customHeight="true" outlineLevel="0" collapsed="false">
      <c r="A212" s="77" t="s">
        <v>282</v>
      </c>
      <c r="B212" s="77" t="s">
        <v>284</v>
      </c>
      <c r="C212" s="78" t="n">
        <v>46322</v>
      </c>
      <c r="D212" s="77" t="s">
        <v>1513</v>
      </c>
      <c r="E212" s="77" t="s">
        <v>194</v>
      </c>
      <c r="F212" s="77" t="s">
        <v>195</v>
      </c>
      <c r="G212" s="77" t="s">
        <v>412</v>
      </c>
      <c r="H212" s="77" t="s">
        <v>1528</v>
      </c>
      <c r="I212" s="77" t="s">
        <v>1559</v>
      </c>
    </row>
    <row r="213" customFormat="false" ht="27.75" hidden="false" customHeight="true" outlineLevel="0" collapsed="false">
      <c r="A213" s="77" t="s">
        <v>282</v>
      </c>
      <c r="B213" s="77" t="s">
        <v>284</v>
      </c>
      <c r="C213" s="78" t="n">
        <v>46322</v>
      </c>
      <c r="D213" s="77" t="s">
        <v>1513</v>
      </c>
      <c r="E213" s="77" t="s">
        <v>194</v>
      </c>
      <c r="F213" s="77" t="s">
        <v>195</v>
      </c>
      <c r="G213" s="77" t="s">
        <v>412</v>
      </c>
      <c r="H213" s="77" t="s">
        <v>1530</v>
      </c>
      <c r="I213" s="77" t="s">
        <v>1560</v>
      </c>
    </row>
    <row r="214" customFormat="false" ht="27.75" hidden="false" customHeight="true" outlineLevel="0" collapsed="false">
      <c r="A214" s="77" t="s">
        <v>285</v>
      </c>
      <c r="B214" s="77" t="s">
        <v>286</v>
      </c>
      <c r="C214" s="78" t="n">
        <v>46322</v>
      </c>
      <c r="D214" s="77" t="s">
        <v>1515</v>
      </c>
      <c r="E214" s="77" t="s">
        <v>194</v>
      </c>
      <c r="F214" s="77" t="s">
        <v>207</v>
      </c>
      <c r="G214" s="77" t="s">
        <v>405</v>
      </c>
      <c r="H214" s="77" t="s">
        <v>1479</v>
      </c>
      <c r="I214" s="77" t="s">
        <v>1561</v>
      </c>
    </row>
    <row r="215" customFormat="false" ht="27.75" hidden="false" customHeight="true" outlineLevel="0" collapsed="false">
      <c r="A215" s="77" t="s">
        <v>285</v>
      </c>
      <c r="B215" s="77" t="s">
        <v>286</v>
      </c>
      <c r="C215" s="78" t="n">
        <v>46322</v>
      </c>
      <c r="D215" s="77" t="s">
        <v>1515</v>
      </c>
      <c r="E215" s="77" t="s">
        <v>194</v>
      </c>
      <c r="F215" s="77" t="s">
        <v>207</v>
      </c>
      <c r="G215" s="77" t="s">
        <v>405</v>
      </c>
      <c r="H215" s="77" t="s">
        <v>1523</v>
      </c>
      <c r="I215" s="77" t="s">
        <v>1562</v>
      </c>
    </row>
    <row r="216" customFormat="false" ht="27.75" hidden="false" customHeight="true" outlineLevel="0" collapsed="false">
      <c r="A216" s="77" t="s">
        <v>285</v>
      </c>
      <c r="B216" s="77" t="s">
        <v>286</v>
      </c>
      <c r="C216" s="78" t="n">
        <v>46322</v>
      </c>
      <c r="D216" s="77" t="s">
        <v>1515</v>
      </c>
      <c r="E216" s="77" t="s">
        <v>194</v>
      </c>
      <c r="F216" s="77" t="s">
        <v>207</v>
      </c>
      <c r="G216" s="77" t="s">
        <v>412</v>
      </c>
      <c r="H216" s="77" t="s">
        <v>1536</v>
      </c>
      <c r="I216" s="77" t="s">
        <v>1563</v>
      </c>
    </row>
    <row r="217" customFormat="false" ht="27.75" hidden="false" customHeight="true" outlineLevel="0" collapsed="false">
      <c r="A217" s="77" t="s">
        <v>293</v>
      </c>
      <c r="B217" s="77" t="s">
        <v>294</v>
      </c>
      <c r="C217" s="78" t="n">
        <v>46324</v>
      </c>
      <c r="D217" s="77" t="s">
        <v>1516</v>
      </c>
      <c r="E217" s="77" t="s">
        <v>180</v>
      </c>
      <c r="F217" s="77" t="s">
        <v>207</v>
      </c>
      <c r="G217" s="77" t="s">
        <v>405</v>
      </c>
      <c r="H217" s="77" t="s">
        <v>1479</v>
      </c>
      <c r="I217" s="77" t="s">
        <v>1561</v>
      </c>
    </row>
    <row r="218" customFormat="false" ht="27.75" hidden="false" customHeight="true" outlineLevel="0" collapsed="false">
      <c r="A218" s="77" t="s">
        <v>296</v>
      </c>
      <c r="B218" s="77" t="s">
        <v>297</v>
      </c>
      <c r="C218" s="78" t="n">
        <v>46324</v>
      </c>
      <c r="D218" s="77" t="s">
        <v>1517</v>
      </c>
      <c r="E218" s="77" t="s">
        <v>180</v>
      </c>
      <c r="F218" s="77" t="s">
        <v>195</v>
      </c>
      <c r="G218" s="77" t="s">
        <v>405</v>
      </c>
      <c r="H218" s="77" t="s">
        <v>1479</v>
      </c>
      <c r="I218" s="77" t="s">
        <v>1564</v>
      </c>
    </row>
    <row r="219" customFormat="false" ht="27.75" hidden="false" customHeight="true" outlineLevel="0" collapsed="false">
      <c r="A219" s="77" t="s">
        <v>296</v>
      </c>
      <c r="B219" s="77" t="s">
        <v>297</v>
      </c>
      <c r="C219" s="78" t="n">
        <v>46324</v>
      </c>
      <c r="D219" s="77" t="s">
        <v>1517</v>
      </c>
      <c r="E219" s="77" t="s">
        <v>180</v>
      </c>
      <c r="F219" s="77" t="s">
        <v>195</v>
      </c>
      <c r="G219" s="77" t="s">
        <v>412</v>
      </c>
      <c r="H219" s="77" t="s">
        <v>1481</v>
      </c>
      <c r="I219" s="77" t="s">
        <v>1534</v>
      </c>
    </row>
    <row r="220" customFormat="false" ht="27.75" hidden="false" customHeight="true" outlineLevel="0" collapsed="false">
      <c r="A220" s="77" t="s">
        <v>296</v>
      </c>
      <c r="B220" s="77" t="s">
        <v>297</v>
      </c>
      <c r="C220" s="78" t="n">
        <v>46324</v>
      </c>
      <c r="D220" s="77" t="s">
        <v>1517</v>
      </c>
      <c r="E220" s="77" t="s">
        <v>180</v>
      </c>
      <c r="F220" s="77" t="s">
        <v>195</v>
      </c>
      <c r="G220" s="77" t="s">
        <v>599</v>
      </c>
      <c r="H220" s="77" t="s">
        <v>1532</v>
      </c>
      <c r="I220" s="77" t="s">
        <v>1533</v>
      </c>
    </row>
    <row r="221" customFormat="false" ht="27.75" hidden="false" customHeight="true" outlineLevel="0" collapsed="false">
      <c r="A221" s="77" t="s">
        <v>302</v>
      </c>
      <c r="B221" s="77" t="s">
        <v>303</v>
      </c>
      <c r="C221" s="78" t="n">
        <v>46325</v>
      </c>
      <c r="D221" s="77" t="s">
        <v>1518</v>
      </c>
      <c r="E221" s="77" t="s">
        <v>194</v>
      </c>
      <c r="F221" s="77" t="s">
        <v>195</v>
      </c>
      <c r="G221" s="77" t="s">
        <v>405</v>
      </c>
      <c r="H221" s="77" t="s">
        <v>1479</v>
      </c>
      <c r="I221" s="77" t="s">
        <v>1564</v>
      </c>
    </row>
    <row r="222" customFormat="false" ht="27.75" hidden="false" customHeight="true" outlineLevel="0" collapsed="false">
      <c r="A222" s="77" t="s">
        <v>302</v>
      </c>
      <c r="B222" s="77" t="s">
        <v>303</v>
      </c>
      <c r="C222" s="78" t="n">
        <v>46325</v>
      </c>
      <c r="D222" s="77" t="s">
        <v>1518</v>
      </c>
      <c r="E222" s="77" t="s">
        <v>194</v>
      </c>
      <c r="F222" s="77" t="s">
        <v>195</v>
      </c>
      <c r="G222" s="77" t="s">
        <v>405</v>
      </c>
      <c r="H222" s="77" t="s">
        <v>1523</v>
      </c>
      <c r="I222" s="77" t="s">
        <v>1565</v>
      </c>
    </row>
    <row r="223" customFormat="false" ht="27.75" hidden="false" customHeight="true" outlineLevel="0" collapsed="false">
      <c r="A223" s="77" t="s">
        <v>302</v>
      </c>
      <c r="B223" s="77" t="s">
        <v>303</v>
      </c>
      <c r="C223" s="78" t="n">
        <v>46325</v>
      </c>
      <c r="D223" s="77" t="s">
        <v>1518</v>
      </c>
      <c r="E223" s="77" t="s">
        <v>194</v>
      </c>
      <c r="F223" s="77" t="s">
        <v>195</v>
      </c>
      <c r="G223" s="77" t="s">
        <v>405</v>
      </c>
      <c r="H223" s="77" t="s">
        <v>1496</v>
      </c>
      <c r="I223" s="77" t="s">
        <v>1566</v>
      </c>
    </row>
    <row r="224" customFormat="false" ht="27.75" hidden="false" customHeight="true" outlineLevel="0" collapsed="false">
      <c r="A224" s="77" t="s">
        <v>302</v>
      </c>
      <c r="B224" s="77" t="s">
        <v>303</v>
      </c>
      <c r="C224" s="78" t="n">
        <v>46325</v>
      </c>
      <c r="D224" s="77" t="s">
        <v>1518</v>
      </c>
      <c r="E224" s="77" t="s">
        <v>194</v>
      </c>
      <c r="F224" s="77" t="s">
        <v>195</v>
      </c>
      <c r="G224" s="77" t="s">
        <v>464</v>
      </c>
      <c r="H224" s="77" t="s">
        <v>1488</v>
      </c>
      <c r="I224" s="77" t="s">
        <v>1567</v>
      </c>
    </row>
    <row r="225" customFormat="false" ht="27.75" hidden="false" customHeight="true" outlineLevel="0" collapsed="false">
      <c r="A225" s="77" t="s">
        <v>302</v>
      </c>
      <c r="B225" s="77" t="s">
        <v>303</v>
      </c>
      <c r="C225" s="78" t="n">
        <v>46325</v>
      </c>
      <c r="D225" s="77" t="s">
        <v>1518</v>
      </c>
      <c r="E225" s="77" t="s">
        <v>194</v>
      </c>
      <c r="F225" s="77" t="s">
        <v>195</v>
      </c>
      <c r="G225" s="77" t="s">
        <v>464</v>
      </c>
      <c r="H225" s="77" t="s">
        <v>1549</v>
      </c>
      <c r="I225" s="77" t="s">
        <v>1568</v>
      </c>
    </row>
    <row r="226" customFormat="false" ht="27.75" hidden="false" customHeight="true" outlineLevel="0" collapsed="false">
      <c r="A226" s="77" t="s">
        <v>302</v>
      </c>
      <c r="B226" s="77" t="s">
        <v>303</v>
      </c>
      <c r="C226" s="78" t="n">
        <v>46325</v>
      </c>
      <c r="D226" s="77" t="s">
        <v>1518</v>
      </c>
      <c r="E226" s="77" t="s">
        <v>194</v>
      </c>
      <c r="F226" s="77" t="s">
        <v>195</v>
      </c>
      <c r="G226" s="77" t="s">
        <v>594</v>
      </c>
      <c r="H226" s="77" t="s">
        <v>1526</v>
      </c>
      <c r="I226" s="77" t="s">
        <v>1569</v>
      </c>
    </row>
    <row r="227" customFormat="false" ht="27.75" hidden="false" customHeight="true" outlineLevel="0" collapsed="false">
      <c r="A227" s="77" t="s">
        <v>302</v>
      </c>
      <c r="B227" s="77" t="s">
        <v>303</v>
      </c>
      <c r="C227" s="78" t="n">
        <v>46325</v>
      </c>
      <c r="D227" s="77" t="s">
        <v>1518</v>
      </c>
      <c r="E227" s="77" t="s">
        <v>194</v>
      </c>
      <c r="F227" s="77" t="s">
        <v>195</v>
      </c>
      <c r="G227" s="77" t="s">
        <v>412</v>
      </c>
      <c r="H227" s="77" t="s">
        <v>1528</v>
      </c>
      <c r="I227" s="77" t="s">
        <v>1570</v>
      </c>
    </row>
    <row r="228" customFormat="false" ht="27.75" hidden="false" customHeight="true" outlineLevel="0" collapsed="false">
      <c r="A228" s="77" t="s">
        <v>302</v>
      </c>
      <c r="B228" s="77" t="s">
        <v>303</v>
      </c>
      <c r="C228" s="78" t="n">
        <v>46325</v>
      </c>
      <c r="D228" s="77" t="s">
        <v>1518</v>
      </c>
      <c r="E228" s="77" t="s">
        <v>194</v>
      </c>
      <c r="F228" s="77" t="s">
        <v>195</v>
      </c>
      <c r="G228" s="77" t="s">
        <v>412</v>
      </c>
      <c r="H228" s="77" t="s">
        <v>1530</v>
      </c>
      <c r="I228" s="77" t="s">
        <v>1571</v>
      </c>
    </row>
    <row r="229" customFormat="false" ht="27.75" hidden="false" customHeight="true" outlineLevel="0" collapsed="false">
      <c r="A229" s="77" t="s">
        <v>302</v>
      </c>
      <c r="B229" s="77" t="s">
        <v>303</v>
      </c>
      <c r="C229" s="78" t="n">
        <v>46325</v>
      </c>
      <c r="D229" s="77" t="s">
        <v>1518</v>
      </c>
      <c r="E229" s="77" t="s">
        <v>194</v>
      </c>
      <c r="F229" s="77" t="s">
        <v>195</v>
      </c>
      <c r="G229" s="77" t="s">
        <v>599</v>
      </c>
      <c r="H229" s="77" t="s">
        <v>1532</v>
      </c>
      <c r="I229" s="77" t="s">
        <v>1533</v>
      </c>
    </row>
    <row r="230" customFormat="false" ht="27.75" hidden="false" customHeight="true" outlineLevel="0" collapsed="false">
      <c r="A230" s="77" t="s">
        <v>304</v>
      </c>
      <c r="B230" s="77" t="s">
        <v>224</v>
      </c>
      <c r="C230" s="78" t="n">
        <v>46325</v>
      </c>
      <c r="D230" s="77" t="s">
        <v>1502</v>
      </c>
      <c r="E230" s="77" t="s">
        <v>194</v>
      </c>
      <c r="F230" s="77" t="s">
        <v>181</v>
      </c>
      <c r="G230" s="77" t="s">
        <v>412</v>
      </c>
      <c r="H230" s="77" t="s">
        <v>1536</v>
      </c>
      <c r="I230" s="77" t="s">
        <v>1538</v>
      </c>
    </row>
    <row r="231" customFormat="false" ht="27.75" hidden="false" customHeight="true" outlineLevel="0" collapsed="false">
      <c r="A231" s="77" t="s">
        <v>304</v>
      </c>
      <c r="B231" s="77" t="s">
        <v>224</v>
      </c>
      <c r="C231" s="78" t="n">
        <v>46325</v>
      </c>
      <c r="D231" s="77" t="s">
        <v>1502</v>
      </c>
      <c r="E231" s="77" t="s">
        <v>194</v>
      </c>
      <c r="F231" s="77" t="s">
        <v>181</v>
      </c>
      <c r="G231" s="77" t="s">
        <v>599</v>
      </c>
      <c r="H231" s="77" t="s">
        <v>1520</v>
      </c>
      <c r="I231" s="77" t="s">
        <v>1521</v>
      </c>
    </row>
  </sheetData>
  <sheetProtection sheet="true" formatCells="false" formatColumns="false" formatRows="false" sort="false" autoFilter="false"/>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s>
  <sheetData>
    <row r="1" customFormat="false" ht="24" hidden="false" customHeight="true" outlineLevel="0" collapsed="false">
      <c r="A1" s="54" t="s">
        <v>1572</v>
      </c>
    </row>
    <row r="2" customFormat="false" ht="15" hidden="false" customHeight="false" outlineLevel="0" collapsed="false">
      <c r="A2" s="2" t="s">
        <v>1573</v>
      </c>
    </row>
    <row r="3" customFormat="false" ht="15" hidden="false" customHeight="false" outlineLevel="0" collapsed="false">
      <c r="H3" s="79" t="s">
        <v>1574</v>
      </c>
      <c r="I3" s="79" t="s">
        <v>1575</v>
      </c>
    </row>
    <row r="4" customFormat="false" ht="39.75" hidden="false" customHeight="true" outlineLevel="0" collapsed="false">
      <c r="A4" s="80" t="s">
        <v>1576</v>
      </c>
      <c r="B4" s="81"/>
      <c r="H4" s="82" t="s">
        <v>1577</v>
      </c>
      <c r="I4" s="82" t="s">
        <v>72</v>
      </c>
    </row>
    <row r="5" customFormat="false" ht="27.75" hidden="false" customHeight="true" outlineLevel="0" collapsed="false">
      <c r="A5" s="80" t="s">
        <v>1578</v>
      </c>
      <c r="B5" s="83" t="n">
        <v>8</v>
      </c>
      <c r="H5" s="82" t="s">
        <v>1579</v>
      </c>
      <c r="I5" s="82" t="s">
        <v>1580</v>
      </c>
    </row>
    <row r="6" customFormat="false" ht="25.5" hidden="false" customHeight="true" outlineLevel="0" collapsed="false">
      <c r="A6" s="80" t="s">
        <v>1581</v>
      </c>
      <c r="B6" s="84" t="n">
        <f aca="true">IF(ISNUMBER(B4),B4,NOW()-N(B5)/24)</f>
        <v>46293.1381946794</v>
      </c>
      <c r="C6" s="85" t="n">
        <f aca="false">B6+8/24</f>
        <v>46293.4715280127</v>
      </c>
      <c r="D6" s="86" t="s">
        <v>1582</v>
      </c>
      <c r="H6" s="82" t="s">
        <v>1583</v>
      </c>
    </row>
    <row r="7" customFormat="false" ht="39.75" hidden="false" customHeight="true" outlineLevel="0" collapsed="false">
      <c r="A7" s="80" t="s">
        <v>1584</v>
      </c>
      <c r="B7" s="83" t="n">
        <v>6</v>
      </c>
      <c r="H7" s="82" t="s">
        <v>1585</v>
      </c>
    </row>
    <row r="8" customFormat="false" ht="39.75" hidden="false" customHeight="true" outlineLevel="0" collapsed="false">
      <c r="A8" s="80" t="s">
        <v>1586</v>
      </c>
      <c r="B8" s="83" t="n">
        <v>24</v>
      </c>
      <c r="H8" s="82" t="s">
        <v>1587</v>
      </c>
    </row>
    <row r="9" customFormat="false" ht="27.75" hidden="false" customHeight="true" outlineLevel="0" collapsed="false">
      <c r="A9" s="80" t="s">
        <v>1588</v>
      </c>
      <c r="B9" s="83" t="n">
        <v>12</v>
      </c>
      <c r="H9" s="82" t="s">
        <v>89</v>
      </c>
    </row>
    <row r="10" customFormat="false" ht="27.75" hidden="false" customHeight="true" outlineLevel="0" collapsed="false">
      <c r="A10" s="80" t="s">
        <v>1589</v>
      </c>
      <c r="B10" s="83" t="n">
        <v>14</v>
      </c>
    </row>
    <row r="11" customFormat="false" ht="15" hidden="false" customHeight="false" outlineLevel="0" collapsed="false">
      <c r="A11" s="87" t="s">
        <v>1590</v>
      </c>
    </row>
    <row r="12" customFormat="false" ht="30" hidden="false" customHeight="true" outlineLevel="0" collapsed="false">
      <c r="A12" s="56" t="s">
        <v>1591</v>
      </c>
      <c r="B12" s="56" t="s">
        <v>1592</v>
      </c>
      <c r="C12" s="56" t="s">
        <v>1593</v>
      </c>
      <c r="D12" s="56" t="s">
        <v>1594</v>
      </c>
      <c r="E12" s="56" t="s">
        <v>1595</v>
      </c>
      <c r="F12" s="56" t="s">
        <v>1596</v>
      </c>
    </row>
    <row r="13" customFormat="false" ht="15" hidden="false" customHeight="false" outlineLevel="0" collapsed="false">
      <c r="A13" s="88" t="s">
        <v>179</v>
      </c>
      <c r="B13" s="88" t="s">
        <v>1597</v>
      </c>
      <c r="C13" s="88" t="n">
        <v>8</v>
      </c>
      <c r="D13" s="88"/>
      <c r="E13" s="89"/>
      <c r="F13" s="89"/>
    </row>
    <row r="14" customFormat="false" ht="15" hidden="false" customHeight="false" outlineLevel="0" collapsed="false">
      <c r="A14" s="88" t="s">
        <v>246</v>
      </c>
      <c r="B14" s="88" t="s">
        <v>1597</v>
      </c>
      <c r="C14" s="88" t="n">
        <v>8</v>
      </c>
      <c r="D14" s="88"/>
      <c r="E14" s="89"/>
      <c r="F14" s="89"/>
    </row>
    <row r="15" customFormat="false" ht="15" hidden="false" customHeight="false" outlineLevel="0" collapsed="false">
      <c r="A15" s="88" t="s">
        <v>298</v>
      </c>
      <c r="B15" s="88" t="s">
        <v>1597</v>
      </c>
      <c r="C15" s="88" t="n">
        <v>8</v>
      </c>
      <c r="D15" s="88"/>
      <c r="E15" s="89"/>
      <c r="F15" s="89"/>
    </row>
    <row r="16" customFormat="false" ht="15" hidden="false" customHeight="false" outlineLevel="0" collapsed="false">
      <c r="A16" s="88" t="s">
        <v>178</v>
      </c>
      <c r="B16" s="88" t="s">
        <v>1598</v>
      </c>
      <c r="C16" s="88" t="n">
        <v>0</v>
      </c>
      <c r="D16" s="88" t="n">
        <v>1</v>
      </c>
      <c r="E16" s="89" t="n">
        <v>46110.0416666667</v>
      </c>
      <c r="F16" s="89" t="n">
        <v>46320.0416666667</v>
      </c>
    </row>
    <row r="17" customFormat="false" ht="15" hidden="false" customHeight="false" outlineLevel="0" collapsed="false">
      <c r="A17" s="88" t="s">
        <v>193</v>
      </c>
      <c r="B17" s="88" t="s">
        <v>1599</v>
      </c>
      <c r="C17" s="88" t="n">
        <v>7</v>
      </c>
      <c r="D17" s="88"/>
      <c r="E17" s="89"/>
      <c r="F17" s="89"/>
    </row>
    <row r="18" customFormat="false" ht="15" hidden="false" customHeight="false" outlineLevel="0" collapsed="false">
      <c r="A18" s="88" t="s">
        <v>232</v>
      </c>
      <c r="B18" s="88" t="s">
        <v>1600</v>
      </c>
      <c r="C18" s="88" t="n">
        <v>7</v>
      </c>
      <c r="D18" s="88"/>
      <c r="E18" s="89"/>
      <c r="F18" s="89"/>
    </row>
    <row r="19" customFormat="false" ht="15" hidden="false" customHeight="false" outlineLevel="0" collapsed="false">
      <c r="A19" s="88" t="s">
        <v>212</v>
      </c>
      <c r="B19" s="88" t="s">
        <v>1601</v>
      </c>
      <c r="C19" s="88" t="n">
        <v>9</v>
      </c>
      <c r="D19" s="88"/>
      <c r="E19" s="89"/>
      <c r="F19" s="89"/>
    </row>
    <row r="20" customFormat="false" ht="15" hidden="false" customHeight="false" outlineLevel="0" collapsed="false">
      <c r="A20" s="88" t="s">
        <v>287</v>
      </c>
      <c r="B20" s="88" t="s">
        <v>1601</v>
      </c>
      <c r="C20" s="88" t="n">
        <v>9</v>
      </c>
      <c r="D20" s="88"/>
      <c r="E20" s="89"/>
      <c r="F20" s="89"/>
    </row>
    <row r="21" customFormat="false" ht="15" hidden="false" customHeight="false" outlineLevel="0" collapsed="false">
      <c r="A21" s="88" t="s">
        <v>274</v>
      </c>
      <c r="B21" s="88" t="s">
        <v>1602</v>
      </c>
      <c r="C21" s="88" t="n">
        <v>8</v>
      </c>
      <c r="D21" s="88"/>
      <c r="E21" s="89"/>
      <c r="F21" s="89"/>
    </row>
    <row r="22" customFormat="false" ht="15" hidden="false" customHeight="false" outlineLevel="0" collapsed="false">
      <c r="A22" s="88" t="s">
        <v>255</v>
      </c>
      <c r="B22" s="88" t="s">
        <v>1603</v>
      </c>
      <c r="C22" s="88" t="n">
        <v>9.5</v>
      </c>
      <c r="D22" s="88" t="n">
        <v>10.5</v>
      </c>
      <c r="E22" s="89" t="n">
        <v>46298.6875</v>
      </c>
      <c r="F22" s="89" t="n">
        <v>46480.6875</v>
      </c>
    </row>
    <row r="23" customFormat="false" ht="30" hidden="false" customHeight="true" outlineLevel="0" collapsed="false">
      <c r="A23" s="90" t="s">
        <v>1604</v>
      </c>
      <c r="B23" s="90"/>
      <c r="C23" s="90"/>
      <c r="D23" s="90"/>
      <c r="E23" s="90"/>
      <c r="F23" s="90"/>
    </row>
  </sheetData>
  <sheetProtection sheet="true" formatCells="false" formatColumns="false" formatRows="false" sort="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24" errorStyle="stop" errorTitle="Invalid setting" operator="between" showDropDown="false" showErrorMessage="true" showInputMessage="false" sqref="B7" type="decimal">
      <formula1>1</formula1>
      <formula2>24</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F01  "&amp;Flights!$F$5&amp;"  "&amp;TEXT(Flights!$D$5,"DD-MMM-YY")&amp;" ("&amp;Flights!$E$5&amp;")  "&amp;Flights!$G$5&amp;" → "&amp;Flights!$H$5&amp;"  |  Class "&amp;Flights!$K$5</f>
        <v>SKYTRAX 2026 CATERING READINESS CHECKLIST  |  F01  MH0001  08-Oct-26 (THU)  LHR → KUL  |  Class EY</v>
      </c>
      <c r="B1" s="91"/>
      <c r="C1" s="91"/>
      <c r="D1" s="91"/>
      <c r="E1" s="91"/>
      <c r="F1" s="91"/>
      <c r="G1" s="91"/>
      <c r="H1" s="91"/>
    </row>
    <row r="2" customFormat="false" ht="12.75" hidden="false" customHeight="true" outlineLevel="0" collapsed="false">
      <c r="A2" s="92" t="s">
        <v>1605</v>
      </c>
      <c r="B2" s="93" t="str">
        <f aca="false">Flights!$F$5&amp;"   "&amp;TEXT(Flights!$D$5,"DD-MMM-YY")&amp;" ("&amp;Flights!$E$5&amp;")"</f>
        <v>MH0001   08-Oct-26 (THU)</v>
      </c>
      <c r="C2" s="93"/>
      <c r="D2" s="93"/>
      <c r="E2" s="94" t="s">
        <v>1606</v>
      </c>
      <c r="F2" s="95" t="str">
        <f aca="false">Flights!$AT$5</f>
        <v>NOT READY – DOCUMENTS</v>
      </c>
      <c r="G2" s="95"/>
      <c r="H2" s="95"/>
    </row>
    <row r="3" customFormat="false" ht="24" hidden="false" customHeight="true" outlineLevel="0" collapsed="false">
      <c r="A3" s="92" t="s">
        <v>1607</v>
      </c>
      <c r="B3" s="93" t="str">
        <f aca="false">Flights!$G$5&amp;" → "&amp;Flights!$H$5&amp;"   Class "&amp;Flights!$K$5&amp;"   Seat "&amp;Flights!$O$5</f>
        <v>LHR → KUL   Class EY   Seat 14C</v>
      </c>
      <c r="C3" s="93"/>
      <c r="D3" s="93"/>
      <c r="E3" s="94" t="s">
        <v>68</v>
      </c>
      <c r="F3" s="94" t="s">
        <v>1608</v>
      </c>
      <c r="G3" s="94" t="s">
        <v>1609</v>
      </c>
      <c r="H3" s="94"/>
    </row>
    <row r="4" customFormat="false" ht="24" hidden="false" customHeight="true" outlineLevel="0" collapsed="false">
      <c r="A4" s="92" t="s">
        <v>1610</v>
      </c>
      <c r="B4" s="93" t="str">
        <f aca="false">IF(ISNUMBER(Flights!$I$5),TEXT(Flights!$I$5,"DD-MMM-YY HH:MM"),"")&amp;" "&amp;Flights!$G$5&amp;"  →  "&amp;IF(ISNUMBER(Flights!$J$5),TEXT(Flights!$J$5,"DD-MMM-YY HH:MM"),"")&amp;" "&amp;Flights!$H$5</f>
        <v>08-Oct-26 21:35 LHR  →  09-Oct-26 17:50 KUL</v>
      </c>
      <c r="C4" s="93"/>
      <c r="D4" s="93"/>
      <c r="E4" s="92" t="s">
        <v>1611</v>
      </c>
      <c r="F4" s="96" t="str">
        <f aca="false">IF(ISNUMBER(Flights!$AG$5),TEXT(Flights!$AG$5,"DD-MMM-YY HH:MM"),"")&amp;" "&amp;Flights!$V$5</f>
        <v>01-Oct-26 21:35 LHR</v>
      </c>
      <c r="G4" s="97" t="n">
        <f aca="false">Flights!$AJ$5</f>
        <v>0</v>
      </c>
      <c r="H4" s="97"/>
    </row>
    <row r="5" customFormat="false" ht="24" hidden="false" customHeight="true" outlineLevel="0" collapsed="false">
      <c r="A5" s="92" t="s">
        <v>1612</v>
      </c>
      <c r="B5" s="93" t="str">
        <f aca="false">Flights!$L$5&amp;" – "&amp;Flights!$M$5</f>
        <v>A350 – A350-900: A359 (9M-MAB..MAG, row 6) or A350 9M-MAH (row 7) - tail to confirm</v>
      </c>
      <c r="C5" s="93"/>
      <c r="D5" s="93"/>
      <c r="E5" s="92" t="s">
        <v>1613</v>
      </c>
      <c r="F5" s="96" t="str">
        <f aca="false">IF(ISNUMBER(Flights!$AH$5),TEXT(Flights!$AH$5,"DD-MMM-YY HH:MM"),"")&amp;" "&amp;Flights!$V$5</f>
        <v>07-Oct-26 21:35 LHR</v>
      </c>
      <c r="G5" s="97" t="n">
        <f aca="false">Flights!$AK$5</f>
        <v>0</v>
      </c>
      <c r="H5" s="97"/>
    </row>
    <row r="6" customFormat="false" ht="24" hidden="false" customHeight="true" outlineLevel="0" collapsed="false">
      <c r="A6" s="92" t="s">
        <v>1614</v>
      </c>
      <c r="B6" s="93" t="str">
        <f aca="false">IF(TRIM(Flights!$N$5)="","__________________",Flights!$N$5)</f>
        <v>__________________</v>
      </c>
      <c r="C6" s="93"/>
      <c r="D6" s="93"/>
      <c r="E6" s="92" t="s">
        <v>1615</v>
      </c>
      <c r="F6" s="96" t="str">
        <f aca="false">IF(ISNUMBER(Flights!$AI$5),TEXT(Flights!$AI$5,"DD-MMM-YY HH:MM"),"")&amp;" "&amp;Flights!$V$5&amp;IF(Flights!$AI$5=Flights!$AH$5,"  (= T-24H due)","")</f>
        <v>08-Oct-26 09:35 LHR</v>
      </c>
      <c r="G6" s="97" t="n">
        <f aca="false">Flights!$AL$5</f>
        <v>0</v>
      </c>
      <c r="H6" s="97"/>
    </row>
    <row r="7" customFormat="false" ht="24" hidden="false" customHeight="true" outlineLevel="0" collapsed="false">
      <c r="A7" s="92" t="s">
        <v>1616</v>
      </c>
      <c r="B7" s="93" t="str">
        <f aca="false">Flights!$T$5</f>
        <v>2.5 Meal (Meal)</v>
      </c>
      <c r="C7" s="93"/>
      <c r="D7" s="93"/>
      <c r="E7" s="92" t="s">
        <v>1617</v>
      </c>
      <c r="F7" s="96" t="str">
        <f aca="false">"STD "&amp;IF(ISNUMBER(Flights!$I$5),TEXT(Flights!$I$5,"DD-MMM-YY HH:MM"),"")&amp;" "&amp;Flights!$G$5&amp;" (dep stn)"</f>
        <v>STD 08-Oct-26 21:35 LHR (dep stn)</v>
      </c>
      <c r="G7" s="97" t="n">
        <f aca="false">Flights!$AM$5</f>
        <v>0</v>
      </c>
      <c r="H7" s="97"/>
    </row>
    <row r="8" customFormat="false" ht="12.75" hidden="false" customHeight="true" outlineLevel="0" collapsed="false">
      <c r="A8" s="92" t="s">
        <v>150</v>
      </c>
      <c r="B8" s="93" t="str">
        <f aca="false">Flights!$V$5&amp;"   (reference uplift stns: "&amp;Flights!$U$5&amp;")"</f>
        <v>LHR   (reference uplift stns: KUL/LHR)</v>
      </c>
      <c r="C8" s="93"/>
      <c r="D8" s="93"/>
      <c r="E8" s="92" t="s">
        <v>1618</v>
      </c>
      <c r="F8" s="98" t="s">
        <v>1619</v>
      </c>
      <c r="G8" s="97" t="n">
        <f aca="false">Flights!$AN$5</f>
        <v>0</v>
      </c>
      <c r="H8" s="97"/>
    </row>
    <row r="9" customFormat="false" ht="12.75" hidden="false" customHeight="true" outlineLevel="0" collapsed="false">
      <c r="A9" s="92" t="s">
        <v>1620</v>
      </c>
      <c r="B9" s="93" t="str">
        <f aca="false">TRIM(Flights!$P$5&amp;"  "&amp;Flights!$Q$5)</f>
        <v>-</v>
      </c>
      <c r="C9" s="93"/>
      <c r="D9" s="93"/>
      <c r="E9" s="92" t="s">
        <v>1621</v>
      </c>
      <c r="F9" s="99" t="n">
        <f aca="false">Flights!$AP$5</f>
        <v>0</v>
      </c>
      <c r="G9" s="99" t="n">
        <f aca="false">Flights!$AQ$5</f>
        <v>0</v>
      </c>
      <c r="H9" s="99" t="n">
        <f aca="false">Flights!$AU$5</f>
        <v>0</v>
      </c>
    </row>
    <row r="10" customFormat="false" ht="24" hidden="false" customHeight="true" outlineLevel="0" collapsed="false">
      <c r="A10" s="92" t="s">
        <v>1622</v>
      </c>
      <c r="B10" s="93" t="str">
        <f aca="false">IF(TRIM(Flights!$X$5)="","__________________",Flights!$X$5)</f>
        <v>__________________</v>
      </c>
      <c r="C10" s="93"/>
      <c r="D10" s="93"/>
      <c r="E10" s="92" t="s">
        <v>1623</v>
      </c>
      <c r="F10" s="99" t="n">
        <f aca="false">Flights!$AO$5</f>
        <v>24</v>
      </c>
      <c r="G10" s="99" t="n">
        <f aca="false">Flights!$AS$5</f>
        <v>2</v>
      </c>
      <c r="H10" s="99" t="n">
        <f aca="false">Flights!$AR$5</f>
        <v>2</v>
      </c>
    </row>
    <row r="11" customFormat="false" ht="21" hidden="false" customHeight="true" outlineLevel="0" collapsed="false">
      <c r="A11" s="92" t="s">
        <v>1624</v>
      </c>
      <c r="B11" s="93" t="str">
        <f aca="false">IF(TRIM(Flights!$Y$5)="","__________________",Flights!$Y$5)</f>
        <v>__________________</v>
      </c>
      <c r="C11" s="93"/>
      <c r="D11" s="93"/>
      <c r="E11" s="92" t="s">
        <v>1625</v>
      </c>
      <c r="F11" s="99" t="str">
        <f aca="false">Flights!$AV$5&amp;" / "&amp;Flights!$AW$5</f>
        <v>0 / 24</v>
      </c>
      <c r="G11" s="100" t="str">
        <f aca="false">IF(ISNUMBER(Settings!$B$6),TEXT(Settings!$B$6,"DD-MMM-YY HH:MM"),"")</f>
        <v>28-Sep-26 03:19</v>
      </c>
      <c r="H11" s="100"/>
    </row>
    <row r="12" customFormat="false" ht="34.5" hidden="false" customHeight="true" outlineLevel="0" collapsed="false">
      <c r="A12" s="101" t="s">
        <v>1626</v>
      </c>
      <c r="B12" s="101"/>
      <c r="C12" s="101"/>
      <c r="D12" s="101"/>
      <c r="E12" s="102" t="s">
        <v>1627</v>
      </c>
      <c r="F12" s="103" t="s">
        <v>1628</v>
      </c>
      <c r="G12" s="104" t="s">
        <v>89</v>
      </c>
      <c r="H12" s="105" t="s">
        <v>1629</v>
      </c>
    </row>
    <row r="13" customFormat="false" ht="13.5" hidden="false" customHeight="true" outlineLevel="0" collapsed="false">
      <c r="A13" s="94" t="s">
        <v>1630</v>
      </c>
      <c r="B13" s="94" t="s">
        <v>1631</v>
      </c>
      <c r="C13" s="94" t="s">
        <v>1632</v>
      </c>
      <c r="D13" s="94"/>
      <c r="E13" s="94" t="s">
        <v>1633</v>
      </c>
      <c r="F13" s="94" t="s">
        <v>1634</v>
      </c>
      <c r="G13" s="94"/>
      <c r="H13" s="94"/>
    </row>
    <row r="14" customFormat="false" ht="36" hidden="false" customHeight="true" outlineLevel="0" collapsed="false">
      <c r="A14" s="92" t="s">
        <v>1635</v>
      </c>
      <c r="B14" s="93" t="str">
        <f aca="false">IF(Documents!$F$5="","",Documents!$F$5)</f>
        <v/>
      </c>
      <c r="C14" s="98" t="str">
        <f aca="false">IF(Documents!$G$5="","",Documents!$G$5)&amp;IF(ISNUMBER(Documents!$H$5),"  "&amp;TEXT(Documents!$H$5,"DD-MMM-YY"),"")</f>
        <v/>
      </c>
      <c r="D14" s="98"/>
      <c r="E14" s="106" t="str">
        <f aca="false">IF(Documents!$J$5="OUTSTANDING","OUTSTANDING – attach before T-7D (due "&amp;IF(ISNUMBER(Flights!$AG$5),TEXT(Flights!$AG$5,"DD-MMM-YY HH:MM"),"")&amp;" "&amp;Flights!$V$5&amp;")",IF(Documents!$J$5="","Status not recorded",Documents!$J$5))</f>
        <v>OUTSTANDING – attach before T-7D (due 01-Oct-26 21:35 LHR)</v>
      </c>
      <c r="F14" s="107" t="str">
        <f aca="false">"Staple behind this sheet as page A1."&amp;IF(Documents!$I$5="",""," Location: "&amp;Documents!$I$5)</f>
        <v>Staple behind this sheet as page A1.</v>
      </c>
      <c r="G14" s="107"/>
      <c r="H14" s="107"/>
    </row>
    <row r="15" customFormat="false" ht="36" hidden="false" customHeight="true" outlineLevel="0" collapsed="false">
      <c r="A15" s="92" t="s">
        <v>1636</v>
      </c>
      <c r="B15" s="93" t="str">
        <f aca="false">IF(Documents!$K$5="","",Documents!$K$5)</f>
        <v/>
      </c>
      <c r="C15" s="98" t="str">
        <f aca="false">IF(Documents!$L$5="","",Documents!$L$5)&amp;IF(ISNUMBER(Documents!$M$5),"  "&amp;TEXT(Documents!$M$5,"DD-MMM-YY"),"")</f>
        <v/>
      </c>
      <c r="D15" s="98"/>
      <c r="E15" s="106" t="str">
        <f aca="false">IF(Documents!$O$5="OUTSTANDING","OUTSTANDING – attach before T-7D (due "&amp;IF(ISNUMBER(Flights!$AG$5),TEXT(Flights!$AG$5,"DD-MMM-YY HH:MM"),"")&amp;" "&amp;Flights!$V$5&amp;")",IF(Documents!$O$5="","Status not recorded",Documents!$O$5))</f>
        <v>OUTSTANDING – attach before T-7D (due 01-Oct-26 21:35 LHR)</v>
      </c>
      <c r="F15" s="107" t="str">
        <f aca="false">"Staple behind this sheet as page A2."&amp;IF(Documents!$N$5="",""," Location: "&amp;Documents!$N$5)</f>
        <v>Staple behind this sheet as page A2.</v>
      </c>
      <c r="G15" s="107"/>
      <c r="H15" s="107"/>
    </row>
    <row r="16" customFormat="false" ht="22.5" hidden="false" customHeight="true" outlineLevel="0" collapsed="false">
      <c r="A16" s="92" t="s">
        <v>1637</v>
      </c>
      <c r="B16" s="108" t="str">
        <f aca="false">IF(Documents!$Q$5="","",Documents!$Q$5)</f>
        <v>Not supplied with brief – obtain from caterer / MAGCS.</v>
      </c>
      <c r="C16" s="108"/>
      <c r="D16" s="108"/>
      <c r="E16" s="108"/>
      <c r="F16" s="108"/>
      <c r="G16" s="108"/>
      <c r="H16" s="108"/>
    </row>
    <row r="17" customFormat="false" ht="13.5" hidden="false" customHeight="true" outlineLevel="0" collapsed="false">
      <c r="A17" s="109" t="s">
        <v>1638</v>
      </c>
      <c r="B17" s="109"/>
      <c r="C17" s="109" t="s">
        <v>1639</v>
      </c>
      <c r="D17" s="109"/>
      <c r="E17" s="109"/>
      <c r="F17" s="109" t="s">
        <v>1640</v>
      </c>
      <c r="G17" s="109"/>
      <c r="H17" s="109"/>
    </row>
    <row r="18" customFormat="false" ht="18" hidden="false" customHeight="true" outlineLevel="0" collapsed="false">
      <c r="A18" s="93" t="str">
        <f aca="false">"Name: "&amp;IF(TRIM(Flights!$Y$5)="","__________________",Flights!$Y$5)</f>
        <v>Name: __________________</v>
      </c>
      <c r="B18" s="93"/>
      <c r="C18" s="93" t="str">
        <f aca="false">"Name: __________________"</f>
        <v>Name: __________________</v>
      </c>
      <c r="D18" s="93"/>
      <c r="E18" s="93"/>
      <c r="F18" s="93" t="str">
        <f aca="false">"Name: __________________"&amp;"   Station: "&amp;Flights!$V$5</f>
        <v>Name: __________________   Station: LHR</v>
      </c>
      <c r="G18" s="93"/>
      <c r="H18" s="93"/>
    </row>
    <row r="19" customFormat="false" ht="30" hidden="false" customHeight="true" outlineLevel="0" collapsed="false">
      <c r="A19" s="110" t="s">
        <v>1641</v>
      </c>
      <c r="B19" s="110"/>
      <c r="C19" s="110" t="s">
        <v>1641</v>
      </c>
      <c r="D19" s="110"/>
      <c r="E19" s="110"/>
      <c r="F19" s="110" t="s">
        <v>1641</v>
      </c>
      <c r="G19" s="110"/>
      <c r="H19" s="110"/>
    </row>
    <row r="20" customFormat="false" ht="13.5" hidden="false" customHeight="true" outlineLevel="0" collapsed="false">
      <c r="A20" s="111" t="s">
        <v>1642</v>
      </c>
      <c r="B20" s="111"/>
      <c r="C20" s="111"/>
      <c r="D20" s="111"/>
      <c r="E20" s="111"/>
      <c r="F20" s="111"/>
      <c r="G20" s="111"/>
      <c r="H20" s="111"/>
    </row>
    <row r="21" customFormat="false" ht="24" hidden="false" customHeight="true" outlineLevel="0" collapsed="false">
      <c r="A21" s="94" t="s">
        <v>1643</v>
      </c>
      <c r="B21" s="94" t="s">
        <v>1644</v>
      </c>
      <c r="C21" s="94" t="s">
        <v>1645</v>
      </c>
      <c r="D21" s="94" t="s">
        <v>1646</v>
      </c>
      <c r="E21" s="94" t="s">
        <v>1647</v>
      </c>
      <c r="F21" s="94" t="s">
        <v>1648</v>
      </c>
      <c r="G21" s="94" t="s">
        <v>1649</v>
      </c>
      <c r="H21" s="94" t="s">
        <v>121</v>
      </c>
    </row>
    <row r="22" customFormat="false" ht="25.5" hidden="false" customHeight="true" outlineLevel="0" collapsed="false">
      <c r="A22" s="112"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Checks!$A$5&amp;CHAR(10)&amp;IF(Checks!$I$5="","",Checks!$I$5&amp;": ")&amp;Checks!$J$5</f>
        <v>F01-T7-01
Meal: Meal sensory testing completed for this flight's menu cycle (assessed class)</v>
      </c>
      <c r="B23" s="113" t="str">
        <f aca="false">Checks!$K$5&amp;IF(Checks!$O$5="","",IF(Checks!$K$5="","",CHAR(10))&amp;"Note: "&amp;Checks!$O$5)</f>
        <v>Record panel result / score in Result</v>
      </c>
      <c r="C23" s="113" t="str">
        <f aca="false">Checks!$N$5&amp;CHAR(10)&amp;IF(ISNUMBER(Checks!$R$5),TEXT(Checks!$R$5,"DD-MMM-YY HH:MM"),"")&amp;" "&amp;Checks!$P$5</f>
        <v>Required
01-Oct-26 21:35 LHR</v>
      </c>
      <c r="D23" s="113" t="str">
        <f aca="false">IF(Checks!$U$5="","",Checks!$U$5)&amp;IF(Checks!$AB$5="","",CHAR(10)&amp;"CA: "&amp;Checks!$AB$5)</f>
        <v/>
      </c>
      <c r="E23" s="113" t="str">
        <f aca="false">IF(Checks!$V$5="","",Checks!$V$5)&amp;IF(Checks!$AC$5="","",IF(Checks!$V$5="","",CHAR(10))&amp;"N/A just.: "&amp;Checks!$AC$5)&amp;IF(Checks!$W$5="","",CHAR(10)&amp;"Batch: "&amp;Checks!$W$5)&amp;IF(AND(Checks!$X$5="",Checks!$Y$5=""),"",CHAR(10)&amp;"Exp: "&amp;Checks!$X$5&amp;"  /  Act: "&amp;Checks!$Y$5)</f>
        <v/>
      </c>
      <c r="F23" s="113" t="str">
        <f aca="false">IF(Checks!$Z$5="","","Evidence: "&amp;Checks!$Z$5)&amp;IF(Checks!$AA$5="","",IF(Checks!$Z$5="","",CHAR(10))&amp;"CA: "&amp;Checks!$AA$5)</f>
        <v/>
      </c>
      <c r="G23" s="113" t="str">
        <f aca="false">IF(ISNUMBER(Checks!$AD$5),TEXT(Checks!$AD$5,"DD-MMM-YY HH:MM")&amp;" "&amp;Checks!$P$5,"")&amp;IF(Checks!$AE$5="","",CHAR(10)&amp;"Verifier: "&amp;Checks!$AE$5)&amp;IF(Checks!$T$5="","",CHAR(10)&amp;"PIC: "&amp;Checks!$T$5)</f>
        <v/>
      </c>
      <c r="H23" s="114" t="str">
        <f aca="false">IF(Checks!$AH$5="","",Checks!$AH$5)</f>
        <v>OPEN</v>
      </c>
    </row>
    <row r="24" customFormat="false" ht="114" hidden="false" customHeight="true" outlineLevel="0" collapsed="false">
      <c r="A24" s="113" t="str">
        <f aca="false">Checks!$A$6&amp;CHAR(10)&amp;IF(Checks!$I$6="","",Checks!$I$6&amp;": ")&amp;Checks!$J$6</f>
        <v>F01-T7-02
Menu: Printed menu cards confirmed (content, cycle, language, quantity)</v>
      </c>
      <c r="B24" s="113" t="str">
        <f aca="false">Checks!$K$6&amp;IF(Checks!$O$6="","",IF(Checks!$K$6="","",CHAR(10))&amp;"Note: "&amp;Checks!$O$6)</f>
        <v>Menu card matches approved menu for this flight</v>
      </c>
      <c r="C24" s="113" t="str">
        <f aca="false">Checks!$N$6&amp;CHAR(10)&amp;IF(ISNUMBER(Checks!$R$6),TEXT(Checks!$R$6,"DD-MMM-YY HH:MM"),"")&amp;" "&amp;Checks!$P$6</f>
        <v>Required
01-Oct-26 21:35 LHR</v>
      </c>
      <c r="D24" s="113" t="str">
        <f aca="false">IF(Checks!$U$6="","",Checks!$U$6)&amp;IF(Checks!$AB$6="","",CHAR(10)&amp;"CA: "&amp;Checks!$AB$6)</f>
        <v/>
      </c>
      <c r="E24" s="113" t="str">
        <f aca="false">IF(Checks!$V$6="","",Checks!$V$6)&amp;IF(Checks!$AC$6="","",IF(Checks!$V$6="","",CHAR(10))&amp;"N/A just.: "&amp;Checks!$AC$6)&amp;IF(Checks!$W$6="","",CHAR(10)&amp;"Batch: "&amp;Checks!$W$6)&amp;IF(AND(Checks!$X$6="",Checks!$Y$6=""),"",CHAR(10)&amp;"Exp: "&amp;Checks!$X$6&amp;"  /  Act: "&amp;Checks!$Y$6)</f>
        <v/>
      </c>
      <c r="F24" s="113" t="str">
        <f aca="false">IF(Checks!$Z$6="","","Evidence: "&amp;Checks!$Z$6)&amp;IF(Checks!$AA$6="","",IF(Checks!$Z$6="","",CHAR(10))&amp;"CA: "&amp;Checks!$AA$6)</f>
        <v/>
      </c>
      <c r="G24" s="113" t="str">
        <f aca="false">IF(ISNUMBER(Checks!$AD$6),TEXT(Checks!$AD$6,"DD-MMM-YY HH:MM")&amp;" "&amp;Checks!$P$6,"")&amp;IF(Checks!$AE$6="","",CHAR(10)&amp;"Verifier: "&amp;Checks!$AE$6)&amp;IF(Checks!$T$6="","",CHAR(10)&amp;"PIC: "&amp;Checks!$T$6)</f>
        <v/>
      </c>
      <c r="H24" s="114" t="str">
        <f aca="false">IF(Checks!$AH$6="","",Checks!$AH$6)</f>
        <v>OPEN</v>
      </c>
    </row>
    <row r="25" customFormat="false" ht="114" hidden="false" customHeight="true" outlineLevel="0" collapsed="false">
      <c r="A25" s="113" t="str">
        <f aca="false">Checks!$A$7&amp;CHAR(10)&amp;IF(Checks!$I$7="","",Checks!$I$7&amp;": ")&amp;Checks!$J$7</f>
        <v>F01-T7-03
IFE: Digital menu in IFE confirmed (A339 only)</v>
      </c>
      <c r="B25" s="113" t="str">
        <f aca="false">Checks!$K$7&amp;IF(Checks!$O$7="","",IF(Checks!$K$7="","",CHAR(10))&amp;"Note: "&amp;Checks!$O$7)</f>
        <v>Applies when fleet = A339
Note: Digital IFE menu applies to A339 only (user brief). Applicability follows the Fleet cell on Flights.</v>
      </c>
      <c r="C25" s="113" t="str">
        <f aca="false">Checks!$N$7&amp;CHAR(10)&amp;IF(ISNUMBER(Checks!$R$7),TEXT(Checks!$R$7,"DD-MMM-YY HH:MM"),"")&amp;" "&amp;Checks!$P$7</f>
        <v>N/A – rule
01-Oct-26 21:35 LHR</v>
      </c>
      <c r="D25" s="113" t="str">
        <f aca="false">IF(Checks!$U$7="","",Checks!$U$7)&amp;IF(Checks!$AB$7="","",CHAR(10)&amp;"CA: "&amp;Checks!$AB$7)</f>
        <v/>
      </c>
      <c r="E25" s="113" t="str">
        <f aca="false">IF(Checks!$V$7="","",Checks!$V$7)&amp;IF(Checks!$AC$7="","",IF(Checks!$V$7="","",CHAR(10))&amp;"N/A just.: "&amp;Checks!$AC$7)&amp;IF(Checks!$W$7="","",CHAR(10)&amp;"Batch: "&amp;Checks!$W$7)&amp;IF(AND(Checks!$X$7="",Checks!$Y$7=""),"",CHAR(10)&amp;"Exp: "&amp;Checks!$X$7&amp;"  /  Act: "&amp;Checks!$Y$7)</f>
        <v/>
      </c>
      <c r="F25" s="113" t="str">
        <f aca="false">IF(Checks!$Z$7="","","Evidence: "&amp;Checks!$Z$7)&amp;IF(Checks!$AA$7="","",IF(Checks!$Z$7="","",CHAR(10))&amp;"CA: "&amp;Checks!$AA$7)</f>
        <v/>
      </c>
      <c r="G25" s="113" t="str">
        <f aca="false">IF(ISNUMBER(Checks!$AD$7),TEXT(Checks!$AD$7,"DD-MMM-YY HH:MM")&amp;" "&amp;Checks!$P$7,"")&amp;IF(Checks!$AE$7="","",CHAR(10)&amp;"Verifier: "&amp;Checks!$AE$7)&amp;IF(Checks!$T$7="","",CHAR(10)&amp;"PIC: "&amp;Checks!$T$7)</f>
        <v/>
      </c>
      <c r="H25" s="114" t="str">
        <f aca="false">IF(Checks!$AH$7="","",Checks!$AH$7)</f>
        <v>N/A – RULE</v>
      </c>
    </row>
    <row r="26" customFormat="false" ht="114" hidden="false" customHeight="true" outlineLevel="0" collapsed="false">
      <c r="A26" s="113" t="str">
        <f aca="false">Checks!$A$8&amp;CHAR(10)&amp;IF(Checks!$I$8="","",Checks!$I$8&amp;": ")&amp;Checks!$J$8</f>
        <v>F01-T7-04
Staffing: Experienced catering officer assigned to this flight</v>
      </c>
      <c r="B26" s="113" t="str">
        <f aca="false">Checks!$K$8&amp;IF(Checks!$O$8="","",IF(Checks!$K$8="","",CHAR(10))&amp;"Note: "&amp;Checks!$O$8)</f>
        <v>Record officer name in Result</v>
      </c>
      <c r="C26" s="113" t="str">
        <f aca="false">Checks!$N$8&amp;CHAR(10)&amp;IF(ISNUMBER(Checks!$R$8),TEXT(Checks!$R$8,"DD-MMM-YY HH:MM"),"")&amp;" "&amp;Checks!$P$8</f>
        <v>Required
01-Oct-26 21:35 LHR</v>
      </c>
      <c r="D26" s="113" t="str">
        <f aca="false">IF(Checks!$U$8="","",Checks!$U$8)&amp;IF(Checks!$AB$8="","",CHAR(10)&amp;"CA: "&amp;Checks!$AB$8)</f>
        <v/>
      </c>
      <c r="E26" s="113" t="str">
        <f aca="false">IF(Checks!$V$8="","",Checks!$V$8)&amp;IF(Checks!$AC$8="","",IF(Checks!$V$8="","",CHAR(10))&amp;"N/A just.: "&amp;Checks!$AC$8)&amp;IF(Checks!$W$8="","",CHAR(10)&amp;"Batch: "&amp;Checks!$W$8)&amp;IF(AND(Checks!$X$8="",Checks!$Y$8=""),"",CHAR(10)&amp;"Exp: "&amp;Checks!$X$8&amp;"  /  Act: "&amp;Checks!$Y$8)</f>
        <v/>
      </c>
      <c r="F26" s="113" t="str">
        <f aca="false">IF(Checks!$Z$8="","","Evidence: "&amp;Checks!$Z$8)&amp;IF(Checks!$AA$8="","",IF(Checks!$Z$8="","",CHAR(10))&amp;"CA: "&amp;Checks!$AA$8)</f>
        <v/>
      </c>
      <c r="G26" s="113" t="str">
        <f aca="false">IF(ISNUMBER(Checks!$AD$8),TEXT(Checks!$AD$8,"DD-MMM-YY HH:MM")&amp;" "&amp;Checks!$P$8,"")&amp;IF(Checks!$AE$8="","",CHAR(10)&amp;"Verifier: "&amp;Checks!$AE$8)&amp;IF(Checks!$T$8="","",CHAR(10)&amp;"PIC: "&amp;Checks!$T$8)</f>
        <v/>
      </c>
      <c r="H26" s="114" t="str">
        <f aca="false">IF(Checks!$AH$8="","",Checks!$AH$8)</f>
        <v>OPEN</v>
      </c>
    </row>
    <row r="27" customFormat="false" ht="114" hidden="false" customHeight="true" outlineLevel="0" collapsed="false">
      <c r="A27" s="113" t="str">
        <f aca="false">Checks!$A$9&amp;CHAR(10)&amp;IF(Checks!$I$9="","",Checks!$I$9&amp;": ")&amp;Checks!$J$9</f>
        <v>F01-T7-05
ISOP: All latest applicable ISOP revisions communicated to caterer</v>
      </c>
      <c r="B27" s="113" t="str">
        <f aca="false">Checks!$K$9&amp;IF(Checks!$O$9="","",IF(Checks!$K$9="","",CHAR(10))&amp;"Note: "&amp;Checks!$O$9)</f>
        <v>List revision numbers in Result (see ISOP register)</v>
      </c>
      <c r="C27" s="113" t="str">
        <f aca="false">Checks!$N$9&amp;CHAR(10)&amp;IF(ISNUMBER(Checks!$R$9),TEXT(Checks!$R$9,"DD-MMM-YY HH:MM"),"")&amp;" "&amp;Checks!$P$9</f>
        <v>Required
01-Oct-26 21:35 LHR</v>
      </c>
      <c r="D27" s="113" t="str">
        <f aca="false">IF(Checks!$U$9="","",Checks!$U$9)&amp;IF(Checks!$AB$9="","",CHAR(10)&amp;"CA: "&amp;Checks!$AB$9)</f>
        <v/>
      </c>
      <c r="E27" s="113" t="str">
        <f aca="false">IF(Checks!$V$9="","",Checks!$V$9)&amp;IF(Checks!$AC$9="","",IF(Checks!$V$9="","",CHAR(10))&amp;"N/A just.: "&amp;Checks!$AC$9)&amp;IF(Checks!$W$9="","",CHAR(10)&amp;"Batch: "&amp;Checks!$W$9)&amp;IF(AND(Checks!$X$9="",Checks!$Y$9=""),"",CHAR(10)&amp;"Exp: "&amp;Checks!$X$9&amp;"  /  Act: "&amp;Checks!$Y$9)</f>
        <v/>
      </c>
      <c r="F27" s="113" t="str">
        <f aca="false">IF(Checks!$Z$9="","","Evidence: "&amp;Checks!$Z$9)&amp;IF(Checks!$AA$9="","",IF(Checks!$Z$9="","",CHAR(10))&amp;"CA: "&amp;Checks!$AA$9)</f>
        <v/>
      </c>
      <c r="G27" s="113" t="str">
        <f aca="false">IF(ISNUMBER(Checks!$AD$9),TEXT(Checks!$AD$9,"DD-MMM-YY HH:MM")&amp;" "&amp;Checks!$P$9,"")&amp;IF(Checks!$AE$9="","",CHAR(10)&amp;"Verifier: "&amp;Checks!$AE$9)&amp;IF(Checks!$T$9="","",CHAR(10)&amp;"PIC: "&amp;Checks!$T$9)</f>
        <v/>
      </c>
      <c r="H27" s="114" t="str">
        <f aca="false">IF(Checks!$AH$9="","",Checks!$AH$9)</f>
        <v>OPEN</v>
      </c>
    </row>
    <row r="28" customFormat="false" ht="114" hidden="false" customHeight="true" outlineLevel="0" collapsed="false">
      <c r="A28" s="113" t="str">
        <f aca="false">Checks!$A$10&amp;CHAR(10)&amp;IF(Checks!$I$10="","",Checks!$I$10&amp;": ")&amp;Checks!$J$10</f>
        <v>F01-T7-06
ISOP: Caterer acknowledgement of ISOP revisions recorded</v>
      </c>
      <c r="B28" s="113" t="str">
        <f aca="false">Checks!$K$10&amp;IF(Checks!$O$10="","",IF(Checks!$K$10="","",CHAR(10))&amp;"Note: "&amp;Checks!$O$10)</f>
        <v>Record acknowledgement ref in Evidence</v>
      </c>
      <c r="C28" s="113" t="str">
        <f aca="false">Checks!$N$10&amp;CHAR(10)&amp;IF(ISNUMBER(Checks!$R$10),TEXT(Checks!$R$10,"DD-MMM-YY HH:MM"),"")&amp;" "&amp;Checks!$P$10</f>
        <v>Required
01-Oct-26 21:35 LHR</v>
      </c>
      <c r="D28" s="113" t="str">
        <f aca="false">IF(Checks!$U$10="","",Checks!$U$10)&amp;IF(Checks!$AB$10="","",CHAR(10)&amp;"CA: "&amp;Checks!$AB$10)</f>
        <v/>
      </c>
      <c r="E28" s="113" t="str">
        <f aca="false">IF(Checks!$V$10="","",Checks!$V$10)&amp;IF(Checks!$AC$10="","",IF(Checks!$V$10="","",CHAR(10))&amp;"N/A just.: "&amp;Checks!$AC$10)&amp;IF(Checks!$W$10="","",CHAR(10)&amp;"Batch: "&amp;Checks!$W$10)&amp;IF(AND(Checks!$X$10="",Checks!$Y$10=""),"",CHAR(10)&amp;"Exp: "&amp;Checks!$X$10&amp;"  /  Act: "&amp;Checks!$Y$10)</f>
        <v/>
      </c>
      <c r="F28" s="113" t="str">
        <f aca="false">IF(Checks!$Z$10="","","Evidence: "&amp;Checks!$Z$10)&amp;IF(Checks!$AA$10="","",IF(Checks!$Z$10="","",CHAR(10))&amp;"CA: "&amp;Checks!$AA$10)</f>
        <v/>
      </c>
      <c r="G28" s="113" t="str">
        <f aca="false">IF(ISNUMBER(Checks!$AD$10),TEXT(Checks!$AD$10,"DD-MMM-YY HH:MM")&amp;" "&amp;Checks!$P$10,"")&amp;IF(Checks!$AE$10="","",CHAR(10)&amp;"Verifier: "&amp;Checks!$AE$10)&amp;IF(Checks!$T$10="","",CHAR(10)&amp;"PIC: "&amp;Checks!$T$10)</f>
        <v/>
      </c>
      <c r="H28" s="114" t="str">
        <f aca="false">IF(Checks!$AH$10="","",Checks!$AH$10)</f>
        <v>OPEN</v>
      </c>
    </row>
    <row r="29" customFormat="false" ht="114" hidden="false" customHeight="true" outlineLevel="0" collapsed="false">
      <c r="A29" s="113" t="str">
        <f aca="false">Checks!$A$11&amp;CHAR(10)&amp;IF(Checks!$I$11="","",Checks!$I$11&amp;": ")&amp;Checks!$J$11</f>
        <v>F01-T7-07
Documents: Galley loading diagram (GLD) received, revision recorded &amp; attached</v>
      </c>
      <c r="B29" s="113" t="str">
        <f aca="false">Checks!$K$11&amp;IF(Checks!$O$11="","",IF(Checks!$K$11="","",CHAR(10))&amp;"Note: "&amp;Checks!$O$11)</f>
        <v>Documents sheet row complete</v>
      </c>
      <c r="C29" s="113" t="str">
        <f aca="false">Checks!$N$11&amp;CHAR(10)&amp;IF(ISNUMBER(Checks!$R$11),TEXT(Checks!$R$11,"DD-MMM-YY HH:MM"),"")&amp;" "&amp;Checks!$P$11</f>
        <v>Required
01-Oct-26 21:35 LHR</v>
      </c>
      <c r="D29" s="113" t="str">
        <f aca="false">IF(Checks!$U$11="","",Checks!$U$11)&amp;IF(Checks!$AB$11="","",CHAR(10)&amp;"CA: "&amp;Checks!$AB$11)</f>
        <v/>
      </c>
      <c r="E29" s="113" t="str">
        <f aca="false">IF(Checks!$V$11="","",Checks!$V$11)&amp;IF(Checks!$AC$11="","",IF(Checks!$V$11="","",CHAR(10))&amp;"N/A just.: "&amp;Checks!$AC$11)&amp;IF(Checks!$W$11="","",CHAR(10)&amp;"Batch: "&amp;Checks!$W$11)&amp;IF(AND(Checks!$X$11="",Checks!$Y$11=""),"",CHAR(10)&amp;"Exp: "&amp;Checks!$X$11&amp;"  /  Act: "&amp;Checks!$Y$11)</f>
        <v/>
      </c>
      <c r="F29" s="113" t="str">
        <f aca="false">IF(Checks!$Z$11="","","Evidence: "&amp;Checks!$Z$11)&amp;IF(Checks!$AA$11="","",IF(Checks!$Z$11="","",CHAR(10))&amp;"CA: "&amp;Checks!$AA$11)</f>
        <v/>
      </c>
      <c r="G29" s="113" t="str">
        <f aca="false">IF(ISNUMBER(Checks!$AD$11),TEXT(Checks!$AD$11,"DD-MMM-YY HH:MM")&amp;" "&amp;Checks!$P$11,"")&amp;IF(Checks!$AE$11="","",CHAR(10)&amp;"Verifier: "&amp;Checks!$AE$11)&amp;IF(Checks!$T$11="","",CHAR(10)&amp;"PIC: "&amp;Checks!$T$11)</f>
        <v/>
      </c>
      <c r="H29" s="114" t="str">
        <f aca="false">IF(Checks!$AH$11="","",Checks!$AH$11)</f>
        <v>OPEN</v>
      </c>
    </row>
    <row r="30" customFormat="false" ht="114" hidden="false" customHeight="true" outlineLevel="0" collapsed="false">
      <c r="A30" s="113" t="str">
        <f aca="false">Checks!$A$12&amp;CHAR(10)&amp;IF(Checks!$I$12="","",Checks!$I$12&amp;": ")&amp;Checks!$J$12</f>
        <v>F01-T7-08
Documents: Menu checklist received, revision recorded &amp; attached</v>
      </c>
      <c r="B30" s="113" t="str">
        <f aca="false">Checks!$K$12&amp;IF(Checks!$O$12="","",IF(Checks!$K$12="","",CHAR(10))&amp;"Note: "&amp;Checks!$O$12)</f>
        <v>Documents sheet row complete</v>
      </c>
      <c r="C30" s="113" t="str">
        <f aca="false">Checks!$N$12&amp;CHAR(10)&amp;IF(ISNUMBER(Checks!$R$12),TEXT(Checks!$R$12,"DD-MMM-YY HH:MM"),"")&amp;" "&amp;Checks!$P$12</f>
        <v>Required
01-Oct-26 21:35 LHR</v>
      </c>
      <c r="D30" s="113" t="str">
        <f aca="false">IF(Checks!$U$12="","",Checks!$U$12)&amp;IF(Checks!$AB$12="","",CHAR(10)&amp;"CA: "&amp;Checks!$AB$12)</f>
        <v/>
      </c>
      <c r="E30" s="113" t="str">
        <f aca="false">IF(Checks!$V$12="","",Checks!$V$12)&amp;IF(Checks!$AC$12="","",IF(Checks!$V$12="","",CHAR(10))&amp;"N/A just.: "&amp;Checks!$AC$12)&amp;IF(Checks!$W$12="","",CHAR(10)&amp;"Batch: "&amp;Checks!$W$12)&amp;IF(AND(Checks!$X$12="",Checks!$Y$12=""),"",CHAR(10)&amp;"Exp: "&amp;Checks!$X$12&amp;"  /  Act: "&amp;Checks!$Y$12)</f>
        <v/>
      </c>
      <c r="F30" s="113" t="str">
        <f aca="false">IF(Checks!$Z$12="","","Evidence: "&amp;Checks!$Z$12)&amp;IF(Checks!$AA$12="","",IF(Checks!$Z$12="","",CHAR(10))&amp;"CA: "&amp;Checks!$AA$12)</f>
        <v/>
      </c>
      <c r="G30" s="113" t="str">
        <f aca="false">IF(ISNUMBER(Checks!$AD$12),TEXT(Checks!$AD$12,"DD-MMM-YY HH:MM")&amp;" "&amp;Checks!$P$12,"")&amp;IF(Checks!$AE$12="","",CHAR(10)&amp;"Verifier: "&amp;Checks!$AE$12)&amp;IF(Checks!$T$12="","",CHAR(10)&amp;"PIC: "&amp;Checks!$T$12)</f>
        <v/>
      </c>
      <c r="H30" s="114" t="str">
        <f aca="false">IF(Checks!$AH$12="","",Checks!$AH$12)</f>
        <v>OPEN</v>
      </c>
    </row>
    <row r="31" customFormat="false" ht="114" hidden="false" customHeight="true" outlineLevel="0" collapsed="false">
      <c r="A31" s="113" t="str">
        <f aca="false">Checks!$A$13&amp;CHAR(10)&amp;IF(Checks!$I$13="","",Checks!$I$13&amp;": ")&amp;Checks!$J$13</f>
        <v>F01-T7-09
Uplift plan: Uplift plan confirmed with caterer vs STD Uplift Information</v>
      </c>
      <c r="B31" s="113" t="str">
        <f aca="false">Checks!$K$13&amp;IF(Checks!$O$13="","",IF(Checks!$K$13="","",CHAR(10))&amp;"Note: "&amp;Checks!$O$13)</f>
        <v>Service: 2.5 Meal (Meal); meal uplift stn LHR (ref lists KUL/LHR)</v>
      </c>
      <c r="C31" s="113" t="str">
        <f aca="false">Checks!$N$13&amp;CHAR(10)&amp;IF(ISNUMBER(Checks!$R$13),TEXT(Checks!$R$13,"DD-MMM-YY HH:MM"),"")&amp;" "&amp;Checks!$P$13</f>
        <v>Required
01-Oct-26 21:35 LHR</v>
      </c>
      <c r="D31" s="113" t="str">
        <f aca="false">IF(Checks!$U$13="","",Checks!$U$13)&amp;IF(Checks!$AB$13="","",CHAR(10)&amp;"CA: "&amp;Checks!$AB$13)</f>
        <v/>
      </c>
      <c r="E31" s="113" t="str">
        <f aca="false">IF(Checks!$V$13="","",Checks!$V$13)&amp;IF(Checks!$AC$13="","",IF(Checks!$V$13="","",CHAR(10))&amp;"N/A just.: "&amp;Checks!$AC$13)&amp;IF(Checks!$W$13="","",CHAR(10)&amp;"Batch: "&amp;Checks!$W$13)&amp;IF(AND(Checks!$X$13="",Checks!$Y$13=""),"",CHAR(10)&amp;"Exp: "&amp;Checks!$X$13&amp;"  /  Act: "&amp;Checks!$Y$13)</f>
        <v/>
      </c>
      <c r="F31" s="113" t="str">
        <f aca="false">IF(Checks!$Z$13="","","Evidence: "&amp;Checks!$Z$13)&amp;IF(Checks!$AA$13="","",IF(Checks!$Z$13="","",CHAR(10))&amp;"CA: "&amp;Checks!$AA$13)</f>
        <v/>
      </c>
      <c r="G31" s="113" t="str">
        <f aca="false">IF(ISNUMBER(Checks!$AD$13),TEXT(Checks!$AD$13,"DD-MMM-YY HH:MM")&amp;" "&amp;Checks!$P$13,"")&amp;IF(Checks!$AE$13="","",CHAR(10)&amp;"Verifier: "&amp;Checks!$AE$13)&amp;IF(Checks!$T$13="","",CHAR(10)&amp;"PIC: "&amp;Checks!$T$13)</f>
        <v/>
      </c>
      <c r="H31" s="114" t="str">
        <f aca="false">IF(Checks!$AH$13="","",Checks!$AH$13)</f>
        <v>OPEN</v>
      </c>
    </row>
    <row r="32" customFormat="false" ht="25.5" hidden="false" customHeight="true" outlineLevel="0" collapsed="false">
      <c r="A32" s="112"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Checks!$A$14&amp;CHAR(10)&amp;IF(Checks!$I$14="","",Checks!$I$14&amp;": ")&amp;Checks!$J$14</f>
        <v>F01-T24-01
Meal: Sensory test repeated on ACTUAL production batch for this flight</v>
      </c>
      <c r="B33" s="113" t="str">
        <f aca="false">Checks!$K$14&amp;IF(Checks!$O$14="","",IF(Checks!$K$14="","",CHAR(10))&amp;"Note: "&amp;Checks!$O$14)</f>
        <v>Batch ID, result, CA and acceptance mandatory</v>
      </c>
      <c r="C33" s="113" t="str">
        <f aca="false">Checks!$N$14&amp;CHAR(10)&amp;IF(ISNUMBER(Checks!$R$14),TEXT(Checks!$R$14,"DD-MMM-YY HH:MM"),"")&amp;" "&amp;Checks!$P$14</f>
        <v>Required
07-Oct-26 21:35 LHR</v>
      </c>
      <c r="D33" s="113" t="str">
        <f aca="false">IF(Checks!$U$14="","",Checks!$U$14)&amp;IF(Checks!$AB$14="","",CHAR(10)&amp;"CA: "&amp;Checks!$AB$14)</f>
        <v/>
      </c>
      <c r="E33" s="113" t="str">
        <f aca="false">IF(Checks!$V$14="","",Checks!$V$14)&amp;IF(Checks!$AC$14="","",IF(Checks!$V$14="","",CHAR(10))&amp;"N/A just.: "&amp;Checks!$AC$14)&amp;IF(Checks!$W$14="","",CHAR(10)&amp;"Batch: "&amp;Checks!$W$14)&amp;IF(AND(Checks!$X$14="",Checks!$Y$14=""),"",CHAR(10)&amp;"Exp: "&amp;Checks!$X$14&amp;"  /  Act: "&amp;Checks!$Y$14)</f>
        <v/>
      </c>
      <c r="F33" s="113" t="str">
        <f aca="false">IF(Checks!$Z$14="","","Evidence: "&amp;Checks!$Z$14)&amp;IF(Checks!$AA$14="","",IF(Checks!$Z$14="","",CHAR(10))&amp;"CA: "&amp;Checks!$AA$14)</f>
        <v/>
      </c>
      <c r="G33" s="113" t="str">
        <f aca="false">IF(ISNUMBER(Checks!$AD$14),TEXT(Checks!$AD$14,"DD-MMM-YY HH:MM")&amp;" "&amp;Checks!$P$14,"")&amp;IF(Checks!$AE$14="","",CHAR(10)&amp;"Verifier: "&amp;Checks!$AE$14)&amp;IF(Checks!$T$14="","",CHAR(10)&amp;"PIC: "&amp;Checks!$T$14)</f>
        <v/>
      </c>
      <c r="H33" s="114" t="str">
        <f aca="false">IF(Checks!$AH$14="","",Checks!$AH$14)</f>
        <v>OPEN</v>
      </c>
    </row>
    <row r="34" customFormat="false" ht="25.5" hidden="false" customHeight="true" outlineLevel="0" collapsed="false">
      <c r="A34" s="112"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2"/>
      <c r="C34" s="112"/>
      <c r="D34" s="112"/>
      <c r="E34" s="112"/>
      <c r="F34" s="112"/>
      <c r="G34" s="112"/>
      <c r="H34" s="112"/>
    </row>
    <row r="35" customFormat="false" ht="114" hidden="false" customHeight="true" outlineLevel="0" collapsed="false">
      <c r="A35" s="113" t="str">
        <f aca="false">Checks!$A$15&amp;CHAR(10)&amp;IF(Checks!$I$15="","",Checks!$I$15&amp;": ")&amp;Checks!$J$15</f>
        <v>F01-T12-01
Meal: Meal quality vs menu checklist</v>
      </c>
      <c r="B35" s="113" t="str">
        <f aca="false">Checks!$K$15&amp;IF(Checks!$O$15="","",IF(Checks!$K$15="","",CHAR(10))&amp;"Note: "&amp;Checks!$O$15)</f>
        <v>Note: Preparation check at caterer - does NOT confirm loading.</v>
      </c>
      <c r="C35" s="113" t="str">
        <f aca="false">Checks!$N$15&amp;CHAR(10)&amp;IF(ISNUMBER(Checks!$R$15),TEXT(Checks!$R$15,"DD-MMM-YY HH:MM"),"")&amp;" "&amp;Checks!$P$15</f>
        <v>Required
08-Oct-26 09:35 LHR</v>
      </c>
      <c r="D35" s="113" t="str">
        <f aca="false">IF(Checks!$U$15="","",Checks!$U$15)&amp;IF(Checks!$AB$15="","",CHAR(10)&amp;"CA: "&amp;Checks!$AB$15)</f>
        <v/>
      </c>
      <c r="E35" s="113" t="str">
        <f aca="false">IF(Checks!$V$15="","",Checks!$V$15)&amp;IF(Checks!$AC$15="","",IF(Checks!$V$15="","",CHAR(10))&amp;"N/A just.: "&amp;Checks!$AC$15)&amp;IF(Checks!$W$15="","",CHAR(10)&amp;"Batch: "&amp;Checks!$W$15)&amp;IF(AND(Checks!$X$15="",Checks!$Y$15=""),"",CHAR(10)&amp;"Exp: "&amp;Checks!$X$15&amp;"  /  Act: "&amp;Checks!$Y$15)</f>
        <v/>
      </c>
      <c r="F35" s="113" t="str">
        <f aca="false">IF(Checks!$Z$15="","","Evidence: "&amp;Checks!$Z$15)&amp;IF(Checks!$AA$15="","",IF(Checks!$Z$15="","",CHAR(10))&amp;"CA: "&amp;Checks!$AA$15)</f>
        <v/>
      </c>
      <c r="G35" s="113" t="str">
        <f aca="false">IF(ISNUMBER(Checks!$AD$15),TEXT(Checks!$AD$15,"DD-MMM-YY HH:MM")&amp;" "&amp;Checks!$P$15,"")&amp;IF(Checks!$AE$15="","",CHAR(10)&amp;"Verifier: "&amp;Checks!$AE$15)&amp;IF(Checks!$T$15="","",CHAR(10)&amp;"PIC: "&amp;Checks!$T$15)</f>
        <v/>
      </c>
      <c r="H35" s="114" t="str">
        <f aca="false">IF(Checks!$AH$15="","",Checks!$AH$15)</f>
        <v>OPEN</v>
      </c>
    </row>
    <row r="36" customFormat="false" ht="114" hidden="false" customHeight="true" outlineLevel="0" collapsed="false">
      <c r="A36" s="113" t="str">
        <f aca="false">Checks!$A$16&amp;CHAR(10)&amp;IF(Checks!$I$16="","",Checks!$I$16&amp;": ")&amp;Checks!$J$16</f>
        <v>F01-T12-02
Meal: Meal quantities vs menu checklist</v>
      </c>
      <c r="B36" s="113" t="str">
        <f aca="false">Checks!$K$16&amp;IF(Checks!$O$16="","",IF(Checks!$K$16="","",CHAR(10))&amp;"Note: "&amp;Checks!$O$16)</f>
        <v>Enter expected &amp; actual
Note: Preparation check at caterer - does NOT confirm loading.</v>
      </c>
      <c r="C36" s="113" t="str">
        <f aca="false">Checks!$N$16&amp;CHAR(10)&amp;IF(ISNUMBER(Checks!$R$16),TEXT(Checks!$R$16,"DD-MMM-YY HH:MM"),"")&amp;" "&amp;Checks!$P$16</f>
        <v>Required
08-Oct-26 09:35 LHR</v>
      </c>
      <c r="D36" s="113" t="str">
        <f aca="false">IF(Checks!$U$16="","",Checks!$U$16)&amp;IF(Checks!$AB$16="","",CHAR(10)&amp;"CA: "&amp;Checks!$AB$16)</f>
        <v/>
      </c>
      <c r="E36" s="113" t="str">
        <f aca="false">IF(Checks!$V$16="","",Checks!$V$16)&amp;IF(Checks!$AC$16="","",IF(Checks!$V$16="","",CHAR(10))&amp;"N/A just.: "&amp;Checks!$AC$16)&amp;IF(Checks!$W$16="","",CHAR(10)&amp;"Batch: "&amp;Checks!$W$16)&amp;IF(AND(Checks!$X$16="",Checks!$Y$16=""),"",CHAR(10)&amp;"Exp: "&amp;Checks!$X$16&amp;"  /  Act: "&amp;Checks!$Y$16)</f>
        <v/>
      </c>
      <c r="F36" s="113" t="str">
        <f aca="false">IF(Checks!$Z$16="","","Evidence: "&amp;Checks!$Z$16)&amp;IF(Checks!$AA$16="","",IF(Checks!$Z$16="","",CHAR(10))&amp;"CA: "&amp;Checks!$AA$16)</f>
        <v/>
      </c>
      <c r="G36" s="113" t="str">
        <f aca="false">IF(ISNUMBER(Checks!$AD$16),TEXT(Checks!$AD$16,"DD-MMM-YY HH:MM")&amp;" "&amp;Checks!$P$16,"")&amp;IF(Checks!$AE$16="","",CHAR(10)&amp;"Verifier: "&amp;Checks!$AE$16)&amp;IF(Checks!$T$16="","",CHAR(10)&amp;"PIC: "&amp;Checks!$T$16)</f>
        <v/>
      </c>
      <c r="H36" s="114" t="str">
        <f aca="false">IF(Checks!$AH$16="","",Checks!$AH$16)</f>
        <v>OPEN</v>
      </c>
    </row>
    <row r="37" customFormat="false" ht="114" hidden="false" customHeight="true" outlineLevel="0" collapsed="false">
      <c r="A37" s="113" t="str">
        <f aca="false">Checks!$A$17&amp;CHAR(10)&amp;IF(Checks!$I$17="","",Checks!$I$17&amp;": ")&amp;Checks!$J$17</f>
        <v>F01-T12-03
Equipment: Equipment cleanliness vs GLD</v>
      </c>
      <c r="B37" s="113" t="str">
        <f aca="false">Checks!$K$17&amp;IF(Checks!$O$17="","",IF(Checks!$K$17="","",CHAR(10))&amp;"Note: "&amp;Checks!$O$17)</f>
        <v>Note: Preparation check at caterer - does NOT confirm loading.</v>
      </c>
      <c r="C37" s="113" t="str">
        <f aca="false">Checks!$N$17&amp;CHAR(10)&amp;IF(ISNUMBER(Checks!$R$17),TEXT(Checks!$R$17,"DD-MMM-YY HH:MM"),"")&amp;" "&amp;Checks!$P$17</f>
        <v>Required
08-Oct-26 09:35 LHR</v>
      </c>
      <c r="D37" s="113" t="str">
        <f aca="false">IF(Checks!$U$17="","",Checks!$U$17)&amp;IF(Checks!$AB$17="","",CHAR(10)&amp;"CA: "&amp;Checks!$AB$17)</f>
        <v/>
      </c>
      <c r="E37" s="113" t="str">
        <f aca="false">IF(Checks!$V$17="","",Checks!$V$17)&amp;IF(Checks!$AC$17="","",IF(Checks!$V$17="","",CHAR(10))&amp;"N/A just.: "&amp;Checks!$AC$17)&amp;IF(Checks!$W$17="","",CHAR(10)&amp;"Batch: "&amp;Checks!$W$17)&amp;IF(AND(Checks!$X$17="",Checks!$Y$17=""),"",CHAR(10)&amp;"Exp: "&amp;Checks!$X$17&amp;"  /  Act: "&amp;Checks!$Y$17)</f>
        <v/>
      </c>
      <c r="F37" s="113" t="str">
        <f aca="false">IF(Checks!$Z$17="","","Evidence: "&amp;Checks!$Z$17)&amp;IF(Checks!$AA$17="","",IF(Checks!$Z$17="","",CHAR(10))&amp;"CA: "&amp;Checks!$AA$17)</f>
        <v/>
      </c>
      <c r="G37" s="113" t="str">
        <f aca="false">IF(ISNUMBER(Checks!$AD$17),TEXT(Checks!$AD$17,"DD-MMM-YY HH:MM")&amp;" "&amp;Checks!$P$17,"")&amp;IF(Checks!$AE$17="","",CHAR(10)&amp;"Verifier: "&amp;Checks!$AE$17)&amp;IF(Checks!$T$17="","",CHAR(10)&amp;"PIC: "&amp;Checks!$T$17)</f>
        <v/>
      </c>
      <c r="H37" s="114" t="str">
        <f aca="false">IF(Checks!$AH$17="","",Checks!$AH$17)</f>
        <v>OPEN</v>
      </c>
    </row>
    <row r="38" customFormat="false" ht="114" hidden="false" customHeight="true" outlineLevel="0" collapsed="false">
      <c r="A38" s="113" t="str">
        <f aca="false">Checks!$A$18&amp;CHAR(10)&amp;IF(Checks!$I$18="","",Checks!$I$18&amp;": ")&amp;Checks!$J$18</f>
        <v>F01-T12-04
Equipment: Equipment presentation vs GLD</v>
      </c>
      <c r="B38" s="113" t="str">
        <f aca="false">Checks!$K$18&amp;IF(Checks!$O$18="","",IF(Checks!$K$18="","",CHAR(10))&amp;"Note: "&amp;Checks!$O$18)</f>
        <v>Note: Preparation check at caterer - does NOT confirm loading.</v>
      </c>
      <c r="C38" s="113" t="str">
        <f aca="false">Checks!$N$18&amp;CHAR(10)&amp;IF(ISNUMBER(Checks!$R$18),TEXT(Checks!$R$18,"DD-MMM-YY HH:MM"),"")&amp;" "&amp;Checks!$P$18</f>
        <v>Required
08-Oct-26 09:35 LHR</v>
      </c>
      <c r="D38" s="113" t="str">
        <f aca="false">IF(Checks!$U$18="","",Checks!$U$18)&amp;IF(Checks!$AB$18="","",CHAR(10)&amp;"CA: "&amp;Checks!$AB$18)</f>
        <v/>
      </c>
      <c r="E38" s="113" t="str">
        <f aca="false">IF(Checks!$V$18="","",Checks!$V$18)&amp;IF(Checks!$AC$18="","",IF(Checks!$V$18="","",CHAR(10))&amp;"N/A just.: "&amp;Checks!$AC$18)&amp;IF(Checks!$W$18="","",CHAR(10)&amp;"Batch: "&amp;Checks!$W$18)&amp;IF(AND(Checks!$X$18="",Checks!$Y$18=""),"",CHAR(10)&amp;"Exp: "&amp;Checks!$X$18&amp;"  /  Act: "&amp;Checks!$Y$18)</f>
        <v/>
      </c>
      <c r="F38" s="113" t="str">
        <f aca="false">IF(Checks!$Z$18="","","Evidence: "&amp;Checks!$Z$18)&amp;IF(Checks!$AA$18="","",IF(Checks!$Z$18="","",CHAR(10))&amp;"CA: "&amp;Checks!$AA$18)</f>
        <v/>
      </c>
      <c r="G38" s="113" t="str">
        <f aca="false">IF(ISNUMBER(Checks!$AD$18),TEXT(Checks!$AD$18,"DD-MMM-YY HH:MM")&amp;" "&amp;Checks!$P$18,"")&amp;IF(Checks!$AE$18="","",CHAR(10)&amp;"Verifier: "&amp;Checks!$AE$18)&amp;IF(Checks!$T$18="","",CHAR(10)&amp;"PIC: "&amp;Checks!$T$18)</f>
        <v/>
      </c>
      <c r="H38" s="114" t="str">
        <f aca="false">IF(Checks!$AH$18="","",Checks!$AH$18)</f>
        <v>OPEN</v>
      </c>
    </row>
    <row r="39" customFormat="false" ht="114" hidden="false" customHeight="true" outlineLevel="0" collapsed="false">
      <c r="A39" s="113" t="str">
        <f aca="false">Checks!$A$19&amp;CHAR(10)&amp;IF(Checks!$I$19="","",Checks!$I$19&amp;": ")&amp;Checks!$J$19</f>
        <v>F01-T12-05
Equipment: Equipment serviceability vs GLD</v>
      </c>
      <c r="B39" s="113" t="str">
        <f aca="false">Checks!$K$19&amp;IF(Checks!$O$19="","",IF(Checks!$K$19="","",CHAR(10))&amp;"Note: "&amp;Checks!$O$19)</f>
        <v>Note: Preparation check at caterer - does NOT confirm loading.</v>
      </c>
      <c r="C39" s="113" t="str">
        <f aca="false">Checks!$N$19&amp;CHAR(10)&amp;IF(ISNUMBER(Checks!$R$19),TEXT(Checks!$R$19,"DD-MMM-YY HH:MM"),"")&amp;" "&amp;Checks!$P$19</f>
        <v>Required
08-Oct-26 09:35 LHR</v>
      </c>
      <c r="D39" s="113" t="str">
        <f aca="false">IF(Checks!$U$19="","",Checks!$U$19)&amp;IF(Checks!$AB$19="","",CHAR(10)&amp;"CA: "&amp;Checks!$AB$19)</f>
        <v/>
      </c>
      <c r="E39" s="113" t="str">
        <f aca="false">IF(Checks!$V$19="","",Checks!$V$19)&amp;IF(Checks!$AC$19="","",IF(Checks!$V$19="","",CHAR(10))&amp;"N/A just.: "&amp;Checks!$AC$19)&amp;IF(Checks!$W$19="","",CHAR(10)&amp;"Batch: "&amp;Checks!$W$19)&amp;IF(AND(Checks!$X$19="",Checks!$Y$19=""),"",CHAR(10)&amp;"Exp: "&amp;Checks!$X$19&amp;"  /  Act: "&amp;Checks!$Y$19)</f>
        <v/>
      </c>
      <c r="F39" s="113" t="str">
        <f aca="false">IF(Checks!$Z$19="","","Evidence: "&amp;Checks!$Z$19)&amp;IF(Checks!$AA$19="","",IF(Checks!$Z$19="","",CHAR(10))&amp;"CA: "&amp;Checks!$AA$19)</f>
        <v/>
      </c>
      <c r="G39" s="113" t="str">
        <f aca="false">IF(ISNUMBER(Checks!$AD$19),TEXT(Checks!$AD$19,"DD-MMM-YY HH:MM")&amp;" "&amp;Checks!$P$19,"")&amp;IF(Checks!$AE$19="","",CHAR(10)&amp;"Verifier: "&amp;Checks!$AE$19)&amp;IF(Checks!$T$19="","",CHAR(10)&amp;"PIC: "&amp;Checks!$T$19)</f>
        <v/>
      </c>
      <c r="H39" s="114" t="str">
        <f aca="false">IF(Checks!$AH$19="","",Checks!$AH$19)</f>
        <v>OPEN</v>
      </c>
    </row>
    <row r="40" customFormat="false" ht="322.5" hidden="false" customHeight="true" outlineLevel="0" collapsed="false">
      <c r="A40" s="113" t="str">
        <f aca="false">Checks!$A$20&amp;CHAR(10)&amp;IF(Checks!$I$20="","",Checks!$I$20&amp;": ")&amp;Checks!$J$20</f>
        <v>F01-T12-06
Equipment: Equipment quantities vs GLD</v>
      </c>
      <c r="B40" s="113" t="str">
        <f aca="false">SUBSTITUTE(Checks!$K$20&amp;IF(Checks!$O$20="","",IF(Checks!$K$20="","",CHAR(10))&amp;"Note: "&amp;Checks!$O$20),"AIRCRAFT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Checks!$N$20&amp;CHAR(10)&amp;IF(ISNUMBER(Checks!$R$20),TEXT(Checks!$R$20,"DD-MMM-YY HH:MM"),"")&amp;" "&amp;Checks!$P$20</f>
        <v>Required
08-Oct-26 09:35 LHR</v>
      </c>
      <c r="D40" s="113" t="str">
        <f aca="false">IF(Checks!$U$20="","",Checks!$U$20)&amp;IF(Checks!$AB$20="","",CHAR(10)&amp;"CA: "&amp;Checks!$AB$20)</f>
        <v/>
      </c>
      <c r="E40" s="113" t="str">
        <f aca="false">IF(Checks!$V$20="","",Checks!$V$20)&amp;IF(Checks!$AC$20="","",IF(Checks!$V$20="","",CHAR(10))&amp;"N/A just.: "&amp;Checks!$AC$20)&amp;IF(Checks!$W$20="","",CHAR(10)&amp;"Batch: "&amp;Checks!$W$20)&amp;IF(AND(Checks!$X$20="",Checks!$Y$20=""),"",CHAR(10)&amp;"Exp: "&amp;Checks!$X$20&amp;"  /  Act: "&amp;Checks!$Y$20)</f>
        <v/>
      </c>
      <c r="F40" s="113" t="str">
        <f aca="false">IF(Checks!$Z$20="","","Evidence: "&amp;Checks!$Z$20)&amp;IF(Checks!$AA$20="","",IF(Checks!$Z$20="","",CHAR(10))&amp;"CA: "&amp;Checks!$AA$20)</f>
        <v/>
      </c>
      <c r="G40" s="113" t="str">
        <f aca="false">IF(ISNUMBER(Checks!$AD$20),TEXT(Checks!$AD$20,"DD-MMM-YY HH:MM")&amp;" "&amp;Checks!$P$20,"")&amp;IF(Checks!$AE$20="","",CHAR(10)&amp;"Verifier: "&amp;Checks!$AE$20)&amp;IF(Checks!$T$20="","",CHAR(10)&amp;"PIC: "&amp;Checks!$T$20)</f>
        <v/>
      </c>
      <c r="H40" s="114" t="str">
        <f aca="false">IF(Checks!$AH$20="","",Checks!$AH$20)</f>
        <v>OPEN</v>
      </c>
    </row>
    <row r="41" customFormat="false" ht="114" hidden="false" customHeight="true" outlineLevel="0" collapsed="false">
      <c r="A41" s="113" t="str">
        <f aca="false">Checks!$A$21&amp;CHAR(10)&amp;IF(Checks!$I$21="","",Checks!$I$21&amp;": ")&amp;Checks!$J$21</f>
        <v>F01-T12-07
Equipment: Loading positions planned vs GLD</v>
      </c>
      <c r="B41" s="113" t="str">
        <f aca="false">Checks!$K$21&amp;IF(Checks!$O$21="","",IF(Checks!$K$21="","",CHAR(10))&amp;"Note: "&amp;Checks!$O$21)</f>
        <v>Note: Preparation check at caterer - does NOT confirm loading.</v>
      </c>
      <c r="C41" s="113" t="str">
        <f aca="false">Checks!$N$21&amp;CHAR(10)&amp;IF(ISNUMBER(Checks!$R$21),TEXT(Checks!$R$21,"DD-MMM-YY HH:MM"),"")&amp;" "&amp;Checks!$P$21</f>
        <v>Required
08-Oct-26 09:35 LHR</v>
      </c>
      <c r="D41" s="113" t="str">
        <f aca="false">IF(Checks!$U$21="","",Checks!$U$21)&amp;IF(Checks!$AB$21="","",CHAR(10)&amp;"CA: "&amp;Checks!$AB$21)</f>
        <v/>
      </c>
      <c r="E41" s="113" t="str">
        <f aca="false">IF(Checks!$V$21="","",Checks!$V$21)&amp;IF(Checks!$AC$21="","",IF(Checks!$V$21="","",CHAR(10))&amp;"N/A just.: "&amp;Checks!$AC$21)&amp;IF(Checks!$W$21="","",CHAR(10)&amp;"Batch: "&amp;Checks!$W$21)&amp;IF(AND(Checks!$X$21="",Checks!$Y$21=""),"",CHAR(10)&amp;"Exp: "&amp;Checks!$X$21&amp;"  /  Act: "&amp;Checks!$Y$21)</f>
        <v/>
      </c>
      <c r="F41" s="113" t="str">
        <f aca="false">IF(Checks!$Z$21="","","Evidence: "&amp;Checks!$Z$21)&amp;IF(Checks!$AA$21="","",IF(Checks!$Z$21="","",CHAR(10))&amp;"CA: "&amp;Checks!$AA$21)</f>
        <v/>
      </c>
      <c r="G41" s="113" t="str">
        <f aca="false">IF(ISNUMBER(Checks!$AD$21),TEXT(Checks!$AD$21,"DD-MMM-YY HH:MM")&amp;" "&amp;Checks!$P$21,"")&amp;IF(Checks!$AE$21="","",CHAR(10)&amp;"Verifier: "&amp;Checks!$AE$21)&amp;IF(Checks!$T$21="","",CHAR(10)&amp;"PIC: "&amp;Checks!$T$21)</f>
        <v/>
      </c>
      <c r="H41" s="114" t="str">
        <f aca="false">IF(Checks!$AH$21="","",Checks!$AH$21)</f>
        <v>OPEN</v>
      </c>
    </row>
    <row r="42" customFormat="false" ht="135.75" hidden="false" customHeight="true" outlineLevel="0" collapsed="false">
      <c r="A42" s="113" t="str">
        <f aca="false">Checks!$A$22&amp;CHAR(10)&amp;IF(Checks!$I$22="","",Checks!$I$22&amp;": ")&amp;Checks!$J$22</f>
        <v>F01-T12-08
Amenities: Toiletry kits - prepared</v>
      </c>
      <c r="B42" s="113"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13" t="str">
        <f aca="false">Checks!$N$22&amp;CHAR(10)&amp;IF(ISNUMBER(Checks!$R$22),TEXT(Checks!$R$22,"DD-MMM-YY HH:MM"),"")&amp;" "&amp;Checks!$P$22</f>
        <v>Clarification required
08-Oct-26 09:35 LHR</v>
      </c>
      <c r="D42" s="113" t="str">
        <f aca="false">IF(Checks!$U$22="","",Checks!$U$22)&amp;IF(Checks!$AB$22="","",CHAR(10)&amp;"CA: "&amp;Checks!$AB$22)</f>
        <v/>
      </c>
      <c r="E42" s="113" t="str">
        <f aca="false">IF(Checks!$V$22="","",Checks!$V$22)&amp;IF(Checks!$AC$22="","",IF(Checks!$V$22="","",CHAR(10))&amp;"N/A just.: "&amp;Checks!$AC$22)&amp;IF(Checks!$W$22="","",CHAR(10)&amp;"Batch: "&amp;Checks!$W$22)&amp;IF(AND(Checks!$X$22="",Checks!$Y$22=""),"",CHAR(10)&amp;"Exp: "&amp;Checks!$X$22&amp;"  /  Act: "&amp;Checks!$Y$22)</f>
        <v/>
      </c>
      <c r="F42" s="113" t="str">
        <f aca="false">IF(Checks!$Z$22="","","Evidence: "&amp;Checks!$Z$22)&amp;IF(Checks!$AA$22="","",IF(Checks!$Z$22="","",CHAR(10))&amp;"CA: "&amp;Checks!$AA$22)</f>
        <v/>
      </c>
      <c r="G42" s="113" t="str">
        <f aca="false">IF(ISNUMBER(Checks!$AD$22),TEXT(Checks!$AD$22,"DD-MMM-YY HH:MM")&amp;" "&amp;Checks!$P$22,"")&amp;IF(Checks!$AE$22="","",CHAR(10)&amp;"Verifier: "&amp;Checks!$AE$22)&amp;IF(Checks!$T$22="","",CHAR(10)&amp;"PIC: "&amp;Checks!$T$22)</f>
        <v/>
      </c>
      <c r="H42" s="114" t="str">
        <f aca="false">IF(Checks!$AH$22="","",Checks!$AH$22)</f>
        <v>OPEN – CLARIFICATION</v>
      </c>
    </row>
    <row r="43" customFormat="false" ht="114" hidden="false" customHeight="true" outlineLevel="0" collapsed="false">
      <c r="A43" s="113" t="str">
        <f aca="false">Checks!$A$23&amp;CHAR(10)&amp;IF(Checks!$I$23="","",Checks!$I$23&amp;": ")&amp;Checks!$J$23</f>
        <v>F01-T12-09
Seat Linen: Seat pillow (EY) - prepared</v>
      </c>
      <c r="B43" s="113" t="str">
        <f aca="false">Checks!$K$23&amp;IF(Checks!$O$23="","",IF(Checks!$K$23="","",CHAR(10))&amp;"Note: "&amp;Checks!$O$23)</f>
        <v>Available 100% (ticked in reference)
Note: Reference gives no uplift stn for this item: preparation checked at the meal uplift stn (LHR) - confirm with caterer.</v>
      </c>
      <c r="C43" s="113" t="str">
        <f aca="false">Checks!$N$23&amp;CHAR(10)&amp;IF(ISNUMBER(Checks!$R$23),TEXT(Checks!$R$23,"DD-MMM-YY HH:MM"),"")&amp;" "&amp;Checks!$P$23</f>
        <v>Required
08-Oct-26 09:35 LHR</v>
      </c>
      <c r="D43" s="113" t="str">
        <f aca="false">IF(Checks!$U$23="","",Checks!$U$23)&amp;IF(Checks!$AB$23="","",CHAR(10)&amp;"CA: "&amp;Checks!$AB$23)</f>
        <v/>
      </c>
      <c r="E43" s="113" t="str">
        <f aca="false">IF(Checks!$V$23="","",Checks!$V$23)&amp;IF(Checks!$AC$23="","",IF(Checks!$V$23="","",CHAR(10))&amp;"N/A just.: "&amp;Checks!$AC$23)&amp;IF(Checks!$W$23="","",CHAR(10)&amp;"Batch: "&amp;Checks!$W$23)&amp;IF(AND(Checks!$X$23="",Checks!$Y$23=""),"",CHAR(10)&amp;"Exp: "&amp;Checks!$X$23&amp;"  /  Act: "&amp;Checks!$Y$23)</f>
        <v/>
      </c>
      <c r="F43" s="113" t="str">
        <f aca="false">IF(Checks!$Z$23="","","Evidence: "&amp;Checks!$Z$23)&amp;IF(Checks!$AA$23="","",IF(Checks!$Z$23="","",CHAR(10))&amp;"CA: "&amp;Checks!$AA$23)</f>
        <v/>
      </c>
      <c r="G43" s="113" t="str">
        <f aca="false">IF(ISNUMBER(Checks!$AD$23),TEXT(Checks!$AD$23,"DD-MMM-YY HH:MM")&amp;" "&amp;Checks!$P$23,"")&amp;IF(Checks!$AE$23="","",CHAR(10)&amp;"Verifier: "&amp;Checks!$AE$23)&amp;IF(Checks!$T$23="","",CHAR(10)&amp;"PIC: "&amp;Checks!$T$23)</f>
        <v/>
      </c>
      <c r="H43" s="114" t="str">
        <f aca="false">IF(Checks!$AH$23="","",Checks!$AH$23)</f>
        <v>OPEN</v>
      </c>
    </row>
    <row r="44" customFormat="false" ht="246" hidden="false" customHeight="true" outlineLevel="0" collapsed="false">
      <c r="A44" s="113" t="str">
        <f aca="false">Checks!$A$24&amp;CHAR(10)&amp;IF(Checks!$I$24="","",Checks!$I$24&amp;": ")&amp;Checks!$J$24</f>
        <v>F01-T12-10
Seat Linen: Blanket (EY) - prepared</v>
      </c>
      <c r="B44" s="113" t="str">
        <f aca="false">SUBSTITUTE(Checks!$K$24&amp;IF(Checks!$O$24="","",IF(Checks!$K$24="","",CHAR(10))&amp;"Note: "&amp;Checks!$O$24),"SEAT LINEN!","Ref: SEAT LINEN!")</f>
        <v>Available 100% (ticked in reference); qty 280 (A350 9M-MAH) / 260 (A359) - per tail
Note: EY blanket: flight above 3 hours excl. Regional (Ref: SEAT LINEN!B74:C74); block 13.25 h. Qty per tail: A350 280 pcs (Ref: SEAT LINEN!B76:C76), A359 260 pcs (Ref: SEAT LINEN!B77:C77). Reference gives no uplift stn for this item: preparation checked at the meal uplift stn (LHR) - confirm with caterer.</v>
      </c>
      <c r="C44" s="113" t="str">
        <f aca="false">Checks!$N$24&amp;CHAR(10)&amp;IF(ISNUMBER(Checks!$R$24),TEXT(Checks!$R$24,"DD-MMM-YY HH:MM"),"")&amp;" "&amp;Checks!$P$24</f>
        <v>Required
08-Oct-26 09:35 LHR</v>
      </c>
      <c r="D44" s="113" t="str">
        <f aca="false">IF(Checks!$U$24="","",Checks!$U$24)&amp;IF(Checks!$AB$24="","",CHAR(10)&amp;"CA: "&amp;Checks!$AB$24)</f>
        <v/>
      </c>
      <c r="E44" s="113" t="str">
        <f aca="false">IF(Checks!$V$24="","",Checks!$V$24)&amp;IF(Checks!$AC$24="","",IF(Checks!$V$24="","",CHAR(10))&amp;"N/A just.: "&amp;Checks!$AC$24)&amp;IF(Checks!$W$24="","",CHAR(10)&amp;"Batch: "&amp;Checks!$W$24)&amp;IF(AND(Checks!$X$24="",Checks!$Y$24=""),"",CHAR(10)&amp;"Exp: "&amp;Checks!$X$24&amp;"  /  Act: "&amp;Checks!$Y$24)</f>
        <v/>
      </c>
      <c r="F44" s="113" t="str">
        <f aca="false">IF(Checks!$Z$24="","","Evidence: "&amp;Checks!$Z$24)&amp;IF(Checks!$AA$24="","",IF(Checks!$Z$24="","",CHAR(10))&amp;"CA: "&amp;Checks!$AA$24)</f>
        <v/>
      </c>
      <c r="G44" s="113" t="str">
        <f aca="false">IF(ISNUMBER(Checks!$AD$24),TEXT(Checks!$AD$24,"DD-MMM-YY HH:MM")&amp;" "&amp;Checks!$P$24,"")&amp;IF(Checks!$AE$24="","",CHAR(10)&amp;"Verifier: "&amp;Checks!$AE$24)&amp;IF(Checks!$T$24="","",CHAR(10)&amp;"PIC: "&amp;Checks!$T$24)</f>
        <v/>
      </c>
      <c r="H44" s="114" t="str">
        <f aca="false">IF(Checks!$AH$24="","",Checks!$AH$24)</f>
        <v>OPEN</v>
      </c>
    </row>
    <row r="45" customFormat="false" ht="25.5" hidden="false" customHeight="true" outlineLevel="0" collapsed="false">
      <c r="A45" s="112"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2"/>
      <c r="C45" s="112"/>
      <c r="D45" s="112"/>
      <c r="E45" s="112"/>
      <c r="F45" s="112"/>
      <c r="G45" s="112"/>
      <c r="H45" s="112"/>
    </row>
    <row r="46" customFormat="false" ht="114" hidden="false" customHeight="true" outlineLevel="0" collapsed="false">
      <c r="A46" s="113" t="str">
        <f aca="false">Checks!$A$25&amp;CHAR(10)&amp;IF(Checks!$I$25="","",Checks!$I$25&amp;": ")&amp;Checks!$J$25</f>
        <v>F01-UPL-01
Meal: Meals physically uplifted on board - quantity vs menu checklist</v>
      </c>
      <c r="B46" s="113" t="str">
        <f aca="false">Checks!$K$25&amp;IF(Checks!$O$25="","",IF(Checks!$K$25="","",CHAR(10))&amp;"Note: "&amp;Checks!$O$25)</f>
        <v>Enter expected &amp; actual
Note: Confirm on board before departure; completion time must fall inside the uplift window.</v>
      </c>
      <c r="C46" s="113" t="str">
        <f aca="false">Checks!$N$25&amp;CHAR(10)&amp;IF(ISNUMBER(Checks!$R$25),TEXT(Checks!$R$25,"DD-MMM-YY HH:MM"),"")&amp;" "&amp;Checks!$P$25</f>
        <v>Required
08-Oct-26 21:35 LHR</v>
      </c>
      <c r="D46" s="113" t="str">
        <f aca="false">IF(Checks!$U$25="","",Checks!$U$25)&amp;IF(Checks!$AB$25="","",CHAR(10)&amp;"CA: "&amp;Checks!$AB$25)</f>
        <v/>
      </c>
      <c r="E46" s="113" t="str">
        <f aca="false">IF(Checks!$V$25="","",Checks!$V$25)&amp;IF(Checks!$AC$25="","",IF(Checks!$V$25="","",CHAR(10))&amp;"N/A just.: "&amp;Checks!$AC$25)&amp;IF(Checks!$W$25="","",CHAR(10)&amp;"Batch: "&amp;Checks!$W$25)&amp;IF(AND(Checks!$X$25="",Checks!$Y$25=""),"",CHAR(10)&amp;"Exp: "&amp;Checks!$X$25&amp;"  /  Act: "&amp;Checks!$Y$25)</f>
        <v/>
      </c>
      <c r="F46" s="113" t="str">
        <f aca="false">IF(Checks!$Z$25="","","Evidence: "&amp;Checks!$Z$25)&amp;IF(Checks!$AA$25="","",IF(Checks!$Z$25="","",CHAR(10))&amp;"CA: "&amp;Checks!$AA$25)</f>
        <v/>
      </c>
      <c r="G46" s="113" t="str">
        <f aca="false">IF(ISNUMBER(Checks!$AD$25),TEXT(Checks!$AD$25,"DD-MMM-YY HH:MM")&amp;" "&amp;Checks!$P$25,"")&amp;IF(Checks!$AE$25="","",CHAR(10)&amp;"Verifier: "&amp;Checks!$AE$25)&amp;IF(Checks!$T$25="","",CHAR(10)&amp;"PIC: "&amp;Checks!$T$25)</f>
        <v/>
      </c>
      <c r="H46" s="114" t="str">
        <f aca="false">IF(Checks!$AH$25="","",Checks!$AH$25)</f>
        <v>OPEN</v>
      </c>
    </row>
    <row r="47" customFormat="false" ht="114" hidden="false" customHeight="true" outlineLevel="0" collapsed="false">
      <c r="A47" s="113" t="str">
        <f aca="false">Checks!$A$26&amp;CHAR(10)&amp;IF(Checks!$I$26="","",Checks!$I$26&amp;": ")&amp;Checks!$J$26</f>
        <v>F01-UPL-02
Equipment: Equipment physically loaded at GLD positions - quantity &amp; positions</v>
      </c>
      <c r="B47" s="113" t="str">
        <f aca="false">Checks!$K$26&amp;IF(Checks!$O$26="","",IF(Checks!$K$26="","",CHAR(10))&amp;"Note: "&amp;Checks!$O$26)</f>
        <v>Enter expected &amp; actual
Note: Confirm on board before departure; completion time must fall inside the uplift window.</v>
      </c>
      <c r="C47" s="113" t="str">
        <f aca="false">Checks!$N$26&amp;CHAR(10)&amp;IF(ISNUMBER(Checks!$R$26),TEXT(Checks!$R$26,"DD-MMM-YY HH:MM"),"")&amp;" "&amp;Checks!$P$26</f>
        <v>Required
08-Oct-26 21:35 LHR</v>
      </c>
      <c r="D47" s="113" t="str">
        <f aca="false">IF(Checks!$U$26="","",Checks!$U$26)&amp;IF(Checks!$AB$26="","",CHAR(10)&amp;"CA: "&amp;Checks!$AB$26)</f>
        <v/>
      </c>
      <c r="E47" s="113" t="str">
        <f aca="false">IF(Checks!$V$26="","",Checks!$V$26)&amp;IF(Checks!$AC$26="","",IF(Checks!$V$26="","",CHAR(10))&amp;"N/A just.: "&amp;Checks!$AC$26)&amp;IF(Checks!$W$26="","",CHAR(10)&amp;"Batch: "&amp;Checks!$W$26)&amp;IF(AND(Checks!$X$26="",Checks!$Y$26=""),"",CHAR(10)&amp;"Exp: "&amp;Checks!$X$26&amp;"  /  Act: "&amp;Checks!$Y$26)</f>
        <v/>
      </c>
      <c r="F47" s="113" t="str">
        <f aca="false">IF(Checks!$Z$26="","","Evidence: "&amp;Checks!$Z$26)&amp;IF(Checks!$AA$26="","",IF(Checks!$Z$26="","",CHAR(10))&amp;"CA: "&amp;Checks!$AA$26)</f>
        <v/>
      </c>
      <c r="G47" s="113" t="str">
        <f aca="false">IF(ISNUMBER(Checks!$AD$26),TEXT(Checks!$AD$26,"DD-MMM-YY HH:MM")&amp;" "&amp;Checks!$P$26,"")&amp;IF(Checks!$AE$26="","",CHAR(10)&amp;"Verifier: "&amp;Checks!$AE$26)&amp;IF(Checks!$T$26="","",CHAR(10)&amp;"PIC: "&amp;Checks!$T$26)</f>
        <v/>
      </c>
      <c r="H47" s="114" t="str">
        <f aca="false">IF(Checks!$AH$26="","",Checks!$AH$26)</f>
        <v>OPEN</v>
      </c>
    </row>
    <row r="48" customFormat="false" ht="135.75" hidden="false" customHeight="true" outlineLevel="0" collapsed="false">
      <c r="A48" s="113" t="str">
        <f aca="false">Checks!$A$27&amp;CHAR(10)&amp;IF(Checks!$I$27="","",Checks!$I$27&amp;": ")&amp;Checks!$J$27</f>
        <v>F01-UPL-03
Amenities: Toiletry kits - on board</v>
      </c>
      <c r="B48" s="113"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13" t="str">
        <f aca="false">Checks!$N$27&amp;CHAR(10)&amp;IF(ISNUMBER(Checks!$R$27),TEXT(Checks!$R$27,"DD-MMM-YY HH:MM"),"")&amp;" "&amp;Checks!$P$27</f>
        <v>Clarification required
08-Oct-26 21:35 LHR</v>
      </c>
      <c r="D48" s="113" t="str">
        <f aca="false">IF(Checks!$U$27="","",Checks!$U$27)&amp;IF(Checks!$AB$27="","",CHAR(10)&amp;"CA: "&amp;Checks!$AB$27)</f>
        <v/>
      </c>
      <c r="E48" s="113" t="str">
        <f aca="false">IF(Checks!$V$27="","",Checks!$V$27)&amp;IF(Checks!$AC$27="","",IF(Checks!$V$27="","",CHAR(10))&amp;"N/A just.: "&amp;Checks!$AC$27)&amp;IF(Checks!$W$27="","",CHAR(10)&amp;"Batch: "&amp;Checks!$W$27)&amp;IF(AND(Checks!$X$27="",Checks!$Y$27=""),"",CHAR(10)&amp;"Exp: "&amp;Checks!$X$27&amp;"  /  Act: "&amp;Checks!$Y$27)</f>
        <v/>
      </c>
      <c r="F48" s="113" t="str">
        <f aca="false">IF(Checks!$Z$27="","","Evidence: "&amp;Checks!$Z$27)&amp;IF(Checks!$AA$27="","",IF(Checks!$Z$27="","",CHAR(10))&amp;"CA: "&amp;Checks!$AA$27)</f>
        <v/>
      </c>
      <c r="G48" s="113" t="str">
        <f aca="false">IF(ISNUMBER(Checks!$AD$27),TEXT(Checks!$AD$27,"DD-MMM-YY HH:MM")&amp;" "&amp;Checks!$P$27,"")&amp;IF(Checks!$AE$27="","",CHAR(10)&amp;"Verifier: "&amp;Checks!$AE$27)&amp;IF(Checks!$T$27="","",CHAR(10)&amp;"PIC: "&amp;Checks!$T$27)</f>
        <v/>
      </c>
      <c r="H48" s="114" t="str">
        <f aca="false">IF(Checks!$AH$27="","",Checks!$AH$27)</f>
        <v>OPEN – CLARIFICATION</v>
      </c>
    </row>
    <row r="49" customFormat="false" ht="114" hidden="false" customHeight="true" outlineLevel="0" collapsed="false">
      <c r="A49" s="113" t="str">
        <f aca="false">Checks!$A$28&amp;CHAR(10)&amp;IF(Checks!$I$28="","",Checks!$I$28&amp;": ")&amp;Checks!$J$28</f>
        <v>F01-UPL-04
Seat Linen: Seat pillow (EY) - on board</v>
      </c>
      <c r="B49" s="113" t="str">
        <f aca="false">Checks!$K$28&amp;IF(Checks!$O$28="","",IF(Checks!$K$28="","",CHAR(10))&amp;"Note: "&amp;Checks!$O$28)</f>
        <v>Available 100% (ticked in reference)</v>
      </c>
      <c r="C49" s="113" t="str">
        <f aca="false">Checks!$N$28&amp;CHAR(10)&amp;IF(ISNUMBER(Checks!$R$28),TEXT(Checks!$R$28,"DD-MMM-YY HH:MM"),"")&amp;" "&amp;Checks!$P$28</f>
        <v>Required
08-Oct-26 21:35 LHR</v>
      </c>
      <c r="D49" s="113" t="str">
        <f aca="false">IF(Checks!$U$28="","",Checks!$U$28)&amp;IF(Checks!$AB$28="","",CHAR(10)&amp;"CA: "&amp;Checks!$AB$28)</f>
        <v/>
      </c>
      <c r="E49" s="113" t="str">
        <f aca="false">IF(Checks!$V$28="","",Checks!$V$28)&amp;IF(Checks!$AC$28="","",IF(Checks!$V$28="","",CHAR(10))&amp;"N/A just.: "&amp;Checks!$AC$28)&amp;IF(Checks!$W$28="","",CHAR(10)&amp;"Batch: "&amp;Checks!$W$28)&amp;IF(AND(Checks!$X$28="",Checks!$Y$28=""),"",CHAR(10)&amp;"Exp: "&amp;Checks!$X$28&amp;"  /  Act: "&amp;Checks!$Y$28)</f>
        <v/>
      </c>
      <c r="F49" s="113" t="str">
        <f aca="false">IF(Checks!$Z$28="","","Evidence: "&amp;Checks!$Z$28)&amp;IF(Checks!$AA$28="","",IF(Checks!$Z$28="","",CHAR(10))&amp;"CA: "&amp;Checks!$AA$28)</f>
        <v/>
      </c>
      <c r="G49" s="113" t="str">
        <f aca="false">IF(ISNUMBER(Checks!$AD$28),TEXT(Checks!$AD$28,"DD-MMM-YY HH:MM")&amp;" "&amp;Checks!$P$28,"")&amp;IF(Checks!$AE$28="","",CHAR(10)&amp;"Verifier: "&amp;Checks!$AE$28)&amp;IF(Checks!$T$28="","",CHAR(10)&amp;"PIC: "&amp;Checks!$T$28)</f>
        <v/>
      </c>
      <c r="H49" s="114" t="str">
        <f aca="false">IF(Checks!$AH$28="","",Checks!$AH$28)</f>
        <v>OPEN</v>
      </c>
    </row>
    <row r="50" customFormat="false" ht="168.75" hidden="false" customHeight="true" outlineLevel="0" collapsed="false">
      <c r="A50" s="113" t="str">
        <f aca="false">Checks!$A$29&amp;CHAR(10)&amp;IF(Checks!$I$29="","",Checks!$I$29&amp;": ")&amp;Checks!$J$29</f>
        <v>F01-UPL-05
Seat Linen: Blanket (EY) - on board</v>
      </c>
      <c r="B50" s="113" t="str">
        <f aca="false">SUBSTITUTE(Checks!$K$29&amp;IF(Checks!$O$29="","",IF(Checks!$K$29="","",CHAR(10))&amp;"Note: "&amp;Checks!$O$29),"SEAT LINEN!","Ref: SEAT LINEN!")</f>
        <v>Available 100% (ticked in reference); qty 280 (A350 9M-MAH) / 260 (A359) - per tail
Note: EY blanket: flight above 3 hours excl. Regional (Ref: SEAT LINEN!B74:C74); block 13.25 h. Qty per tail: A350 280 pcs (Ref: SEAT LINEN!B76:C76), A359 260 pcs (Ref: SEAT LINEN!B77:C77).</v>
      </c>
      <c r="C50" s="113" t="str">
        <f aca="false">Checks!$N$29&amp;CHAR(10)&amp;IF(ISNUMBER(Checks!$R$29),TEXT(Checks!$R$29,"DD-MMM-YY HH:MM"),"")&amp;" "&amp;Checks!$P$29</f>
        <v>Required
08-Oct-26 21:35 LHR</v>
      </c>
      <c r="D50" s="113" t="str">
        <f aca="false">IF(Checks!$U$29="","",Checks!$U$29)&amp;IF(Checks!$AB$29="","",CHAR(10)&amp;"CA: "&amp;Checks!$AB$29)</f>
        <v/>
      </c>
      <c r="E50" s="113" t="str">
        <f aca="false">IF(Checks!$V$29="","",Checks!$V$29)&amp;IF(Checks!$AC$29="","",IF(Checks!$V$29="","",CHAR(10))&amp;"N/A just.: "&amp;Checks!$AC$29)&amp;IF(Checks!$W$29="","",CHAR(10)&amp;"Batch: "&amp;Checks!$W$29)&amp;IF(AND(Checks!$X$29="",Checks!$Y$29=""),"",CHAR(10)&amp;"Exp: "&amp;Checks!$X$29&amp;"  /  Act: "&amp;Checks!$Y$29)</f>
        <v/>
      </c>
      <c r="F50" s="113" t="str">
        <f aca="false">IF(Checks!$Z$29="","","Evidence: "&amp;Checks!$Z$29)&amp;IF(Checks!$AA$29="","",IF(Checks!$Z$29="","",CHAR(10))&amp;"CA: "&amp;Checks!$AA$29)</f>
        <v/>
      </c>
      <c r="G50" s="113" t="str">
        <f aca="false">IF(ISNUMBER(Checks!$AD$29),TEXT(Checks!$AD$29,"DD-MMM-YY HH:MM")&amp;" "&amp;Checks!$P$29,"")&amp;IF(Checks!$AE$29="","",CHAR(10)&amp;"Verifier: "&amp;Checks!$AE$29)&amp;IF(Checks!$T$29="","",CHAR(10)&amp;"PIC: "&amp;Checks!$T$29)</f>
        <v/>
      </c>
      <c r="H50" s="114" t="str">
        <f aca="false">IF(Checks!$AH$29="","",Checks!$AH$29)</f>
        <v>OPEN</v>
      </c>
    </row>
    <row r="52" customFormat="false" ht="24" hidden="false" customHeight="true" outlineLevel="0" collapsed="false">
      <c r="A52" s="115" t="s">
        <v>1650</v>
      </c>
      <c r="B52" s="115"/>
      <c r="C52" s="115"/>
      <c r="D52" s="115"/>
      <c r="E52" s="115" t="s">
        <v>1651</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F02  "&amp;Flights!$F$6&amp;"  "&amp;TEXT(Flights!$D$6,"DD-MMM-YY")&amp;" ("&amp;Flights!$E$6&amp;")  "&amp;Flights!$G$6&amp;" → "&amp;Flights!$H$6&amp;"  |  Class "&amp;Flights!$K$6</f>
        <v>SKYTRAX 2026 CATERING READINESS CHECKLIST  |  F02  MH0727  09-Oct-26 (FRI)  KUL → CGK  |  Class BC</v>
      </c>
      <c r="B1" s="91"/>
      <c r="C1" s="91"/>
      <c r="D1" s="91"/>
      <c r="E1" s="91"/>
      <c r="F1" s="91"/>
      <c r="G1" s="91"/>
      <c r="H1" s="91"/>
    </row>
    <row r="2" customFormat="false" ht="12.75" hidden="false" customHeight="true" outlineLevel="0" collapsed="false">
      <c r="A2" s="92" t="s">
        <v>1605</v>
      </c>
      <c r="B2" s="93" t="str">
        <f aca="false">Flights!$F$6&amp;"   "&amp;TEXT(Flights!$D$6,"DD-MMM-YY")&amp;" ("&amp;Flights!$E$6&amp;")"</f>
        <v>MH0727   09-Oct-26 (FRI)</v>
      </c>
      <c r="C2" s="93"/>
      <c r="D2" s="93"/>
      <c r="E2" s="94" t="s">
        <v>1606</v>
      </c>
      <c r="F2" s="95" t="str">
        <f aca="false">Flights!$AT$6</f>
        <v>NOT READY – DOCUMENTS</v>
      </c>
      <c r="G2" s="95"/>
      <c r="H2" s="95"/>
    </row>
    <row r="3" customFormat="false" ht="24" hidden="false" customHeight="true" outlineLevel="0" collapsed="false">
      <c r="A3" s="92" t="s">
        <v>1607</v>
      </c>
      <c r="B3" s="93" t="str">
        <f aca="false">Flights!$G$6&amp;" → "&amp;Flights!$H$6&amp;"   Class "&amp;Flights!$K$6&amp;"   Seat "&amp;Flights!$O$6</f>
        <v>KUL → CGK   Class BC   Seat 1C</v>
      </c>
      <c r="C3" s="93"/>
      <c r="D3" s="93"/>
      <c r="E3" s="94" t="s">
        <v>68</v>
      </c>
      <c r="F3" s="94" t="s">
        <v>1608</v>
      </c>
      <c r="G3" s="94" t="s">
        <v>1609</v>
      </c>
      <c r="H3" s="94"/>
    </row>
    <row r="4" customFormat="false" ht="24" hidden="false" customHeight="true" outlineLevel="0" collapsed="false">
      <c r="A4" s="92" t="s">
        <v>1610</v>
      </c>
      <c r="B4" s="93" t="str">
        <f aca="false">IF(ISNUMBER(Flights!$I$6),TEXT(Flights!$I$6,"DD-MMM-YY HH:MM"),"")&amp;" "&amp;Flights!$G$6&amp;"  →  "&amp;IF(ISNUMBER(Flights!$J$6),TEXT(Flights!$J$6,"DD-MMM-YY HH:MM"),"")&amp;" "&amp;Flights!$H$6</f>
        <v>09-Oct-26 21:50 KUL  →  09-Oct-26 23:05 CGK</v>
      </c>
      <c r="C4" s="93"/>
      <c r="D4" s="93"/>
      <c r="E4" s="92" t="s">
        <v>1611</v>
      </c>
      <c r="F4" s="96" t="str">
        <f aca="false">IF(ISNUMBER(Flights!$AG$6),TEXT(Flights!$AG$6,"DD-MMM-YY HH:MM"),"")&amp;" "&amp;Flights!$V$6</f>
        <v>02-Oct-26 21:50 KUL</v>
      </c>
      <c r="G4" s="97" t="n">
        <f aca="false">Flights!$AJ$6</f>
        <v>0</v>
      </c>
      <c r="H4" s="97"/>
    </row>
    <row r="5" customFormat="false" ht="24" hidden="false" customHeight="true" outlineLevel="0" collapsed="false">
      <c r="A5" s="92" t="s">
        <v>1612</v>
      </c>
      <c r="B5" s="93" t="str">
        <f aca="false">Flights!$L$6&amp;" – "&amp;Flights!$M$6</f>
        <v>B738MAX – B737-8 (B7M8)</v>
      </c>
      <c r="C5" s="93"/>
      <c r="D5" s="93"/>
      <c r="E5" s="92" t="s">
        <v>1613</v>
      </c>
      <c r="F5" s="96" t="str">
        <f aca="false">IF(ISNUMBER(Flights!$AH$6),TEXT(Flights!$AH$6,"DD-MMM-YY HH:MM"),"")&amp;" "&amp;Flights!$V$6</f>
        <v>08-Oct-26 21:50 KUL</v>
      </c>
      <c r="G5" s="97" t="n">
        <f aca="false">Flights!$AK$6</f>
        <v>0</v>
      </c>
      <c r="H5" s="97"/>
    </row>
    <row r="6" customFormat="false" ht="24" hidden="false" customHeight="true" outlineLevel="0" collapsed="false">
      <c r="A6" s="92" t="s">
        <v>1614</v>
      </c>
      <c r="B6" s="93" t="str">
        <f aca="false">IF(TRIM(Flights!$N$6)="","__________________",Flights!$N$6)</f>
        <v>__________________</v>
      </c>
      <c r="C6" s="93"/>
      <c r="D6" s="93"/>
      <c r="E6" s="92" t="s">
        <v>1615</v>
      </c>
      <c r="F6" s="96" t="str">
        <f aca="false">IF(ISNUMBER(Flights!$AI$6),TEXT(Flights!$AI$6,"DD-MMM-YY HH:MM"),"")&amp;" "&amp;Flights!$V$6&amp;IF(Flights!$AI$6=Flights!$AH$6,"  (= T-24H due)","")</f>
        <v>09-Oct-26 09:50 KUL</v>
      </c>
      <c r="G6" s="97" t="n">
        <f aca="false">Flights!$AL$6</f>
        <v>0</v>
      </c>
      <c r="H6" s="97"/>
    </row>
    <row r="7" customFormat="false" ht="24" hidden="false" customHeight="true" outlineLevel="0" collapsed="false">
      <c r="A7" s="92" t="s">
        <v>1616</v>
      </c>
      <c r="B7" s="93" t="str">
        <f aca="false">Flights!$T$6</f>
        <v>1 Meal (Meal)</v>
      </c>
      <c r="C7" s="93"/>
      <c r="D7" s="93"/>
      <c r="E7" s="92" t="s">
        <v>1617</v>
      </c>
      <c r="F7" s="96" t="str">
        <f aca="false">"STD "&amp;IF(ISNUMBER(Flights!$I$6),TEXT(Flights!$I$6,"DD-MMM-YY HH:MM"),"")&amp;" "&amp;Flights!$G$6&amp;" (dep stn)"</f>
        <v>STD 09-Oct-26 21:50 KUL (dep stn)</v>
      </c>
      <c r="G7" s="97" t="n">
        <f aca="false">Flights!$AM$6</f>
        <v>0</v>
      </c>
      <c r="H7" s="97"/>
    </row>
    <row r="8" customFormat="false" ht="12.75" hidden="false" customHeight="true" outlineLevel="0" collapsed="false">
      <c r="A8" s="92" t="s">
        <v>150</v>
      </c>
      <c r="B8" s="93" t="str">
        <f aca="false">Flights!$V$6&amp;"   (reference uplift stns: "&amp;Flights!$U$6&amp;")"</f>
        <v>KUL   (reference uplift stns: KUL/CGK)</v>
      </c>
      <c r="C8" s="93"/>
      <c r="D8" s="93"/>
      <c r="E8" s="92" t="s">
        <v>1618</v>
      </c>
      <c r="F8" s="98" t="s">
        <v>1619</v>
      </c>
      <c r="G8" s="97" t="n">
        <f aca="false">Flights!$AN$6</f>
        <v>0</v>
      </c>
      <c r="H8" s="97"/>
    </row>
    <row r="9" customFormat="false" ht="12.75" hidden="false" customHeight="true" outlineLevel="0" collapsed="false">
      <c r="A9" s="92" t="s">
        <v>1620</v>
      </c>
      <c r="B9" s="93" t="str">
        <f aca="false">TRIM(Flights!$P$6&amp;"  "&amp;Flights!$Q$6)</f>
        <v>4H 00M Overnight CGK</v>
      </c>
      <c r="C9" s="93"/>
      <c r="D9" s="93"/>
      <c r="E9" s="92" t="s">
        <v>1621</v>
      </c>
      <c r="F9" s="99" t="n">
        <f aca="false">Flights!$AP$6</f>
        <v>0</v>
      </c>
      <c r="G9" s="99" t="n">
        <f aca="false">Flights!$AQ$6</f>
        <v>0</v>
      </c>
      <c r="H9" s="99" t="n">
        <f aca="false">Flights!$AU$6</f>
        <v>0</v>
      </c>
    </row>
    <row r="10" customFormat="false" ht="24" hidden="false" customHeight="true" outlineLevel="0" collapsed="false">
      <c r="A10" s="92" t="s">
        <v>1622</v>
      </c>
      <c r="B10" s="93" t="str">
        <f aca="false">IF(TRIM(Flights!$X$6)="","__________________",Flights!$X$6)</f>
        <v>__________________</v>
      </c>
      <c r="C10" s="93"/>
      <c r="D10" s="93"/>
      <c r="E10" s="92" t="s">
        <v>1623</v>
      </c>
      <c r="F10" s="99" t="n">
        <f aca="false">Flights!$AO$6</f>
        <v>38</v>
      </c>
      <c r="G10" s="99" t="n">
        <f aca="false">Flights!$AS$6</f>
        <v>4</v>
      </c>
      <c r="H10" s="99" t="n">
        <f aca="false">Flights!$AR$6</f>
        <v>2</v>
      </c>
    </row>
    <row r="11" customFormat="false" ht="21" hidden="false" customHeight="true" outlineLevel="0" collapsed="false">
      <c r="A11" s="92" t="s">
        <v>1624</v>
      </c>
      <c r="B11" s="93" t="str">
        <f aca="false">IF(TRIM(Flights!$Y$6)="","__________________",Flights!$Y$6)</f>
        <v>__________________</v>
      </c>
      <c r="C11" s="93"/>
      <c r="D11" s="93"/>
      <c r="E11" s="92" t="s">
        <v>1625</v>
      </c>
      <c r="F11" s="99" t="str">
        <f aca="false">Flights!$AV$6&amp;" / "&amp;Flights!$AW$6</f>
        <v>0 / 38</v>
      </c>
      <c r="G11" s="100" t="str">
        <f aca="false">IF(ISNUMBER(Settings!$B$6),TEXT(Settings!$B$6,"DD-MMM-YY HH:MM"),"")</f>
        <v>28-Sep-26 03:19</v>
      </c>
      <c r="H11" s="100"/>
    </row>
    <row r="12" customFormat="false" ht="34.5" hidden="false" customHeight="true" outlineLevel="0" collapsed="false">
      <c r="A12" s="101" t="s">
        <v>1626</v>
      </c>
      <c r="B12" s="101"/>
      <c r="C12" s="101"/>
      <c r="D12" s="101"/>
      <c r="E12" s="102" t="s">
        <v>1627</v>
      </c>
      <c r="F12" s="103" t="s">
        <v>1628</v>
      </c>
      <c r="G12" s="104" t="s">
        <v>89</v>
      </c>
      <c r="H12" s="105" t="s">
        <v>1629</v>
      </c>
    </row>
    <row r="13" customFormat="false" ht="13.5" hidden="false" customHeight="true" outlineLevel="0" collapsed="false">
      <c r="A13" s="94" t="s">
        <v>1630</v>
      </c>
      <c r="B13" s="94" t="s">
        <v>1631</v>
      </c>
      <c r="C13" s="94" t="s">
        <v>1632</v>
      </c>
      <c r="D13" s="94"/>
      <c r="E13" s="94" t="s">
        <v>1633</v>
      </c>
      <c r="F13" s="94" t="s">
        <v>1634</v>
      </c>
      <c r="G13" s="94"/>
      <c r="H13" s="94"/>
    </row>
    <row r="14" customFormat="false" ht="36" hidden="false" customHeight="true" outlineLevel="0" collapsed="false">
      <c r="A14" s="92" t="s">
        <v>1635</v>
      </c>
      <c r="B14" s="93" t="str">
        <f aca="false">IF(Documents!$F$6="","",Documents!$F$6)</f>
        <v/>
      </c>
      <c r="C14" s="98" t="str">
        <f aca="false">IF(Documents!$G$6="","",Documents!$G$6)&amp;IF(ISNUMBER(Documents!$H$6),"  "&amp;TEXT(Documents!$H$6,"DD-MMM-YY"),"")</f>
        <v/>
      </c>
      <c r="D14" s="98"/>
      <c r="E14" s="106" t="str">
        <f aca="false">IF(Documents!$J$6="OUTSTANDING","OUTSTANDING – attach before T-7D (due "&amp;IF(ISNUMBER(Flights!$AG$6),TEXT(Flights!$AG$6,"DD-MMM-YY HH:MM"),"")&amp;" "&amp;Flights!$V$6&amp;")",IF(Documents!$J$6="","Status not recorded",Documents!$J$6))</f>
        <v>OUTSTANDING – attach before T-7D (due 02-Oct-26 21:50 KUL)</v>
      </c>
      <c r="F14" s="107" t="str">
        <f aca="false">"Staple behind this sheet as page A1."&amp;IF(Documents!$I$6="",""," Location: "&amp;Documents!$I$6)</f>
        <v>Staple behind this sheet as page A1.</v>
      </c>
      <c r="G14" s="107"/>
      <c r="H14" s="107"/>
    </row>
    <row r="15" customFormat="false" ht="36" hidden="false" customHeight="true" outlineLevel="0" collapsed="false">
      <c r="A15" s="92" t="s">
        <v>1636</v>
      </c>
      <c r="B15" s="93" t="str">
        <f aca="false">IF(Documents!$K$6="","",Documents!$K$6)</f>
        <v/>
      </c>
      <c r="C15" s="98" t="str">
        <f aca="false">IF(Documents!$L$6="","",Documents!$L$6)&amp;IF(ISNUMBER(Documents!$M$6),"  "&amp;TEXT(Documents!$M$6,"DD-MMM-YY"),"")</f>
        <v/>
      </c>
      <c r="D15" s="98"/>
      <c r="E15" s="106" t="str">
        <f aca="false">IF(Documents!$O$6="OUTSTANDING","OUTSTANDING – attach before T-7D (due "&amp;IF(ISNUMBER(Flights!$AG$6),TEXT(Flights!$AG$6,"DD-MMM-YY HH:MM"),"")&amp;" "&amp;Flights!$V$6&amp;")",IF(Documents!$O$6="","Status not recorded",Documents!$O$6))</f>
        <v>OUTSTANDING – attach before T-7D (due 02-Oct-26 21:50 KUL)</v>
      </c>
      <c r="F15" s="107" t="str">
        <f aca="false">"Staple behind this sheet as page A2."&amp;IF(Documents!$N$6="",""," Location: "&amp;Documents!$N$6)</f>
        <v>Staple behind this sheet as page A2.</v>
      </c>
      <c r="G15" s="107"/>
      <c r="H15" s="107"/>
    </row>
    <row r="16" customFormat="false" ht="22.5" hidden="false" customHeight="true" outlineLevel="0" collapsed="false">
      <c r="A16" s="92" t="s">
        <v>1637</v>
      </c>
      <c r="B16" s="108" t="str">
        <f aca="false">IF(Documents!$Q$6="","",Documents!$Q$6)</f>
        <v>Not supplied with brief – obtain from caterer / MAGCS.</v>
      </c>
      <c r="C16" s="108"/>
      <c r="D16" s="108"/>
      <c r="E16" s="108"/>
      <c r="F16" s="108"/>
      <c r="G16" s="108"/>
      <c r="H16" s="108"/>
    </row>
    <row r="17" customFormat="false" ht="13.5" hidden="false" customHeight="true" outlineLevel="0" collapsed="false">
      <c r="A17" s="109" t="s">
        <v>1638</v>
      </c>
      <c r="B17" s="109"/>
      <c r="C17" s="109" t="s">
        <v>1639</v>
      </c>
      <c r="D17" s="109"/>
      <c r="E17" s="109"/>
      <c r="F17" s="109" t="s">
        <v>1640</v>
      </c>
      <c r="G17" s="109"/>
      <c r="H17" s="109"/>
    </row>
    <row r="18" customFormat="false" ht="18" hidden="false" customHeight="true" outlineLevel="0" collapsed="false">
      <c r="A18" s="93" t="str">
        <f aca="false">"Name: "&amp;IF(TRIM(Flights!$Y$6)="","__________________",Flights!$Y$6)</f>
        <v>Name: __________________</v>
      </c>
      <c r="B18" s="93"/>
      <c r="C18" s="93" t="str">
        <f aca="false">"Name: __________________"</f>
        <v>Name: __________________</v>
      </c>
      <c r="D18" s="93"/>
      <c r="E18" s="93"/>
      <c r="F18" s="93" t="str">
        <f aca="false">"Name: __________________"&amp;"   Station: "&amp;Flights!$V$6</f>
        <v>Name: __________________   Station: KUL</v>
      </c>
      <c r="G18" s="93"/>
      <c r="H18" s="93"/>
    </row>
    <row r="19" customFormat="false" ht="30" hidden="false" customHeight="true" outlineLevel="0" collapsed="false">
      <c r="A19" s="110" t="s">
        <v>1641</v>
      </c>
      <c r="B19" s="110"/>
      <c r="C19" s="110" t="s">
        <v>1641</v>
      </c>
      <c r="D19" s="110"/>
      <c r="E19" s="110"/>
      <c r="F19" s="110" t="s">
        <v>1641</v>
      </c>
      <c r="G19" s="110"/>
      <c r="H19" s="110"/>
    </row>
    <row r="20" customFormat="false" ht="13.5" hidden="false" customHeight="true" outlineLevel="0" collapsed="false">
      <c r="A20" s="111" t="s">
        <v>1642</v>
      </c>
      <c r="B20" s="111"/>
      <c r="C20" s="111"/>
      <c r="D20" s="111"/>
      <c r="E20" s="111"/>
      <c r="F20" s="111"/>
      <c r="G20" s="111"/>
      <c r="H20" s="111"/>
    </row>
    <row r="21" customFormat="false" ht="24" hidden="false" customHeight="true" outlineLevel="0" collapsed="false">
      <c r="A21" s="94" t="s">
        <v>1643</v>
      </c>
      <c r="B21" s="94" t="s">
        <v>1644</v>
      </c>
      <c r="C21" s="94" t="s">
        <v>1645</v>
      </c>
      <c r="D21" s="94" t="s">
        <v>1646</v>
      </c>
      <c r="E21" s="94" t="s">
        <v>1647</v>
      </c>
      <c r="F21" s="94" t="s">
        <v>1648</v>
      </c>
      <c r="G21" s="94" t="s">
        <v>1649</v>
      </c>
      <c r="H21" s="94" t="s">
        <v>121</v>
      </c>
    </row>
    <row r="22" customFormat="false" ht="25.5" hidden="false" customHeight="true" outlineLevel="0" collapsed="false">
      <c r="A22" s="112"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Checks!$A$30&amp;CHAR(10)&amp;IF(Checks!$I$30="","",Checks!$I$30&amp;": ")&amp;Checks!$J$30</f>
        <v>F02-T7-01
Meal: Meal sensory testing completed for this flight's menu cycle (assessed class)</v>
      </c>
      <c r="B23" s="113" t="str">
        <f aca="false">Checks!$K$30&amp;IF(Checks!$O$30="","",IF(Checks!$K$30="","",CHAR(10))&amp;"Note: "&amp;Checks!$O$30)</f>
        <v>Record panel result / score in Result</v>
      </c>
      <c r="C23" s="113" t="str">
        <f aca="false">Checks!$N$30&amp;CHAR(10)&amp;IF(ISNUMBER(Checks!$R$30),TEXT(Checks!$R$30,"DD-MMM-YY HH:MM"),"")&amp;" "&amp;Checks!$P$30</f>
        <v>Required
02-Oct-26 21:50 KUL</v>
      </c>
      <c r="D23" s="113" t="str">
        <f aca="false">IF(Checks!$U$30="","",Checks!$U$30)&amp;IF(Checks!$AB$30="","",CHAR(10)&amp;"CA: "&amp;Checks!$AB$30)</f>
        <v/>
      </c>
      <c r="E23" s="113" t="str">
        <f aca="false">IF(Checks!$V$30="","",Checks!$V$30)&amp;IF(Checks!$AC$30="","",IF(Checks!$V$30="","",CHAR(10))&amp;"N/A just.: "&amp;Checks!$AC$30)&amp;IF(Checks!$W$30="","",CHAR(10)&amp;"Batch: "&amp;Checks!$W$30)&amp;IF(AND(Checks!$X$30="",Checks!$Y$30=""),"",CHAR(10)&amp;"Exp: "&amp;Checks!$X$30&amp;"  /  Act: "&amp;Checks!$Y$30)</f>
        <v/>
      </c>
      <c r="F23" s="113" t="str">
        <f aca="false">IF(Checks!$Z$30="","","Evidence: "&amp;Checks!$Z$30)&amp;IF(Checks!$AA$30="","",IF(Checks!$Z$30="","",CHAR(10))&amp;"CA: "&amp;Checks!$AA$30)</f>
        <v/>
      </c>
      <c r="G23" s="113" t="str">
        <f aca="false">IF(ISNUMBER(Checks!$AD$30),TEXT(Checks!$AD$30,"DD-MMM-YY HH:MM")&amp;" "&amp;Checks!$P$30,"")&amp;IF(Checks!$AE$30="","",CHAR(10)&amp;"Verifier: "&amp;Checks!$AE$30)&amp;IF(Checks!$T$30="","",CHAR(10)&amp;"PIC: "&amp;Checks!$T$30)</f>
        <v/>
      </c>
      <c r="H23" s="114" t="str">
        <f aca="false">IF(Checks!$AH$30="","",Checks!$AH$30)</f>
        <v>OPEN</v>
      </c>
    </row>
    <row r="24" customFormat="false" ht="114" hidden="false" customHeight="true" outlineLevel="0" collapsed="false">
      <c r="A24" s="113" t="str">
        <f aca="false">Checks!$A$31&amp;CHAR(10)&amp;IF(Checks!$I$31="","",Checks!$I$31&amp;": ")&amp;Checks!$J$31</f>
        <v>F02-T7-02
Menu: Printed menu cards confirmed (content, cycle, language, quantity)</v>
      </c>
      <c r="B24" s="113" t="str">
        <f aca="false">Checks!$K$31&amp;IF(Checks!$O$31="","",IF(Checks!$K$31="","",CHAR(10))&amp;"Note: "&amp;Checks!$O$31)</f>
        <v>Menu card matches approved menu for this flight</v>
      </c>
      <c r="C24" s="113" t="str">
        <f aca="false">Checks!$N$31&amp;CHAR(10)&amp;IF(ISNUMBER(Checks!$R$31),TEXT(Checks!$R$31,"DD-MMM-YY HH:MM"),"")&amp;" "&amp;Checks!$P$31</f>
        <v>Required
02-Oct-26 21:50 KUL</v>
      </c>
      <c r="D24" s="113" t="str">
        <f aca="false">IF(Checks!$U$31="","",Checks!$U$31)&amp;IF(Checks!$AB$31="","",CHAR(10)&amp;"CA: "&amp;Checks!$AB$31)</f>
        <v/>
      </c>
      <c r="E24" s="113" t="str">
        <f aca="false">IF(Checks!$V$31="","",Checks!$V$31)&amp;IF(Checks!$AC$31="","",IF(Checks!$V$31="","",CHAR(10))&amp;"N/A just.: "&amp;Checks!$AC$31)&amp;IF(Checks!$W$31="","",CHAR(10)&amp;"Batch: "&amp;Checks!$W$31)&amp;IF(AND(Checks!$X$31="",Checks!$Y$31=""),"",CHAR(10)&amp;"Exp: "&amp;Checks!$X$31&amp;"  /  Act: "&amp;Checks!$Y$31)</f>
        <v/>
      </c>
      <c r="F24" s="113" t="str">
        <f aca="false">IF(Checks!$Z$31="","","Evidence: "&amp;Checks!$Z$31)&amp;IF(Checks!$AA$31="","",IF(Checks!$Z$31="","",CHAR(10))&amp;"CA: "&amp;Checks!$AA$31)</f>
        <v/>
      </c>
      <c r="G24" s="113" t="str">
        <f aca="false">IF(ISNUMBER(Checks!$AD$31),TEXT(Checks!$AD$31,"DD-MMM-YY HH:MM")&amp;" "&amp;Checks!$P$31,"")&amp;IF(Checks!$AE$31="","",CHAR(10)&amp;"Verifier: "&amp;Checks!$AE$31)&amp;IF(Checks!$T$31="","",CHAR(10)&amp;"PIC: "&amp;Checks!$T$31)</f>
        <v/>
      </c>
      <c r="H24" s="114" t="str">
        <f aca="false">IF(Checks!$AH$31="","",Checks!$AH$31)</f>
        <v>OPEN</v>
      </c>
    </row>
    <row r="25" customFormat="false" ht="114" hidden="false" customHeight="true" outlineLevel="0" collapsed="false">
      <c r="A25" s="113" t="str">
        <f aca="false">Checks!$A$32&amp;CHAR(10)&amp;IF(Checks!$I$32="","",Checks!$I$32&amp;": ")&amp;Checks!$J$32</f>
        <v>F02-T7-03
IFE: Digital menu in IFE confirmed (A339 only)</v>
      </c>
      <c r="B25" s="113" t="str">
        <f aca="false">Checks!$K$32&amp;IF(Checks!$O$32="","",IF(Checks!$K$32="","",CHAR(10))&amp;"Note: "&amp;Checks!$O$32)</f>
        <v>Applies when fleet = A339
Note: Digital IFE menu applies to A339 only (user brief). Applicability follows the Fleet cell on Flights.</v>
      </c>
      <c r="C25" s="113" t="str">
        <f aca="false">Checks!$N$32&amp;CHAR(10)&amp;IF(ISNUMBER(Checks!$R$32),TEXT(Checks!$R$32,"DD-MMM-YY HH:MM"),"")&amp;" "&amp;Checks!$P$32</f>
        <v>N/A – rule
02-Oct-26 21:50 KUL</v>
      </c>
      <c r="D25" s="113" t="str">
        <f aca="false">IF(Checks!$U$32="","",Checks!$U$32)&amp;IF(Checks!$AB$32="","",CHAR(10)&amp;"CA: "&amp;Checks!$AB$32)</f>
        <v/>
      </c>
      <c r="E25" s="113" t="str">
        <f aca="false">IF(Checks!$V$32="","",Checks!$V$32)&amp;IF(Checks!$AC$32="","",IF(Checks!$V$32="","",CHAR(10))&amp;"N/A just.: "&amp;Checks!$AC$32)&amp;IF(Checks!$W$32="","",CHAR(10)&amp;"Batch: "&amp;Checks!$W$32)&amp;IF(AND(Checks!$X$32="",Checks!$Y$32=""),"",CHAR(10)&amp;"Exp: "&amp;Checks!$X$32&amp;"  /  Act: "&amp;Checks!$Y$32)</f>
        <v/>
      </c>
      <c r="F25" s="113" t="str">
        <f aca="false">IF(Checks!$Z$32="","","Evidence: "&amp;Checks!$Z$32)&amp;IF(Checks!$AA$32="","",IF(Checks!$Z$32="","",CHAR(10))&amp;"CA: "&amp;Checks!$AA$32)</f>
        <v/>
      </c>
      <c r="G25" s="113" t="str">
        <f aca="false">IF(ISNUMBER(Checks!$AD$32),TEXT(Checks!$AD$32,"DD-MMM-YY HH:MM")&amp;" "&amp;Checks!$P$32,"")&amp;IF(Checks!$AE$32="","",CHAR(10)&amp;"Verifier: "&amp;Checks!$AE$32)&amp;IF(Checks!$T$32="","",CHAR(10)&amp;"PIC: "&amp;Checks!$T$32)</f>
        <v/>
      </c>
      <c r="H25" s="114" t="str">
        <f aca="false">IF(Checks!$AH$32="","",Checks!$AH$32)</f>
        <v>N/A – RULE</v>
      </c>
    </row>
    <row r="26" customFormat="false" ht="114" hidden="false" customHeight="true" outlineLevel="0" collapsed="false">
      <c r="A26" s="113" t="str">
        <f aca="false">Checks!$A$33&amp;CHAR(10)&amp;IF(Checks!$I$33="","",Checks!$I$33&amp;": ")&amp;Checks!$J$33</f>
        <v>F02-T7-04
Staffing: Experienced catering officer assigned to this flight</v>
      </c>
      <c r="B26" s="113" t="str">
        <f aca="false">Checks!$K$33&amp;IF(Checks!$O$33="","",IF(Checks!$K$33="","",CHAR(10))&amp;"Note: "&amp;Checks!$O$33)</f>
        <v>Record officer name in Result</v>
      </c>
      <c r="C26" s="113" t="str">
        <f aca="false">Checks!$N$33&amp;CHAR(10)&amp;IF(ISNUMBER(Checks!$R$33),TEXT(Checks!$R$33,"DD-MMM-YY HH:MM"),"")&amp;" "&amp;Checks!$P$33</f>
        <v>Required
02-Oct-26 21:50 KUL</v>
      </c>
      <c r="D26" s="113" t="str">
        <f aca="false">IF(Checks!$U$33="","",Checks!$U$33)&amp;IF(Checks!$AB$33="","",CHAR(10)&amp;"CA: "&amp;Checks!$AB$33)</f>
        <v/>
      </c>
      <c r="E26" s="113" t="str">
        <f aca="false">IF(Checks!$V$33="","",Checks!$V$33)&amp;IF(Checks!$AC$33="","",IF(Checks!$V$33="","",CHAR(10))&amp;"N/A just.: "&amp;Checks!$AC$33)&amp;IF(Checks!$W$33="","",CHAR(10)&amp;"Batch: "&amp;Checks!$W$33)&amp;IF(AND(Checks!$X$33="",Checks!$Y$33=""),"",CHAR(10)&amp;"Exp: "&amp;Checks!$X$33&amp;"  /  Act: "&amp;Checks!$Y$33)</f>
        <v/>
      </c>
      <c r="F26" s="113" t="str">
        <f aca="false">IF(Checks!$Z$33="","","Evidence: "&amp;Checks!$Z$33)&amp;IF(Checks!$AA$33="","",IF(Checks!$Z$33="","",CHAR(10))&amp;"CA: "&amp;Checks!$AA$33)</f>
        <v/>
      </c>
      <c r="G26" s="113" t="str">
        <f aca="false">IF(ISNUMBER(Checks!$AD$33),TEXT(Checks!$AD$33,"DD-MMM-YY HH:MM")&amp;" "&amp;Checks!$P$33,"")&amp;IF(Checks!$AE$33="","",CHAR(10)&amp;"Verifier: "&amp;Checks!$AE$33)&amp;IF(Checks!$T$33="","",CHAR(10)&amp;"PIC: "&amp;Checks!$T$33)</f>
        <v/>
      </c>
      <c r="H26" s="114" t="str">
        <f aca="false">IF(Checks!$AH$33="","",Checks!$AH$33)</f>
        <v>OPEN</v>
      </c>
    </row>
    <row r="27" customFormat="false" ht="114" hidden="false" customHeight="true" outlineLevel="0" collapsed="false">
      <c r="A27" s="113" t="str">
        <f aca="false">Checks!$A$34&amp;CHAR(10)&amp;IF(Checks!$I$34="","",Checks!$I$34&amp;": ")&amp;Checks!$J$34</f>
        <v>F02-T7-05
ISOP: All latest applicable ISOP revisions communicated to caterer</v>
      </c>
      <c r="B27" s="113" t="str">
        <f aca="false">Checks!$K$34&amp;IF(Checks!$O$34="","",IF(Checks!$K$34="","",CHAR(10))&amp;"Note: "&amp;Checks!$O$34)</f>
        <v>List revision numbers in Result (see ISOP register)</v>
      </c>
      <c r="C27" s="113" t="str">
        <f aca="false">Checks!$N$34&amp;CHAR(10)&amp;IF(ISNUMBER(Checks!$R$34),TEXT(Checks!$R$34,"DD-MMM-YY HH:MM"),"")&amp;" "&amp;Checks!$P$34</f>
        <v>Required
02-Oct-26 21:50 KUL</v>
      </c>
      <c r="D27" s="113" t="str">
        <f aca="false">IF(Checks!$U$34="","",Checks!$U$34)&amp;IF(Checks!$AB$34="","",CHAR(10)&amp;"CA: "&amp;Checks!$AB$34)</f>
        <v/>
      </c>
      <c r="E27" s="113" t="str">
        <f aca="false">IF(Checks!$V$34="","",Checks!$V$34)&amp;IF(Checks!$AC$34="","",IF(Checks!$V$34="","",CHAR(10))&amp;"N/A just.: "&amp;Checks!$AC$34)&amp;IF(Checks!$W$34="","",CHAR(10)&amp;"Batch: "&amp;Checks!$W$34)&amp;IF(AND(Checks!$X$34="",Checks!$Y$34=""),"",CHAR(10)&amp;"Exp: "&amp;Checks!$X$34&amp;"  /  Act: "&amp;Checks!$Y$34)</f>
        <v/>
      </c>
      <c r="F27" s="113" t="str">
        <f aca="false">IF(Checks!$Z$34="","","Evidence: "&amp;Checks!$Z$34)&amp;IF(Checks!$AA$34="","",IF(Checks!$Z$34="","",CHAR(10))&amp;"CA: "&amp;Checks!$AA$34)</f>
        <v/>
      </c>
      <c r="G27" s="113" t="str">
        <f aca="false">IF(ISNUMBER(Checks!$AD$34),TEXT(Checks!$AD$34,"DD-MMM-YY HH:MM")&amp;" "&amp;Checks!$P$34,"")&amp;IF(Checks!$AE$34="","",CHAR(10)&amp;"Verifier: "&amp;Checks!$AE$34)&amp;IF(Checks!$T$34="","",CHAR(10)&amp;"PIC: "&amp;Checks!$T$34)</f>
        <v/>
      </c>
      <c r="H27" s="114" t="str">
        <f aca="false">IF(Checks!$AH$34="","",Checks!$AH$34)</f>
        <v>OPEN</v>
      </c>
    </row>
    <row r="28" customFormat="false" ht="114" hidden="false" customHeight="true" outlineLevel="0" collapsed="false">
      <c r="A28" s="113" t="str">
        <f aca="false">Checks!$A$35&amp;CHAR(10)&amp;IF(Checks!$I$35="","",Checks!$I$35&amp;": ")&amp;Checks!$J$35</f>
        <v>F02-T7-06
ISOP: Caterer acknowledgement of ISOP revisions recorded</v>
      </c>
      <c r="B28" s="113" t="str">
        <f aca="false">Checks!$K$35&amp;IF(Checks!$O$35="","",IF(Checks!$K$35="","",CHAR(10))&amp;"Note: "&amp;Checks!$O$35)</f>
        <v>Record acknowledgement ref in Evidence</v>
      </c>
      <c r="C28" s="113" t="str">
        <f aca="false">Checks!$N$35&amp;CHAR(10)&amp;IF(ISNUMBER(Checks!$R$35),TEXT(Checks!$R$35,"DD-MMM-YY HH:MM"),"")&amp;" "&amp;Checks!$P$35</f>
        <v>Required
02-Oct-26 21:50 KUL</v>
      </c>
      <c r="D28" s="113" t="str">
        <f aca="false">IF(Checks!$U$35="","",Checks!$U$35)&amp;IF(Checks!$AB$35="","",CHAR(10)&amp;"CA: "&amp;Checks!$AB$35)</f>
        <v/>
      </c>
      <c r="E28" s="113" t="str">
        <f aca="false">IF(Checks!$V$35="","",Checks!$V$35)&amp;IF(Checks!$AC$35="","",IF(Checks!$V$35="","",CHAR(10))&amp;"N/A just.: "&amp;Checks!$AC$35)&amp;IF(Checks!$W$35="","",CHAR(10)&amp;"Batch: "&amp;Checks!$W$35)&amp;IF(AND(Checks!$X$35="",Checks!$Y$35=""),"",CHAR(10)&amp;"Exp: "&amp;Checks!$X$35&amp;"  /  Act: "&amp;Checks!$Y$35)</f>
        <v/>
      </c>
      <c r="F28" s="113" t="str">
        <f aca="false">IF(Checks!$Z$35="","","Evidence: "&amp;Checks!$Z$35)&amp;IF(Checks!$AA$35="","",IF(Checks!$Z$35="","",CHAR(10))&amp;"CA: "&amp;Checks!$AA$35)</f>
        <v/>
      </c>
      <c r="G28" s="113" t="str">
        <f aca="false">IF(ISNUMBER(Checks!$AD$35),TEXT(Checks!$AD$35,"DD-MMM-YY HH:MM")&amp;" "&amp;Checks!$P$35,"")&amp;IF(Checks!$AE$35="","",CHAR(10)&amp;"Verifier: "&amp;Checks!$AE$35)&amp;IF(Checks!$T$35="","",CHAR(10)&amp;"PIC: "&amp;Checks!$T$35)</f>
        <v/>
      </c>
      <c r="H28" s="114" t="str">
        <f aca="false">IF(Checks!$AH$35="","",Checks!$AH$35)</f>
        <v>OPEN</v>
      </c>
    </row>
    <row r="29" customFormat="false" ht="114" hidden="false" customHeight="true" outlineLevel="0" collapsed="false">
      <c r="A29" s="113" t="str">
        <f aca="false">Checks!$A$36&amp;CHAR(10)&amp;IF(Checks!$I$36="","",Checks!$I$36&amp;": ")&amp;Checks!$J$36</f>
        <v>F02-T7-07
Documents: Galley loading diagram (GLD) received, revision recorded &amp; attached</v>
      </c>
      <c r="B29" s="113" t="str">
        <f aca="false">Checks!$K$36&amp;IF(Checks!$O$36="","",IF(Checks!$K$36="","",CHAR(10))&amp;"Note: "&amp;Checks!$O$36)</f>
        <v>Documents sheet row complete</v>
      </c>
      <c r="C29" s="113" t="str">
        <f aca="false">Checks!$N$36&amp;CHAR(10)&amp;IF(ISNUMBER(Checks!$R$36),TEXT(Checks!$R$36,"DD-MMM-YY HH:MM"),"")&amp;" "&amp;Checks!$P$36</f>
        <v>Required
02-Oct-26 21:50 KUL</v>
      </c>
      <c r="D29" s="113" t="str">
        <f aca="false">IF(Checks!$U$36="","",Checks!$U$36)&amp;IF(Checks!$AB$36="","",CHAR(10)&amp;"CA: "&amp;Checks!$AB$36)</f>
        <v/>
      </c>
      <c r="E29" s="113" t="str">
        <f aca="false">IF(Checks!$V$36="","",Checks!$V$36)&amp;IF(Checks!$AC$36="","",IF(Checks!$V$36="","",CHAR(10))&amp;"N/A just.: "&amp;Checks!$AC$36)&amp;IF(Checks!$W$36="","",CHAR(10)&amp;"Batch: "&amp;Checks!$W$36)&amp;IF(AND(Checks!$X$36="",Checks!$Y$36=""),"",CHAR(10)&amp;"Exp: "&amp;Checks!$X$36&amp;"  /  Act: "&amp;Checks!$Y$36)</f>
        <v/>
      </c>
      <c r="F29" s="113" t="str">
        <f aca="false">IF(Checks!$Z$36="","","Evidence: "&amp;Checks!$Z$36)&amp;IF(Checks!$AA$36="","",IF(Checks!$Z$36="","",CHAR(10))&amp;"CA: "&amp;Checks!$AA$36)</f>
        <v/>
      </c>
      <c r="G29" s="113" t="str">
        <f aca="false">IF(ISNUMBER(Checks!$AD$36),TEXT(Checks!$AD$36,"DD-MMM-YY HH:MM")&amp;" "&amp;Checks!$P$36,"")&amp;IF(Checks!$AE$36="","",CHAR(10)&amp;"Verifier: "&amp;Checks!$AE$36)&amp;IF(Checks!$T$36="","",CHAR(10)&amp;"PIC: "&amp;Checks!$T$36)</f>
        <v/>
      </c>
      <c r="H29" s="114" t="str">
        <f aca="false">IF(Checks!$AH$36="","",Checks!$AH$36)</f>
        <v>OPEN</v>
      </c>
    </row>
    <row r="30" customFormat="false" ht="114" hidden="false" customHeight="true" outlineLevel="0" collapsed="false">
      <c r="A30" s="113" t="str">
        <f aca="false">Checks!$A$37&amp;CHAR(10)&amp;IF(Checks!$I$37="","",Checks!$I$37&amp;": ")&amp;Checks!$J$37</f>
        <v>F02-T7-08
Documents: Menu checklist received, revision recorded &amp; attached</v>
      </c>
      <c r="B30" s="113" t="str">
        <f aca="false">Checks!$K$37&amp;IF(Checks!$O$37="","",IF(Checks!$K$37="","",CHAR(10))&amp;"Note: "&amp;Checks!$O$37)</f>
        <v>Documents sheet row complete</v>
      </c>
      <c r="C30" s="113" t="str">
        <f aca="false">Checks!$N$37&amp;CHAR(10)&amp;IF(ISNUMBER(Checks!$R$37),TEXT(Checks!$R$37,"DD-MMM-YY HH:MM"),"")&amp;" "&amp;Checks!$P$37</f>
        <v>Required
02-Oct-26 21:50 KUL</v>
      </c>
      <c r="D30" s="113" t="str">
        <f aca="false">IF(Checks!$U$37="","",Checks!$U$37)&amp;IF(Checks!$AB$37="","",CHAR(10)&amp;"CA: "&amp;Checks!$AB$37)</f>
        <v/>
      </c>
      <c r="E30" s="113" t="str">
        <f aca="false">IF(Checks!$V$37="","",Checks!$V$37)&amp;IF(Checks!$AC$37="","",IF(Checks!$V$37="","",CHAR(10))&amp;"N/A just.: "&amp;Checks!$AC$37)&amp;IF(Checks!$W$37="","",CHAR(10)&amp;"Batch: "&amp;Checks!$W$37)&amp;IF(AND(Checks!$X$37="",Checks!$Y$37=""),"",CHAR(10)&amp;"Exp: "&amp;Checks!$X$37&amp;"  /  Act: "&amp;Checks!$Y$37)</f>
        <v/>
      </c>
      <c r="F30" s="113" t="str">
        <f aca="false">IF(Checks!$Z$37="","","Evidence: "&amp;Checks!$Z$37)&amp;IF(Checks!$AA$37="","",IF(Checks!$Z$37="","",CHAR(10))&amp;"CA: "&amp;Checks!$AA$37)</f>
        <v/>
      </c>
      <c r="G30" s="113" t="str">
        <f aca="false">IF(ISNUMBER(Checks!$AD$37),TEXT(Checks!$AD$37,"DD-MMM-YY HH:MM")&amp;" "&amp;Checks!$P$37,"")&amp;IF(Checks!$AE$37="","",CHAR(10)&amp;"Verifier: "&amp;Checks!$AE$37)&amp;IF(Checks!$T$37="","",CHAR(10)&amp;"PIC: "&amp;Checks!$T$37)</f>
        <v/>
      </c>
      <c r="H30" s="114" t="str">
        <f aca="false">IF(Checks!$AH$37="","",Checks!$AH$37)</f>
        <v>OPEN</v>
      </c>
    </row>
    <row r="31" customFormat="false" ht="114" hidden="false" customHeight="true" outlineLevel="0" collapsed="false">
      <c r="A31" s="113" t="str">
        <f aca="false">Checks!$A$38&amp;CHAR(10)&amp;IF(Checks!$I$38="","",Checks!$I$38&amp;": ")&amp;Checks!$J$38</f>
        <v>F02-T7-09
Uplift plan: Uplift plan confirmed with caterer vs STD Uplift Information</v>
      </c>
      <c r="B31" s="113" t="str">
        <f aca="false">Checks!$K$38&amp;IF(Checks!$O$38="","",IF(Checks!$K$38="","",CHAR(10))&amp;"Note: "&amp;Checks!$O$38)</f>
        <v>Service: 1 Meal (Meal); meal uplift stn KUL (ref lists KUL/CGK)</v>
      </c>
      <c r="C31" s="113" t="str">
        <f aca="false">Checks!$N$38&amp;CHAR(10)&amp;IF(ISNUMBER(Checks!$R$38),TEXT(Checks!$R$38,"DD-MMM-YY HH:MM"),"")&amp;" "&amp;Checks!$P$38</f>
        <v>Required
02-Oct-26 21:50 KUL</v>
      </c>
      <c r="D31" s="113" t="str">
        <f aca="false">IF(Checks!$U$38="","",Checks!$U$38)&amp;IF(Checks!$AB$38="","",CHAR(10)&amp;"CA: "&amp;Checks!$AB$38)</f>
        <v/>
      </c>
      <c r="E31" s="113" t="str">
        <f aca="false">IF(Checks!$V$38="","",Checks!$V$38)&amp;IF(Checks!$AC$38="","",IF(Checks!$V$38="","",CHAR(10))&amp;"N/A just.: "&amp;Checks!$AC$38)&amp;IF(Checks!$W$38="","",CHAR(10)&amp;"Batch: "&amp;Checks!$W$38)&amp;IF(AND(Checks!$X$38="",Checks!$Y$38=""),"",CHAR(10)&amp;"Exp: "&amp;Checks!$X$38&amp;"  /  Act: "&amp;Checks!$Y$38)</f>
        <v/>
      </c>
      <c r="F31" s="113" t="str">
        <f aca="false">IF(Checks!$Z$38="","","Evidence: "&amp;Checks!$Z$38)&amp;IF(Checks!$AA$38="","",IF(Checks!$Z$38="","",CHAR(10))&amp;"CA: "&amp;Checks!$AA$38)</f>
        <v/>
      </c>
      <c r="G31" s="113" t="str">
        <f aca="false">IF(ISNUMBER(Checks!$AD$38),TEXT(Checks!$AD$38,"DD-MMM-YY HH:MM")&amp;" "&amp;Checks!$P$38,"")&amp;IF(Checks!$AE$38="","",CHAR(10)&amp;"Verifier: "&amp;Checks!$AE$38)&amp;IF(Checks!$T$38="","",CHAR(10)&amp;"PIC: "&amp;Checks!$T$38)</f>
        <v/>
      </c>
      <c r="H31" s="114" t="str">
        <f aca="false">IF(Checks!$AH$38="","",Checks!$AH$38)</f>
        <v>OPEN</v>
      </c>
    </row>
    <row r="32" customFormat="false" ht="25.5" hidden="false" customHeight="true" outlineLevel="0" collapsed="false">
      <c r="A32" s="112"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Checks!$A$39&amp;CHAR(10)&amp;IF(Checks!$I$39="","",Checks!$I$39&amp;": ")&amp;Checks!$J$39</f>
        <v>F02-T24-01
Meal: Sensory test repeated on ACTUAL production batch for this flight</v>
      </c>
      <c r="B33" s="113" t="str">
        <f aca="false">Checks!$K$39&amp;IF(Checks!$O$39="","",IF(Checks!$K$39="","",CHAR(10))&amp;"Note: "&amp;Checks!$O$39)</f>
        <v>Batch ID, result, CA and acceptance mandatory</v>
      </c>
      <c r="C33" s="113" t="str">
        <f aca="false">Checks!$N$39&amp;CHAR(10)&amp;IF(ISNUMBER(Checks!$R$39),TEXT(Checks!$R$39,"DD-MMM-YY HH:MM"),"")&amp;" "&amp;Checks!$P$39</f>
        <v>Required
08-Oct-26 21:50 KUL</v>
      </c>
      <c r="D33" s="113" t="str">
        <f aca="false">IF(Checks!$U$39="","",Checks!$U$39)&amp;IF(Checks!$AB$39="","",CHAR(10)&amp;"CA: "&amp;Checks!$AB$39)</f>
        <v/>
      </c>
      <c r="E33" s="113" t="str">
        <f aca="false">IF(Checks!$V$39="","",Checks!$V$39)&amp;IF(Checks!$AC$39="","",IF(Checks!$V$39="","",CHAR(10))&amp;"N/A just.: "&amp;Checks!$AC$39)&amp;IF(Checks!$W$39="","",CHAR(10)&amp;"Batch: "&amp;Checks!$W$39)&amp;IF(AND(Checks!$X$39="",Checks!$Y$39=""),"",CHAR(10)&amp;"Exp: "&amp;Checks!$X$39&amp;"  /  Act: "&amp;Checks!$Y$39)</f>
        <v/>
      </c>
      <c r="F33" s="113" t="str">
        <f aca="false">IF(Checks!$Z$39="","","Evidence: "&amp;Checks!$Z$39)&amp;IF(Checks!$AA$39="","",IF(Checks!$Z$39="","",CHAR(10))&amp;"CA: "&amp;Checks!$AA$39)</f>
        <v/>
      </c>
      <c r="G33" s="113" t="str">
        <f aca="false">IF(ISNUMBER(Checks!$AD$39),TEXT(Checks!$AD$39,"DD-MMM-YY HH:MM")&amp;" "&amp;Checks!$P$39,"")&amp;IF(Checks!$AE$39="","",CHAR(10)&amp;"Verifier: "&amp;Checks!$AE$39)&amp;IF(Checks!$T$39="","",CHAR(10)&amp;"PIC: "&amp;Checks!$T$39)</f>
        <v/>
      </c>
      <c r="H33" s="114" t="str">
        <f aca="false">IF(Checks!$AH$39="","",Checks!$AH$39)</f>
        <v>OPEN</v>
      </c>
    </row>
    <row r="34" customFormat="false" ht="25.5" hidden="false" customHeight="true" outlineLevel="0" collapsed="false">
      <c r="A34" s="112"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2"/>
      <c r="C34" s="112"/>
      <c r="D34" s="112"/>
      <c r="E34" s="112"/>
      <c r="F34" s="112"/>
      <c r="G34" s="112"/>
      <c r="H34" s="112"/>
    </row>
    <row r="35" customFormat="false" ht="114" hidden="false" customHeight="true" outlineLevel="0" collapsed="false">
      <c r="A35" s="113" t="str">
        <f aca="false">Checks!$A$40&amp;CHAR(10)&amp;IF(Checks!$I$40="","",Checks!$I$40&amp;": ")&amp;Checks!$J$40</f>
        <v>F02-T12-01
Meal: Meal quality vs menu checklist</v>
      </c>
      <c r="B35" s="113" t="str">
        <f aca="false">Checks!$K$40&amp;IF(Checks!$O$40="","",IF(Checks!$K$40="","",CHAR(10))&amp;"Note: "&amp;Checks!$O$40)</f>
        <v>Note: Preparation check at caterer - does NOT confirm loading.</v>
      </c>
      <c r="C35" s="113" t="str">
        <f aca="false">Checks!$N$40&amp;CHAR(10)&amp;IF(ISNUMBER(Checks!$R$40),TEXT(Checks!$R$40,"DD-MMM-YY HH:MM"),"")&amp;" "&amp;Checks!$P$40</f>
        <v>Required
09-Oct-26 09:50 KUL</v>
      </c>
      <c r="D35" s="113" t="str">
        <f aca="false">IF(Checks!$U$40="","",Checks!$U$40)&amp;IF(Checks!$AB$40="","",CHAR(10)&amp;"CA: "&amp;Checks!$AB$40)</f>
        <v/>
      </c>
      <c r="E35" s="113" t="str">
        <f aca="false">IF(Checks!$V$40="","",Checks!$V$40)&amp;IF(Checks!$AC$40="","",IF(Checks!$V$40="","",CHAR(10))&amp;"N/A just.: "&amp;Checks!$AC$40)&amp;IF(Checks!$W$40="","",CHAR(10)&amp;"Batch: "&amp;Checks!$W$40)&amp;IF(AND(Checks!$X$40="",Checks!$Y$40=""),"",CHAR(10)&amp;"Exp: "&amp;Checks!$X$40&amp;"  /  Act: "&amp;Checks!$Y$40)</f>
        <v/>
      </c>
      <c r="F35" s="113" t="str">
        <f aca="false">IF(Checks!$Z$40="","","Evidence: "&amp;Checks!$Z$40)&amp;IF(Checks!$AA$40="","",IF(Checks!$Z$40="","",CHAR(10))&amp;"CA: "&amp;Checks!$AA$40)</f>
        <v/>
      </c>
      <c r="G35" s="113" t="str">
        <f aca="false">IF(ISNUMBER(Checks!$AD$40),TEXT(Checks!$AD$40,"DD-MMM-YY HH:MM")&amp;" "&amp;Checks!$P$40,"")&amp;IF(Checks!$AE$40="","",CHAR(10)&amp;"Verifier: "&amp;Checks!$AE$40)&amp;IF(Checks!$T$40="","",CHAR(10)&amp;"PIC: "&amp;Checks!$T$40)</f>
        <v/>
      </c>
      <c r="H35" s="114" t="str">
        <f aca="false">IF(Checks!$AH$40="","",Checks!$AH$40)</f>
        <v>OPEN</v>
      </c>
    </row>
    <row r="36" customFormat="false" ht="114" hidden="false" customHeight="true" outlineLevel="0" collapsed="false">
      <c r="A36" s="113" t="str">
        <f aca="false">Checks!$A$41&amp;CHAR(10)&amp;IF(Checks!$I$41="","",Checks!$I$41&amp;": ")&amp;Checks!$J$41</f>
        <v>F02-T12-02
Meal: Meal quantities vs menu checklist</v>
      </c>
      <c r="B36" s="113" t="str">
        <f aca="false">Checks!$K$41&amp;IF(Checks!$O$41="","",IF(Checks!$K$41="","",CHAR(10))&amp;"Note: "&amp;Checks!$O$41)</f>
        <v>Enter expected &amp; actual
Note: Preparation check at caterer - does NOT confirm loading.</v>
      </c>
      <c r="C36" s="113" t="str">
        <f aca="false">Checks!$N$41&amp;CHAR(10)&amp;IF(ISNUMBER(Checks!$R$41),TEXT(Checks!$R$41,"DD-MMM-YY HH:MM"),"")&amp;" "&amp;Checks!$P$41</f>
        <v>Required
09-Oct-26 09:50 KUL</v>
      </c>
      <c r="D36" s="113" t="str">
        <f aca="false">IF(Checks!$U$41="","",Checks!$U$41)&amp;IF(Checks!$AB$41="","",CHAR(10)&amp;"CA: "&amp;Checks!$AB$41)</f>
        <v/>
      </c>
      <c r="E36" s="113" t="str">
        <f aca="false">IF(Checks!$V$41="","",Checks!$V$41)&amp;IF(Checks!$AC$41="","",IF(Checks!$V$41="","",CHAR(10))&amp;"N/A just.: "&amp;Checks!$AC$41)&amp;IF(Checks!$W$41="","",CHAR(10)&amp;"Batch: "&amp;Checks!$W$41)&amp;IF(AND(Checks!$X$41="",Checks!$Y$41=""),"",CHAR(10)&amp;"Exp: "&amp;Checks!$X$41&amp;"  /  Act: "&amp;Checks!$Y$41)</f>
        <v/>
      </c>
      <c r="F36" s="113" t="str">
        <f aca="false">IF(Checks!$Z$41="","","Evidence: "&amp;Checks!$Z$41)&amp;IF(Checks!$AA$41="","",IF(Checks!$Z$41="","",CHAR(10))&amp;"CA: "&amp;Checks!$AA$41)</f>
        <v/>
      </c>
      <c r="G36" s="113" t="str">
        <f aca="false">IF(ISNUMBER(Checks!$AD$41),TEXT(Checks!$AD$41,"DD-MMM-YY HH:MM")&amp;" "&amp;Checks!$P$41,"")&amp;IF(Checks!$AE$41="","",CHAR(10)&amp;"Verifier: "&amp;Checks!$AE$41)&amp;IF(Checks!$T$41="","",CHAR(10)&amp;"PIC: "&amp;Checks!$T$41)</f>
        <v/>
      </c>
      <c r="H36" s="114" t="str">
        <f aca="false">IF(Checks!$AH$41="","",Checks!$AH$41)</f>
        <v>OPEN</v>
      </c>
    </row>
    <row r="37" customFormat="false" ht="114" hidden="false" customHeight="true" outlineLevel="0" collapsed="false">
      <c r="A37" s="113" t="str">
        <f aca="false">Checks!$A$42&amp;CHAR(10)&amp;IF(Checks!$I$42="","",Checks!$I$42&amp;": ")&amp;Checks!$J$42</f>
        <v>F02-T12-03
Equipment: Equipment cleanliness vs GLD</v>
      </c>
      <c r="B37" s="113" t="str">
        <f aca="false">Checks!$K$42&amp;IF(Checks!$O$42="","",IF(Checks!$K$42="","",CHAR(10))&amp;"Note: "&amp;Checks!$O$42)</f>
        <v>Note: Preparation check at caterer - does NOT confirm loading.</v>
      </c>
      <c r="C37" s="113" t="str">
        <f aca="false">Checks!$N$42&amp;CHAR(10)&amp;IF(ISNUMBER(Checks!$R$42),TEXT(Checks!$R$42,"DD-MMM-YY HH:MM"),"")&amp;" "&amp;Checks!$P$42</f>
        <v>Required
09-Oct-26 09:50 KUL</v>
      </c>
      <c r="D37" s="113" t="str">
        <f aca="false">IF(Checks!$U$42="","",Checks!$U$42)&amp;IF(Checks!$AB$42="","",CHAR(10)&amp;"CA: "&amp;Checks!$AB$42)</f>
        <v/>
      </c>
      <c r="E37" s="113" t="str">
        <f aca="false">IF(Checks!$V$42="","",Checks!$V$42)&amp;IF(Checks!$AC$42="","",IF(Checks!$V$42="","",CHAR(10))&amp;"N/A just.: "&amp;Checks!$AC$42)&amp;IF(Checks!$W$42="","",CHAR(10)&amp;"Batch: "&amp;Checks!$W$42)&amp;IF(AND(Checks!$X$42="",Checks!$Y$42=""),"",CHAR(10)&amp;"Exp: "&amp;Checks!$X$42&amp;"  /  Act: "&amp;Checks!$Y$42)</f>
        <v/>
      </c>
      <c r="F37" s="113" t="str">
        <f aca="false">IF(Checks!$Z$42="","","Evidence: "&amp;Checks!$Z$42)&amp;IF(Checks!$AA$42="","",IF(Checks!$Z$42="","",CHAR(10))&amp;"CA: "&amp;Checks!$AA$42)</f>
        <v/>
      </c>
      <c r="G37" s="113" t="str">
        <f aca="false">IF(ISNUMBER(Checks!$AD$42),TEXT(Checks!$AD$42,"DD-MMM-YY HH:MM")&amp;" "&amp;Checks!$P$42,"")&amp;IF(Checks!$AE$42="","",CHAR(10)&amp;"Verifier: "&amp;Checks!$AE$42)&amp;IF(Checks!$T$42="","",CHAR(10)&amp;"PIC: "&amp;Checks!$T$42)</f>
        <v/>
      </c>
      <c r="H37" s="114" t="str">
        <f aca="false">IF(Checks!$AH$42="","",Checks!$AH$42)</f>
        <v>OPEN</v>
      </c>
    </row>
    <row r="38" customFormat="false" ht="114" hidden="false" customHeight="true" outlineLevel="0" collapsed="false">
      <c r="A38" s="113" t="str">
        <f aca="false">Checks!$A$43&amp;CHAR(10)&amp;IF(Checks!$I$43="","",Checks!$I$43&amp;": ")&amp;Checks!$J$43</f>
        <v>F02-T12-04
Equipment: Equipment presentation vs GLD</v>
      </c>
      <c r="B38" s="113" t="str">
        <f aca="false">Checks!$K$43&amp;IF(Checks!$O$43="","",IF(Checks!$K$43="","",CHAR(10))&amp;"Note: "&amp;Checks!$O$43)</f>
        <v>Note: Preparation check at caterer - does NOT confirm loading.</v>
      </c>
      <c r="C38" s="113" t="str">
        <f aca="false">Checks!$N$43&amp;CHAR(10)&amp;IF(ISNUMBER(Checks!$R$43),TEXT(Checks!$R$43,"DD-MMM-YY HH:MM"),"")&amp;" "&amp;Checks!$P$43</f>
        <v>Required
09-Oct-26 09:50 KUL</v>
      </c>
      <c r="D38" s="113" t="str">
        <f aca="false">IF(Checks!$U$43="","",Checks!$U$43)&amp;IF(Checks!$AB$43="","",CHAR(10)&amp;"CA: "&amp;Checks!$AB$43)</f>
        <v/>
      </c>
      <c r="E38" s="113" t="str">
        <f aca="false">IF(Checks!$V$43="","",Checks!$V$43)&amp;IF(Checks!$AC$43="","",IF(Checks!$V$43="","",CHAR(10))&amp;"N/A just.: "&amp;Checks!$AC$43)&amp;IF(Checks!$W$43="","",CHAR(10)&amp;"Batch: "&amp;Checks!$W$43)&amp;IF(AND(Checks!$X$43="",Checks!$Y$43=""),"",CHAR(10)&amp;"Exp: "&amp;Checks!$X$43&amp;"  /  Act: "&amp;Checks!$Y$43)</f>
        <v/>
      </c>
      <c r="F38" s="113" t="str">
        <f aca="false">IF(Checks!$Z$43="","","Evidence: "&amp;Checks!$Z$43)&amp;IF(Checks!$AA$43="","",IF(Checks!$Z$43="","",CHAR(10))&amp;"CA: "&amp;Checks!$AA$43)</f>
        <v/>
      </c>
      <c r="G38" s="113" t="str">
        <f aca="false">IF(ISNUMBER(Checks!$AD$43),TEXT(Checks!$AD$43,"DD-MMM-YY HH:MM")&amp;" "&amp;Checks!$P$43,"")&amp;IF(Checks!$AE$43="","",CHAR(10)&amp;"Verifier: "&amp;Checks!$AE$43)&amp;IF(Checks!$T$43="","",CHAR(10)&amp;"PIC: "&amp;Checks!$T$43)</f>
        <v/>
      </c>
      <c r="H38" s="114" t="str">
        <f aca="false">IF(Checks!$AH$43="","",Checks!$AH$43)</f>
        <v>OPEN</v>
      </c>
    </row>
    <row r="39" customFormat="false" ht="114" hidden="false" customHeight="true" outlineLevel="0" collapsed="false">
      <c r="A39" s="113" t="str">
        <f aca="false">Checks!$A$44&amp;CHAR(10)&amp;IF(Checks!$I$44="","",Checks!$I$44&amp;": ")&amp;Checks!$J$44</f>
        <v>F02-T12-05
Equipment: Equipment serviceability vs GLD</v>
      </c>
      <c r="B39" s="113" t="str">
        <f aca="false">Checks!$K$44&amp;IF(Checks!$O$44="","",IF(Checks!$K$44="","",CHAR(10))&amp;"Note: "&amp;Checks!$O$44)</f>
        <v>Note: Preparation check at caterer - does NOT confirm loading.</v>
      </c>
      <c r="C39" s="113" t="str">
        <f aca="false">Checks!$N$44&amp;CHAR(10)&amp;IF(ISNUMBER(Checks!$R$44),TEXT(Checks!$R$44,"DD-MMM-YY HH:MM"),"")&amp;" "&amp;Checks!$P$44</f>
        <v>Required
09-Oct-26 09:50 KUL</v>
      </c>
      <c r="D39" s="113" t="str">
        <f aca="false">IF(Checks!$U$44="","",Checks!$U$44)&amp;IF(Checks!$AB$44="","",CHAR(10)&amp;"CA: "&amp;Checks!$AB$44)</f>
        <v/>
      </c>
      <c r="E39" s="113" t="str">
        <f aca="false">IF(Checks!$V$44="","",Checks!$V$44)&amp;IF(Checks!$AC$44="","",IF(Checks!$V$44="","",CHAR(10))&amp;"N/A just.: "&amp;Checks!$AC$44)&amp;IF(Checks!$W$44="","",CHAR(10)&amp;"Batch: "&amp;Checks!$W$44)&amp;IF(AND(Checks!$X$44="",Checks!$Y$44=""),"",CHAR(10)&amp;"Exp: "&amp;Checks!$X$44&amp;"  /  Act: "&amp;Checks!$Y$44)</f>
        <v/>
      </c>
      <c r="F39" s="113" t="str">
        <f aca="false">IF(Checks!$Z$44="","","Evidence: "&amp;Checks!$Z$44)&amp;IF(Checks!$AA$44="","",IF(Checks!$Z$44="","",CHAR(10))&amp;"CA: "&amp;Checks!$AA$44)</f>
        <v/>
      </c>
      <c r="G39" s="113" t="str">
        <f aca="false">IF(ISNUMBER(Checks!$AD$44),TEXT(Checks!$AD$44,"DD-MMM-YY HH:MM")&amp;" "&amp;Checks!$P$44,"")&amp;IF(Checks!$AE$44="","",CHAR(10)&amp;"Verifier: "&amp;Checks!$AE$44)&amp;IF(Checks!$T$44="","",CHAR(10)&amp;"PIC: "&amp;Checks!$T$44)</f>
        <v/>
      </c>
      <c r="H39" s="114" t="str">
        <f aca="false">IF(Checks!$AH$44="","",Checks!$AH$44)</f>
        <v>OPEN</v>
      </c>
    </row>
    <row r="40" customFormat="false" ht="190.5" hidden="false" customHeight="true" outlineLevel="0" collapsed="false">
      <c r="A40" s="113" t="str">
        <f aca="false">Checks!$A$45&amp;CHAR(10)&amp;IF(Checks!$I$45="","",Checks!$I$45&amp;": ")&amp;Checks!$J$45</f>
        <v>F02-T12-06
Equipment: Equipment quantities vs GLD</v>
      </c>
      <c r="B40" s="113" t="str">
        <f aca="false">SUBSTITUTE(Checks!$K$45&amp;IF(Checks!$O$45="","",IF(Checks!$K$45="","",CHAR(10))&amp;"Note: "&amp;Checks!$O$45),"AIRCRAFT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Checks!$N$45&amp;CHAR(10)&amp;IF(ISNUMBER(Checks!$R$45),TEXT(Checks!$R$45,"DD-MMM-YY HH:MM"),"")&amp;" "&amp;Checks!$P$45</f>
        <v>Required
09-Oct-26 09:50 KUL</v>
      </c>
      <c r="D40" s="113" t="str">
        <f aca="false">IF(Checks!$U$45="","",Checks!$U$45)&amp;IF(Checks!$AB$45="","",CHAR(10)&amp;"CA: "&amp;Checks!$AB$45)</f>
        <v/>
      </c>
      <c r="E40" s="113" t="str">
        <f aca="false">IF(Checks!$V$45="","",Checks!$V$45)&amp;IF(Checks!$AC$45="","",IF(Checks!$V$45="","",CHAR(10))&amp;"N/A just.: "&amp;Checks!$AC$45)&amp;IF(Checks!$W$45="","",CHAR(10)&amp;"Batch: "&amp;Checks!$W$45)&amp;IF(AND(Checks!$X$45="",Checks!$Y$45=""),"",CHAR(10)&amp;"Exp: "&amp;Checks!$X$45&amp;"  /  Act: "&amp;Checks!$Y$45)</f>
        <v/>
      </c>
      <c r="F40" s="113" t="str">
        <f aca="false">IF(Checks!$Z$45="","","Evidence: "&amp;Checks!$Z$45)&amp;IF(Checks!$AA$45="","",IF(Checks!$Z$45="","",CHAR(10))&amp;"CA: "&amp;Checks!$AA$45)</f>
        <v/>
      </c>
      <c r="G40" s="113" t="str">
        <f aca="false">IF(ISNUMBER(Checks!$AD$45),TEXT(Checks!$AD$45,"DD-MMM-YY HH:MM")&amp;" "&amp;Checks!$P$45,"")&amp;IF(Checks!$AE$45="","",CHAR(10)&amp;"Verifier: "&amp;Checks!$AE$45)&amp;IF(Checks!$T$45="","",CHAR(10)&amp;"PIC: "&amp;Checks!$T$45)</f>
        <v/>
      </c>
      <c r="H40" s="114" t="str">
        <f aca="false">IF(Checks!$AH$45="","",Checks!$AH$45)</f>
        <v>OPEN</v>
      </c>
    </row>
    <row r="41" customFormat="false" ht="114" hidden="false" customHeight="true" outlineLevel="0" collapsed="false">
      <c r="A41" s="113" t="str">
        <f aca="false">Checks!$A$46&amp;CHAR(10)&amp;IF(Checks!$I$46="","",Checks!$I$46&amp;": ")&amp;Checks!$J$46</f>
        <v>F02-T12-07
Equipment: Loading positions planned vs GLD</v>
      </c>
      <c r="B41" s="113" t="str">
        <f aca="false">Checks!$K$46&amp;IF(Checks!$O$46="","",IF(Checks!$K$46="","",CHAR(10))&amp;"Note: "&amp;Checks!$O$46)</f>
        <v>Note: Preparation check at caterer - does NOT confirm loading.</v>
      </c>
      <c r="C41" s="113" t="str">
        <f aca="false">Checks!$N$46&amp;CHAR(10)&amp;IF(ISNUMBER(Checks!$R$46),TEXT(Checks!$R$46,"DD-MMM-YY HH:MM"),"")&amp;" "&amp;Checks!$P$46</f>
        <v>Required
09-Oct-26 09:50 KUL</v>
      </c>
      <c r="D41" s="113" t="str">
        <f aca="false">IF(Checks!$U$46="","",Checks!$U$46)&amp;IF(Checks!$AB$46="","",CHAR(10)&amp;"CA: "&amp;Checks!$AB$46)</f>
        <v/>
      </c>
      <c r="E41" s="113" t="str">
        <f aca="false">IF(Checks!$V$46="","",Checks!$V$46)&amp;IF(Checks!$AC$46="","",IF(Checks!$V$46="","",CHAR(10))&amp;"N/A just.: "&amp;Checks!$AC$46)&amp;IF(Checks!$W$46="","",CHAR(10)&amp;"Batch: "&amp;Checks!$W$46)&amp;IF(AND(Checks!$X$46="",Checks!$Y$46=""),"",CHAR(10)&amp;"Exp: "&amp;Checks!$X$46&amp;"  /  Act: "&amp;Checks!$Y$46)</f>
        <v/>
      </c>
      <c r="F41" s="113" t="str">
        <f aca="false">IF(Checks!$Z$46="","","Evidence: "&amp;Checks!$Z$46)&amp;IF(Checks!$AA$46="","",IF(Checks!$Z$46="","",CHAR(10))&amp;"CA: "&amp;Checks!$AA$46)</f>
        <v/>
      </c>
      <c r="G41" s="113" t="str">
        <f aca="false">IF(ISNUMBER(Checks!$AD$46),TEXT(Checks!$AD$46,"DD-MMM-YY HH:MM")&amp;" "&amp;Checks!$P$46,"")&amp;IF(Checks!$AE$46="","",CHAR(10)&amp;"Verifier: "&amp;Checks!$AE$46)&amp;IF(Checks!$T$46="","",CHAR(10)&amp;"PIC: "&amp;Checks!$T$46)</f>
        <v/>
      </c>
      <c r="H41" s="114" t="str">
        <f aca="false">IF(Checks!$AH$46="","",Checks!$AH$46)</f>
        <v>OPEN</v>
      </c>
    </row>
    <row r="42" customFormat="false" ht="168.75" hidden="false" customHeight="true" outlineLevel="0" collapsed="false">
      <c r="A42" s="113" t="str">
        <f aca="false">Checks!$A$47&amp;CHAR(10)&amp;IF(Checks!$I$47="","",Checks!$I$47&amp;": ")&amp;Checks!$J$47</f>
        <v>F02-T12-08
Amenities: Disposable slippers in DAM cart (BC, on request) - prepared</v>
      </c>
      <c r="B42" s="113"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2" s="113" t="str">
        <f aca="false">Checks!$N$47&amp;CHAR(10)&amp;IF(ISNUMBER(Checks!$R$47),TEXT(Checks!$R$47,"DD-MMM-YY HH:MM"),"")&amp;" "&amp;Checks!$P$47</f>
        <v>Required
09-Oct-26 09:50 KUL</v>
      </c>
      <c r="D42" s="113" t="str">
        <f aca="false">IF(Checks!$U$47="","",Checks!$U$47)&amp;IF(Checks!$AB$47="","",CHAR(10)&amp;"CA: "&amp;Checks!$AB$47)</f>
        <v/>
      </c>
      <c r="E42" s="113" t="str">
        <f aca="false">IF(Checks!$V$47="","",Checks!$V$47)&amp;IF(Checks!$AC$47="","",IF(Checks!$V$47="","",CHAR(10))&amp;"N/A just.: "&amp;Checks!$AC$47)&amp;IF(Checks!$W$47="","",CHAR(10)&amp;"Batch: "&amp;Checks!$W$47)&amp;IF(AND(Checks!$X$47="",Checks!$Y$47=""),"",CHAR(10)&amp;"Exp: "&amp;Checks!$X$47&amp;"  /  Act: "&amp;Checks!$Y$47)</f>
        <v/>
      </c>
      <c r="F42" s="113" t="str">
        <f aca="false">IF(Checks!$Z$47="","","Evidence: "&amp;Checks!$Z$47)&amp;IF(Checks!$AA$47="","",IF(Checks!$Z$47="","",CHAR(10))&amp;"CA: "&amp;Checks!$AA$47)</f>
        <v/>
      </c>
      <c r="G42" s="113" t="str">
        <f aca="false">IF(ISNUMBER(Checks!$AD$47),TEXT(Checks!$AD$47,"DD-MMM-YY HH:MM")&amp;" "&amp;Checks!$P$47,"")&amp;IF(Checks!$AE$47="","",CHAR(10)&amp;"Verifier: "&amp;Checks!$AE$47)&amp;IF(Checks!$T$47="","",CHAR(10)&amp;"PIC: "&amp;Checks!$T$47)</f>
        <v/>
      </c>
      <c r="H42" s="114" t="str">
        <f aca="false">IF(Checks!$AH$47="","",Checks!$AH$47)</f>
        <v>OPEN</v>
      </c>
    </row>
    <row r="43" customFormat="false" ht="114" hidden="false" customHeight="true" outlineLevel="0" collapsed="false">
      <c r="A43" s="113" t="str">
        <f aca="false">Checks!$A$48&amp;CHAR(10)&amp;IF(Checks!$I$48="","",Checks!$I$48&amp;": ")&amp;Checks!$J$48</f>
        <v>F02-T12-09
F&amp;B Linen: Towel - prepared</v>
      </c>
      <c r="B43" s="113" t="str">
        <f aca="false">Checks!$K$48&amp;IF(Checks!$O$48="","",IF(Checks!$K$48="","",CHAR(10))&amp;"Note: "&amp;Checks!$O$48)</f>
        <v>Available (ticked in reference)
Note: Reference gives no uplift stn for this item: preparation checked at the meal uplift stn (KUL) - confirm with caterer.</v>
      </c>
      <c r="C43" s="113" t="str">
        <f aca="false">Checks!$N$48&amp;CHAR(10)&amp;IF(ISNUMBER(Checks!$R$48),TEXT(Checks!$R$48,"DD-MMM-YY HH:MM"),"")&amp;" "&amp;Checks!$P$48</f>
        <v>Required
09-Oct-26 09:50 KUL</v>
      </c>
      <c r="D43" s="113" t="str">
        <f aca="false">IF(Checks!$U$48="","",Checks!$U$48)&amp;IF(Checks!$AB$48="","",CHAR(10)&amp;"CA: "&amp;Checks!$AB$48)</f>
        <v/>
      </c>
      <c r="E43" s="113" t="str">
        <f aca="false">IF(Checks!$V$48="","",Checks!$V$48)&amp;IF(Checks!$AC$48="","",IF(Checks!$V$48="","",CHAR(10))&amp;"N/A just.: "&amp;Checks!$AC$48)&amp;IF(Checks!$W$48="","",CHAR(10)&amp;"Batch: "&amp;Checks!$W$48)&amp;IF(AND(Checks!$X$48="",Checks!$Y$48=""),"",CHAR(10)&amp;"Exp: "&amp;Checks!$X$48&amp;"  /  Act: "&amp;Checks!$Y$48)</f>
        <v/>
      </c>
      <c r="F43" s="113" t="str">
        <f aca="false">IF(Checks!$Z$48="","","Evidence: "&amp;Checks!$Z$48)&amp;IF(Checks!$AA$48="","",IF(Checks!$Z$48="","",CHAR(10))&amp;"CA: "&amp;Checks!$AA$48)</f>
        <v/>
      </c>
      <c r="G43" s="113" t="str">
        <f aca="false">IF(ISNUMBER(Checks!$AD$48),TEXT(Checks!$AD$48,"DD-MMM-YY HH:MM")&amp;" "&amp;Checks!$P$48,"")&amp;IF(Checks!$AE$48="","",CHAR(10)&amp;"Verifier: "&amp;Checks!$AE$48)&amp;IF(Checks!$T$48="","",CHAR(10)&amp;"PIC: "&amp;Checks!$T$48)</f>
        <v/>
      </c>
      <c r="H43" s="114" t="str">
        <f aca="false">IF(Checks!$AH$48="","",Checks!$AH$48)</f>
        <v>OPEN</v>
      </c>
    </row>
    <row r="44" customFormat="false" ht="114" hidden="false" customHeight="true" outlineLevel="0" collapsed="false">
      <c r="A44" s="113" t="str">
        <f aca="false">Checks!$A$49&amp;CHAR(10)&amp;IF(Checks!$I$49="","",Checks!$I$49&amp;": ")&amp;Checks!$J$49</f>
        <v>F02-T12-10
F&amp;B Linen: Tray cloth - prepared</v>
      </c>
      <c r="B44" s="113" t="str">
        <f aca="false">Checks!$K$49&amp;IF(Checks!$O$49="","",IF(Checks!$K$49="","",CHAR(10))&amp;"Note: "&amp;Checks!$O$49)</f>
        <v>Available (ticked in reference)
Note: Reference gives no uplift stn for this item: preparation checked at the meal uplift stn (KUL) - confirm with caterer.</v>
      </c>
      <c r="C44" s="113" t="str">
        <f aca="false">Checks!$N$49&amp;CHAR(10)&amp;IF(ISNUMBER(Checks!$R$49),TEXT(Checks!$R$49,"DD-MMM-YY HH:MM"),"")&amp;" "&amp;Checks!$P$49</f>
        <v>Required
09-Oct-26 09:50 KUL</v>
      </c>
      <c r="D44" s="113" t="str">
        <f aca="false">IF(Checks!$U$49="","",Checks!$U$49)&amp;IF(Checks!$AB$49="","",CHAR(10)&amp;"CA: "&amp;Checks!$AB$49)</f>
        <v/>
      </c>
      <c r="E44" s="113" t="str">
        <f aca="false">IF(Checks!$V$49="","",Checks!$V$49)&amp;IF(Checks!$AC$49="","",IF(Checks!$V$49="","",CHAR(10))&amp;"N/A just.: "&amp;Checks!$AC$49)&amp;IF(Checks!$W$49="","",CHAR(10)&amp;"Batch: "&amp;Checks!$W$49)&amp;IF(AND(Checks!$X$49="",Checks!$Y$49=""),"",CHAR(10)&amp;"Exp: "&amp;Checks!$X$49&amp;"  /  Act: "&amp;Checks!$Y$49)</f>
        <v/>
      </c>
      <c r="F44" s="113" t="str">
        <f aca="false">IF(Checks!$Z$49="","","Evidence: "&amp;Checks!$Z$49)&amp;IF(Checks!$AA$49="","",IF(Checks!$Z$49="","",CHAR(10))&amp;"CA: "&amp;Checks!$AA$49)</f>
        <v/>
      </c>
      <c r="G44" s="113" t="str">
        <f aca="false">IF(ISNUMBER(Checks!$AD$49),TEXT(Checks!$AD$49,"DD-MMM-YY HH:MM")&amp;" "&amp;Checks!$P$49,"")&amp;IF(Checks!$AE$49="","",CHAR(10)&amp;"Verifier: "&amp;Checks!$AE$49)&amp;IF(Checks!$T$49="","",CHAR(10)&amp;"PIC: "&amp;Checks!$T$49)</f>
        <v/>
      </c>
      <c r="H44" s="114" t="str">
        <f aca="false">IF(Checks!$AH$49="","",Checks!$AH$49)</f>
        <v>OPEN</v>
      </c>
    </row>
    <row r="45" customFormat="false" ht="114" hidden="false" customHeight="true" outlineLevel="0" collapsed="false">
      <c r="A45" s="113" t="str">
        <f aca="false">Checks!$A$50&amp;CHAR(10)&amp;IF(Checks!$I$50="","",Checks!$I$50&amp;": ")&amp;Checks!$J$50</f>
        <v>F02-T12-11
F&amp;B Linen: Napkin - prepared</v>
      </c>
      <c r="B45" s="113" t="str">
        <f aca="false">Checks!$K$50&amp;IF(Checks!$O$50="","",IF(Checks!$K$50="","",CHAR(10))&amp;"Note: "&amp;Checks!$O$50)</f>
        <v>Available (ticked in reference)
Note: Reference gives no uplift stn for this item: preparation checked at the meal uplift stn (KUL) - confirm with caterer.</v>
      </c>
      <c r="C45" s="113" t="str">
        <f aca="false">Checks!$N$50&amp;CHAR(10)&amp;IF(ISNUMBER(Checks!$R$50),TEXT(Checks!$R$50,"DD-MMM-YY HH:MM"),"")&amp;" "&amp;Checks!$P$50</f>
        <v>Required
09-Oct-26 09:50 KUL</v>
      </c>
      <c r="D45" s="113" t="str">
        <f aca="false">IF(Checks!$U$50="","",Checks!$U$50)&amp;IF(Checks!$AB$50="","",CHAR(10)&amp;"CA: "&amp;Checks!$AB$50)</f>
        <v/>
      </c>
      <c r="E45" s="113" t="str">
        <f aca="false">IF(Checks!$V$50="","",Checks!$V$50)&amp;IF(Checks!$AC$50="","",IF(Checks!$V$50="","",CHAR(10))&amp;"N/A just.: "&amp;Checks!$AC$50)&amp;IF(Checks!$W$50="","",CHAR(10)&amp;"Batch: "&amp;Checks!$W$50)&amp;IF(AND(Checks!$X$50="",Checks!$Y$50=""),"",CHAR(10)&amp;"Exp: "&amp;Checks!$X$50&amp;"  /  Act: "&amp;Checks!$Y$50)</f>
        <v/>
      </c>
      <c r="F45" s="113" t="str">
        <f aca="false">IF(Checks!$Z$50="","","Evidence: "&amp;Checks!$Z$50)&amp;IF(Checks!$AA$50="","",IF(Checks!$Z$50="","",CHAR(10))&amp;"CA: "&amp;Checks!$AA$50)</f>
        <v/>
      </c>
      <c r="G45" s="113" t="str">
        <f aca="false">IF(ISNUMBER(Checks!$AD$50),TEXT(Checks!$AD$50,"DD-MMM-YY HH:MM")&amp;" "&amp;Checks!$P$50,"")&amp;IF(Checks!$AE$50="","",CHAR(10)&amp;"Verifier: "&amp;Checks!$AE$50)&amp;IF(Checks!$T$50="","",CHAR(10)&amp;"PIC: "&amp;Checks!$T$50)</f>
        <v/>
      </c>
      <c r="H45" s="114" t="str">
        <f aca="false">IF(Checks!$AH$50="","",Checks!$AH$50)</f>
        <v>OPEN</v>
      </c>
    </row>
    <row r="46" customFormat="false" ht="279" hidden="false" customHeight="true" outlineLevel="0" collapsed="false">
      <c r="A46" s="113" t="str">
        <f aca="false">Checks!$A$51&amp;CHAR(10)&amp;IF(Checks!$I$51="","",Checks!$I$51&amp;": ")&amp;Checks!$J$51</f>
        <v>F02-T12-12
F&amp;B Linen: Table cloth - prepared</v>
      </c>
      <c r="B46" s="113" t="str">
        <f aca="false">SUBSTITUTE(Checks!$K$51&amp;IF(Checks!$O$51="","",IF(Checks!$K$51="","",CHAR(10))&amp;"Note: "&amp;Checks!$O$51),"F&amp;B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13" t="str">
        <f aca="false">Checks!$N$51&amp;CHAR(10)&amp;IF(ISNUMBER(Checks!$R$51),TEXT(Checks!$R$51,"DD-MMM-YY HH:MM"),"")&amp;" "&amp;Checks!$P$51</f>
        <v>Clarification required
09-Oct-26 09:50 KUL</v>
      </c>
      <c r="D46" s="113" t="str">
        <f aca="false">IF(Checks!$U$51="","",Checks!$U$51)&amp;IF(Checks!$AB$51="","",CHAR(10)&amp;"CA: "&amp;Checks!$AB$51)</f>
        <v/>
      </c>
      <c r="E46" s="113" t="str">
        <f aca="false">IF(Checks!$V$51="","",Checks!$V$51)&amp;IF(Checks!$AC$51="","",IF(Checks!$V$51="","",CHAR(10))&amp;"N/A just.: "&amp;Checks!$AC$51)&amp;IF(Checks!$W$51="","",CHAR(10)&amp;"Batch: "&amp;Checks!$W$51)&amp;IF(AND(Checks!$X$51="",Checks!$Y$51=""),"",CHAR(10)&amp;"Exp: "&amp;Checks!$X$51&amp;"  /  Act: "&amp;Checks!$Y$51)</f>
        <v/>
      </c>
      <c r="F46" s="113" t="str">
        <f aca="false">IF(Checks!$Z$51="","","Evidence: "&amp;Checks!$Z$51)&amp;IF(Checks!$AA$51="","",IF(Checks!$Z$51="","",CHAR(10))&amp;"CA: "&amp;Checks!$AA$51)</f>
        <v/>
      </c>
      <c r="G46" s="113" t="str">
        <f aca="false">IF(ISNUMBER(Checks!$AD$51),TEXT(Checks!$AD$51,"DD-MMM-YY HH:MM")&amp;" "&amp;Checks!$P$51,"")&amp;IF(Checks!$AE$51="","",CHAR(10)&amp;"Verifier: "&amp;Checks!$AE$51)&amp;IF(Checks!$T$51="","",CHAR(10)&amp;"PIC: "&amp;Checks!$T$51)</f>
        <v/>
      </c>
      <c r="H46" s="114" t="str">
        <f aca="false">IF(Checks!$AH$51="","",Checks!$AH$51)</f>
        <v>OPEN – CLARIFICATION</v>
      </c>
    </row>
    <row r="47" customFormat="false" ht="279" hidden="false" customHeight="true" outlineLevel="0" collapsed="false">
      <c r="A47" s="113" t="str">
        <f aca="false">Checks!$A$52&amp;CHAR(10)&amp;IF(Checks!$I$52="","",Checks!$I$52&amp;": ")&amp;Checks!$J$52</f>
        <v>F02-T12-13
F&amp;B Linen: Bread linen (using table cloth) - prepared</v>
      </c>
      <c r="B47" s="113" t="str">
        <f aca="false">SUBSTITUTE(Checks!$K$52&amp;IF(Checks!$O$52="","",IF(Checks!$K$52="","",CHAR(10))&amp;"Note: "&amp;Checks!$O$52),"F&amp;B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13" t="str">
        <f aca="false">Checks!$N$52&amp;CHAR(10)&amp;IF(ISNUMBER(Checks!$R$52),TEXT(Checks!$R$52,"DD-MMM-YY HH:MM"),"")&amp;" "&amp;Checks!$P$52</f>
        <v>Clarification required
09-Oct-26 09:50 KUL</v>
      </c>
      <c r="D47" s="113" t="str">
        <f aca="false">IF(Checks!$U$52="","",Checks!$U$52)&amp;IF(Checks!$AB$52="","",CHAR(10)&amp;"CA: "&amp;Checks!$AB$52)</f>
        <v/>
      </c>
      <c r="E47" s="113" t="str">
        <f aca="false">IF(Checks!$V$52="","",Checks!$V$52)&amp;IF(Checks!$AC$52="","",IF(Checks!$V$52="","",CHAR(10))&amp;"N/A just.: "&amp;Checks!$AC$52)&amp;IF(Checks!$W$52="","",CHAR(10)&amp;"Batch: "&amp;Checks!$W$52)&amp;IF(AND(Checks!$X$52="",Checks!$Y$52=""),"",CHAR(10)&amp;"Exp: "&amp;Checks!$X$52&amp;"  /  Act: "&amp;Checks!$Y$52)</f>
        <v/>
      </c>
      <c r="F47" s="113" t="str">
        <f aca="false">IF(Checks!$Z$52="","","Evidence: "&amp;Checks!$Z$52)&amp;IF(Checks!$AA$52="","",IF(Checks!$Z$52="","",CHAR(10))&amp;"CA: "&amp;Checks!$AA$52)</f>
        <v/>
      </c>
      <c r="G47" s="113" t="str">
        <f aca="false">IF(ISNUMBER(Checks!$AD$52),TEXT(Checks!$AD$52,"DD-MMM-YY HH:MM")&amp;" "&amp;Checks!$P$52,"")&amp;IF(Checks!$AE$52="","",CHAR(10)&amp;"Verifier: "&amp;Checks!$AE$52)&amp;IF(Checks!$T$52="","",CHAR(10)&amp;"PIC: "&amp;Checks!$T$52)</f>
        <v/>
      </c>
      <c r="H47" s="114" t="str">
        <f aca="false">IF(Checks!$AH$52="","",Checks!$AH$52)</f>
        <v>OPEN – CLARIFICATION</v>
      </c>
    </row>
    <row r="48" customFormat="false" ht="124.5" hidden="false" customHeight="true" outlineLevel="0" collapsed="false">
      <c r="A48" s="113" t="str">
        <f aca="false">Checks!$A$53&amp;CHAR(10)&amp;IF(Checks!$I$53="","",Checks!$I$53&amp;": ")&amp;Checks!$J$53</f>
        <v>F02-T12-14
F&amp;B Linen: Trolley cloth - prepared</v>
      </c>
      <c r="B48" s="113" t="str">
        <f aca="false">SUBSTITUTE(Checks!$K$53&amp;IF(Checks!$O$53="","",IF(Checks!$K$53="","",CHAR(10))&amp;"Note: "&amp;Checks!$O$53),"F&amp;B LINEN!","Ref: F&amp;B LINEN!")</f>
        <v>Narrow body: Top only
Note: Per note Ref: F&amp;B LINEN!B79:C80. Reference gives no uplift stn for this item: preparation checked at the meal uplift stn (KUL) - confirm with caterer.</v>
      </c>
      <c r="C48" s="113" t="str">
        <f aca="false">Checks!$N$53&amp;CHAR(10)&amp;IF(ISNUMBER(Checks!$R$53),TEXT(Checks!$R$53,"DD-MMM-YY HH:MM"),"")&amp;" "&amp;Checks!$P$53</f>
        <v>Required
09-Oct-26 09:50 KUL</v>
      </c>
      <c r="D48" s="113" t="str">
        <f aca="false">IF(Checks!$U$53="","",Checks!$U$53)&amp;IF(Checks!$AB$53="","",CHAR(10)&amp;"CA: "&amp;Checks!$AB$53)</f>
        <v/>
      </c>
      <c r="E48" s="113" t="str">
        <f aca="false">IF(Checks!$V$53="","",Checks!$V$53)&amp;IF(Checks!$AC$53="","",IF(Checks!$V$53="","",CHAR(10))&amp;"N/A just.: "&amp;Checks!$AC$53)&amp;IF(Checks!$W$53="","",CHAR(10)&amp;"Batch: "&amp;Checks!$W$53)&amp;IF(AND(Checks!$X$53="",Checks!$Y$53=""),"",CHAR(10)&amp;"Exp: "&amp;Checks!$X$53&amp;"  /  Act: "&amp;Checks!$Y$53)</f>
        <v/>
      </c>
      <c r="F48" s="113" t="str">
        <f aca="false">IF(Checks!$Z$53="","","Evidence: "&amp;Checks!$Z$53)&amp;IF(Checks!$AA$53="","",IF(Checks!$Z$53="","",CHAR(10))&amp;"CA: "&amp;Checks!$AA$53)</f>
        <v/>
      </c>
      <c r="G48" s="113" t="str">
        <f aca="false">IF(ISNUMBER(Checks!$AD$53),TEXT(Checks!$AD$53,"DD-MMM-YY HH:MM")&amp;" "&amp;Checks!$P$53,"")&amp;IF(Checks!$AE$53="","",CHAR(10)&amp;"Verifier: "&amp;Checks!$AE$53)&amp;IF(Checks!$T$53="","",CHAR(10)&amp;"PIC: "&amp;Checks!$T$53)</f>
        <v/>
      </c>
      <c r="H48" s="114" t="str">
        <f aca="false">IF(Checks!$AH$53="","",Checks!$AH$53)</f>
        <v>OPEN</v>
      </c>
    </row>
    <row r="49" customFormat="false" ht="114" hidden="false" customHeight="true" outlineLevel="0" collapsed="false">
      <c r="A49" s="113" t="str">
        <f aca="false">Checks!$A$54&amp;CHAR(10)&amp;IF(Checks!$I$54="","",Checks!$I$54&amp;": ")&amp;Checks!$J$54</f>
        <v>F02-T12-15
F&amp;B Linen: Linen bag - prepared</v>
      </c>
      <c r="B49" s="113" t="str">
        <f aca="false">Checks!$K$54&amp;IF(Checks!$O$54="","",IF(Checks!$K$54="","",CHAR(10))&amp;"Note: "&amp;Checks!$O$54)</f>
        <v>Available (ticked in reference)
Note: Reference gives no uplift stn for this item: preparation checked at the meal uplift stn (KUL) - confirm with caterer.</v>
      </c>
      <c r="C49" s="113" t="str">
        <f aca="false">Checks!$N$54&amp;CHAR(10)&amp;IF(ISNUMBER(Checks!$R$54),TEXT(Checks!$R$54,"DD-MMM-YY HH:MM"),"")&amp;" "&amp;Checks!$P$54</f>
        <v>Required
09-Oct-26 09:50 KUL</v>
      </c>
      <c r="D49" s="113" t="str">
        <f aca="false">IF(Checks!$U$54="","",Checks!$U$54)&amp;IF(Checks!$AB$54="","",CHAR(10)&amp;"CA: "&amp;Checks!$AB$54)</f>
        <v/>
      </c>
      <c r="E49" s="113" t="str">
        <f aca="false">IF(Checks!$V$54="","",Checks!$V$54)&amp;IF(Checks!$AC$54="","",IF(Checks!$V$54="","",CHAR(10))&amp;"N/A just.: "&amp;Checks!$AC$54)&amp;IF(Checks!$W$54="","",CHAR(10)&amp;"Batch: "&amp;Checks!$W$54)&amp;IF(AND(Checks!$X$54="",Checks!$Y$54=""),"",CHAR(10)&amp;"Exp: "&amp;Checks!$X$54&amp;"  /  Act: "&amp;Checks!$Y$54)</f>
        <v/>
      </c>
      <c r="F49" s="113" t="str">
        <f aca="false">IF(Checks!$Z$54="","","Evidence: "&amp;Checks!$Z$54)&amp;IF(Checks!$AA$54="","",IF(Checks!$Z$54="","",CHAR(10))&amp;"CA: "&amp;Checks!$AA$54)</f>
        <v/>
      </c>
      <c r="G49" s="113" t="str">
        <f aca="false">IF(ISNUMBER(Checks!$AD$54),TEXT(Checks!$AD$54,"DD-MMM-YY HH:MM")&amp;" "&amp;Checks!$P$54,"")&amp;IF(Checks!$AE$54="","",CHAR(10)&amp;"Verifier: "&amp;Checks!$AE$54)&amp;IF(Checks!$T$54="","",CHAR(10)&amp;"PIC: "&amp;Checks!$T$54)</f>
        <v/>
      </c>
      <c r="H49" s="114" t="str">
        <f aca="false">IF(Checks!$AH$54="","",Checks!$AH$54)</f>
        <v>OPEN</v>
      </c>
    </row>
    <row r="50" customFormat="false" ht="114" hidden="false" customHeight="true" outlineLevel="0" collapsed="false">
      <c r="A50" s="113" t="str">
        <f aca="false">Checks!$A$55&amp;CHAR(10)&amp;IF(Checks!$I$55="","",Checks!$I$55&amp;": ")&amp;Checks!$J$55</f>
        <v>F02-T12-16
Seat Linen: Seat pillow (BS &amp; BC) - prepared</v>
      </c>
      <c r="B50" s="113" t="str">
        <f aca="false">Checks!$K$55&amp;IF(Checks!$O$55="","",IF(Checks!$K$55="","",CHAR(10))&amp;"Note: "&amp;Checks!$O$55)</f>
        <v>Available 100% (ticked in reference)
Note: Reference gives no uplift stn for this item: preparation checked at the meal uplift stn (KUL) - confirm with caterer.</v>
      </c>
      <c r="C50" s="113" t="str">
        <f aca="false">Checks!$N$55&amp;CHAR(10)&amp;IF(ISNUMBER(Checks!$R$55),TEXT(Checks!$R$55,"DD-MMM-YY HH:MM"),"")&amp;" "&amp;Checks!$P$55</f>
        <v>Required
09-Oct-26 09:50 KUL</v>
      </c>
      <c r="D50" s="113" t="str">
        <f aca="false">IF(Checks!$U$55="","",Checks!$U$55)&amp;IF(Checks!$AB$55="","",CHAR(10)&amp;"CA: "&amp;Checks!$AB$55)</f>
        <v/>
      </c>
      <c r="E50" s="113" t="str">
        <f aca="false">IF(Checks!$V$55="","",Checks!$V$55)&amp;IF(Checks!$AC$55="","",IF(Checks!$V$55="","",CHAR(10))&amp;"N/A just.: "&amp;Checks!$AC$55)&amp;IF(Checks!$W$55="","",CHAR(10)&amp;"Batch: "&amp;Checks!$W$55)&amp;IF(AND(Checks!$X$55="",Checks!$Y$55=""),"",CHAR(10)&amp;"Exp: "&amp;Checks!$X$55&amp;"  /  Act: "&amp;Checks!$Y$55)</f>
        <v/>
      </c>
      <c r="F50" s="113" t="str">
        <f aca="false">IF(Checks!$Z$55="","","Evidence: "&amp;Checks!$Z$55)&amp;IF(Checks!$AA$55="","",IF(Checks!$Z$55="","",CHAR(10))&amp;"CA: "&amp;Checks!$AA$55)</f>
        <v/>
      </c>
      <c r="G50" s="113" t="str">
        <f aca="false">IF(ISNUMBER(Checks!$AD$55),TEXT(Checks!$AD$55,"DD-MMM-YY HH:MM")&amp;" "&amp;Checks!$P$55,"")&amp;IF(Checks!$AE$55="","",CHAR(10)&amp;"Verifier: "&amp;Checks!$AE$55)&amp;IF(Checks!$T$55="","",CHAR(10)&amp;"PIC: "&amp;Checks!$T$55)</f>
        <v/>
      </c>
      <c r="H50" s="114" t="str">
        <f aca="false">IF(Checks!$AH$55="","",Checks!$AH$55)</f>
        <v>OPEN</v>
      </c>
    </row>
    <row r="51" customFormat="false" ht="114" hidden="false" customHeight="true" outlineLevel="0" collapsed="false">
      <c r="A51" s="113" t="str">
        <f aca="false">Checks!$A$56&amp;CHAR(10)&amp;IF(Checks!$I$56="","",Checks!$I$56&amp;": ")&amp;Checks!$J$56</f>
        <v>F02-T12-17
Seat Linen: Blanket (BS &amp; BC) - prepared</v>
      </c>
      <c r="B51" s="113" t="str">
        <f aca="false">Checks!$K$56&amp;IF(Checks!$O$56="","",IF(Checks!$K$56="","",CHAR(10))&amp;"Note: "&amp;Checks!$O$56)</f>
        <v>Available 100% (ticked in reference)
Note: Reference gives no uplift stn for this item: preparation checked at the meal uplift stn (KUL) - confirm with caterer.</v>
      </c>
      <c r="C51" s="113" t="str">
        <f aca="false">Checks!$N$56&amp;CHAR(10)&amp;IF(ISNUMBER(Checks!$R$56),TEXT(Checks!$R$56,"DD-MMM-YY HH:MM"),"")&amp;" "&amp;Checks!$P$56</f>
        <v>Required
09-Oct-26 09:50 KUL</v>
      </c>
      <c r="D51" s="113" t="str">
        <f aca="false">IF(Checks!$U$56="","",Checks!$U$56)&amp;IF(Checks!$AB$56="","",CHAR(10)&amp;"CA: "&amp;Checks!$AB$56)</f>
        <v/>
      </c>
      <c r="E51" s="113" t="str">
        <f aca="false">IF(Checks!$V$56="","",Checks!$V$56)&amp;IF(Checks!$AC$56="","",IF(Checks!$V$56="","",CHAR(10))&amp;"N/A just.: "&amp;Checks!$AC$56)&amp;IF(Checks!$W$56="","",CHAR(10)&amp;"Batch: "&amp;Checks!$W$56)&amp;IF(AND(Checks!$X$56="",Checks!$Y$56=""),"",CHAR(10)&amp;"Exp: "&amp;Checks!$X$56&amp;"  /  Act: "&amp;Checks!$Y$56)</f>
        <v/>
      </c>
      <c r="F51" s="113" t="str">
        <f aca="false">IF(Checks!$Z$56="","","Evidence: "&amp;Checks!$Z$56)&amp;IF(Checks!$AA$56="","",IF(Checks!$Z$56="","",CHAR(10))&amp;"CA: "&amp;Checks!$AA$56)</f>
        <v/>
      </c>
      <c r="G51" s="113" t="str">
        <f aca="false">IF(ISNUMBER(Checks!$AD$56),TEXT(Checks!$AD$56,"DD-MMM-YY HH:MM")&amp;" "&amp;Checks!$P$56,"")&amp;IF(Checks!$AE$56="","",CHAR(10)&amp;"Verifier: "&amp;Checks!$AE$56)&amp;IF(Checks!$T$56="","",CHAR(10)&amp;"PIC: "&amp;Checks!$T$56)</f>
        <v/>
      </c>
      <c r="H51" s="114" t="str">
        <f aca="false">IF(Checks!$AH$56="","",Checks!$AH$56)</f>
        <v>OPEN</v>
      </c>
    </row>
    <row r="52" customFormat="false" ht="25.5" hidden="false" customHeight="true" outlineLevel="0" collapsed="false">
      <c r="A52" s="112"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2"/>
      <c r="C52" s="112"/>
      <c r="D52" s="112"/>
      <c r="E52" s="112"/>
      <c r="F52" s="112"/>
      <c r="G52" s="112"/>
      <c r="H52" s="112"/>
    </row>
    <row r="53" customFormat="false" ht="114" hidden="false" customHeight="true" outlineLevel="0" collapsed="false">
      <c r="A53" s="113" t="str">
        <f aca="false">Checks!$A$57&amp;CHAR(10)&amp;IF(Checks!$I$57="","",Checks!$I$57&amp;": ")&amp;Checks!$J$57</f>
        <v>F02-UPL-01
Meal: Meals physically uplifted on board - quantity vs menu checklist</v>
      </c>
      <c r="B53" s="113" t="str">
        <f aca="false">Checks!$K$57&amp;IF(Checks!$O$57="","",IF(Checks!$K$57="","",CHAR(10))&amp;"Note: "&amp;Checks!$O$57)</f>
        <v>Enter expected &amp; actual
Note: Confirm on board before departure; completion time must fall inside the uplift window.</v>
      </c>
      <c r="C53" s="113" t="str">
        <f aca="false">Checks!$N$57&amp;CHAR(10)&amp;IF(ISNUMBER(Checks!$R$57),TEXT(Checks!$R$57,"DD-MMM-YY HH:MM"),"")&amp;" "&amp;Checks!$P$57</f>
        <v>Required
09-Oct-26 21:50 KUL</v>
      </c>
      <c r="D53" s="113" t="str">
        <f aca="false">IF(Checks!$U$57="","",Checks!$U$57)&amp;IF(Checks!$AB$57="","",CHAR(10)&amp;"CA: "&amp;Checks!$AB$57)</f>
        <v/>
      </c>
      <c r="E53" s="113" t="str">
        <f aca="false">IF(Checks!$V$57="","",Checks!$V$57)&amp;IF(Checks!$AC$57="","",IF(Checks!$V$57="","",CHAR(10))&amp;"N/A just.: "&amp;Checks!$AC$57)&amp;IF(Checks!$W$57="","",CHAR(10)&amp;"Batch: "&amp;Checks!$W$57)&amp;IF(AND(Checks!$X$57="",Checks!$Y$57=""),"",CHAR(10)&amp;"Exp: "&amp;Checks!$X$57&amp;"  /  Act: "&amp;Checks!$Y$57)</f>
        <v/>
      </c>
      <c r="F53" s="113" t="str">
        <f aca="false">IF(Checks!$Z$57="","","Evidence: "&amp;Checks!$Z$57)&amp;IF(Checks!$AA$57="","",IF(Checks!$Z$57="","",CHAR(10))&amp;"CA: "&amp;Checks!$AA$57)</f>
        <v/>
      </c>
      <c r="G53" s="113" t="str">
        <f aca="false">IF(ISNUMBER(Checks!$AD$57),TEXT(Checks!$AD$57,"DD-MMM-YY HH:MM")&amp;" "&amp;Checks!$P$57,"")&amp;IF(Checks!$AE$57="","",CHAR(10)&amp;"Verifier: "&amp;Checks!$AE$57)&amp;IF(Checks!$T$57="","",CHAR(10)&amp;"PIC: "&amp;Checks!$T$57)</f>
        <v/>
      </c>
      <c r="H53" s="114" t="str">
        <f aca="false">IF(Checks!$AH$57="","",Checks!$AH$57)</f>
        <v>OPEN</v>
      </c>
    </row>
    <row r="54" customFormat="false" ht="114" hidden="false" customHeight="true" outlineLevel="0" collapsed="false">
      <c r="A54" s="113" t="str">
        <f aca="false">Checks!$A$58&amp;CHAR(10)&amp;IF(Checks!$I$58="","",Checks!$I$58&amp;": ")&amp;Checks!$J$58</f>
        <v>F02-UPL-02
Equipment: Equipment physically loaded at GLD positions - quantity &amp; positions</v>
      </c>
      <c r="B54" s="113" t="str">
        <f aca="false">Checks!$K$58&amp;IF(Checks!$O$58="","",IF(Checks!$K$58="","",CHAR(10))&amp;"Note: "&amp;Checks!$O$58)</f>
        <v>Enter expected &amp; actual
Note: Confirm on board before departure; completion time must fall inside the uplift window.</v>
      </c>
      <c r="C54" s="113" t="str">
        <f aca="false">Checks!$N$58&amp;CHAR(10)&amp;IF(ISNUMBER(Checks!$R$58),TEXT(Checks!$R$58,"DD-MMM-YY HH:MM"),"")&amp;" "&amp;Checks!$P$58</f>
        <v>Required
09-Oct-26 21:50 KUL</v>
      </c>
      <c r="D54" s="113" t="str">
        <f aca="false">IF(Checks!$U$58="","",Checks!$U$58)&amp;IF(Checks!$AB$58="","",CHAR(10)&amp;"CA: "&amp;Checks!$AB$58)</f>
        <v/>
      </c>
      <c r="E54" s="113" t="str">
        <f aca="false">IF(Checks!$V$58="","",Checks!$V$58)&amp;IF(Checks!$AC$58="","",IF(Checks!$V$58="","",CHAR(10))&amp;"N/A just.: "&amp;Checks!$AC$58)&amp;IF(Checks!$W$58="","",CHAR(10)&amp;"Batch: "&amp;Checks!$W$58)&amp;IF(AND(Checks!$X$58="",Checks!$Y$58=""),"",CHAR(10)&amp;"Exp: "&amp;Checks!$X$58&amp;"  /  Act: "&amp;Checks!$Y$58)</f>
        <v/>
      </c>
      <c r="F54" s="113" t="str">
        <f aca="false">IF(Checks!$Z$58="","","Evidence: "&amp;Checks!$Z$58)&amp;IF(Checks!$AA$58="","",IF(Checks!$Z$58="","",CHAR(10))&amp;"CA: "&amp;Checks!$AA$58)</f>
        <v/>
      </c>
      <c r="G54" s="113" t="str">
        <f aca="false">IF(ISNUMBER(Checks!$AD$58),TEXT(Checks!$AD$58,"DD-MMM-YY HH:MM")&amp;" "&amp;Checks!$P$58,"")&amp;IF(Checks!$AE$58="","",CHAR(10)&amp;"Verifier: "&amp;Checks!$AE$58)&amp;IF(Checks!$T$58="","",CHAR(10)&amp;"PIC: "&amp;Checks!$T$58)</f>
        <v/>
      </c>
      <c r="H54" s="114" t="str">
        <f aca="false">IF(Checks!$AH$58="","",Checks!$AH$58)</f>
        <v>OPEN</v>
      </c>
    </row>
    <row r="55" customFormat="false" ht="114" hidden="false" customHeight="true" outlineLevel="0" collapsed="false">
      <c r="A55" s="113" t="str">
        <f aca="false">Checks!$A$59&amp;CHAR(10)&amp;IF(Checks!$I$59="","",Checks!$I$59&amp;": ")&amp;Checks!$J$59</f>
        <v>F02-UPL-03
Amenities: Disposable slippers in DAM cart (BC, on request) - on board</v>
      </c>
      <c r="B55" s="113" t="str">
        <f aca="false">Checks!$K$59&amp;IF(Checks!$O$59="","",IF(Checks!$K$59="","",CHAR(10))&amp;"Note: "&amp;Checks!$O$59)</f>
        <v>Available in DAM cart on request basis
Note: Sector has no BC slippers; note C83: disposable slipper available in DAM cart (on request basis).</v>
      </c>
      <c r="C55" s="113" t="str">
        <f aca="false">Checks!$N$59&amp;CHAR(10)&amp;IF(ISNUMBER(Checks!$R$59),TEXT(Checks!$R$59,"DD-MMM-YY HH:MM"),"")&amp;" "&amp;Checks!$P$59</f>
        <v>Required
09-Oct-26 21:50 KUL</v>
      </c>
      <c r="D55" s="113" t="str">
        <f aca="false">IF(Checks!$U$59="","",Checks!$U$59)&amp;IF(Checks!$AB$59="","",CHAR(10)&amp;"CA: "&amp;Checks!$AB$59)</f>
        <v/>
      </c>
      <c r="E55" s="113" t="str">
        <f aca="false">IF(Checks!$V$59="","",Checks!$V$59)&amp;IF(Checks!$AC$59="","",IF(Checks!$V$59="","",CHAR(10))&amp;"N/A just.: "&amp;Checks!$AC$59)&amp;IF(Checks!$W$59="","",CHAR(10)&amp;"Batch: "&amp;Checks!$W$59)&amp;IF(AND(Checks!$X$59="",Checks!$Y$59=""),"",CHAR(10)&amp;"Exp: "&amp;Checks!$X$59&amp;"  /  Act: "&amp;Checks!$Y$59)</f>
        <v/>
      </c>
      <c r="F55" s="113" t="str">
        <f aca="false">IF(Checks!$Z$59="","","Evidence: "&amp;Checks!$Z$59)&amp;IF(Checks!$AA$59="","",IF(Checks!$Z$59="","",CHAR(10))&amp;"CA: "&amp;Checks!$AA$59)</f>
        <v/>
      </c>
      <c r="G55" s="113" t="str">
        <f aca="false">IF(ISNUMBER(Checks!$AD$59),TEXT(Checks!$AD$59,"DD-MMM-YY HH:MM")&amp;" "&amp;Checks!$P$59,"")&amp;IF(Checks!$AE$59="","",CHAR(10)&amp;"Verifier: "&amp;Checks!$AE$59)&amp;IF(Checks!$T$59="","",CHAR(10)&amp;"PIC: "&amp;Checks!$T$59)</f>
        <v/>
      </c>
      <c r="H55" s="114" t="str">
        <f aca="false">IF(Checks!$AH$59="","",Checks!$AH$59)</f>
        <v>OPEN</v>
      </c>
    </row>
    <row r="56" customFormat="false" ht="114" hidden="false" customHeight="true" outlineLevel="0" collapsed="false">
      <c r="A56" s="113" t="str">
        <f aca="false">Checks!$A$60&amp;CHAR(10)&amp;IF(Checks!$I$60="","",Checks!$I$60&amp;": ")&amp;Checks!$J$60</f>
        <v>F02-UPL-04
F&amp;B Linen: Towel - on board</v>
      </c>
      <c r="B56" s="113" t="str">
        <f aca="false">Checks!$K$60&amp;IF(Checks!$O$60="","",IF(Checks!$K$60="","",CHAR(10))&amp;"Note: "&amp;Checks!$O$60)</f>
        <v>Available (ticked in reference)</v>
      </c>
      <c r="C56" s="113" t="str">
        <f aca="false">Checks!$N$60&amp;CHAR(10)&amp;IF(ISNUMBER(Checks!$R$60),TEXT(Checks!$R$60,"DD-MMM-YY HH:MM"),"")&amp;" "&amp;Checks!$P$60</f>
        <v>Required
09-Oct-26 21:50 KUL</v>
      </c>
      <c r="D56" s="113" t="str">
        <f aca="false">IF(Checks!$U$60="","",Checks!$U$60)&amp;IF(Checks!$AB$60="","",CHAR(10)&amp;"CA: "&amp;Checks!$AB$60)</f>
        <v/>
      </c>
      <c r="E56" s="113" t="str">
        <f aca="false">IF(Checks!$V$60="","",Checks!$V$60)&amp;IF(Checks!$AC$60="","",IF(Checks!$V$60="","",CHAR(10))&amp;"N/A just.: "&amp;Checks!$AC$60)&amp;IF(Checks!$W$60="","",CHAR(10)&amp;"Batch: "&amp;Checks!$W$60)&amp;IF(AND(Checks!$X$60="",Checks!$Y$60=""),"",CHAR(10)&amp;"Exp: "&amp;Checks!$X$60&amp;"  /  Act: "&amp;Checks!$Y$60)</f>
        <v/>
      </c>
      <c r="F56" s="113" t="str">
        <f aca="false">IF(Checks!$Z$60="","","Evidence: "&amp;Checks!$Z$60)&amp;IF(Checks!$AA$60="","",IF(Checks!$Z$60="","",CHAR(10))&amp;"CA: "&amp;Checks!$AA$60)</f>
        <v/>
      </c>
      <c r="G56" s="113" t="str">
        <f aca="false">IF(ISNUMBER(Checks!$AD$60),TEXT(Checks!$AD$60,"DD-MMM-YY HH:MM")&amp;" "&amp;Checks!$P$60,"")&amp;IF(Checks!$AE$60="","",CHAR(10)&amp;"Verifier: "&amp;Checks!$AE$60)&amp;IF(Checks!$T$60="","",CHAR(10)&amp;"PIC: "&amp;Checks!$T$60)</f>
        <v/>
      </c>
      <c r="H56" s="114" t="str">
        <f aca="false">IF(Checks!$AH$60="","",Checks!$AH$60)</f>
        <v>OPEN</v>
      </c>
    </row>
    <row r="57" customFormat="false" ht="114" hidden="false" customHeight="true" outlineLevel="0" collapsed="false">
      <c r="A57" s="113" t="str">
        <f aca="false">Checks!$A$61&amp;CHAR(10)&amp;IF(Checks!$I$61="","",Checks!$I$61&amp;": ")&amp;Checks!$J$61</f>
        <v>F02-UPL-05
F&amp;B Linen: Tray cloth - on board</v>
      </c>
      <c r="B57" s="113" t="str">
        <f aca="false">Checks!$K$61&amp;IF(Checks!$O$61="","",IF(Checks!$K$61="","",CHAR(10))&amp;"Note: "&amp;Checks!$O$61)</f>
        <v>Available (ticked in reference)</v>
      </c>
      <c r="C57" s="113" t="str">
        <f aca="false">Checks!$N$61&amp;CHAR(10)&amp;IF(ISNUMBER(Checks!$R$61),TEXT(Checks!$R$61,"DD-MMM-YY HH:MM"),"")&amp;" "&amp;Checks!$P$61</f>
        <v>Required
09-Oct-26 21:50 KUL</v>
      </c>
      <c r="D57" s="113" t="str">
        <f aca="false">IF(Checks!$U$61="","",Checks!$U$61)&amp;IF(Checks!$AB$61="","",CHAR(10)&amp;"CA: "&amp;Checks!$AB$61)</f>
        <v/>
      </c>
      <c r="E57" s="113" t="str">
        <f aca="false">IF(Checks!$V$61="","",Checks!$V$61)&amp;IF(Checks!$AC$61="","",IF(Checks!$V$61="","",CHAR(10))&amp;"N/A just.: "&amp;Checks!$AC$61)&amp;IF(Checks!$W$61="","",CHAR(10)&amp;"Batch: "&amp;Checks!$W$61)&amp;IF(AND(Checks!$X$61="",Checks!$Y$61=""),"",CHAR(10)&amp;"Exp: "&amp;Checks!$X$61&amp;"  /  Act: "&amp;Checks!$Y$61)</f>
        <v/>
      </c>
      <c r="F57" s="113" t="str">
        <f aca="false">IF(Checks!$Z$61="","","Evidence: "&amp;Checks!$Z$61)&amp;IF(Checks!$AA$61="","",IF(Checks!$Z$61="","",CHAR(10))&amp;"CA: "&amp;Checks!$AA$61)</f>
        <v/>
      </c>
      <c r="G57" s="113" t="str">
        <f aca="false">IF(ISNUMBER(Checks!$AD$61),TEXT(Checks!$AD$61,"DD-MMM-YY HH:MM")&amp;" "&amp;Checks!$P$61,"")&amp;IF(Checks!$AE$61="","",CHAR(10)&amp;"Verifier: "&amp;Checks!$AE$61)&amp;IF(Checks!$T$61="","",CHAR(10)&amp;"PIC: "&amp;Checks!$T$61)</f>
        <v/>
      </c>
      <c r="H57" s="114" t="str">
        <f aca="false">IF(Checks!$AH$61="","",Checks!$AH$61)</f>
        <v>OPEN</v>
      </c>
    </row>
    <row r="58" customFormat="false" ht="114" hidden="false" customHeight="true" outlineLevel="0" collapsed="false">
      <c r="A58" s="113" t="str">
        <f aca="false">Checks!$A$62&amp;CHAR(10)&amp;IF(Checks!$I$62="","",Checks!$I$62&amp;": ")&amp;Checks!$J$62</f>
        <v>F02-UPL-06
F&amp;B Linen: Napkin - on board</v>
      </c>
      <c r="B58" s="113" t="str">
        <f aca="false">Checks!$K$62&amp;IF(Checks!$O$62="","",IF(Checks!$K$62="","",CHAR(10))&amp;"Note: "&amp;Checks!$O$62)</f>
        <v>Available (ticked in reference)</v>
      </c>
      <c r="C58" s="113" t="str">
        <f aca="false">Checks!$N$62&amp;CHAR(10)&amp;IF(ISNUMBER(Checks!$R$62),TEXT(Checks!$R$62,"DD-MMM-YY HH:MM"),"")&amp;" "&amp;Checks!$P$62</f>
        <v>Required
09-Oct-26 21:50 KUL</v>
      </c>
      <c r="D58" s="113" t="str">
        <f aca="false">IF(Checks!$U$62="","",Checks!$U$62)&amp;IF(Checks!$AB$62="","",CHAR(10)&amp;"CA: "&amp;Checks!$AB$62)</f>
        <v/>
      </c>
      <c r="E58" s="113" t="str">
        <f aca="false">IF(Checks!$V$62="","",Checks!$V$62)&amp;IF(Checks!$AC$62="","",IF(Checks!$V$62="","",CHAR(10))&amp;"N/A just.: "&amp;Checks!$AC$62)&amp;IF(Checks!$W$62="","",CHAR(10)&amp;"Batch: "&amp;Checks!$W$62)&amp;IF(AND(Checks!$X$62="",Checks!$Y$62=""),"",CHAR(10)&amp;"Exp: "&amp;Checks!$X$62&amp;"  /  Act: "&amp;Checks!$Y$62)</f>
        <v/>
      </c>
      <c r="F58" s="113" t="str">
        <f aca="false">IF(Checks!$Z$62="","","Evidence: "&amp;Checks!$Z$62)&amp;IF(Checks!$AA$62="","",IF(Checks!$Z$62="","",CHAR(10))&amp;"CA: "&amp;Checks!$AA$62)</f>
        <v/>
      </c>
      <c r="G58" s="113" t="str">
        <f aca="false">IF(ISNUMBER(Checks!$AD$62),TEXT(Checks!$AD$62,"DD-MMM-YY HH:MM")&amp;" "&amp;Checks!$P$62,"")&amp;IF(Checks!$AE$62="","",CHAR(10)&amp;"Verifier: "&amp;Checks!$AE$62)&amp;IF(Checks!$T$62="","",CHAR(10)&amp;"PIC: "&amp;Checks!$T$62)</f>
        <v/>
      </c>
      <c r="H58" s="114" t="str">
        <f aca="false">IF(Checks!$AH$62="","",Checks!$AH$62)</f>
        <v>OPEN</v>
      </c>
    </row>
    <row r="59" customFormat="false" ht="201.75" hidden="false" customHeight="true" outlineLevel="0" collapsed="false">
      <c r="A59" s="113" t="str">
        <f aca="false">Checks!$A$63&amp;CHAR(10)&amp;IF(Checks!$I$63="","",Checks!$I$63&amp;": ")&amp;Checks!$J$63</f>
        <v>F02-UPL-07
F&amp;B Linen: Table cloth - on board</v>
      </c>
      <c r="B59" s="113" t="str">
        <f aca="false">SUBSTITUTE(Checks!$K$63&amp;IF(Checks!$O$63="","",IF(Checks!$K$63="","",CHAR(10))&amp;"Note: "&amp;Checks!$O$63),"F&amp;B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v>
      </c>
      <c r="C59" s="113" t="str">
        <f aca="false">Checks!$N$63&amp;CHAR(10)&amp;IF(ISNUMBER(Checks!$R$63),TEXT(Checks!$R$63,"DD-MMM-YY HH:MM"),"")&amp;" "&amp;Checks!$P$63</f>
        <v>Clarification required
09-Oct-26 21:50 KUL</v>
      </c>
      <c r="D59" s="113" t="str">
        <f aca="false">IF(Checks!$U$63="","",Checks!$U$63)&amp;IF(Checks!$AB$63="","",CHAR(10)&amp;"CA: "&amp;Checks!$AB$63)</f>
        <v/>
      </c>
      <c r="E59" s="113" t="str">
        <f aca="false">IF(Checks!$V$63="","",Checks!$V$63)&amp;IF(Checks!$AC$63="","",IF(Checks!$V$63="","",CHAR(10))&amp;"N/A just.: "&amp;Checks!$AC$63)&amp;IF(Checks!$W$63="","",CHAR(10)&amp;"Batch: "&amp;Checks!$W$63)&amp;IF(AND(Checks!$X$63="",Checks!$Y$63=""),"",CHAR(10)&amp;"Exp: "&amp;Checks!$X$63&amp;"  /  Act: "&amp;Checks!$Y$63)</f>
        <v/>
      </c>
      <c r="F59" s="113" t="str">
        <f aca="false">IF(Checks!$Z$63="","","Evidence: "&amp;Checks!$Z$63)&amp;IF(Checks!$AA$63="","",IF(Checks!$Z$63="","",CHAR(10))&amp;"CA: "&amp;Checks!$AA$63)</f>
        <v/>
      </c>
      <c r="G59" s="113" t="str">
        <f aca="false">IF(ISNUMBER(Checks!$AD$63),TEXT(Checks!$AD$63,"DD-MMM-YY HH:MM")&amp;" "&amp;Checks!$P$63,"")&amp;IF(Checks!$AE$63="","",CHAR(10)&amp;"Verifier: "&amp;Checks!$AE$63)&amp;IF(Checks!$T$63="","",CHAR(10)&amp;"PIC: "&amp;Checks!$T$63)</f>
        <v/>
      </c>
      <c r="H59" s="114" t="str">
        <f aca="false">IF(Checks!$AH$63="","",Checks!$AH$63)</f>
        <v>OPEN – CLARIFICATION</v>
      </c>
    </row>
    <row r="60" customFormat="false" ht="201.75" hidden="false" customHeight="true" outlineLevel="0" collapsed="false">
      <c r="A60" s="113" t="str">
        <f aca="false">Checks!$A$64&amp;CHAR(10)&amp;IF(Checks!$I$64="","",Checks!$I$64&amp;": ")&amp;Checks!$J$64</f>
        <v>F02-UPL-08
F&amp;B Linen: Bread linen (using table cloth) - on board</v>
      </c>
      <c r="B60" s="113" t="str">
        <f aca="false">SUBSTITUTE(Checks!$K$64&amp;IF(Checks!$O$64="","",IF(Checks!$K$64="","",CHAR(10))&amp;"Note: "&amp;Checks!$O$64),"F&amp;B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v>
      </c>
      <c r="C60" s="113" t="str">
        <f aca="false">Checks!$N$64&amp;CHAR(10)&amp;IF(ISNUMBER(Checks!$R$64),TEXT(Checks!$R$64,"DD-MMM-YY HH:MM"),"")&amp;" "&amp;Checks!$P$64</f>
        <v>Clarification required
09-Oct-26 21:50 KUL</v>
      </c>
      <c r="D60" s="113" t="str">
        <f aca="false">IF(Checks!$U$64="","",Checks!$U$64)&amp;IF(Checks!$AB$64="","",CHAR(10)&amp;"CA: "&amp;Checks!$AB$64)</f>
        <v/>
      </c>
      <c r="E60" s="113" t="str">
        <f aca="false">IF(Checks!$V$64="","",Checks!$V$64)&amp;IF(Checks!$AC$64="","",IF(Checks!$V$64="","",CHAR(10))&amp;"N/A just.: "&amp;Checks!$AC$64)&amp;IF(Checks!$W$64="","",CHAR(10)&amp;"Batch: "&amp;Checks!$W$64)&amp;IF(AND(Checks!$X$64="",Checks!$Y$64=""),"",CHAR(10)&amp;"Exp: "&amp;Checks!$X$64&amp;"  /  Act: "&amp;Checks!$Y$64)</f>
        <v/>
      </c>
      <c r="F60" s="113" t="str">
        <f aca="false">IF(Checks!$Z$64="","","Evidence: "&amp;Checks!$Z$64)&amp;IF(Checks!$AA$64="","",IF(Checks!$Z$64="","",CHAR(10))&amp;"CA: "&amp;Checks!$AA$64)</f>
        <v/>
      </c>
      <c r="G60" s="113" t="str">
        <f aca="false">IF(ISNUMBER(Checks!$AD$64),TEXT(Checks!$AD$64,"DD-MMM-YY HH:MM")&amp;" "&amp;Checks!$P$64,"")&amp;IF(Checks!$AE$64="","",CHAR(10)&amp;"Verifier: "&amp;Checks!$AE$64)&amp;IF(Checks!$T$64="","",CHAR(10)&amp;"PIC: "&amp;Checks!$T$64)</f>
        <v/>
      </c>
      <c r="H60" s="114" t="str">
        <f aca="false">IF(Checks!$AH$64="","",Checks!$AH$64)</f>
        <v>OPEN – CLARIFICATION</v>
      </c>
    </row>
    <row r="61" customFormat="false" ht="114" hidden="false" customHeight="true" outlineLevel="0" collapsed="false">
      <c r="A61" s="113" t="str">
        <f aca="false">Checks!$A$65&amp;CHAR(10)&amp;IF(Checks!$I$65="","",Checks!$I$65&amp;": ")&amp;Checks!$J$65</f>
        <v>F02-UPL-09
F&amp;B Linen: Trolley cloth - on board</v>
      </c>
      <c r="B61" s="113" t="str">
        <f aca="false">SUBSTITUTE(Checks!$K$65&amp;IF(Checks!$O$65="","",IF(Checks!$K$65="","",CHAR(10))&amp;"Note: "&amp;Checks!$O$65),"F&amp;B LINEN!","Ref: F&amp;B LINEN!")</f>
        <v>Narrow body: Top only
Note: Per note Ref: F&amp;B LINEN!B79:C80.</v>
      </c>
      <c r="C61" s="113" t="str">
        <f aca="false">Checks!$N$65&amp;CHAR(10)&amp;IF(ISNUMBER(Checks!$R$65),TEXT(Checks!$R$65,"DD-MMM-YY HH:MM"),"")&amp;" "&amp;Checks!$P$65</f>
        <v>Required
09-Oct-26 21:50 KUL</v>
      </c>
      <c r="D61" s="113" t="str">
        <f aca="false">IF(Checks!$U$65="","",Checks!$U$65)&amp;IF(Checks!$AB$65="","",CHAR(10)&amp;"CA: "&amp;Checks!$AB$65)</f>
        <v/>
      </c>
      <c r="E61" s="113" t="str">
        <f aca="false">IF(Checks!$V$65="","",Checks!$V$65)&amp;IF(Checks!$AC$65="","",IF(Checks!$V$65="","",CHAR(10))&amp;"N/A just.: "&amp;Checks!$AC$65)&amp;IF(Checks!$W$65="","",CHAR(10)&amp;"Batch: "&amp;Checks!$W$65)&amp;IF(AND(Checks!$X$65="",Checks!$Y$65=""),"",CHAR(10)&amp;"Exp: "&amp;Checks!$X$65&amp;"  /  Act: "&amp;Checks!$Y$65)</f>
        <v/>
      </c>
      <c r="F61" s="113" t="str">
        <f aca="false">IF(Checks!$Z$65="","","Evidence: "&amp;Checks!$Z$65)&amp;IF(Checks!$AA$65="","",IF(Checks!$Z$65="","",CHAR(10))&amp;"CA: "&amp;Checks!$AA$65)</f>
        <v/>
      </c>
      <c r="G61" s="113" t="str">
        <f aca="false">IF(ISNUMBER(Checks!$AD$65),TEXT(Checks!$AD$65,"DD-MMM-YY HH:MM")&amp;" "&amp;Checks!$P$65,"")&amp;IF(Checks!$AE$65="","",CHAR(10)&amp;"Verifier: "&amp;Checks!$AE$65)&amp;IF(Checks!$T$65="","",CHAR(10)&amp;"PIC: "&amp;Checks!$T$65)</f>
        <v/>
      </c>
      <c r="H61" s="114" t="str">
        <f aca="false">IF(Checks!$AH$65="","",Checks!$AH$65)</f>
        <v>OPEN</v>
      </c>
    </row>
    <row r="62" customFormat="false" ht="114" hidden="false" customHeight="true" outlineLevel="0" collapsed="false">
      <c r="A62" s="113" t="str">
        <f aca="false">Checks!$A$66&amp;CHAR(10)&amp;IF(Checks!$I$66="","",Checks!$I$66&amp;": ")&amp;Checks!$J$66</f>
        <v>F02-UPL-10
F&amp;B Linen: Linen bag - on board</v>
      </c>
      <c r="B62" s="113" t="str">
        <f aca="false">Checks!$K$66&amp;IF(Checks!$O$66="","",IF(Checks!$K$66="","",CHAR(10))&amp;"Note: "&amp;Checks!$O$66)</f>
        <v>Available (ticked in reference)</v>
      </c>
      <c r="C62" s="113" t="str">
        <f aca="false">Checks!$N$66&amp;CHAR(10)&amp;IF(ISNUMBER(Checks!$R$66),TEXT(Checks!$R$66,"DD-MMM-YY HH:MM"),"")&amp;" "&amp;Checks!$P$66</f>
        <v>Required
09-Oct-26 21:50 KUL</v>
      </c>
      <c r="D62" s="113" t="str">
        <f aca="false">IF(Checks!$U$66="","",Checks!$U$66)&amp;IF(Checks!$AB$66="","",CHAR(10)&amp;"CA: "&amp;Checks!$AB$66)</f>
        <v/>
      </c>
      <c r="E62" s="113" t="str">
        <f aca="false">IF(Checks!$V$66="","",Checks!$V$66)&amp;IF(Checks!$AC$66="","",IF(Checks!$V$66="","",CHAR(10))&amp;"N/A just.: "&amp;Checks!$AC$66)&amp;IF(Checks!$W$66="","",CHAR(10)&amp;"Batch: "&amp;Checks!$W$66)&amp;IF(AND(Checks!$X$66="",Checks!$Y$66=""),"",CHAR(10)&amp;"Exp: "&amp;Checks!$X$66&amp;"  /  Act: "&amp;Checks!$Y$66)</f>
        <v/>
      </c>
      <c r="F62" s="113" t="str">
        <f aca="false">IF(Checks!$Z$66="","","Evidence: "&amp;Checks!$Z$66)&amp;IF(Checks!$AA$66="","",IF(Checks!$Z$66="","",CHAR(10))&amp;"CA: "&amp;Checks!$AA$66)</f>
        <v/>
      </c>
      <c r="G62" s="113" t="str">
        <f aca="false">IF(ISNUMBER(Checks!$AD$66),TEXT(Checks!$AD$66,"DD-MMM-YY HH:MM")&amp;" "&amp;Checks!$P$66,"")&amp;IF(Checks!$AE$66="","",CHAR(10)&amp;"Verifier: "&amp;Checks!$AE$66)&amp;IF(Checks!$T$66="","",CHAR(10)&amp;"PIC: "&amp;Checks!$T$66)</f>
        <v/>
      </c>
      <c r="H62" s="114" t="str">
        <f aca="false">IF(Checks!$AH$66="","",Checks!$AH$66)</f>
        <v>OPEN</v>
      </c>
    </row>
    <row r="63" customFormat="false" ht="114" hidden="false" customHeight="true" outlineLevel="0" collapsed="false">
      <c r="A63" s="113" t="str">
        <f aca="false">Checks!$A$67&amp;CHAR(10)&amp;IF(Checks!$I$67="","",Checks!$I$67&amp;": ")&amp;Checks!$J$67</f>
        <v>F02-UPL-11
Seat Linen: Seat pillow (BS &amp; BC) - on board</v>
      </c>
      <c r="B63" s="113" t="str">
        <f aca="false">Checks!$K$67&amp;IF(Checks!$O$67="","",IF(Checks!$K$67="","",CHAR(10))&amp;"Note: "&amp;Checks!$O$67)</f>
        <v>Available 100% (ticked in reference)</v>
      </c>
      <c r="C63" s="113" t="str">
        <f aca="false">Checks!$N$67&amp;CHAR(10)&amp;IF(ISNUMBER(Checks!$R$67),TEXT(Checks!$R$67,"DD-MMM-YY HH:MM"),"")&amp;" "&amp;Checks!$P$67</f>
        <v>Required
09-Oct-26 21:50 KUL</v>
      </c>
      <c r="D63" s="113" t="str">
        <f aca="false">IF(Checks!$U$67="","",Checks!$U$67)&amp;IF(Checks!$AB$67="","",CHAR(10)&amp;"CA: "&amp;Checks!$AB$67)</f>
        <v/>
      </c>
      <c r="E63" s="113" t="str">
        <f aca="false">IF(Checks!$V$67="","",Checks!$V$67)&amp;IF(Checks!$AC$67="","",IF(Checks!$V$67="","",CHAR(10))&amp;"N/A just.: "&amp;Checks!$AC$67)&amp;IF(Checks!$W$67="","",CHAR(10)&amp;"Batch: "&amp;Checks!$W$67)&amp;IF(AND(Checks!$X$67="",Checks!$Y$67=""),"",CHAR(10)&amp;"Exp: "&amp;Checks!$X$67&amp;"  /  Act: "&amp;Checks!$Y$67)</f>
        <v/>
      </c>
      <c r="F63" s="113" t="str">
        <f aca="false">IF(Checks!$Z$67="","","Evidence: "&amp;Checks!$Z$67)&amp;IF(Checks!$AA$67="","",IF(Checks!$Z$67="","",CHAR(10))&amp;"CA: "&amp;Checks!$AA$67)</f>
        <v/>
      </c>
      <c r="G63" s="113" t="str">
        <f aca="false">IF(ISNUMBER(Checks!$AD$67),TEXT(Checks!$AD$67,"DD-MMM-YY HH:MM")&amp;" "&amp;Checks!$P$67,"")&amp;IF(Checks!$AE$67="","",CHAR(10)&amp;"Verifier: "&amp;Checks!$AE$67)&amp;IF(Checks!$T$67="","",CHAR(10)&amp;"PIC: "&amp;Checks!$T$67)</f>
        <v/>
      </c>
      <c r="H63" s="114" t="str">
        <f aca="false">IF(Checks!$AH$67="","",Checks!$AH$67)</f>
        <v>OPEN</v>
      </c>
    </row>
    <row r="64" customFormat="false" ht="114" hidden="false" customHeight="true" outlineLevel="0" collapsed="false">
      <c r="A64" s="113" t="str">
        <f aca="false">Checks!$A$68&amp;CHAR(10)&amp;IF(Checks!$I$68="","",Checks!$I$68&amp;": ")&amp;Checks!$J$68</f>
        <v>F02-UPL-12
Seat Linen: Blanket (BS &amp; BC) - on board</v>
      </c>
      <c r="B64" s="113" t="str">
        <f aca="false">Checks!$K$68&amp;IF(Checks!$O$68="","",IF(Checks!$K$68="","",CHAR(10))&amp;"Note: "&amp;Checks!$O$68)</f>
        <v>Available 100% (ticked in reference)</v>
      </c>
      <c r="C64" s="113" t="str">
        <f aca="false">Checks!$N$68&amp;CHAR(10)&amp;IF(ISNUMBER(Checks!$R$68),TEXT(Checks!$R$68,"DD-MMM-YY HH:MM"),"")&amp;" "&amp;Checks!$P$68</f>
        <v>Required
09-Oct-26 21:50 KUL</v>
      </c>
      <c r="D64" s="113" t="str">
        <f aca="false">IF(Checks!$U$68="","",Checks!$U$68)&amp;IF(Checks!$AB$68="","",CHAR(10)&amp;"CA: "&amp;Checks!$AB$68)</f>
        <v/>
      </c>
      <c r="E64" s="113" t="str">
        <f aca="false">IF(Checks!$V$68="","",Checks!$V$68)&amp;IF(Checks!$AC$68="","",IF(Checks!$V$68="","",CHAR(10))&amp;"N/A just.: "&amp;Checks!$AC$68)&amp;IF(Checks!$W$68="","",CHAR(10)&amp;"Batch: "&amp;Checks!$W$68)&amp;IF(AND(Checks!$X$68="",Checks!$Y$68=""),"",CHAR(10)&amp;"Exp: "&amp;Checks!$X$68&amp;"  /  Act: "&amp;Checks!$Y$68)</f>
        <v/>
      </c>
      <c r="F64" s="113" t="str">
        <f aca="false">IF(Checks!$Z$68="","","Evidence: "&amp;Checks!$Z$68)&amp;IF(Checks!$AA$68="","",IF(Checks!$Z$68="","",CHAR(10))&amp;"CA: "&amp;Checks!$AA$68)</f>
        <v/>
      </c>
      <c r="G64" s="113" t="str">
        <f aca="false">IF(ISNUMBER(Checks!$AD$68),TEXT(Checks!$AD$68,"DD-MMM-YY HH:MM")&amp;" "&amp;Checks!$P$68,"")&amp;IF(Checks!$AE$68="","",CHAR(10)&amp;"Verifier: "&amp;Checks!$AE$68)&amp;IF(Checks!$T$68="","",CHAR(10)&amp;"PIC: "&amp;Checks!$T$68)</f>
        <v/>
      </c>
      <c r="H64" s="114" t="str">
        <f aca="false">IF(Checks!$AH$68="","",Checks!$AH$68)</f>
        <v>OPEN</v>
      </c>
    </row>
    <row r="66" customFormat="false" ht="24" hidden="false" customHeight="true" outlineLevel="0" collapsed="false">
      <c r="A66" s="115" t="s">
        <v>1650</v>
      </c>
      <c r="B66" s="115"/>
      <c r="C66" s="115"/>
      <c r="D66" s="115"/>
      <c r="E66" s="115" t="s">
        <v>1651</v>
      </c>
      <c r="F66" s="115"/>
      <c r="G66" s="115"/>
      <c r="H66" s="115"/>
    </row>
    <row r="67" customFormat="false" ht="21.75" hidden="false" customHeight="true" outlineLevel="0" collapsed="false">
      <c r="A67" s="116"/>
      <c r="B67" s="116"/>
      <c r="C67" s="116"/>
      <c r="D67" s="116"/>
      <c r="E67" s="116"/>
      <c r="F67" s="116"/>
      <c r="G67" s="116"/>
      <c r="H67" s="116"/>
    </row>
    <row r="68" customFormat="false" ht="21.75" hidden="false" customHeight="true" outlineLevel="0" collapsed="false">
      <c r="A68" s="116"/>
      <c r="B68" s="116"/>
      <c r="C68" s="116"/>
      <c r="D68" s="116"/>
      <c r="E68" s="116"/>
      <c r="F68" s="116"/>
      <c r="G68" s="116"/>
      <c r="H68" s="116"/>
    </row>
    <row r="69" customFormat="false" ht="21.75" hidden="false" customHeight="true" outlineLevel="0" collapsed="false">
      <c r="A69" s="116"/>
      <c r="B69" s="116"/>
      <c r="C69" s="116"/>
      <c r="D69" s="116"/>
      <c r="E69" s="116"/>
      <c r="F69" s="116"/>
      <c r="G69" s="116"/>
      <c r="H69" s="116"/>
    </row>
    <row r="70" customFormat="false" ht="21.75" hidden="false" customHeight="true" outlineLevel="0" collapsed="false">
      <c r="A70" s="116"/>
      <c r="B70" s="116"/>
      <c r="C70" s="116"/>
      <c r="D70" s="116"/>
      <c r="E70" s="116"/>
      <c r="F70" s="116"/>
      <c r="G70" s="116"/>
      <c r="H70" s="116"/>
    </row>
    <row r="71" customFormat="false" ht="21.75" hidden="false" customHeight="true" outlineLevel="0" collapsed="false">
      <c r="A71" s="116"/>
      <c r="B71" s="116"/>
      <c r="C71" s="116"/>
      <c r="D71" s="116"/>
      <c r="E71" s="116"/>
      <c r="F71" s="116"/>
      <c r="G71" s="116"/>
      <c r="H71" s="116"/>
    </row>
    <row r="72" customFormat="false" ht="21.75" hidden="false" customHeight="true" outlineLevel="0" collapsed="false">
      <c r="A72" s="116"/>
      <c r="B72" s="116"/>
      <c r="C72" s="116"/>
      <c r="D72" s="116"/>
      <c r="E72" s="116"/>
      <c r="F72" s="116"/>
      <c r="G72" s="116"/>
      <c r="H72" s="116"/>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4">
    <cfRule type="expression" priority="17" aboveAverage="0" equalAverage="0" bottom="0" percent="0" rank="0" text="" dxfId="34">
      <formula>LEFT($H23,3)="N/A"</formula>
    </cfRule>
  </conditionalFormatting>
  <conditionalFormatting sqref="D23:D6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F03  "&amp;Flights!$F$7&amp;"  "&amp;TEXT(Flights!$D$7,"DD-MMM-YY")&amp;" ("&amp;Flights!$E$7&amp;")  "&amp;Flights!$G$7&amp;" → "&amp;Flights!$H$7&amp;"  |  Class "&amp;Flights!$K$7</f>
        <v>SKYTRAX 2026 CATERING READINESS CHECKLIST  |  F03  MH0720  10-Oct-26 (SAT)  CGK → KUL  |  Class EY</v>
      </c>
      <c r="B1" s="91"/>
      <c r="C1" s="91"/>
      <c r="D1" s="91"/>
      <c r="E1" s="91"/>
      <c r="F1" s="91"/>
      <c r="G1" s="91"/>
      <c r="H1" s="91"/>
    </row>
    <row r="2" customFormat="false" ht="12.75" hidden="false" customHeight="true" outlineLevel="0" collapsed="false">
      <c r="A2" s="92" t="s">
        <v>1605</v>
      </c>
      <c r="B2" s="93" t="str">
        <f aca="false">Flights!$F$7&amp;"   "&amp;TEXT(Flights!$D$7,"DD-MMM-YY")&amp;" ("&amp;Flights!$E$7&amp;")"</f>
        <v>MH0720   10-Oct-26 (SAT)</v>
      </c>
      <c r="C2" s="93"/>
      <c r="D2" s="93"/>
      <c r="E2" s="94" t="s">
        <v>1606</v>
      </c>
      <c r="F2" s="95" t="str">
        <f aca="false">Flights!$AT$7</f>
        <v>NOT READY – DOCUMENTS</v>
      </c>
      <c r="G2" s="95"/>
      <c r="H2" s="95"/>
    </row>
    <row r="3" customFormat="false" ht="24" hidden="false" customHeight="true" outlineLevel="0" collapsed="false">
      <c r="A3" s="92" t="s">
        <v>1607</v>
      </c>
      <c r="B3" s="93" t="str">
        <f aca="false">Flights!$G$7&amp;" → "&amp;Flights!$H$7&amp;"   Class "&amp;Flights!$K$7&amp;"   Seat "&amp;Flights!$O$7</f>
        <v>CGK → KUL   Class EY   Seat 11C</v>
      </c>
      <c r="C3" s="93"/>
      <c r="D3" s="93"/>
      <c r="E3" s="94" t="s">
        <v>68</v>
      </c>
      <c r="F3" s="94" t="s">
        <v>1608</v>
      </c>
      <c r="G3" s="94" t="s">
        <v>1609</v>
      </c>
      <c r="H3" s="94"/>
    </row>
    <row r="4" customFormat="false" ht="24" hidden="false" customHeight="true" outlineLevel="0" collapsed="false">
      <c r="A4" s="92" t="s">
        <v>1610</v>
      </c>
      <c r="B4" s="93" t="str">
        <f aca="false">IF(ISNUMBER(Flights!$I$7),TEXT(Flights!$I$7,"DD-MMM-YY HH:MM"),"")&amp;" "&amp;Flights!$G$7&amp;"  →  "&amp;IF(ISNUMBER(Flights!$J$7),TEXT(Flights!$J$7,"DD-MMM-YY HH:MM"),"")&amp;" "&amp;Flights!$H$7</f>
        <v>10-Oct-26 16:05 CGK  →  10-Oct-26 19:25 KUL</v>
      </c>
      <c r="C4" s="93"/>
      <c r="D4" s="93"/>
      <c r="E4" s="92" t="s">
        <v>1611</v>
      </c>
      <c r="F4" s="96" t="str">
        <f aca="false">IF(ISNUMBER(Flights!$AG$7),TEXT(Flights!$AG$7,"DD-MMM-YY HH:MM"),"")&amp;" "&amp;Flights!$V$7</f>
        <v>03-Oct-26 16:05 CGK</v>
      </c>
      <c r="G4" s="97" t="n">
        <f aca="false">Flights!$AJ$7</f>
        <v>0</v>
      </c>
      <c r="H4" s="97"/>
    </row>
    <row r="5" customFormat="false" ht="24" hidden="false" customHeight="true" outlineLevel="0" collapsed="false">
      <c r="A5" s="92" t="s">
        <v>1612</v>
      </c>
      <c r="B5" s="93" t="str">
        <f aca="false">Flights!$L$7&amp;" – "&amp;Flights!$M$7</f>
        <v>A333 – A330-300 (A333)</v>
      </c>
      <c r="C5" s="93"/>
      <c r="D5" s="93"/>
      <c r="E5" s="92" t="s">
        <v>1613</v>
      </c>
      <c r="F5" s="96" t="str">
        <f aca="false">IF(ISNUMBER(Flights!$AH$7),TEXT(Flights!$AH$7,"DD-MMM-YY HH:MM"),"")&amp;" "&amp;Flights!$V$7</f>
        <v>09-Oct-26 16:05 CGK</v>
      </c>
      <c r="G5" s="97" t="n">
        <f aca="false">Flights!$AK$7</f>
        <v>0</v>
      </c>
      <c r="H5" s="97"/>
    </row>
    <row r="6" customFormat="false" ht="24" hidden="false" customHeight="true" outlineLevel="0" collapsed="false">
      <c r="A6" s="92" t="s">
        <v>1614</v>
      </c>
      <c r="B6" s="93" t="str">
        <f aca="false">IF(TRIM(Flights!$N$7)="","__________________",Flights!$N$7)</f>
        <v>__________________</v>
      </c>
      <c r="C6" s="93"/>
      <c r="D6" s="93"/>
      <c r="E6" s="92" t="s">
        <v>1615</v>
      </c>
      <c r="F6" s="96" t="str">
        <f aca="false">IF(ISNUMBER(Flights!$AI$7),TEXT(Flights!$AI$7,"DD-MMM-YY HH:MM"),"")&amp;" "&amp;Flights!$V$7&amp;IF(Flights!$AI$7=Flights!$AH$7,"  (= T-24H due)","")</f>
        <v>10-Oct-26 04:05 CGK</v>
      </c>
      <c r="G6" s="97" t="n">
        <f aca="false">Flights!$AL$7</f>
        <v>0</v>
      </c>
      <c r="H6" s="97"/>
    </row>
    <row r="7" customFormat="false" ht="24" hidden="false" customHeight="true" outlineLevel="0" collapsed="false">
      <c r="A7" s="92" t="s">
        <v>1616</v>
      </c>
      <c r="B7" s="93" t="str">
        <f aca="false">Flights!$T$7</f>
        <v>1 Meal (Meal)</v>
      </c>
      <c r="C7" s="93"/>
      <c r="D7" s="93"/>
      <c r="E7" s="92" t="s">
        <v>1617</v>
      </c>
      <c r="F7" s="96" t="str">
        <f aca="false">"STD "&amp;IF(ISNUMBER(Flights!$I$7),TEXT(Flights!$I$7,"DD-MMM-YY HH:MM"),"")&amp;" "&amp;Flights!$G$7&amp;" (dep stn)"</f>
        <v>STD 10-Oct-26 16:05 CGK (dep stn)</v>
      </c>
      <c r="G7" s="97" t="n">
        <f aca="false">Flights!$AM$7</f>
        <v>0</v>
      </c>
      <c r="H7" s="97"/>
    </row>
    <row r="8" customFormat="false" ht="12.75" hidden="false" customHeight="true" outlineLevel="0" collapsed="false">
      <c r="A8" s="92" t="s">
        <v>150</v>
      </c>
      <c r="B8" s="93" t="str">
        <f aca="false">Flights!$V$7&amp;"   (reference uplift stns: "&amp;Flights!$U$7&amp;")"</f>
        <v>CGK   (reference uplift stns: KUL/CGK)</v>
      </c>
      <c r="C8" s="93"/>
      <c r="D8" s="93"/>
      <c r="E8" s="92" t="s">
        <v>1618</v>
      </c>
      <c r="F8" s="98" t="s">
        <v>1619</v>
      </c>
      <c r="G8" s="97" t="n">
        <f aca="false">Flights!$AN$7</f>
        <v>0</v>
      </c>
      <c r="H8" s="97"/>
    </row>
    <row r="9" customFormat="false" ht="12.75" hidden="false" customHeight="true" outlineLevel="0" collapsed="false">
      <c r="A9" s="92" t="s">
        <v>1620</v>
      </c>
      <c r="B9" s="93" t="str">
        <f aca="false">TRIM(Flights!$P$7&amp;"  "&amp;Flights!$Q$7)</f>
        <v>-</v>
      </c>
      <c r="C9" s="93"/>
      <c r="D9" s="93"/>
      <c r="E9" s="92" t="s">
        <v>1621</v>
      </c>
      <c r="F9" s="99" t="n">
        <f aca="false">Flights!$AP$7</f>
        <v>0</v>
      </c>
      <c r="G9" s="99" t="n">
        <f aca="false">Flights!$AQ$7</f>
        <v>0</v>
      </c>
      <c r="H9" s="99" t="n">
        <f aca="false">Flights!$AU$7</f>
        <v>0</v>
      </c>
    </row>
    <row r="10" customFormat="false" ht="24" hidden="false" customHeight="true" outlineLevel="0" collapsed="false">
      <c r="A10" s="92" t="s">
        <v>1622</v>
      </c>
      <c r="B10" s="93" t="str">
        <f aca="false">IF(TRIM(Flights!$X$7)="","__________________",Flights!$X$7)</f>
        <v>__________________</v>
      </c>
      <c r="C10" s="93"/>
      <c r="D10" s="93"/>
      <c r="E10" s="92" t="s">
        <v>1623</v>
      </c>
      <c r="F10" s="99" t="n">
        <f aca="false">Flights!$AO$7</f>
        <v>20</v>
      </c>
      <c r="G10" s="99" t="n">
        <f aca="false">Flights!$AS$7</f>
        <v>0</v>
      </c>
      <c r="H10" s="99" t="n">
        <f aca="false">Flights!$AR$7</f>
        <v>2</v>
      </c>
    </row>
    <row r="11" customFormat="false" ht="21" hidden="false" customHeight="true" outlineLevel="0" collapsed="false">
      <c r="A11" s="92" t="s">
        <v>1624</v>
      </c>
      <c r="B11" s="93" t="str">
        <f aca="false">IF(TRIM(Flights!$Y$7)="","__________________",Flights!$Y$7)</f>
        <v>__________________</v>
      </c>
      <c r="C11" s="93"/>
      <c r="D11" s="93"/>
      <c r="E11" s="92" t="s">
        <v>1625</v>
      </c>
      <c r="F11" s="99" t="str">
        <f aca="false">Flights!$AV$7&amp;" / "&amp;Flights!$AW$7</f>
        <v>0 / 20</v>
      </c>
      <c r="G11" s="100" t="str">
        <f aca="false">IF(ISNUMBER(Settings!$B$6),TEXT(Settings!$B$6,"DD-MMM-YY HH:MM"),"")</f>
        <v>28-Sep-26 03:19</v>
      </c>
      <c r="H11" s="100"/>
    </row>
    <row r="12" customFormat="false" ht="34.5" hidden="false" customHeight="true" outlineLevel="0" collapsed="false">
      <c r="A12" s="101" t="s">
        <v>1626</v>
      </c>
      <c r="B12" s="101"/>
      <c r="C12" s="101"/>
      <c r="D12" s="101"/>
      <c r="E12" s="102" t="s">
        <v>1627</v>
      </c>
      <c r="F12" s="103" t="s">
        <v>1628</v>
      </c>
      <c r="G12" s="104" t="s">
        <v>89</v>
      </c>
      <c r="H12" s="105" t="s">
        <v>1629</v>
      </c>
    </row>
    <row r="13" customFormat="false" ht="13.5" hidden="false" customHeight="true" outlineLevel="0" collapsed="false">
      <c r="A13" s="94" t="s">
        <v>1630</v>
      </c>
      <c r="B13" s="94" t="s">
        <v>1631</v>
      </c>
      <c r="C13" s="94" t="s">
        <v>1632</v>
      </c>
      <c r="D13" s="94"/>
      <c r="E13" s="94" t="s">
        <v>1633</v>
      </c>
      <c r="F13" s="94" t="s">
        <v>1634</v>
      </c>
      <c r="G13" s="94"/>
      <c r="H13" s="94"/>
    </row>
    <row r="14" customFormat="false" ht="36" hidden="false" customHeight="true" outlineLevel="0" collapsed="false">
      <c r="A14" s="92" t="s">
        <v>1635</v>
      </c>
      <c r="B14" s="93" t="str">
        <f aca="false">IF(Documents!$F$7="","",Documents!$F$7)</f>
        <v/>
      </c>
      <c r="C14" s="98" t="str">
        <f aca="false">IF(Documents!$G$7="","",Documents!$G$7)&amp;IF(ISNUMBER(Documents!$H$7),"  "&amp;TEXT(Documents!$H$7,"DD-MMM-YY"),"")</f>
        <v/>
      </c>
      <c r="D14" s="98"/>
      <c r="E14" s="106" t="str">
        <f aca="false">IF(Documents!$J$7="OUTSTANDING","OUTSTANDING – attach before T-7D (due "&amp;IF(ISNUMBER(Flights!$AG$7),TEXT(Flights!$AG$7,"DD-MMM-YY HH:MM"),"")&amp;" "&amp;Flights!$V$7&amp;")",IF(Documents!$J$7="","Status not recorded",Documents!$J$7))</f>
        <v>OUTSTANDING – attach before T-7D (due 03-Oct-26 16:05 CGK)</v>
      </c>
      <c r="F14" s="107" t="str">
        <f aca="false">"Staple behind this sheet as page A1."&amp;IF(Documents!$I$7="",""," Location: "&amp;Documents!$I$7)</f>
        <v>Staple behind this sheet as page A1.</v>
      </c>
      <c r="G14" s="107"/>
      <c r="H14" s="107"/>
    </row>
    <row r="15" customFormat="false" ht="36" hidden="false" customHeight="true" outlineLevel="0" collapsed="false">
      <c r="A15" s="92" t="s">
        <v>1636</v>
      </c>
      <c r="B15" s="93" t="str">
        <f aca="false">IF(Documents!$K$7="","",Documents!$K$7)</f>
        <v/>
      </c>
      <c r="C15" s="98" t="str">
        <f aca="false">IF(Documents!$L$7="","",Documents!$L$7)&amp;IF(ISNUMBER(Documents!$M$7),"  "&amp;TEXT(Documents!$M$7,"DD-MMM-YY"),"")</f>
        <v/>
      </c>
      <c r="D15" s="98"/>
      <c r="E15" s="106" t="str">
        <f aca="false">IF(Documents!$O$7="OUTSTANDING","OUTSTANDING – attach before T-7D (due "&amp;IF(ISNUMBER(Flights!$AG$7),TEXT(Flights!$AG$7,"DD-MMM-YY HH:MM"),"")&amp;" "&amp;Flights!$V$7&amp;")",IF(Documents!$O$7="","Status not recorded",Documents!$O$7))</f>
        <v>OUTSTANDING – attach before T-7D (due 03-Oct-26 16:05 CGK)</v>
      </c>
      <c r="F15" s="107" t="str">
        <f aca="false">"Staple behind this sheet as page A2."&amp;IF(Documents!$N$7="",""," Location: "&amp;Documents!$N$7)</f>
        <v>Staple behind this sheet as page A2.</v>
      </c>
      <c r="G15" s="107"/>
      <c r="H15" s="107"/>
    </row>
    <row r="16" customFormat="false" ht="22.5" hidden="false" customHeight="true" outlineLevel="0" collapsed="false">
      <c r="A16" s="92" t="s">
        <v>1637</v>
      </c>
      <c r="B16" s="108" t="str">
        <f aca="false">IF(Documents!$Q$7="","",Documents!$Q$7)</f>
        <v>Not supplied with brief – obtain from caterer / MAGCS.</v>
      </c>
      <c r="C16" s="108"/>
      <c r="D16" s="108"/>
      <c r="E16" s="108"/>
      <c r="F16" s="108"/>
      <c r="G16" s="108"/>
      <c r="H16" s="108"/>
    </row>
    <row r="17" customFormat="false" ht="13.5" hidden="false" customHeight="true" outlineLevel="0" collapsed="false">
      <c r="A17" s="109" t="s">
        <v>1638</v>
      </c>
      <c r="B17" s="109"/>
      <c r="C17" s="109" t="s">
        <v>1639</v>
      </c>
      <c r="D17" s="109"/>
      <c r="E17" s="109"/>
      <c r="F17" s="109" t="s">
        <v>1640</v>
      </c>
      <c r="G17" s="109"/>
      <c r="H17" s="109"/>
    </row>
    <row r="18" customFormat="false" ht="18" hidden="false" customHeight="true" outlineLevel="0" collapsed="false">
      <c r="A18" s="93" t="str">
        <f aca="false">"Name: "&amp;IF(TRIM(Flights!$Y$7)="","__________________",Flights!$Y$7)</f>
        <v>Name: __________________</v>
      </c>
      <c r="B18" s="93"/>
      <c r="C18" s="93" t="str">
        <f aca="false">"Name: __________________"</f>
        <v>Name: __________________</v>
      </c>
      <c r="D18" s="93"/>
      <c r="E18" s="93"/>
      <c r="F18" s="93" t="str">
        <f aca="false">"Name: __________________"&amp;"   Station: "&amp;Flights!$V$7</f>
        <v>Name: __________________   Station: CGK</v>
      </c>
      <c r="G18" s="93"/>
      <c r="H18" s="93"/>
    </row>
    <row r="19" customFormat="false" ht="30" hidden="false" customHeight="true" outlineLevel="0" collapsed="false">
      <c r="A19" s="110" t="s">
        <v>1641</v>
      </c>
      <c r="B19" s="110"/>
      <c r="C19" s="110" t="s">
        <v>1641</v>
      </c>
      <c r="D19" s="110"/>
      <c r="E19" s="110"/>
      <c r="F19" s="110" t="s">
        <v>1641</v>
      </c>
      <c r="G19" s="110"/>
      <c r="H19" s="110"/>
    </row>
    <row r="20" customFormat="false" ht="13.5" hidden="false" customHeight="true" outlineLevel="0" collapsed="false">
      <c r="A20" s="111" t="s">
        <v>1642</v>
      </c>
      <c r="B20" s="111"/>
      <c r="C20" s="111"/>
      <c r="D20" s="111"/>
      <c r="E20" s="111"/>
      <c r="F20" s="111"/>
      <c r="G20" s="111"/>
      <c r="H20" s="111"/>
    </row>
    <row r="21" customFormat="false" ht="24" hidden="false" customHeight="true" outlineLevel="0" collapsed="false">
      <c r="A21" s="94" t="s">
        <v>1643</v>
      </c>
      <c r="B21" s="94" t="s">
        <v>1644</v>
      </c>
      <c r="C21" s="94" t="s">
        <v>1645</v>
      </c>
      <c r="D21" s="94" t="s">
        <v>1646</v>
      </c>
      <c r="E21" s="94" t="s">
        <v>1647</v>
      </c>
      <c r="F21" s="94" t="s">
        <v>1648</v>
      </c>
      <c r="G21" s="94" t="s">
        <v>1649</v>
      </c>
      <c r="H21" s="94" t="s">
        <v>121</v>
      </c>
    </row>
    <row r="22" customFormat="false" ht="25.5" hidden="false" customHeight="true" outlineLevel="0" collapsed="false">
      <c r="A22" s="112"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Checks!$A$69&amp;CHAR(10)&amp;IF(Checks!$I$69="","",Checks!$I$69&amp;": ")&amp;Checks!$J$69</f>
        <v>F03-T7-01
Meal: Meal sensory testing completed for this flight's menu cycle (assessed class)</v>
      </c>
      <c r="B23" s="113" t="str">
        <f aca="false">Checks!$K$69&amp;IF(Checks!$O$69="","",IF(Checks!$K$69="","",CHAR(10))&amp;"Note: "&amp;Checks!$O$69)</f>
        <v>Record panel result / score in Result</v>
      </c>
      <c r="C23" s="113" t="str">
        <f aca="false">Checks!$N$69&amp;CHAR(10)&amp;IF(ISNUMBER(Checks!$R$69),TEXT(Checks!$R$69,"DD-MMM-YY HH:MM"),"")&amp;" "&amp;Checks!$P$69</f>
        <v>Required
03-Oct-26 16:05 CGK</v>
      </c>
      <c r="D23" s="113" t="str">
        <f aca="false">IF(Checks!$U$69="","",Checks!$U$69)&amp;IF(Checks!$AB$69="","",CHAR(10)&amp;"CA: "&amp;Checks!$AB$69)</f>
        <v/>
      </c>
      <c r="E23" s="113" t="str">
        <f aca="false">IF(Checks!$V$69="","",Checks!$V$69)&amp;IF(Checks!$AC$69="","",IF(Checks!$V$69="","",CHAR(10))&amp;"N/A just.: "&amp;Checks!$AC$69)&amp;IF(Checks!$W$69="","",CHAR(10)&amp;"Batch: "&amp;Checks!$W$69)&amp;IF(AND(Checks!$X$69="",Checks!$Y$69=""),"",CHAR(10)&amp;"Exp: "&amp;Checks!$X$69&amp;"  /  Act: "&amp;Checks!$Y$69)</f>
        <v/>
      </c>
      <c r="F23" s="113" t="str">
        <f aca="false">IF(Checks!$Z$69="","","Evidence: "&amp;Checks!$Z$69)&amp;IF(Checks!$AA$69="","",IF(Checks!$Z$69="","",CHAR(10))&amp;"CA: "&amp;Checks!$AA$69)</f>
        <v/>
      </c>
      <c r="G23" s="113" t="str">
        <f aca="false">IF(ISNUMBER(Checks!$AD$69),TEXT(Checks!$AD$69,"DD-MMM-YY HH:MM")&amp;" "&amp;Checks!$P$69,"")&amp;IF(Checks!$AE$69="","",CHAR(10)&amp;"Verifier: "&amp;Checks!$AE$69)&amp;IF(Checks!$T$69="","",CHAR(10)&amp;"PIC: "&amp;Checks!$T$69)</f>
        <v/>
      </c>
      <c r="H23" s="114" t="str">
        <f aca="false">IF(Checks!$AH$69="","",Checks!$AH$69)</f>
        <v>OPEN</v>
      </c>
    </row>
    <row r="24" customFormat="false" ht="114" hidden="false" customHeight="true" outlineLevel="0" collapsed="false">
      <c r="A24" s="113" t="str">
        <f aca="false">Checks!$A$70&amp;CHAR(10)&amp;IF(Checks!$I$70="","",Checks!$I$70&amp;": ")&amp;Checks!$J$70</f>
        <v>F03-T7-02
Menu: Printed menu cards confirmed (content, cycle, language, quantity)</v>
      </c>
      <c r="B24" s="113" t="str">
        <f aca="false">Checks!$K$70&amp;IF(Checks!$O$70="","",IF(Checks!$K$70="","",CHAR(10))&amp;"Note: "&amp;Checks!$O$70)</f>
        <v>Menu card matches approved menu for this flight</v>
      </c>
      <c r="C24" s="113" t="str">
        <f aca="false">Checks!$N$70&amp;CHAR(10)&amp;IF(ISNUMBER(Checks!$R$70),TEXT(Checks!$R$70,"DD-MMM-YY HH:MM"),"")&amp;" "&amp;Checks!$P$70</f>
        <v>Required
03-Oct-26 16:05 CGK</v>
      </c>
      <c r="D24" s="113" t="str">
        <f aca="false">IF(Checks!$U$70="","",Checks!$U$70)&amp;IF(Checks!$AB$70="","",CHAR(10)&amp;"CA: "&amp;Checks!$AB$70)</f>
        <v/>
      </c>
      <c r="E24" s="113" t="str">
        <f aca="false">IF(Checks!$V$70="","",Checks!$V$70)&amp;IF(Checks!$AC$70="","",IF(Checks!$V$70="","",CHAR(10))&amp;"N/A just.: "&amp;Checks!$AC$70)&amp;IF(Checks!$W$70="","",CHAR(10)&amp;"Batch: "&amp;Checks!$W$70)&amp;IF(AND(Checks!$X$70="",Checks!$Y$70=""),"",CHAR(10)&amp;"Exp: "&amp;Checks!$X$70&amp;"  /  Act: "&amp;Checks!$Y$70)</f>
        <v/>
      </c>
      <c r="F24" s="113" t="str">
        <f aca="false">IF(Checks!$Z$70="","","Evidence: "&amp;Checks!$Z$70)&amp;IF(Checks!$AA$70="","",IF(Checks!$Z$70="","",CHAR(10))&amp;"CA: "&amp;Checks!$AA$70)</f>
        <v/>
      </c>
      <c r="G24" s="113" t="str">
        <f aca="false">IF(ISNUMBER(Checks!$AD$70),TEXT(Checks!$AD$70,"DD-MMM-YY HH:MM")&amp;" "&amp;Checks!$P$70,"")&amp;IF(Checks!$AE$70="","",CHAR(10)&amp;"Verifier: "&amp;Checks!$AE$70)&amp;IF(Checks!$T$70="","",CHAR(10)&amp;"PIC: "&amp;Checks!$T$70)</f>
        <v/>
      </c>
      <c r="H24" s="114" t="str">
        <f aca="false">IF(Checks!$AH$70="","",Checks!$AH$70)</f>
        <v>OPEN</v>
      </c>
    </row>
    <row r="25" customFormat="false" ht="114" hidden="false" customHeight="true" outlineLevel="0" collapsed="false">
      <c r="A25" s="113" t="str">
        <f aca="false">Checks!$A$71&amp;CHAR(10)&amp;IF(Checks!$I$71="","",Checks!$I$71&amp;": ")&amp;Checks!$J$71</f>
        <v>F03-T7-03
IFE: Digital menu in IFE confirmed (A339 only)</v>
      </c>
      <c r="B25" s="113" t="str">
        <f aca="false">Checks!$K$71&amp;IF(Checks!$O$71="","",IF(Checks!$K$71="","",CHAR(10))&amp;"Note: "&amp;Checks!$O$71)</f>
        <v>Applies when fleet = A339
Note: Digital IFE menu applies to A339 only (user brief). Applicability follows the Fleet cell on Flights.</v>
      </c>
      <c r="C25" s="113" t="str">
        <f aca="false">Checks!$N$71&amp;CHAR(10)&amp;IF(ISNUMBER(Checks!$R$71),TEXT(Checks!$R$71,"DD-MMM-YY HH:MM"),"")&amp;" "&amp;Checks!$P$71</f>
        <v>N/A – rule
03-Oct-26 16:05 CGK</v>
      </c>
      <c r="D25" s="113" t="str">
        <f aca="false">IF(Checks!$U$71="","",Checks!$U$71)&amp;IF(Checks!$AB$71="","",CHAR(10)&amp;"CA: "&amp;Checks!$AB$71)</f>
        <v/>
      </c>
      <c r="E25" s="113" t="str">
        <f aca="false">IF(Checks!$V$71="","",Checks!$V$71)&amp;IF(Checks!$AC$71="","",IF(Checks!$V$71="","",CHAR(10))&amp;"N/A just.: "&amp;Checks!$AC$71)&amp;IF(Checks!$W$71="","",CHAR(10)&amp;"Batch: "&amp;Checks!$W$71)&amp;IF(AND(Checks!$X$71="",Checks!$Y$71=""),"",CHAR(10)&amp;"Exp: "&amp;Checks!$X$71&amp;"  /  Act: "&amp;Checks!$Y$71)</f>
        <v/>
      </c>
      <c r="F25" s="113" t="str">
        <f aca="false">IF(Checks!$Z$71="","","Evidence: "&amp;Checks!$Z$71)&amp;IF(Checks!$AA$71="","",IF(Checks!$Z$71="","",CHAR(10))&amp;"CA: "&amp;Checks!$AA$71)</f>
        <v/>
      </c>
      <c r="G25" s="113" t="str">
        <f aca="false">IF(ISNUMBER(Checks!$AD$71),TEXT(Checks!$AD$71,"DD-MMM-YY HH:MM")&amp;" "&amp;Checks!$P$71,"")&amp;IF(Checks!$AE$71="","",CHAR(10)&amp;"Verifier: "&amp;Checks!$AE$71)&amp;IF(Checks!$T$71="","",CHAR(10)&amp;"PIC: "&amp;Checks!$T$71)</f>
        <v/>
      </c>
      <c r="H25" s="114" t="str">
        <f aca="false">IF(Checks!$AH$71="","",Checks!$AH$71)</f>
        <v>N/A – RULE</v>
      </c>
    </row>
    <row r="26" customFormat="false" ht="114" hidden="false" customHeight="true" outlineLevel="0" collapsed="false">
      <c r="A26" s="113" t="str">
        <f aca="false">Checks!$A$72&amp;CHAR(10)&amp;IF(Checks!$I$72="","",Checks!$I$72&amp;": ")&amp;Checks!$J$72</f>
        <v>F03-T7-04
Staffing: Experienced catering officer assigned to this flight</v>
      </c>
      <c r="B26" s="113" t="str">
        <f aca="false">Checks!$K$72&amp;IF(Checks!$O$72="","",IF(Checks!$K$72="","",CHAR(10))&amp;"Note: "&amp;Checks!$O$72)</f>
        <v>Record officer name in Result</v>
      </c>
      <c r="C26" s="113" t="str">
        <f aca="false">Checks!$N$72&amp;CHAR(10)&amp;IF(ISNUMBER(Checks!$R$72),TEXT(Checks!$R$72,"DD-MMM-YY HH:MM"),"")&amp;" "&amp;Checks!$P$72</f>
        <v>Required
03-Oct-26 16:05 CGK</v>
      </c>
      <c r="D26" s="113" t="str">
        <f aca="false">IF(Checks!$U$72="","",Checks!$U$72)&amp;IF(Checks!$AB$72="","",CHAR(10)&amp;"CA: "&amp;Checks!$AB$72)</f>
        <v/>
      </c>
      <c r="E26" s="113" t="str">
        <f aca="false">IF(Checks!$V$72="","",Checks!$V$72)&amp;IF(Checks!$AC$72="","",IF(Checks!$V$72="","",CHAR(10))&amp;"N/A just.: "&amp;Checks!$AC$72)&amp;IF(Checks!$W$72="","",CHAR(10)&amp;"Batch: "&amp;Checks!$W$72)&amp;IF(AND(Checks!$X$72="",Checks!$Y$72=""),"",CHAR(10)&amp;"Exp: "&amp;Checks!$X$72&amp;"  /  Act: "&amp;Checks!$Y$72)</f>
        <v/>
      </c>
      <c r="F26" s="113" t="str">
        <f aca="false">IF(Checks!$Z$72="","","Evidence: "&amp;Checks!$Z$72)&amp;IF(Checks!$AA$72="","",IF(Checks!$Z$72="","",CHAR(10))&amp;"CA: "&amp;Checks!$AA$72)</f>
        <v/>
      </c>
      <c r="G26" s="113" t="str">
        <f aca="false">IF(ISNUMBER(Checks!$AD$72),TEXT(Checks!$AD$72,"DD-MMM-YY HH:MM")&amp;" "&amp;Checks!$P$72,"")&amp;IF(Checks!$AE$72="","",CHAR(10)&amp;"Verifier: "&amp;Checks!$AE$72)&amp;IF(Checks!$T$72="","",CHAR(10)&amp;"PIC: "&amp;Checks!$T$72)</f>
        <v/>
      </c>
      <c r="H26" s="114" t="str">
        <f aca="false">IF(Checks!$AH$72="","",Checks!$AH$72)</f>
        <v>OPEN</v>
      </c>
    </row>
    <row r="27" customFormat="false" ht="114" hidden="false" customHeight="true" outlineLevel="0" collapsed="false">
      <c r="A27" s="113" t="str">
        <f aca="false">Checks!$A$73&amp;CHAR(10)&amp;IF(Checks!$I$73="","",Checks!$I$73&amp;": ")&amp;Checks!$J$73</f>
        <v>F03-T7-05
ISOP: All latest applicable ISOP revisions communicated to caterer</v>
      </c>
      <c r="B27" s="113" t="str">
        <f aca="false">Checks!$K$73&amp;IF(Checks!$O$73="","",IF(Checks!$K$73="","",CHAR(10))&amp;"Note: "&amp;Checks!$O$73)</f>
        <v>List revision numbers in Result (see ISOP register)</v>
      </c>
      <c r="C27" s="113" t="str">
        <f aca="false">Checks!$N$73&amp;CHAR(10)&amp;IF(ISNUMBER(Checks!$R$73),TEXT(Checks!$R$73,"DD-MMM-YY HH:MM"),"")&amp;" "&amp;Checks!$P$73</f>
        <v>Required
03-Oct-26 16:05 CGK</v>
      </c>
      <c r="D27" s="113" t="str">
        <f aca="false">IF(Checks!$U$73="","",Checks!$U$73)&amp;IF(Checks!$AB$73="","",CHAR(10)&amp;"CA: "&amp;Checks!$AB$73)</f>
        <v/>
      </c>
      <c r="E27" s="113" t="str">
        <f aca="false">IF(Checks!$V$73="","",Checks!$V$73)&amp;IF(Checks!$AC$73="","",IF(Checks!$V$73="","",CHAR(10))&amp;"N/A just.: "&amp;Checks!$AC$73)&amp;IF(Checks!$W$73="","",CHAR(10)&amp;"Batch: "&amp;Checks!$W$73)&amp;IF(AND(Checks!$X$73="",Checks!$Y$73=""),"",CHAR(10)&amp;"Exp: "&amp;Checks!$X$73&amp;"  /  Act: "&amp;Checks!$Y$73)</f>
        <v/>
      </c>
      <c r="F27" s="113" t="str">
        <f aca="false">IF(Checks!$Z$73="","","Evidence: "&amp;Checks!$Z$73)&amp;IF(Checks!$AA$73="","",IF(Checks!$Z$73="","",CHAR(10))&amp;"CA: "&amp;Checks!$AA$73)</f>
        <v/>
      </c>
      <c r="G27" s="113" t="str">
        <f aca="false">IF(ISNUMBER(Checks!$AD$73),TEXT(Checks!$AD$73,"DD-MMM-YY HH:MM")&amp;" "&amp;Checks!$P$73,"")&amp;IF(Checks!$AE$73="","",CHAR(10)&amp;"Verifier: "&amp;Checks!$AE$73)&amp;IF(Checks!$T$73="","",CHAR(10)&amp;"PIC: "&amp;Checks!$T$73)</f>
        <v/>
      </c>
      <c r="H27" s="114" t="str">
        <f aca="false">IF(Checks!$AH$73="","",Checks!$AH$73)</f>
        <v>OPEN</v>
      </c>
    </row>
    <row r="28" customFormat="false" ht="114" hidden="false" customHeight="true" outlineLevel="0" collapsed="false">
      <c r="A28" s="113" t="str">
        <f aca="false">Checks!$A$74&amp;CHAR(10)&amp;IF(Checks!$I$74="","",Checks!$I$74&amp;": ")&amp;Checks!$J$74</f>
        <v>F03-T7-06
ISOP: Caterer acknowledgement of ISOP revisions recorded</v>
      </c>
      <c r="B28" s="113" t="str">
        <f aca="false">Checks!$K$74&amp;IF(Checks!$O$74="","",IF(Checks!$K$74="","",CHAR(10))&amp;"Note: "&amp;Checks!$O$74)</f>
        <v>Record acknowledgement ref in Evidence</v>
      </c>
      <c r="C28" s="113" t="str">
        <f aca="false">Checks!$N$74&amp;CHAR(10)&amp;IF(ISNUMBER(Checks!$R$74),TEXT(Checks!$R$74,"DD-MMM-YY HH:MM"),"")&amp;" "&amp;Checks!$P$74</f>
        <v>Required
03-Oct-26 16:05 CGK</v>
      </c>
      <c r="D28" s="113" t="str">
        <f aca="false">IF(Checks!$U$74="","",Checks!$U$74)&amp;IF(Checks!$AB$74="","",CHAR(10)&amp;"CA: "&amp;Checks!$AB$74)</f>
        <v/>
      </c>
      <c r="E28" s="113" t="str">
        <f aca="false">IF(Checks!$V$74="","",Checks!$V$74)&amp;IF(Checks!$AC$74="","",IF(Checks!$V$74="","",CHAR(10))&amp;"N/A just.: "&amp;Checks!$AC$74)&amp;IF(Checks!$W$74="","",CHAR(10)&amp;"Batch: "&amp;Checks!$W$74)&amp;IF(AND(Checks!$X$74="",Checks!$Y$74=""),"",CHAR(10)&amp;"Exp: "&amp;Checks!$X$74&amp;"  /  Act: "&amp;Checks!$Y$74)</f>
        <v/>
      </c>
      <c r="F28" s="113" t="str">
        <f aca="false">IF(Checks!$Z$74="","","Evidence: "&amp;Checks!$Z$74)&amp;IF(Checks!$AA$74="","",IF(Checks!$Z$74="","",CHAR(10))&amp;"CA: "&amp;Checks!$AA$74)</f>
        <v/>
      </c>
      <c r="G28" s="113" t="str">
        <f aca="false">IF(ISNUMBER(Checks!$AD$74),TEXT(Checks!$AD$74,"DD-MMM-YY HH:MM")&amp;" "&amp;Checks!$P$74,"")&amp;IF(Checks!$AE$74="","",CHAR(10)&amp;"Verifier: "&amp;Checks!$AE$74)&amp;IF(Checks!$T$74="","",CHAR(10)&amp;"PIC: "&amp;Checks!$T$74)</f>
        <v/>
      </c>
      <c r="H28" s="114" t="str">
        <f aca="false">IF(Checks!$AH$74="","",Checks!$AH$74)</f>
        <v>OPEN</v>
      </c>
    </row>
    <row r="29" customFormat="false" ht="114" hidden="false" customHeight="true" outlineLevel="0" collapsed="false">
      <c r="A29" s="113" t="str">
        <f aca="false">Checks!$A$75&amp;CHAR(10)&amp;IF(Checks!$I$75="","",Checks!$I$75&amp;": ")&amp;Checks!$J$75</f>
        <v>F03-T7-07
Documents: Galley loading diagram (GLD) received, revision recorded &amp; attached</v>
      </c>
      <c r="B29" s="113" t="str">
        <f aca="false">Checks!$K$75&amp;IF(Checks!$O$75="","",IF(Checks!$K$75="","",CHAR(10))&amp;"Note: "&amp;Checks!$O$75)</f>
        <v>Documents sheet row complete</v>
      </c>
      <c r="C29" s="113" t="str">
        <f aca="false">Checks!$N$75&amp;CHAR(10)&amp;IF(ISNUMBER(Checks!$R$75),TEXT(Checks!$R$75,"DD-MMM-YY HH:MM"),"")&amp;" "&amp;Checks!$P$75</f>
        <v>Required
03-Oct-26 16:05 CGK</v>
      </c>
      <c r="D29" s="113" t="str">
        <f aca="false">IF(Checks!$U$75="","",Checks!$U$75)&amp;IF(Checks!$AB$75="","",CHAR(10)&amp;"CA: "&amp;Checks!$AB$75)</f>
        <v/>
      </c>
      <c r="E29" s="113" t="str">
        <f aca="false">IF(Checks!$V$75="","",Checks!$V$75)&amp;IF(Checks!$AC$75="","",IF(Checks!$V$75="","",CHAR(10))&amp;"N/A just.: "&amp;Checks!$AC$75)&amp;IF(Checks!$W$75="","",CHAR(10)&amp;"Batch: "&amp;Checks!$W$75)&amp;IF(AND(Checks!$X$75="",Checks!$Y$75=""),"",CHAR(10)&amp;"Exp: "&amp;Checks!$X$75&amp;"  /  Act: "&amp;Checks!$Y$75)</f>
        <v/>
      </c>
      <c r="F29" s="113" t="str">
        <f aca="false">IF(Checks!$Z$75="","","Evidence: "&amp;Checks!$Z$75)&amp;IF(Checks!$AA$75="","",IF(Checks!$Z$75="","",CHAR(10))&amp;"CA: "&amp;Checks!$AA$75)</f>
        <v/>
      </c>
      <c r="G29" s="113" t="str">
        <f aca="false">IF(ISNUMBER(Checks!$AD$75),TEXT(Checks!$AD$75,"DD-MMM-YY HH:MM")&amp;" "&amp;Checks!$P$75,"")&amp;IF(Checks!$AE$75="","",CHAR(10)&amp;"Verifier: "&amp;Checks!$AE$75)&amp;IF(Checks!$T$75="","",CHAR(10)&amp;"PIC: "&amp;Checks!$T$75)</f>
        <v/>
      </c>
      <c r="H29" s="114" t="str">
        <f aca="false">IF(Checks!$AH$75="","",Checks!$AH$75)</f>
        <v>OPEN</v>
      </c>
    </row>
    <row r="30" customFormat="false" ht="114" hidden="false" customHeight="true" outlineLevel="0" collapsed="false">
      <c r="A30" s="113" t="str">
        <f aca="false">Checks!$A$76&amp;CHAR(10)&amp;IF(Checks!$I$76="","",Checks!$I$76&amp;": ")&amp;Checks!$J$76</f>
        <v>F03-T7-08
Documents: Menu checklist received, revision recorded &amp; attached</v>
      </c>
      <c r="B30" s="113" t="str">
        <f aca="false">Checks!$K$76&amp;IF(Checks!$O$76="","",IF(Checks!$K$76="","",CHAR(10))&amp;"Note: "&amp;Checks!$O$76)</f>
        <v>Documents sheet row complete</v>
      </c>
      <c r="C30" s="113" t="str">
        <f aca="false">Checks!$N$76&amp;CHAR(10)&amp;IF(ISNUMBER(Checks!$R$76),TEXT(Checks!$R$76,"DD-MMM-YY HH:MM"),"")&amp;" "&amp;Checks!$P$76</f>
        <v>Required
03-Oct-26 16:05 CGK</v>
      </c>
      <c r="D30" s="113" t="str">
        <f aca="false">IF(Checks!$U$76="","",Checks!$U$76)&amp;IF(Checks!$AB$76="","",CHAR(10)&amp;"CA: "&amp;Checks!$AB$76)</f>
        <v/>
      </c>
      <c r="E30" s="113" t="str">
        <f aca="false">IF(Checks!$V$76="","",Checks!$V$76)&amp;IF(Checks!$AC$76="","",IF(Checks!$V$76="","",CHAR(10))&amp;"N/A just.: "&amp;Checks!$AC$76)&amp;IF(Checks!$W$76="","",CHAR(10)&amp;"Batch: "&amp;Checks!$W$76)&amp;IF(AND(Checks!$X$76="",Checks!$Y$76=""),"",CHAR(10)&amp;"Exp: "&amp;Checks!$X$76&amp;"  /  Act: "&amp;Checks!$Y$76)</f>
        <v/>
      </c>
      <c r="F30" s="113" t="str">
        <f aca="false">IF(Checks!$Z$76="","","Evidence: "&amp;Checks!$Z$76)&amp;IF(Checks!$AA$76="","",IF(Checks!$Z$76="","",CHAR(10))&amp;"CA: "&amp;Checks!$AA$76)</f>
        <v/>
      </c>
      <c r="G30" s="113" t="str">
        <f aca="false">IF(ISNUMBER(Checks!$AD$76),TEXT(Checks!$AD$76,"DD-MMM-YY HH:MM")&amp;" "&amp;Checks!$P$76,"")&amp;IF(Checks!$AE$76="","",CHAR(10)&amp;"Verifier: "&amp;Checks!$AE$76)&amp;IF(Checks!$T$76="","",CHAR(10)&amp;"PIC: "&amp;Checks!$T$76)</f>
        <v/>
      </c>
      <c r="H30" s="114" t="str">
        <f aca="false">IF(Checks!$AH$76="","",Checks!$AH$76)</f>
        <v>OPEN</v>
      </c>
    </row>
    <row r="31" customFormat="false" ht="114" hidden="false" customHeight="true" outlineLevel="0" collapsed="false">
      <c r="A31" s="113" t="str">
        <f aca="false">Checks!$A$77&amp;CHAR(10)&amp;IF(Checks!$I$77="","",Checks!$I$77&amp;": ")&amp;Checks!$J$77</f>
        <v>F03-T7-09
Uplift plan: Uplift plan confirmed with caterer vs STD Uplift Information</v>
      </c>
      <c r="B31" s="113" t="str">
        <f aca="false">Checks!$K$77&amp;IF(Checks!$O$77="","",IF(Checks!$K$77="","",CHAR(10))&amp;"Note: "&amp;Checks!$O$77)</f>
        <v>Service: 1 Meal (Meal); meal uplift stn CGK (ref lists KUL/CGK)</v>
      </c>
      <c r="C31" s="113" t="str">
        <f aca="false">Checks!$N$77&amp;CHAR(10)&amp;IF(ISNUMBER(Checks!$R$77),TEXT(Checks!$R$77,"DD-MMM-YY HH:MM"),"")&amp;" "&amp;Checks!$P$77</f>
        <v>Required
03-Oct-26 16:05 CGK</v>
      </c>
      <c r="D31" s="113" t="str">
        <f aca="false">IF(Checks!$U$77="","",Checks!$U$77)&amp;IF(Checks!$AB$77="","",CHAR(10)&amp;"CA: "&amp;Checks!$AB$77)</f>
        <v/>
      </c>
      <c r="E31" s="113" t="str">
        <f aca="false">IF(Checks!$V$77="","",Checks!$V$77)&amp;IF(Checks!$AC$77="","",IF(Checks!$V$77="","",CHAR(10))&amp;"N/A just.: "&amp;Checks!$AC$77)&amp;IF(Checks!$W$77="","",CHAR(10)&amp;"Batch: "&amp;Checks!$W$77)&amp;IF(AND(Checks!$X$77="",Checks!$Y$77=""),"",CHAR(10)&amp;"Exp: "&amp;Checks!$X$77&amp;"  /  Act: "&amp;Checks!$Y$77)</f>
        <v/>
      </c>
      <c r="F31" s="113" t="str">
        <f aca="false">IF(Checks!$Z$77="","","Evidence: "&amp;Checks!$Z$77)&amp;IF(Checks!$AA$77="","",IF(Checks!$Z$77="","",CHAR(10))&amp;"CA: "&amp;Checks!$AA$77)</f>
        <v/>
      </c>
      <c r="G31" s="113" t="str">
        <f aca="false">IF(ISNUMBER(Checks!$AD$77),TEXT(Checks!$AD$77,"DD-MMM-YY HH:MM")&amp;" "&amp;Checks!$P$77,"")&amp;IF(Checks!$AE$77="","",CHAR(10)&amp;"Verifier: "&amp;Checks!$AE$77)&amp;IF(Checks!$T$77="","",CHAR(10)&amp;"PIC: "&amp;Checks!$T$77)</f>
        <v/>
      </c>
      <c r="H31" s="114" t="str">
        <f aca="false">IF(Checks!$AH$77="","",Checks!$AH$77)</f>
        <v>OPEN</v>
      </c>
    </row>
    <row r="32" customFormat="false" ht="25.5" hidden="false" customHeight="true" outlineLevel="0" collapsed="false">
      <c r="A32" s="112"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Checks!$A$78&amp;CHAR(10)&amp;IF(Checks!$I$78="","",Checks!$I$78&amp;": ")&amp;Checks!$J$78</f>
        <v>F03-T24-01
Meal: Sensory test repeated on ACTUAL production batch for this flight</v>
      </c>
      <c r="B33" s="113" t="str">
        <f aca="false">Checks!$K$78&amp;IF(Checks!$O$78="","",IF(Checks!$K$78="","",CHAR(10))&amp;"Note: "&amp;Checks!$O$78)</f>
        <v>Batch ID, result, CA and acceptance mandatory</v>
      </c>
      <c r="C33" s="113" t="str">
        <f aca="false">Checks!$N$78&amp;CHAR(10)&amp;IF(ISNUMBER(Checks!$R$78),TEXT(Checks!$R$78,"DD-MMM-YY HH:MM"),"")&amp;" "&amp;Checks!$P$78</f>
        <v>Required
09-Oct-26 16:05 CGK</v>
      </c>
      <c r="D33" s="113" t="str">
        <f aca="false">IF(Checks!$U$78="","",Checks!$U$78)&amp;IF(Checks!$AB$78="","",CHAR(10)&amp;"CA: "&amp;Checks!$AB$78)</f>
        <v/>
      </c>
      <c r="E33" s="113" t="str">
        <f aca="false">IF(Checks!$V$78="","",Checks!$V$78)&amp;IF(Checks!$AC$78="","",IF(Checks!$V$78="","",CHAR(10))&amp;"N/A just.: "&amp;Checks!$AC$78)&amp;IF(Checks!$W$78="","",CHAR(10)&amp;"Batch: "&amp;Checks!$W$78)&amp;IF(AND(Checks!$X$78="",Checks!$Y$78=""),"",CHAR(10)&amp;"Exp: "&amp;Checks!$X$78&amp;"  /  Act: "&amp;Checks!$Y$78)</f>
        <v/>
      </c>
      <c r="F33" s="113" t="str">
        <f aca="false">IF(Checks!$Z$78="","","Evidence: "&amp;Checks!$Z$78)&amp;IF(Checks!$AA$78="","",IF(Checks!$Z$78="","",CHAR(10))&amp;"CA: "&amp;Checks!$AA$78)</f>
        <v/>
      </c>
      <c r="G33" s="113" t="str">
        <f aca="false">IF(ISNUMBER(Checks!$AD$78),TEXT(Checks!$AD$78,"DD-MMM-YY HH:MM")&amp;" "&amp;Checks!$P$78,"")&amp;IF(Checks!$AE$78="","",CHAR(10)&amp;"Verifier: "&amp;Checks!$AE$78)&amp;IF(Checks!$T$78="","",CHAR(10)&amp;"PIC: "&amp;Checks!$T$78)</f>
        <v/>
      </c>
      <c r="H33" s="114" t="str">
        <f aca="false">IF(Checks!$AH$78="","",Checks!$AH$78)</f>
        <v>OPEN</v>
      </c>
    </row>
    <row r="34" customFormat="false" ht="25.5" hidden="false" customHeight="true" outlineLevel="0" collapsed="false">
      <c r="A34" s="112"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2"/>
      <c r="C34" s="112"/>
      <c r="D34" s="112"/>
      <c r="E34" s="112"/>
      <c r="F34" s="112"/>
      <c r="G34" s="112"/>
      <c r="H34" s="112"/>
    </row>
    <row r="35" customFormat="false" ht="114" hidden="false" customHeight="true" outlineLevel="0" collapsed="false">
      <c r="A35" s="113" t="str">
        <f aca="false">Checks!$A$79&amp;CHAR(10)&amp;IF(Checks!$I$79="","",Checks!$I$79&amp;": ")&amp;Checks!$J$79</f>
        <v>F03-T12-01
Meal: Meal quality vs menu checklist</v>
      </c>
      <c r="B35" s="113" t="str">
        <f aca="false">Checks!$K$79&amp;IF(Checks!$O$79="","",IF(Checks!$K$79="","",CHAR(10))&amp;"Note: "&amp;Checks!$O$79)</f>
        <v>Note: Preparation check at caterer - does NOT confirm loading.</v>
      </c>
      <c r="C35" s="113" t="str">
        <f aca="false">Checks!$N$79&amp;CHAR(10)&amp;IF(ISNUMBER(Checks!$R$79),TEXT(Checks!$R$79,"DD-MMM-YY HH:MM"),"")&amp;" "&amp;Checks!$P$79</f>
        <v>Required
10-Oct-26 04:05 CGK</v>
      </c>
      <c r="D35" s="113" t="str">
        <f aca="false">IF(Checks!$U$79="","",Checks!$U$79)&amp;IF(Checks!$AB$79="","",CHAR(10)&amp;"CA: "&amp;Checks!$AB$79)</f>
        <v/>
      </c>
      <c r="E35" s="113" t="str">
        <f aca="false">IF(Checks!$V$79="","",Checks!$V$79)&amp;IF(Checks!$AC$79="","",IF(Checks!$V$79="","",CHAR(10))&amp;"N/A just.: "&amp;Checks!$AC$79)&amp;IF(Checks!$W$79="","",CHAR(10)&amp;"Batch: "&amp;Checks!$W$79)&amp;IF(AND(Checks!$X$79="",Checks!$Y$79=""),"",CHAR(10)&amp;"Exp: "&amp;Checks!$X$79&amp;"  /  Act: "&amp;Checks!$Y$79)</f>
        <v/>
      </c>
      <c r="F35" s="113" t="str">
        <f aca="false">IF(Checks!$Z$79="","","Evidence: "&amp;Checks!$Z$79)&amp;IF(Checks!$AA$79="","",IF(Checks!$Z$79="","",CHAR(10))&amp;"CA: "&amp;Checks!$AA$79)</f>
        <v/>
      </c>
      <c r="G35" s="113" t="str">
        <f aca="false">IF(ISNUMBER(Checks!$AD$79),TEXT(Checks!$AD$79,"DD-MMM-YY HH:MM")&amp;" "&amp;Checks!$P$79,"")&amp;IF(Checks!$AE$79="","",CHAR(10)&amp;"Verifier: "&amp;Checks!$AE$79)&amp;IF(Checks!$T$79="","",CHAR(10)&amp;"PIC: "&amp;Checks!$T$79)</f>
        <v/>
      </c>
      <c r="H35" s="114" t="str">
        <f aca="false">IF(Checks!$AH$79="","",Checks!$AH$79)</f>
        <v>OPEN</v>
      </c>
    </row>
    <row r="36" customFormat="false" ht="114" hidden="false" customHeight="true" outlineLevel="0" collapsed="false">
      <c r="A36" s="113" t="str">
        <f aca="false">Checks!$A$80&amp;CHAR(10)&amp;IF(Checks!$I$80="","",Checks!$I$80&amp;": ")&amp;Checks!$J$80</f>
        <v>F03-T12-02
Meal: Meal quantities vs menu checklist</v>
      </c>
      <c r="B36" s="113" t="str">
        <f aca="false">Checks!$K$80&amp;IF(Checks!$O$80="","",IF(Checks!$K$80="","",CHAR(10))&amp;"Note: "&amp;Checks!$O$80)</f>
        <v>Enter expected &amp; actual
Note: Preparation check at caterer - does NOT confirm loading.</v>
      </c>
      <c r="C36" s="113" t="str">
        <f aca="false">Checks!$N$80&amp;CHAR(10)&amp;IF(ISNUMBER(Checks!$R$80),TEXT(Checks!$R$80,"DD-MMM-YY HH:MM"),"")&amp;" "&amp;Checks!$P$80</f>
        <v>Required
10-Oct-26 04:05 CGK</v>
      </c>
      <c r="D36" s="113" t="str">
        <f aca="false">IF(Checks!$U$80="","",Checks!$U$80)&amp;IF(Checks!$AB$80="","",CHAR(10)&amp;"CA: "&amp;Checks!$AB$80)</f>
        <v/>
      </c>
      <c r="E36" s="113" t="str">
        <f aca="false">IF(Checks!$V$80="","",Checks!$V$80)&amp;IF(Checks!$AC$80="","",IF(Checks!$V$80="","",CHAR(10))&amp;"N/A just.: "&amp;Checks!$AC$80)&amp;IF(Checks!$W$80="","",CHAR(10)&amp;"Batch: "&amp;Checks!$W$80)&amp;IF(AND(Checks!$X$80="",Checks!$Y$80=""),"",CHAR(10)&amp;"Exp: "&amp;Checks!$X$80&amp;"  /  Act: "&amp;Checks!$Y$80)</f>
        <v/>
      </c>
      <c r="F36" s="113" t="str">
        <f aca="false">IF(Checks!$Z$80="","","Evidence: "&amp;Checks!$Z$80)&amp;IF(Checks!$AA$80="","",IF(Checks!$Z$80="","",CHAR(10))&amp;"CA: "&amp;Checks!$AA$80)</f>
        <v/>
      </c>
      <c r="G36" s="113" t="str">
        <f aca="false">IF(ISNUMBER(Checks!$AD$80),TEXT(Checks!$AD$80,"DD-MMM-YY HH:MM")&amp;" "&amp;Checks!$P$80,"")&amp;IF(Checks!$AE$80="","",CHAR(10)&amp;"Verifier: "&amp;Checks!$AE$80)&amp;IF(Checks!$T$80="","",CHAR(10)&amp;"PIC: "&amp;Checks!$T$80)</f>
        <v/>
      </c>
      <c r="H36" s="114" t="str">
        <f aca="false">IF(Checks!$AH$80="","",Checks!$AH$80)</f>
        <v>OPEN</v>
      </c>
    </row>
    <row r="37" customFormat="false" ht="114" hidden="false" customHeight="true" outlineLevel="0" collapsed="false">
      <c r="A37" s="113" t="str">
        <f aca="false">Checks!$A$81&amp;CHAR(10)&amp;IF(Checks!$I$81="","",Checks!$I$81&amp;": ")&amp;Checks!$J$81</f>
        <v>F03-T12-03
Equipment: Equipment cleanliness vs GLD</v>
      </c>
      <c r="B37" s="113" t="str">
        <f aca="false">Checks!$K$81&amp;IF(Checks!$O$81="","",IF(Checks!$K$81="","",CHAR(10))&amp;"Note: "&amp;Checks!$O$81)</f>
        <v>Note: Preparation check at caterer - does NOT confirm loading.</v>
      </c>
      <c r="C37" s="113" t="str">
        <f aca="false">Checks!$N$81&amp;CHAR(10)&amp;IF(ISNUMBER(Checks!$R$81),TEXT(Checks!$R$81,"DD-MMM-YY HH:MM"),"")&amp;" "&amp;Checks!$P$81</f>
        <v>Required
10-Oct-26 04:05 CGK</v>
      </c>
      <c r="D37" s="113" t="str">
        <f aca="false">IF(Checks!$U$81="","",Checks!$U$81)&amp;IF(Checks!$AB$81="","",CHAR(10)&amp;"CA: "&amp;Checks!$AB$81)</f>
        <v/>
      </c>
      <c r="E37" s="113" t="str">
        <f aca="false">IF(Checks!$V$81="","",Checks!$V$81)&amp;IF(Checks!$AC$81="","",IF(Checks!$V$81="","",CHAR(10))&amp;"N/A just.: "&amp;Checks!$AC$81)&amp;IF(Checks!$W$81="","",CHAR(10)&amp;"Batch: "&amp;Checks!$W$81)&amp;IF(AND(Checks!$X$81="",Checks!$Y$81=""),"",CHAR(10)&amp;"Exp: "&amp;Checks!$X$81&amp;"  /  Act: "&amp;Checks!$Y$81)</f>
        <v/>
      </c>
      <c r="F37" s="113" t="str">
        <f aca="false">IF(Checks!$Z$81="","","Evidence: "&amp;Checks!$Z$81)&amp;IF(Checks!$AA$81="","",IF(Checks!$Z$81="","",CHAR(10))&amp;"CA: "&amp;Checks!$AA$81)</f>
        <v/>
      </c>
      <c r="G37" s="113" t="str">
        <f aca="false">IF(ISNUMBER(Checks!$AD$81),TEXT(Checks!$AD$81,"DD-MMM-YY HH:MM")&amp;" "&amp;Checks!$P$81,"")&amp;IF(Checks!$AE$81="","",CHAR(10)&amp;"Verifier: "&amp;Checks!$AE$81)&amp;IF(Checks!$T$81="","",CHAR(10)&amp;"PIC: "&amp;Checks!$T$81)</f>
        <v/>
      </c>
      <c r="H37" s="114" t="str">
        <f aca="false">IF(Checks!$AH$81="","",Checks!$AH$81)</f>
        <v>OPEN</v>
      </c>
    </row>
    <row r="38" customFormat="false" ht="114" hidden="false" customHeight="true" outlineLevel="0" collapsed="false">
      <c r="A38" s="113" t="str">
        <f aca="false">Checks!$A$82&amp;CHAR(10)&amp;IF(Checks!$I$82="","",Checks!$I$82&amp;": ")&amp;Checks!$J$82</f>
        <v>F03-T12-04
Equipment: Equipment presentation vs GLD</v>
      </c>
      <c r="B38" s="113" t="str">
        <f aca="false">Checks!$K$82&amp;IF(Checks!$O$82="","",IF(Checks!$K$82="","",CHAR(10))&amp;"Note: "&amp;Checks!$O$82)</f>
        <v>Note: Preparation check at caterer - does NOT confirm loading.</v>
      </c>
      <c r="C38" s="113" t="str">
        <f aca="false">Checks!$N$82&amp;CHAR(10)&amp;IF(ISNUMBER(Checks!$R$82),TEXT(Checks!$R$82,"DD-MMM-YY HH:MM"),"")&amp;" "&amp;Checks!$P$82</f>
        <v>Required
10-Oct-26 04:05 CGK</v>
      </c>
      <c r="D38" s="113" t="str">
        <f aca="false">IF(Checks!$U$82="","",Checks!$U$82)&amp;IF(Checks!$AB$82="","",CHAR(10)&amp;"CA: "&amp;Checks!$AB$82)</f>
        <v/>
      </c>
      <c r="E38" s="113" t="str">
        <f aca="false">IF(Checks!$V$82="","",Checks!$V$82)&amp;IF(Checks!$AC$82="","",IF(Checks!$V$82="","",CHAR(10))&amp;"N/A just.: "&amp;Checks!$AC$82)&amp;IF(Checks!$W$82="","",CHAR(10)&amp;"Batch: "&amp;Checks!$W$82)&amp;IF(AND(Checks!$X$82="",Checks!$Y$82=""),"",CHAR(10)&amp;"Exp: "&amp;Checks!$X$82&amp;"  /  Act: "&amp;Checks!$Y$82)</f>
        <v/>
      </c>
      <c r="F38" s="113" t="str">
        <f aca="false">IF(Checks!$Z$82="","","Evidence: "&amp;Checks!$Z$82)&amp;IF(Checks!$AA$82="","",IF(Checks!$Z$82="","",CHAR(10))&amp;"CA: "&amp;Checks!$AA$82)</f>
        <v/>
      </c>
      <c r="G38" s="113" t="str">
        <f aca="false">IF(ISNUMBER(Checks!$AD$82),TEXT(Checks!$AD$82,"DD-MMM-YY HH:MM")&amp;" "&amp;Checks!$P$82,"")&amp;IF(Checks!$AE$82="","",CHAR(10)&amp;"Verifier: "&amp;Checks!$AE$82)&amp;IF(Checks!$T$82="","",CHAR(10)&amp;"PIC: "&amp;Checks!$T$82)</f>
        <v/>
      </c>
      <c r="H38" s="114" t="str">
        <f aca="false">IF(Checks!$AH$82="","",Checks!$AH$82)</f>
        <v>OPEN</v>
      </c>
    </row>
    <row r="39" customFormat="false" ht="114" hidden="false" customHeight="true" outlineLevel="0" collapsed="false">
      <c r="A39" s="113" t="str">
        <f aca="false">Checks!$A$83&amp;CHAR(10)&amp;IF(Checks!$I$83="","",Checks!$I$83&amp;": ")&amp;Checks!$J$83</f>
        <v>F03-T12-05
Equipment: Equipment serviceability vs GLD</v>
      </c>
      <c r="B39" s="113" t="str">
        <f aca="false">Checks!$K$83&amp;IF(Checks!$O$83="","",IF(Checks!$K$83="","",CHAR(10))&amp;"Note: "&amp;Checks!$O$83)</f>
        <v>Note: Preparation check at caterer - does NOT confirm loading.</v>
      </c>
      <c r="C39" s="113" t="str">
        <f aca="false">Checks!$N$83&amp;CHAR(10)&amp;IF(ISNUMBER(Checks!$R$83),TEXT(Checks!$R$83,"DD-MMM-YY HH:MM"),"")&amp;" "&amp;Checks!$P$83</f>
        <v>Required
10-Oct-26 04:05 CGK</v>
      </c>
      <c r="D39" s="113" t="str">
        <f aca="false">IF(Checks!$U$83="","",Checks!$U$83)&amp;IF(Checks!$AB$83="","",CHAR(10)&amp;"CA: "&amp;Checks!$AB$83)</f>
        <v/>
      </c>
      <c r="E39" s="113" t="str">
        <f aca="false">IF(Checks!$V$83="","",Checks!$V$83)&amp;IF(Checks!$AC$83="","",IF(Checks!$V$83="","",CHAR(10))&amp;"N/A just.: "&amp;Checks!$AC$83)&amp;IF(Checks!$W$83="","",CHAR(10)&amp;"Batch: "&amp;Checks!$W$83)&amp;IF(AND(Checks!$X$83="",Checks!$Y$83=""),"",CHAR(10)&amp;"Exp: "&amp;Checks!$X$83&amp;"  /  Act: "&amp;Checks!$Y$83)</f>
        <v/>
      </c>
      <c r="F39" s="113" t="str">
        <f aca="false">IF(Checks!$Z$83="","","Evidence: "&amp;Checks!$Z$83)&amp;IF(Checks!$AA$83="","",IF(Checks!$Z$83="","",CHAR(10))&amp;"CA: "&amp;Checks!$AA$83)</f>
        <v/>
      </c>
      <c r="G39" s="113" t="str">
        <f aca="false">IF(ISNUMBER(Checks!$AD$83),TEXT(Checks!$AD$83,"DD-MMM-YY HH:MM")&amp;" "&amp;Checks!$P$83,"")&amp;IF(Checks!$AE$83="","",CHAR(10)&amp;"Verifier: "&amp;Checks!$AE$83)&amp;IF(Checks!$T$83="","",CHAR(10)&amp;"PIC: "&amp;Checks!$T$83)</f>
        <v/>
      </c>
      <c r="H39" s="114" t="str">
        <f aca="false">IF(Checks!$AH$83="","",Checks!$AH$83)</f>
        <v>OPEN</v>
      </c>
    </row>
    <row r="40" customFormat="false" ht="201.75" hidden="false" customHeight="true" outlineLevel="0" collapsed="false">
      <c r="A40" s="113" t="str">
        <f aca="false">Checks!$A$84&amp;CHAR(10)&amp;IF(Checks!$I$84="","",Checks!$I$84&amp;": ")&amp;Checks!$J$84</f>
        <v>F03-T12-06
Equipment: Equipment quantities vs GLD</v>
      </c>
      <c r="B40" s="113" t="str">
        <f aca="false">SUBSTITUTE(Checks!$K$84&amp;IF(Checks!$O$84="","",IF(Checks!$K$84="","",CHAR(10))&amp;"Note: "&amp;Checks!$O$84),"AIRCRAFT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3" t="str">
        <f aca="false">Checks!$N$84&amp;CHAR(10)&amp;IF(ISNUMBER(Checks!$R$84),TEXT(Checks!$R$84,"DD-MMM-YY HH:MM"),"")&amp;" "&amp;Checks!$P$84</f>
        <v>Required
10-Oct-26 04:05 CGK</v>
      </c>
      <c r="D40" s="113" t="str">
        <f aca="false">IF(Checks!$U$84="","",Checks!$U$84)&amp;IF(Checks!$AB$84="","",CHAR(10)&amp;"CA: "&amp;Checks!$AB$84)</f>
        <v/>
      </c>
      <c r="E40" s="113" t="str">
        <f aca="false">IF(Checks!$V$84="","",Checks!$V$84)&amp;IF(Checks!$AC$84="","",IF(Checks!$V$84="","",CHAR(10))&amp;"N/A just.: "&amp;Checks!$AC$84)&amp;IF(Checks!$W$84="","",CHAR(10)&amp;"Batch: "&amp;Checks!$W$84)&amp;IF(AND(Checks!$X$84="",Checks!$Y$84=""),"",CHAR(10)&amp;"Exp: "&amp;Checks!$X$84&amp;"  /  Act: "&amp;Checks!$Y$84)</f>
        <v/>
      </c>
      <c r="F40" s="113" t="str">
        <f aca="false">IF(Checks!$Z$84="","","Evidence: "&amp;Checks!$Z$84)&amp;IF(Checks!$AA$84="","",IF(Checks!$Z$84="","",CHAR(10))&amp;"CA: "&amp;Checks!$AA$84)</f>
        <v/>
      </c>
      <c r="G40" s="113" t="str">
        <f aca="false">IF(ISNUMBER(Checks!$AD$84),TEXT(Checks!$AD$84,"DD-MMM-YY HH:MM")&amp;" "&amp;Checks!$P$84,"")&amp;IF(Checks!$AE$84="","",CHAR(10)&amp;"Verifier: "&amp;Checks!$AE$84)&amp;IF(Checks!$T$84="","",CHAR(10)&amp;"PIC: "&amp;Checks!$T$84)</f>
        <v/>
      </c>
      <c r="H40" s="114" t="str">
        <f aca="false">IF(Checks!$AH$84="","",Checks!$AH$84)</f>
        <v>OPEN</v>
      </c>
    </row>
    <row r="41" customFormat="false" ht="114" hidden="false" customHeight="true" outlineLevel="0" collapsed="false">
      <c r="A41" s="113" t="str">
        <f aca="false">Checks!$A$85&amp;CHAR(10)&amp;IF(Checks!$I$85="","",Checks!$I$85&amp;": ")&amp;Checks!$J$85</f>
        <v>F03-T12-07
Equipment: Loading positions planned vs GLD</v>
      </c>
      <c r="B41" s="113" t="str">
        <f aca="false">Checks!$K$85&amp;IF(Checks!$O$85="","",IF(Checks!$K$85="","",CHAR(10))&amp;"Note: "&amp;Checks!$O$85)</f>
        <v>Note: Preparation check at caterer - does NOT confirm loading.</v>
      </c>
      <c r="C41" s="113" t="str">
        <f aca="false">Checks!$N$85&amp;CHAR(10)&amp;IF(ISNUMBER(Checks!$R$85),TEXT(Checks!$R$85,"DD-MMM-YY HH:MM"),"")&amp;" "&amp;Checks!$P$85</f>
        <v>Required
10-Oct-26 04:05 CGK</v>
      </c>
      <c r="D41" s="113" t="str">
        <f aca="false">IF(Checks!$U$85="","",Checks!$U$85)&amp;IF(Checks!$AB$85="","",CHAR(10)&amp;"CA: "&amp;Checks!$AB$85)</f>
        <v/>
      </c>
      <c r="E41" s="113" t="str">
        <f aca="false">IF(Checks!$V$85="","",Checks!$V$85)&amp;IF(Checks!$AC$85="","",IF(Checks!$V$85="","",CHAR(10))&amp;"N/A just.: "&amp;Checks!$AC$85)&amp;IF(Checks!$W$85="","",CHAR(10)&amp;"Batch: "&amp;Checks!$W$85)&amp;IF(AND(Checks!$X$85="",Checks!$Y$85=""),"",CHAR(10)&amp;"Exp: "&amp;Checks!$X$85&amp;"  /  Act: "&amp;Checks!$Y$85)</f>
        <v/>
      </c>
      <c r="F41" s="113" t="str">
        <f aca="false">IF(Checks!$Z$85="","","Evidence: "&amp;Checks!$Z$85)&amp;IF(Checks!$AA$85="","",IF(Checks!$Z$85="","",CHAR(10))&amp;"CA: "&amp;Checks!$AA$85)</f>
        <v/>
      </c>
      <c r="G41" s="113" t="str">
        <f aca="false">IF(ISNUMBER(Checks!$AD$85),TEXT(Checks!$AD$85,"DD-MMM-YY HH:MM")&amp;" "&amp;Checks!$P$85,"")&amp;IF(Checks!$AE$85="","",CHAR(10)&amp;"Verifier: "&amp;Checks!$AE$85)&amp;IF(Checks!$T$85="","",CHAR(10)&amp;"PIC: "&amp;Checks!$T$85)</f>
        <v/>
      </c>
      <c r="H41" s="114" t="str">
        <f aca="false">IF(Checks!$AH$85="","",Checks!$AH$85)</f>
        <v>OPEN</v>
      </c>
    </row>
    <row r="42" customFormat="false" ht="114" hidden="false" customHeight="true" outlineLevel="0" collapsed="false">
      <c r="A42" s="113" t="str">
        <f aca="false">Checks!$A$86&amp;CHAR(10)&amp;IF(Checks!$I$86="","",Checks!$I$86&amp;": ")&amp;Checks!$J$86</f>
        <v>F03-T12-08
Seat Linen: Seat pillow (EY) - prepared</v>
      </c>
      <c r="B42" s="113" t="str">
        <f aca="false">Checks!$K$86&amp;IF(Checks!$O$86="","",IF(Checks!$K$86="","",CHAR(10))&amp;"Note: "&amp;Checks!$O$86)</f>
        <v>Available 100% (ticked in reference)
Note: Reference gives no uplift stn for this item: preparation checked at the meal uplift stn (CGK) - confirm with caterer.</v>
      </c>
      <c r="C42" s="113" t="str">
        <f aca="false">Checks!$N$86&amp;CHAR(10)&amp;IF(ISNUMBER(Checks!$R$86),TEXT(Checks!$R$86,"DD-MMM-YY HH:MM"),"")&amp;" "&amp;Checks!$P$86</f>
        <v>Required
10-Oct-26 04:05 CGK</v>
      </c>
      <c r="D42" s="113" t="str">
        <f aca="false">IF(Checks!$U$86="","",Checks!$U$86)&amp;IF(Checks!$AB$86="","",CHAR(10)&amp;"CA: "&amp;Checks!$AB$86)</f>
        <v/>
      </c>
      <c r="E42" s="113" t="str">
        <f aca="false">IF(Checks!$V$86="","",Checks!$V$86)&amp;IF(Checks!$AC$86="","",IF(Checks!$V$86="","",CHAR(10))&amp;"N/A just.: "&amp;Checks!$AC$86)&amp;IF(Checks!$W$86="","",CHAR(10)&amp;"Batch: "&amp;Checks!$W$86)&amp;IF(AND(Checks!$X$86="",Checks!$Y$86=""),"",CHAR(10)&amp;"Exp: "&amp;Checks!$X$86&amp;"  /  Act: "&amp;Checks!$Y$86)</f>
        <v/>
      </c>
      <c r="F42" s="113" t="str">
        <f aca="false">IF(Checks!$Z$86="","","Evidence: "&amp;Checks!$Z$86)&amp;IF(Checks!$AA$86="","",IF(Checks!$Z$86="","",CHAR(10))&amp;"CA: "&amp;Checks!$AA$86)</f>
        <v/>
      </c>
      <c r="G42" s="113" t="str">
        <f aca="false">IF(ISNUMBER(Checks!$AD$86),TEXT(Checks!$AD$86,"DD-MMM-YY HH:MM")&amp;" "&amp;Checks!$P$86,"")&amp;IF(Checks!$AE$86="","",CHAR(10)&amp;"Verifier: "&amp;Checks!$AE$86)&amp;IF(Checks!$T$86="","",CHAR(10)&amp;"PIC: "&amp;Checks!$T$86)</f>
        <v/>
      </c>
      <c r="H42" s="114" t="str">
        <f aca="false">IF(Checks!$AH$86="","",Checks!$AH$86)</f>
        <v>OPEN</v>
      </c>
    </row>
    <row r="43" customFormat="false" ht="25.5" hidden="false" customHeight="true" outlineLevel="0" collapsed="false">
      <c r="A43" s="112"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2"/>
      <c r="C43" s="112"/>
      <c r="D43" s="112"/>
      <c r="E43" s="112"/>
      <c r="F43" s="112"/>
      <c r="G43" s="112"/>
      <c r="H43" s="112"/>
    </row>
    <row r="44" customFormat="false" ht="114" hidden="false" customHeight="true" outlineLevel="0" collapsed="false">
      <c r="A44" s="113" t="str">
        <f aca="false">Checks!$A$87&amp;CHAR(10)&amp;IF(Checks!$I$87="","",Checks!$I$87&amp;": ")&amp;Checks!$J$87</f>
        <v>F03-UPL-01
Meal: Meals physically uplifted on board - quantity vs menu checklist</v>
      </c>
      <c r="B44" s="113" t="str">
        <f aca="false">Checks!$K$87&amp;IF(Checks!$O$87="","",IF(Checks!$K$87="","",CHAR(10))&amp;"Note: "&amp;Checks!$O$87)</f>
        <v>Enter expected &amp; actual
Note: Confirm on board before departure; completion time must fall inside the uplift window.</v>
      </c>
      <c r="C44" s="113" t="str">
        <f aca="false">Checks!$N$87&amp;CHAR(10)&amp;IF(ISNUMBER(Checks!$R$87),TEXT(Checks!$R$87,"DD-MMM-YY HH:MM"),"")&amp;" "&amp;Checks!$P$87</f>
        <v>Required
10-Oct-26 16:05 CGK</v>
      </c>
      <c r="D44" s="113" t="str">
        <f aca="false">IF(Checks!$U$87="","",Checks!$U$87)&amp;IF(Checks!$AB$87="","",CHAR(10)&amp;"CA: "&amp;Checks!$AB$87)</f>
        <v/>
      </c>
      <c r="E44" s="113" t="str">
        <f aca="false">IF(Checks!$V$87="","",Checks!$V$87)&amp;IF(Checks!$AC$87="","",IF(Checks!$V$87="","",CHAR(10))&amp;"N/A just.: "&amp;Checks!$AC$87)&amp;IF(Checks!$W$87="","",CHAR(10)&amp;"Batch: "&amp;Checks!$W$87)&amp;IF(AND(Checks!$X$87="",Checks!$Y$87=""),"",CHAR(10)&amp;"Exp: "&amp;Checks!$X$87&amp;"  /  Act: "&amp;Checks!$Y$87)</f>
        <v/>
      </c>
      <c r="F44" s="113" t="str">
        <f aca="false">IF(Checks!$Z$87="","","Evidence: "&amp;Checks!$Z$87)&amp;IF(Checks!$AA$87="","",IF(Checks!$Z$87="","",CHAR(10))&amp;"CA: "&amp;Checks!$AA$87)</f>
        <v/>
      </c>
      <c r="G44" s="113" t="str">
        <f aca="false">IF(ISNUMBER(Checks!$AD$87),TEXT(Checks!$AD$87,"DD-MMM-YY HH:MM")&amp;" "&amp;Checks!$P$87,"")&amp;IF(Checks!$AE$87="","",CHAR(10)&amp;"Verifier: "&amp;Checks!$AE$87)&amp;IF(Checks!$T$87="","",CHAR(10)&amp;"PIC: "&amp;Checks!$T$87)</f>
        <v/>
      </c>
      <c r="H44" s="114" t="str">
        <f aca="false">IF(Checks!$AH$87="","",Checks!$AH$87)</f>
        <v>OPEN</v>
      </c>
    </row>
    <row r="45" customFormat="false" ht="114" hidden="false" customHeight="true" outlineLevel="0" collapsed="false">
      <c r="A45" s="113" t="str">
        <f aca="false">Checks!$A$88&amp;CHAR(10)&amp;IF(Checks!$I$88="","",Checks!$I$88&amp;": ")&amp;Checks!$J$88</f>
        <v>F03-UPL-02
Equipment: Equipment physically loaded at GLD positions - quantity &amp; positions</v>
      </c>
      <c r="B45" s="113" t="str">
        <f aca="false">Checks!$K$88&amp;IF(Checks!$O$88="","",IF(Checks!$K$88="","",CHAR(10))&amp;"Note: "&amp;Checks!$O$88)</f>
        <v>Enter expected &amp; actual
Note: Confirm on board before departure; completion time must fall inside the uplift window.</v>
      </c>
      <c r="C45" s="113" t="str">
        <f aca="false">Checks!$N$88&amp;CHAR(10)&amp;IF(ISNUMBER(Checks!$R$88),TEXT(Checks!$R$88,"DD-MMM-YY HH:MM"),"")&amp;" "&amp;Checks!$P$88</f>
        <v>Required
10-Oct-26 16:05 CGK</v>
      </c>
      <c r="D45" s="113" t="str">
        <f aca="false">IF(Checks!$U$88="","",Checks!$U$88)&amp;IF(Checks!$AB$88="","",CHAR(10)&amp;"CA: "&amp;Checks!$AB$88)</f>
        <v/>
      </c>
      <c r="E45" s="113" t="str">
        <f aca="false">IF(Checks!$V$88="","",Checks!$V$88)&amp;IF(Checks!$AC$88="","",IF(Checks!$V$88="","",CHAR(10))&amp;"N/A just.: "&amp;Checks!$AC$88)&amp;IF(Checks!$W$88="","",CHAR(10)&amp;"Batch: "&amp;Checks!$W$88)&amp;IF(AND(Checks!$X$88="",Checks!$Y$88=""),"",CHAR(10)&amp;"Exp: "&amp;Checks!$X$88&amp;"  /  Act: "&amp;Checks!$Y$88)</f>
        <v/>
      </c>
      <c r="F45" s="113" t="str">
        <f aca="false">IF(Checks!$Z$88="","","Evidence: "&amp;Checks!$Z$88)&amp;IF(Checks!$AA$88="","",IF(Checks!$Z$88="","",CHAR(10))&amp;"CA: "&amp;Checks!$AA$88)</f>
        <v/>
      </c>
      <c r="G45" s="113" t="str">
        <f aca="false">IF(ISNUMBER(Checks!$AD$88),TEXT(Checks!$AD$88,"DD-MMM-YY HH:MM")&amp;" "&amp;Checks!$P$88,"")&amp;IF(Checks!$AE$88="","",CHAR(10)&amp;"Verifier: "&amp;Checks!$AE$88)&amp;IF(Checks!$T$88="","",CHAR(10)&amp;"PIC: "&amp;Checks!$T$88)</f>
        <v/>
      </c>
      <c r="H45" s="114" t="str">
        <f aca="false">IF(Checks!$AH$88="","",Checks!$AH$88)</f>
        <v>OPEN</v>
      </c>
    </row>
    <row r="46" customFormat="false" ht="114" hidden="false" customHeight="true" outlineLevel="0" collapsed="false">
      <c r="A46" s="113" t="str">
        <f aca="false">Checks!$A$89&amp;CHAR(10)&amp;IF(Checks!$I$89="","",Checks!$I$89&amp;": ")&amp;Checks!$J$89</f>
        <v>F03-UPL-03
Seat Linen: Seat pillow (EY) - on board</v>
      </c>
      <c r="B46" s="113" t="str">
        <f aca="false">Checks!$K$89&amp;IF(Checks!$O$89="","",IF(Checks!$K$89="","",CHAR(10))&amp;"Note: "&amp;Checks!$O$89)</f>
        <v>Available 100% (ticked in reference)</v>
      </c>
      <c r="C46" s="113" t="str">
        <f aca="false">Checks!$N$89&amp;CHAR(10)&amp;IF(ISNUMBER(Checks!$R$89),TEXT(Checks!$R$89,"DD-MMM-YY HH:MM"),"")&amp;" "&amp;Checks!$P$89</f>
        <v>Required
10-Oct-26 16:05 CGK</v>
      </c>
      <c r="D46" s="113" t="str">
        <f aca="false">IF(Checks!$U$89="","",Checks!$U$89)&amp;IF(Checks!$AB$89="","",CHAR(10)&amp;"CA: "&amp;Checks!$AB$89)</f>
        <v/>
      </c>
      <c r="E46" s="113" t="str">
        <f aca="false">IF(Checks!$V$89="","",Checks!$V$89)&amp;IF(Checks!$AC$89="","",IF(Checks!$V$89="","",CHAR(10))&amp;"N/A just.: "&amp;Checks!$AC$89)&amp;IF(Checks!$W$89="","",CHAR(10)&amp;"Batch: "&amp;Checks!$W$89)&amp;IF(AND(Checks!$X$89="",Checks!$Y$89=""),"",CHAR(10)&amp;"Exp: "&amp;Checks!$X$89&amp;"  /  Act: "&amp;Checks!$Y$89)</f>
        <v/>
      </c>
      <c r="F46" s="113" t="str">
        <f aca="false">IF(Checks!$Z$89="","","Evidence: "&amp;Checks!$Z$89)&amp;IF(Checks!$AA$89="","",IF(Checks!$Z$89="","",CHAR(10))&amp;"CA: "&amp;Checks!$AA$89)</f>
        <v/>
      </c>
      <c r="G46" s="113" t="str">
        <f aca="false">IF(ISNUMBER(Checks!$AD$89),TEXT(Checks!$AD$89,"DD-MMM-YY HH:MM")&amp;" "&amp;Checks!$P$89,"")&amp;IF(Checks!$AE$89="","",CHAR(10)&amp;"Verifier: "&amp;Checks!$AE$89)&amp;IF(Checks!$T$89="","",CHAR(10)&amp;"PIC: "&amp;Checks!$T$89)</f>
        <v/>
      </c>
      <c r="H46" s="114" t="str">
        <f aca="false">IF(Checks!$AH$89="","",Checks!$AH$89)</f>
        <v>OPEN</v>
      </c>
    </row>
    <row r="48" customFormat="false" ht="24" hidden="false" customHeight="true" outlineLevel="0" collapsed="false">
      <c r="A48" s="115" t="s">
        <v>1650</v>
      </c>
      <c r="B48" s="115"/>
      <c r="C48" s="115"/>
      <c r="D48" s="115"/>
      <c r="E48" s="115" t="s">
        <v>1651</v>
      </c>
      <c r="F48" s="115"/>
      <c r="G48" s="115"/>
      <c r="H48" s="115"/>
    </row>
    <row r="49" customFormat="false" ht="21.75" hidden="false" customHeight="true" outlineLevel="0" collapsed="false">
      <c r="A49" s="116"/>
      <c r="B49" s="116"/>
      <c r="C49" s="116"/>
      <c r="D49" s="116"/>
      <c r="E49" s="116"/>
      <c r="F49" s="116"/>
      <c r="G49" s="116"/>
      <c r="H49" s="116"/>
    </row>
    <row r="50" customFormat="false" ht="21.75" hidden="false" customHeight="true" outlineLevel="0" collapsed="false">
      <c r="A50" s="116"/>
      <c r="B50" s="116"/>
      <c r="C50" s="116"/>
      <c r="D50" s="116"/>
      <c r="E50" s="116"/>
      <c r="F50" s="116"/>
      <c r="G50" s="116"/>
      <c r="H50" s="116"/>
    </row>
    <row r="51" customFormat="false" ht="21.75" hidden="false" customHeight="true" outlineLevel="0" collapsed="false">
      <c r="A51" s="116"/>
      <c r="B51" s="116"/>
      <c r="C51" s="116"/>
      <c r="D51" s="116"/>
      <c r="E51" s="116"/>
      <c r="F51" s="116"/>
      <c r="G51" s="116"/>
      <c r="H51" s="116"/>
    </row>
    <row r="52" customFormat="false" ht="21.75" hidden="false" customHeight="true" outlineLevel="0" collapsed="false">
      <c r="A52" s="116"/>
      <c r="B52" s="116"/>
      <c r="C52" s="116"/>
      <c r="D52" s="116"/>
      <c r="E52" s="116"/>
      <c r="F52" s="116"/>
      <c r="G52" s="116"/>
      <c r="H52" s="116"/>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F04  "&amp;Flights!$F$8&amp;"  "&amp;TEXT(Flights!$D$8,"DD-MMM-YY")&amp;" ("&amp;Flights!$E$8&amp;")  "&amp;Flights!$G$8&amp;" → "&amp;Flights!$H$8&amp;"  |  Class "&amp;Flights!$K$8</f>
        <v>SKYTRAX 2026 CATERING READINESS CHECKLIST  |  F04  MH0088  10-Oct-26 (SAT)  KUL → NRT  |  Class BC</v>
      </c>
      <c r="B1" s="91"/>
      <c r="C1" s="91"/>
      <c r="D1" s="91"/>
      <c r="E1" s="91"/>
      <c r="F1" s="91"/>
      <c r="G1" s="91"/>
      <c r="H1" s="91"/>
    </row>
    <row r="2" customFormat="false" ht="12.75" hidden="false" customHeight="true" outlineLevel="0" collapsed="false">
      <c r="A2" s="92" t="s">
        <v>1605</v>
      </c>
      <c r="B2" s="93" t="str">
        <f aca="false">Flights!$F$8&amp;"   "&amp;TEXT(Flights!$D$8,"DD-MMM-YY")&amp;" ("&amp;Flights!$E$8&amp;")"</f>
        <v>MH0088   10-Oct-26 (SAT)</v>
      </c>
      <c r="C2" s="93"/>
      <c r="D2" s="93"/>
      <c r="E2" s="94" t="s">
        <v>1606</v>
      </c>
      <c r="F2" s="95" t="str">
        <f aca="false">Flights!$AT$8</f>
        <v>NOT READY – DOCUMENTS</v>
      </c>
      <c r="G2" s="95"/>
      <c r="H2" s="95"/>
    </row>
    <row r="3" customFormat="false" ht="24" hidden="false" customHeight="true" outlineLevel="0" collapsed="false">
      <c r="A3" s="92" t="s">
        <v>1607</v>
      </c>
      <c r="B3" s="93" t="str">
        <f aca="false">Flights!$G$8&amp;" → "&amp;Flights!$H$8&amp;"   Class "&amp;Flights!$K$8&amp;"   Seat "&amp;Flights!$O$8</f>
        <v>KUL → NRT   Class BC   Seat 1A</v>
      </c>
      <c r="C3" s="93"/>
      <c r="D3" s="93"/>
      <c r="E3" s="94" t="s">
        <v>68</v>
      </c>
      <c r="F3" s="94" t="s">
        <v>1608</v>
      </c>
      <c r="G3" s="94" t="s">
        <v>1609</v>
      </c>
      <c r="H3" s="94"/>
    </row>
    <row r="4" customFormat="false" ht="24" hidden="false" customHeight="true" outlineLevel="0" collapsed="false">
      <c r="A4" s="92" t="s">
        <v>1610</v>
      </c>
      <c r="B4" s="93" t="str">
        <f aca="false">IF(ISNUMBER(Flights!$I$8),TEXT(Flights!$I$8,"DD-MMM-YY HH:MM"),"")&amp;" "&amp;Flights!$G$8&amp;"  →  "&amp;IF(ISNUMBER(Flights!$J$8),TEXT(Flights!$J$8,"DD-MMM-YY HH:MM"),"")&amp;" "&amp;Flights!$H$8</f>
        <v>10-Oct-26 23:30 KUL  →  11-Oct-26 07:40 NRT</v>
      </c>
      <c r="C4" s="93"/>
      <c r="D4" s="93"/>
      <c r="E4" s="92" t="s">
        <v>1611</v>
      </c>
      <c r="F4" s="96" t="str">
        <f aca="false">IF(ISNUMBER(Flights!$AG$8),TEXT(Flights!$AG$8,"DD-MMM-YY HH:MM"),"")&amp;" "&amp;Flights!$V$8</f>
        <v>03-Oct-26 23:30 KUL</v>
      </c>
      <c r="G4" s="97" t="n">
        <f aca="false">Flights!$AJ$8</f>
        <v>0</v>
      </c>
      <c r="H4" s="97"/>
    </row>
    <row r="5" customFormat="false" ht="24" hidden="false" customHeight="true" outlineLevel="0" collapsed="false">
      <c r="A5" s="92" t="s">
        <v>1612</v>
      </c>
      <c r="B5" s="93" t="str">
        <f aca="false">Flights!$L$8&amp;" – "&amp;Flights!$M$8</f>
        <v>A350 – A350-900: A359 (9M-MAB..MAG, row 6) or A350 9M-MAH (row 7) - tail to confirm</v>
      </c>
      <c r="C5" s="93"/>
      <c r="D5" s="93"/>
      <c r="E5" s="92" t="s">
        <v>1613</v>
      </c>
      <c r="F5" s="96" t="str">
        <f aca="false">IF(ISNUMBER(Flights!$AH$8),TEXT(Flights!$AH$8,"DD-MMM-YY HH:MM"),"")&amp;" "&amp;Flights!$V$8</f>
        <v>09-Oct-26 23:30 KUL</v>
      </c>
      <c r="G5" s="97" t="n">
        <f aca="false">Flights!$AK$8</f>
        <v>0</v>
      </c>
      <c r="H5" s="97"/>
    </row>
    <row r="6" customFormat="false" ht="24" hidden="false" customHeight="true" outlineLevel="0" collapsed="false">
      <c r="A6" s="92" t="s">
        <v>1614</v>
      </c>
      <c r="B6" s="93" t="str">
        <f aca="false">IF(TRIM(Flights!$N$8)="","__________________",Flights!$N$8)</f>
        <v>__________________</v>
      </c>
      <c r="C6" s="93"/>
      <c r="D6" s="93"/>
      <c r="E6" s="92" t="s">
        <v>1615</v>
      </c>
      <c r="F6" s="96" t="str">
        <f aca="false">IF(ISNUMBER(Flights!$AI$8),TEXT(Flights!$AI$8,"DD-MMM-YY HH:MM"),"")&amp;" "&amp;Flights!$V$8&amp;IF(Flights!$AI$8=Flights!$AH$8,"  (= T-24H due)","")</f>
        <v>10-Oct-26 11:30 KUL</v>
      </c>
      <c r="G6" s="97" t="n">
        <f aca="false">Flights!$AL$8</f>
        <v>0</v>
      </c>
      <c r="H6" s="97"/>
    </row>
    <row r="7" customFormat="false" ht="24" hidden="false" customHeight="true" outlineLevel="0" collapsed="false">
      <c r="A7" s="92" t="s">
        <v>1616</v>
      </c>
      <c r="B7" s="93" t="str">
        <f aca="false">Flights!$T$8</f>
        <v>1.5 Meal (Meal)</v>
      </c>
      <c r="C7" s="93"/>
      <c r="D7" s="93"/>
      <c r="E7" s="92" t="s">
        <v>1617</v>
      </c>
      <c r="F7" s="96" t="str">
        <f aca="false">"STD "&amp;IF(ISNUMBER(Flights!$I$8),TEXT(Flights!$I$8,"DD-MMM-YY HH:MM"),"")&amp;" "&amp;Flights!$G$8&amp;" (dep stn)"</f>
        <v>STD 10-Oct-26 23:30 KUL (dep stn)</v>
      </c>
      <c r="G7" s="97" t="n">
        <f aca="false">Flights!$AM$8</f>
        <v>0</v>
      </c>
      <c r="H7" s="97"/>
    </row>
    <row r="8" customFormat="false" ht="12.75" hidden="false" customHeight="true" outlineLevel="0" collapsed="false">
      <c r="A8" s="92" t="s">
        <v>150</v>
      </c>
      <c r="B8" s="93" t="str">
        <f aca="false">Flights!$V$8&amp;"   (reference uplift stns: "&amp;Flights!$U$8&amp;")"</f>
        <v>KUL   (reference uplift stns: KUL/NRT)</v>
      </c>
      <c r="C8" s="93"/>
      <c r="D8" s="93"/>
      <c r="E8" s="92" t="s">
        <v>1618</v>
      </c>
      <c r="F8" s="98" t="s">
        <v>1619</v>
      </c>
      <c r="G8" s="97" t="n">
        <f aca="false">Flights!$AN$8</f>
        <v>0</v>
      </c>
      <c r="H8" s="97"/>
    </row>
    <row r="9" customFormat="false" ht="12.75" hidden="false" customHeight="true" outlineLevel="0" collapsed="false">
      <c r="A9" s="92" t="s">
        <v>1620</v>
      </c>
      <c r="B9" s="93" t="str">
        <f aca="false">TRIM(Flights!$P$8&amp;"  "&amp;Flights!$Q$8)</f>
        <v>4H 05M Overnight NRT</v>
      </c>
      <c r="C9" s="93"/>
      <c r="D9" s="93"/>
      <c r="E9" s="92" t="s">
        <v>1621</v>
      </c>
      <c r="F9" s="99" t="n">
        <f aca="false">Flights!$AP$8</f>
        <v>0</v>
      </c>
      <c r="G9" s="99" t="n">
        <f aca="false">Flights!$AQ$8</f>
        <v>0</v>
      </c>
      <c r="H9" s="99" t="n">
        <f aca="false">Flights!$AU$8</f>
        <v>0</v>
      </c>
    </row>
    <row r="10" customFormat="false" ht="24" hidden="false" customHeight="true" outlineLevel="0" collapsed="false">
      <c r="A10" s="92" t="s">
        <v>1622</v>
      </c>
      <c r="B10" s="93" t="str">
        <f aca="false">IF(TRIM(Flights!$X$8)="","__________________",Flights!$X$8)</f>
        <v>__________________</v>
      </c>
      <c r="C10" s="93"/>
      <c r="D10" s="93"/>
      <c r="E10" s="92" t="s">
        <v>1623</v>
      </c>
      <c r="F10" s="99" t="n">
        <f aca="false">Flights!$AO$8</f>
        <v>46</v>
      </c>
      <c r="G10" s="99" t="n">
        <f aca="false">Flights!$AS$8</f>
        <v>0</v>
      </c>
      <c r="H10" s="99" t="n">
        <f aca="false">Flights!$AR$8</f>
        <v>2</v>
      </c>
    </row>
    <row r="11" customFormat="false" ht="21" hidden="false" customHeight="true" outlineLevel="0" collapsed="false">
      <c r="A11" s="92" t="s">
        <v>1624</v>
      </c>
      <c r="B11" s="93" t="str">
        <f aca="false">IF(TRIM(Flights!$Y$8)="","__________________",Flights!$Y$8)</f>
        <v>__________________</v>
      </c>
      <c r="C11" s="93"/>
      <c r="D11" s="93"/>
      <c r="E11" s="92" t="s">
        <v>1625</v>
      </c>
      <c r="F11" s="99" t="str">
        <f aca="false">Flights!$AV$8&amp;" / "&amp;Flights!$AW$8</f>
        <v>0 / 46</v>
      </c>
      <c r="G11" s="100" t="str">
        <f aca="false">IF(ISNUMBER(Settings!$B$6),TEXT(Settings!$B$6,"DD-MMM-YY HH:MM"),"")</f>
        <v>28-Sep-26 03:19</v>
      </c>
      <c r="H11" s="100"/>
    </row>
    <row r="12" customFormat="false" ht="34.5" hidden="false" customHeight="true" outlineLevel="0" collapsed="false">
      <c r="A12" s="101" t="s">
        <v>1626</v>
      </c>
      <c r="B12" s="101"/>
      <c r="C12" s="101"/>
      <c r="D12" s="101"/>
      <c r="E12" s="102" t="s">
        <v>1627</v>
      </c>
      <c r="F12" s="103" t="s">
        <v>1628</v>
      </c>
      <c r="G12" s="104" t="s">
        <v>89</v>
      </c>
      <c r="H12" s="105" t="s">
        <v>1629</v>
      </c>
    </row>
    <row r="13" customFormat="false" ht="13.5" hidden="false" customHeight="true" outlineLevel="0" collapsed="false">
      <c r="A13" s="94" t="s">
        <v>1630</v>
      </c>
      <c r="B13" s="94" t="s">
        <v>1631</v>
      </c>
      <c r="C13" s="94" t="s">
        <v>1632</v>
      </c>
      <c r="D13" s="94"/>
      <c r="E13" s="94" t="s">
        <v>1633</v>
      </c>
      <c r="F13" s="94" t="s">
        <v>1634</v>
      </c>
      <c r="G13" s="94"/>
      <c r="H13" s="94"/>
    </row>
    <row r="14" customFormat="false" ht="36" hidden="false" customHeight="true" outlineLevel="0" collapsed="false">
      <c r="A14" s="92" t="s">
        <v>1635</v>
      </c>
      <c r="B14" s="93" t="str">
        <f aca="false">IF(Documents!$F$8="","",Documents!$F$8)</f>
        <v/>
      </c>
      <c r="C14" s="98" t="str">
        <f aca="false">IF(Documents!$G$8="","",Documents!$G$8)&amp;IF(ISNUMBER(Documents!$H$8),"  "&amp;TEXT(Documents!$H$8,"DD-MMM-YY"),"")</f>
        <v/>
      </c>
      <c r="D14" s="98"/>
      <c r="E14" s="106" t="str">
        <f aca="false">IF(Documents!$J$8="OUTSTANDING","OUTSTANDING – attach before T-7D (due "&amp;IF(ISNUMBER(Flights!$AG$8),TEXT(Flights!$AG$8,"DD-MMM-YY HH:MM"),"")&amp;" "&amp;Flights!$V$8&amp;")",IF(Documents!$J$8="","Status not recorded",Documents!$J$8))</f>
        <v>OUTSTANDING – attach before T-7D (due 03-Oct-26 23:30 KUL)</v>
      </c>
      <c r="F14" s="107" t="str">
        <f aca="false">"Staple behind this sheet as page A1."&amp;IF(Documents!$I$8="",""," Location: "&amp;Documents!$I$8)</f>
        <v>Staple behind this sheet as page A1.</v>
      </c>
      <c r="G14" s="107"/>
      <c r="H14" s="107"/>
    </row>
    <row r="15" customFormat="false" ht="36" hidden="false" customHeight="true" outlineLevel="0" collapsed="false">
      <c r="A15" s="92" t="s">
        <v>1636</v>
      </c>
      <c r="B15" s="93" t="str">
        <f aca="false">IF(Documents!$K$8="","",Documents!$K$8)</f>
        <v/>
      </c>
      <c r="C15" s="98" t="str">
        <f aca="false">IF(Documents!$L$8="","",Documents!$L$8)&amp;IF(ISNUMBER(Documents!$M$8),"  "&amp;TEXT(Documents!$M$8,"DD-MMM-YY"),"")</f>
        <v/>
      </c>
      <c r="D15" s="98"/>
      <c r="E15" s="106" t="str">
        <f aca="false">IF(Documents!$O$8="OUTSTANDING","OUTSTANDING – attach before T-7D (due "&amp;IF(ISNUMBER(Flights!$AG$8),TEXT(Flights!$AG$8,"DD-MMM-YY HH:MM"),"")&amp;" "&amp;Flights!$V$8&amp;")",IF(Documents!$O$8="","Status not recorded",Documents!$O$8))</f>
        <v>OUTSTANDING – attach before T-7D (due 03-Oct-26 23:30 KUL)</v>
      </c>
      <c r="F15" s="107" t="str">
        <f aca="false">"Staple behind this sheet as page A2."&amp;IF(Documents!$N$8="",""," Location: "&amp;Documents!$N$8)</f>
        <v>Staple behind this sheet as page A2.</v>
      </c>
      <c r="G15" s="107"/>
      <c r="H15" s="107"/>
    </row>
    <row r="16" customFormat="false" ht="22.5" hidden="false" customHeight="true" outlineLevel="0" collapsed="false">
      <c r="A16" s="92" t="s">
        <v>1637</v>
      </c>
      <c r="B16" s="108" t="str">
        <f aca="false">IF(Documents!$Q$8="","",Documents!$Q$8)</f>
        <v>Not supplied with brief – obtain from caterer / MAGCS.</v>
      </c>
      <c r="C16" s="108"/>
      <c r="D16" s="108"/>
      <c r="E16" s="108"/>
      <c r="F16" s="108"/>
      <c r="G16" s="108"/>
      <c r="H16" s="108"/>
    </row>
    <row r="17" customFormat="false" ht="13.5" hidden="false" customHeight="true" outlineLevel="0" collapsed="false">
      <c r="A17" s="109" t="s">
        <v>1638</v>
      </c>
      <c r="B17" s="109"/>
      <c r="C17" s="109" t="s">
        <v>1639</v>
      </c>
      <c r="D17" s="109"/>
      <c r="E17" s="109"/>
      <c r="F17" s="109" t="s">
        <v>1640</v>
      </c>
      <c r="G17" s="109"/>
      <c r="H17" s="109"/>
    </row>
    <row r="18" customFormat="false" ht="18" hidden="false" customHeight="true" outlineLevel="0" collapsed="false">
      <c r="A18" s="93" t="str">
        <f aca="false">"Name: "&amp;IF(TRIM(Flights!$Y$8)="","__________________",Flights!$Y$8)</f>
        <v>Name: __________________</v>
      </c>
      <c r="B18" s="93"/>
      <c r="C18" s="93" t="str">
        <f aca="false">"Name: __________________"</f>
        <v>Name: __________________</v>
      </c>
      <c r="D18" s="93"/>
      <c r="E18" s="93"/>
      <c r="F18" s="93" t="str">
        <f aca="false">"Name: __________________"&amp;"   Station: "&amp;Flights!$V$8</f>
        <v>Name: __________________   Station: KUL</v>
      </c>
      <c r="G18" s="93"/>
      <c r="H18" s="93"/>
    </row>
    <row r="19" customFormat="false" ht="30" hidden="false" customHeight="true" outlineLevel="0" collapsed="false">
      <c r="A19" s="110" t="s">
        <v>1641</v>
      </c>
      <c r="B19" s="110"/>
      <c r="C19" s="110" t="s">
        <v>1641</v>
      </c>
      <c r="D19" s="110"/>
      <c r="E19" s="110"/>
      <c r="F19" s="110" t="s">
        <v>1641</v>
      </c>
      <c r="G19" s="110"/>
      <c r="H19" s="110"/>
    </row>
    <row r="20" customFormat="false" ht="13.5" hidden="false" customHeight="true" outlineLevel="0" collapsed="false">
      <c r="A20" s="111" t="s">
        <v>1642</v>
      </c>
      <c r="B20" s="111"/>
      <c r="C20" s="111"/>
      <c r="D20" s="111"/>
      <c r="E20" s="111"/>
      <c r="F20" s="111"/>
      <c r="G20" s="111"/>
      <c r="H20" s="111"/>
    </row>
    <row r="21" customFormat="false" ht="24" hidden="false" customHeight="true" outlineLevel="0" collapsed="false">
      <c r="A21" s="94" t="s">
        <v>1643</v>
      </c>
      <c r="B21" s="94" t="s">
        <v>1644</v>
      </c>
      <c r="C21" s="94" t="s">
        <v>1645</v>
      </c>
      <c r="D21" s="94" t="s">
        <v>1646</v>
      </c>
      <c r="E21" s="94" t="s">
        <v>1647</v>
      </c>
      <c r="F21" s="94" t="s">
        <v>1648</v>
      </c>
      <c r="G21" s="94" t="s">
        <v>1649</v>
      </c>
      <c r="H21" s="94" t="s">
        <v>121</v>
      </c>
    </row>
    <row r="22" customFormat="false" ht="25.5" hidden="false" customHeight="true" outlineLevel="0" collapsed="false">
      <c r="A22" s="112"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Checks!$A$90&amp;CHAR(10)&amp;IF(Checks!$I$90="","",Checks!$I$90&amp;": ")&amp;Checks!$J$90</f>
        <v>F04-T7-01
Meal: Meal sensory testing completed for this flight's menu cycle (assessed class)</v>
      </c>
      <c r="B23" s="113" t="str">
        <f aca="false">Checks!$K$90&amp;IF(Checks!$O$90="","",IF(Checks!$K$90="","",CHAR(10))&amp;"Note: "&amp;Checks!$O$90)</f>
        <v>Record panel result / score in Result</v>
      </c>
      <c r="C23" s="113" t="str">
        <f aca="false">Checks!$N$90&amp;CHAR(10)&amp;IF(ISNUMBER(Checks!$R$90),TEXT(Checks!$R$90,"DD-MMM-YY HH:MM"),"")&amp;" "&amp;Checks!$P$90</f>
        <v>Required
03-Oct-26 23:30 KUL</v>
      </c>
      <c r="D23" s="113" t="str">
        <f aca="false">IF(Checks!$U$90="","",Checks!$U$90)&amp;IF(Checks!$AB$90="","",CHAR(10)&amp;"CA: "&amp;Checks!$AB$90)</f>
        <v/>
      </c>
      <c r="E23" s="113" t="str">
        <f aca="false">IF(Checks!$V$90="","",Checks!$V$90)&amp;IF(Checks!$AC$90="","",IF(Checks!$V$90="","",CHAR(10))&amp;"N/A just.: "&amp;Checks!$AC$90)&amp;IF(Checks!$W$90="","",CHAR(10)&amp;"Batch: "&amp;Checks!$W$90)&amp;IF(AND(Checks!$X$90="",Checks!$Y$90=""),"",CHAR(10)&amp;"Exp: "&amp;Checks!$X$90&amp;"  /  Act: "&amp;Checks!$Y$90)</f>
        <v/>
      </c>
      <c r="F23" s="113" t="str">
        <f aca="false">IF(Checks!$Z$90="","","Evidence: "&amp;Checks!$Z$90)&amp;IF(Checks!$AA$90="","",IF(Checks!$Z$90="","",CHAR(10))&amp;"CA: "&amp;Checks!$AA$90)</f>
        <v/>
      </c>
      <c r="G23" s="113" t="str">
        <f aca="false">IF(ISNUMBER(Checks!$AD$90),TEXT(Checks!$AD$90,"DD-MMM-YY HH:MM")&amp;" "&amp;Checks!$P$90,"")&amp;IF(Checks!$AE$90="","",CHAR(10)&amp;"Verifier: "&amp;Checks!$AE$90)&amp;IF(Checks!$T$90="","",CHAR(10)&amp;"PIC: "&amp;Checks!$T$90)</f>
        <v/>
      </c>
      <c r="H23" s="114" t="str">
        <f aca="false">IF(Checks!$AH$90="","",Checks!$AH$90)</f>
        <v>OPEN</v>
      </c>
    </row>
    <row r="24" customFormat="false" ht="114" hidden="false" customHeight="true" outlineLevel="0" collapsed="false">
      <c r="A24" s="113" t="str">
        <f aca="false">Checks!$A$91&amp;CHAR(10)&amp;IF(Checks!$I$91="","",Checks!$I$91&amp;": ")&amp;Checks!$J$91</f>
        <v>F04-T7-02
Menu: Printed menu cards confirmed (content, cycle, language, quantity)</v>
      </c>
      <c r="B24" s="113" t="str">
        <f aca="false">Checks!$K$91&amp;IF(Checks!$O$91="","",IF(Checks!$K$91="","",CHAR(10))&amp;"Note: "&amp;Checks!$O$91)</f>
        <v>Menu card matches approved menu for this flight</v>
      </c>
      <c r="C24" s="113" t="str">
        <f aca="false">Checks!$N$91&amp;CHAR(10)&amp;IF(ISNUMBER(Checks!$R$91),TEXT(Checks!$R$91,"DD-MMM-YY HH:MM"),"")&amp;" "&amp;Checks!$P$91</f>
        <v>Required
03-Oct-26 23:30 KUL</v>
      </c>
      <c r="D24" s="113" t="str">
        <f aca="false">IF(Checks!$U$91="","",Checks!$U$91)&amp;IF(Checks!$AB$91="","",CHAR(10)&amp;"CA: "&amp;Checks!$AB$91)</f>
        <v/>
      </c>
      <c r="E24" s="113" t="str">
        <f aca="false">IF(Checks!$V$91="","",Checks!$V$91)&amp;IF(Checks!$AC$91="","",IF(Checks!$V$91="","",CHAR(10))&amp;"N/A just.: "&amp;Checks!$AC$91)&amp;IF(Checks!$W$91="","",CHAR(10)&amp;"Batch: "&amp;Checks!$W$91)&amp;IF(AND(Checks!$X$91="",Checks!$Y$91=""),"",CHAR(10)&amp;"Exp: "&amp;Checks!$X$91&amp;"  /  Act: "&amp;Checks!$Y$91)</f>
        <v/>
      </c>
      <c r="F24" s="113" t="str">
        <f aca="false">IF(Checks!$Z$91="","","Evidence: "&amp;Checks!$Z$91)&amp;IF(Checks!$AA$91="","",IF(Checks!$Z$91="","",CHAR(10))&amp;"CA: "&amp;Checks!$AA$91)</f>
        <v/>
      </c>
      <c r="G24" s="113" t="str">
        <f aca="false">IF(ISNUMBER(Checks!$AD$91),TEXT(Checks!$AD$91,"DD-MMM-YY HH:MM")&amp;" "&amp;Checks!$P$91,"")&amp;IF(Checks!$AE$91="","",CHAR(10)&amp;"Verifier: "&amp;Checks!$AE$91)&amp;IF(Checks!$T$91="","",CHAR(10)&amp;"PIC: "&amp;Checks!$T$91)</f>
        <v/>
      </c>
      <c r="H24" s="114" t="str">
        <f aca="false">IF(Checks!$AH$91="","",Checks!$AH$91)</f>
        <v>OPEN</v>
      </c>
    </row>
    <row r="25" customFormat="false" ht="114" hidden="false" customHeight="true" outlineLevel="0" collapsed="false">
      <c r="A25" s="113" t="str">
        <f aca="false">Checks!$A$92&amp;CHAR(10)&amp;IF(Checks!$I$92="","",Checks!$I$92&amp;": ")&amp;Checks!$J$92</f>
        <v>F04-T7-03
IFE: Digital menu in IFE confirmed (A339 only)</v>
      </c>
      <c r="B25" s="113" t="str">
        <f aca="false">Checks!$K$92&amp;IF(Checks!$O$92="","",IF(Checks!$K$92="","",CHAR(10))&amp;"Note: "&amp;Checks!$O$92)</f>
        <v>Applies when fleet = A339
Note: Digital IFE menu applies to A339 only (user brief). Applicability follows the Fleet cell on Flights.</v>
      </c>
      <c r="C25" s="113" t="str">
        <f aca="false">Checks!$N$92&amp;CHAR(10)&amp;IF(ISNUMBER(Checks!$R$92),TEXT(Checks!$R$92,"DD-MMM-YY HH:MM"),"")&amp;" "&amp;Checks!$P$92</f>
        <v>N/A – rule
03-Oct-26 23:30 KUL</v>
      </c>
      <c r="D25" s="113" t="str">
        <f aca="false">IF(Checks!$U$92="","",Checks!$U$92)&amp;IF(Checks!$AB$92="","",CHAR(10)&amp;"CA: "&amp;Checks!$AB$92)</f>
        <v/>
      </c>
      <c r="E25" s="113" t="str">
        <f aca="false">IF(Checks!$V$92="","",Checks!$V$92)&amp;IF(Checks!$AC$92="","",IF(Checks!$V$92="","",CHAR(10))&amp;"N/A just.: "&amp;Checks!$AC$92)&amp;IF(Checks!$W$92="","",CHAR(10)&amp;"Batch: "&amp;Checks!$W$92)&amp;IF(AND(Checks!$X$92="",Checks!$Y$92=""),"",CHAR(10)&amp;"Exp: "&amp;Checks!$X$92&amp;"  /  Act: "&amp;Checks!$Y$92)</f>
        <v/>
      </c>
      <c r="F25" s="113" t="str">
        <f aca="false">IF(Checks!$Z$92="","","Evidence: "&amp;Checks!$Z$92)&amp;IF(Checks!$AA$92="","",IF(Checks!$Z$92="","",CHAR(10))&amp;"CA: "&amp;Checks!$AA$92)</f>
        <v/>
      </c>
      <c r="G25" s="113" t="str">
        <f aca="false">IF(ISNUMBER(Checks!$AD$92),TEXT(Checks!$AD$92,"DD-MMM-YY HH:MM")&amp;" "&amp;Checks!$P$92,"")&amp;IF(Checks!$AE$92="","",CHAR(10)&amp;"Verifier: "&amp;Checks!$AE$92)&amp;IF(Checks!$T$92="","",CHAR(10)&amp;"PIC: "&amp;Checks!$T$92)</f>
        <v/>
      </c>
      <c r="H25" s="114" t="str">
        <f aca="false">IF(Checks!$AH$92="","",Checks!$AH$92)</f>
        <v>N/A – RULE</v>
      </c>
    </row>
    <row r="26" customFormat="false" ht="114" hidden="false" customHeight="true" outlineLevel="0" collapsed="false">
      <c r="A26" s="113" t="str">
        <f aca="false">Checks!$A$93&amp;CHAR(10)&amp;IF(Checks!$I$93="","",Checks!$I$93&amp;": ")&amp;Checks!$J$93</f>
        <v>F04-T7-04
Staffing: Experienced catering officer assigned to this flight</v>
      </c>
      <c r="B26" s="113" t="str">
        <f aca="false">Checks!$K$93&amp;IF(Checks!$O$93="","",IF(Checks!$K$93="","",CHAR(10))&amp;"Note: "&amp;Checks!$O$93)</f>
        <v>Record officer name in Result</v>
      </c>
      <c r="C26" s="113" t="str">
        <f aca="false">Checks!$N$93&amp;CHAR(10)&amp;IF(ISNUMBER(Checks!$R$93),TEXT(Checks!$R$93,"DD-MMM-YY HH:MM"),"")&amp;" "&amp;Checks!$P$93</f>
        <v>Required
03-Oct-26 23:30 KUL</v>
      </c>
      <c r="D26" s="113" t="str">
        <f aca="false">IF(Checks!$U$93="","",Checks!$U$93)&amp;IF(Checks!$AB$93="","",CHAR(10)&amp;"CA: "&amp;Checks!$AB$93)</f>
        <v/>
      </c>
      <c r="E26" s="113" t="str">
        <f aca="false">IF(Checks!$V$93="","",Checks!$V$93)&amp;IF(Checks!$AC$93="","",IF(Checks!$V$93="","",CHAR(10))&amp;"N/A just.: "&amp;Checks!$AC$93)&amp;IF(Checks!$W$93="","",CHAR(10)&amp;"Batch: "&amp;Checks!$W$93)&amp;IF(AND(Checks!$X$93="",Checks!$Y$93=""),"",CHAR(10)&amp;"Exp: "&amp;Checks!$X$93&amp;"  /  Act: "&amp;Checks!$Y$93)</f>
        <v/>
      </c>
      <c r="F26" s="113" t="str">
        <f aca="false">IF(Checks!$Z$93="","","Evidence: "&amp;Checks!$Z$93)&amp;IF(Checks!$AA$93="","",IF(Checks!$Z$93="","",CHAR(10))&amp;"CA: "&amp;Checks!$AA$93)</f>
        <v/>
      </c>
      <c r="G26" s="113" t="str">
        <f aca="false">IF(ISNUMBER(Checks!$AD$93),TEXT(Checks!$AD$93,"DD-MMM-YY HH:MM")&amp;" "&amp;Checks!$P$93,"")&amp;IF(Checks!$AE$93="","",CHAR(10)&amp;"Verifier: "&amp;Checks!$AE$93)&amp;IF(Checks!$T$93="","",CHAR(10)&amp;"PIC: "&amp;Checks!$T$93)</f>
        <v/>
      </c>
      <c r="H26" s="114" t="str">
        <f aca="false">IF(Checks!$AH$93="","",Checks!$AH$93)</f>
        <v>OPEN</v>
      </c>
    </row>
    <row r="27" customFormat="false" ht="114" hidden="false" customHeight="true" outlineLevel="0" collapsed="false">
      <c r="A27" s="113" t="str">
        <f aca="false">Checks!$A$94&amp;CHAR(10)&amp;IF(Checks!$I$94="","",Checks!$I$94&amp;": ")&amp;Checks!$J$94</f>
        <v>F04-T7-05
ISOP: All latest applicable ISOP revisions communicated to caterer</v>
      </c>
      <c r="B27" s="113" t="str">
        <f aca="false">Checks!$K$94&amp;IF(Checks!$O$94="","",IF(Checks!$K$94="","",CHAR(10))&amp;"Note: "&amp;Checks!$O$94)</f>
        <v>List revision numbers in Result (see ISOP register)</v>
      </c>
      <c r="C27" s="113" t="str">
        <f aca="false">Checks!$N$94&amp;CHAR(10)&amp;IF(ISNUMBER(Checks!$R$94),TEXT(Checks!$R$94,"DD-MMM-YY HH:MM"),"")&amp;" "&amp;Checks!$P$94</f>
        <v>Required
03-Oct-26 23:30 KUL</v>
      </c>
      <c r="D27" s="113" t="str">
        <f aca="false">IF(Checks!$U$94="","",Checks!$U$94)&amp;IF(Checks!$AB$94="","",CHAR(10)&amp;"CA: "&amp;Checks!$AB$94)</f>
        <v/>
      </c>
      <c r="E27" s="113" t="str">
        <f aca="false">IF(Checks!$V$94="","",Checks!$V$94)&amp;IF(Checks!$AC$94="","",IF(Checks!$V$94="","",CHAR(10))&amp;"N/A just.: "&amp;Checks!$AC$94)&amp;IF(Checks!$W$94="","",CHAR(10)&amp;"Batch: "&amp;Checks!$W$94)&amp;IF(AND(Checks!$X$94="",Checks!$Y$94=""),"",CHAR(10)&amp;"Exp: "&amp;Checks!$X$94&amp;"  /  Act: "&amp;Checks!$Y$94)</f>
        <v/>
      </c>
      <c r="F27" s="113" t="str">
        <f aca="false">IF(Checks!$Z$94="","","Evidence: "&amp;Checks!$Z$94)&amp;IF(Checks!$AA$94="","",IF(Checks!$Z$94="","",CHAR(10))&amp;"CA: "&amp;Checks!$AA$94)</f>
        <v/>
      </c>
      <c r="G27" s="113" t="str">
        <f aca="false">IF(ISNUMBER(Checks!$AD$94),TEXT(Checks!$AD$94,"DD-MMM-YY HH:MM")&amp;" "&amp;Checks!$P$94,"")&amp;IF(Checks!$AE$94="","",CHAR(10)&amp;"Verifier: "&amp;Checks!$AE$94)&amp;IF(Checks!$T$94="","",CHAR(10)&amp;"PIC: "&amp;Checks!$T$94)</f>
        <v/>
      </c>
      <c r="H27" s="114" t="str">
        <f aca="false">IF(Checks!$AH$94="","",Checks!$AH$94)</f>
        <v>OPEN</v>
      </c>
    </row>
    <row r="28" customFormat="false" ht="114" hidden="false" customHeight="true" outlineLevel="0" collapsed="false">
      <c r="A28" s="113" t="str">
        <f aca="false">Checks!$A$95&amp;CHAR(10)&amp;IF(Checks!$I$95="","",Checks!$I$95&amp;": ")&amp;Checks!$J$95</f>
        <v>F04-T7-06
ISOP: Caterer acknowledgement of ISOP revisions recorded</v>
      </c>
      <c r="B28" s="113" t="str">
        <f aca="false">Checks!$K$95&amp;IF(Checks!$O$95="","",IF(Checks!$K$95="","",CHAR(10))&amp;"Note: "&amp;Checks!$O$95)</f>
        <v>Record acknowledgement ref in Evidence</v>
      </c>
      <c r="C28" s="113" t="str">
        <f aca="false">Checks!$N$95&amp;CHAR(10)&amp;IF(ISNUMBER(Checks!$R$95),TEXT(Checks!$R$95,"DD-MMM-YY HH:MM"),"")&amp;" "&amp;Checks!$P$95</f>
        <v>Required
03-Oct-26 23:30 KUL</v>
      </c>
      <c r="D28" s="113" t="str">
        <f aca="false">IF(Checks!$U$95="","",Checks!$U$95)&amp;IF(Checks!$AB$95="","",CHAR(10)&amp;"CA: "&amp;Checks!$AB$95)</f>
        <v/>
      </c>
      <c r="E28" s="113" t="str">
        <f aca="false">IF(Checks!$V$95="","",Checks!$V$95)&amp;IF(Checks!$AC$95="","",IF(Checks!$V$95="","",CHAR(10))&amp;"N/A just.: "&amp;Checks!$AC$95)&amp;IF(Checks!$W$95="","",CHAR(10)&amp;"Batch: "&amp;Checks!$W$95)&amp;IF(AND(Checks!$X$95="",Checks!$Y$95=""),"",CHAR(10)&amp;"Exp: "&amp;Checks!$X$95&amp;"  /  Act: "&amp;Checks!$Y$95)</f>
        <v/>
      </c>
      <c r="F28" s="113" t="str">
        <f aca="false">IF(Checks!$Z$95="","","Evidence: "&amp;Checks!$Z$95)&amp;IF(Checks!$AA$95="","",IF(Checks!$Z$95="","",CHAR(10))&amp;"CA: "&amp;Checks!$AA$95)</f>
        <v/>
      </c>
      <c r="G28" s="113" t="str">
        <f aca="false">IF(ISNUMBER(Checks!$AD$95),TEXT(Checks!$AD$95,"DD-MMM-YY HH:MM")&amp;" "&amp;Checks!$P$95,"")&amp;IF(Checks!$AE$95="","",CHAR(10)&amp;"Verifier: "&amp;Checks!$AE$95)&amp;IF(Checks!$T$95="","",CHAR(10)&amp;"PIC: "&amp;Checks!$T$95)</f>
        <v/>
      </c>
      <c r="H28" s="114" t="str">
        <f aca="false">IF(Checks!$AH$95="","",Checks!$AH$95)</f>
        <v>OPEN</v>
      </c>
    </row>
    <row r="29" customFormat="false" ht="114" hidden="false" customHeight="true" outlineLevel="0" collapsed="false">
      <c r="A29" s="113" t="str">
        <f aca="false">Checks!$A$96&amp;CHAR(10)&amp;IF(Checks!$I$96="","",Checks!$I$96&amp;": ")&amp;Checks!$J$96</f>
        <v>F04-T7-07
Documents: Galley loading diagram (GLD) received, revision recorded &amp; attached</v>
      </c>
      <c r="B29" s="113" t="str">
        <f aca="false">Checks!$K$96&amp;IF(Checks!$O$96="","",IF(Checks!$K$96="","",CHAR(10))&amp;"Note: "&amp;Checks!$O$96)</f>
        <v>Documents sheet row complete</v>
      </c>
      <c r="C29" s="113" t="str">
        <f aca="false">Checks!$N$96&amp;CHAR(10)&amp;IF(ISNUMBER(Checks!$R$96),TEXT(Checks!$R$96,"DD-MMM-YY HH:MM"),"")&amp;" "&amp;Checks!$P$96</f>
        <v>Required
03-Oct-26 23:30 KUL</v>
      </c>
      <c r="D29" s="113" t="str">
        <f aca="false">IF(Checks!$U$96="","",Checks!$U$96)&amp;IF(Checks!$AB$96="","",CHAR(10)&amp;"CA: "&amp;Checks!$AB$96)</f>
        <v/>
      </c>
      <c r="E29" s="113" t="str">
        <f aca="false">IF(Checks!$V$96="","",Checks!$V$96)&amp;IF(Checks!$AC$96="","",IF(Checks!$V$96="","",CHAR(10))&amp;"N/A just.: "&amp;Checks!$AC$96)&amp;IF(Checks!$W$96="","",CHAR(10)&amp;"Batch: "&amp;Checks!$W$96)&amp;IF(AND(Checks!$X$96="",Checks!$Y$96=""),"",CHAR(10)&amp;"Exp: "&amp;Checks!$X$96&amp;"  /  Act: "&amp;Checks!$Y$96)</f>
        <v/>
      </c>
      <c r="F29" s="113" t="str">
        <f aca="false">IF(Checks!$Z$96="","","Evidence: "&amp;Checks!$Z$96)&amp;IF(Checks!$AA$96="","",IF(Checks!$Z$96="","",CHAR(10))&amp;"CA: "&amp;Checks!$AA$96)</f>
        <v/>
      </c>
      <c r="G29" s="113" t="str">
        <f aca="false">IF(ISNUMBER(Checks!$AD$96),TEXT(Checks!$AD$96,"DD-MMM-YY HH:MM")&amp;" "&amp;Checks!$P$96,"")&amp;IF(Checks!$AE$96="","",CHAR(10)&amp;"Verifier: "&amp;Checks!$AE$96)&amp;IF(Checks!$T$96="","",CHAR(10)&amp;"PIC: "&amp;Checks!$T$96)</f>
        <v/>
      </c>
      <c r="H29" s="114" t="str">
        <f aca="false">IF(Checks!$AH$96="","",Checks!$AH$96)</f>
        <v>OPEN</v>
      </c>
    </row>
    <row r="30" customFormat="false" ht="114" hidden="false" customHeight="true" outlineLevel="0" collapsed="false">
      <c r="A30" s="113" t="str">
        <f aca="false">Checks!$A$97&amp;CHAR(10)&amp;IF(Checks!$I$97="","",Checks!$I$97&amp;": ")&amp;Checks!$J$97</f>
        <v>F04-T7-08
Documents: Menu checklist received, revision recorded &amp; attached</v>
      </c>
      <c r="B30" s="113" t="str">
        <f aca="false">Checks!$K$97&amp;IF(Checks!$O$97="","",IF(Checks!$K$97="","",CHAR(10))&amp;"Note: "&amp;Checks!$O$97)</f>
        <v>Documents sheet row complete</v>
      </c>
      <c r="C30" s="113" t="str">
        <f aca="false">Checks!$N$97&amp;CHAR(10)&amp;IF(ISNUMBER(Checks!$R$97),TEXT(Checks!$R$97,"DD-MMM-YY HH:MM"),"")&amp;" "&amp;Checks!$P$97</f>
        <v>Required
03-Oct-26 23:30 KUL</v>
      </c>
      <c r="D30" s="113" t="str">
        <f aca="false">IF(Checks!$U$97="","",Checks!$U$97)&amp;IF(Checks!$AB$97="","",CHAR(10)&amp;"CA: "&amp;Checks!$AB$97)</f>
        <v/>
      </c>
      <c r="E30" s="113" t="str">
        <f aca="false">IF(Checks!$V$97="","",Checks!$V$97)&amp;IF(Checks!$AC$97="","",IF(Checks!$V$97="","",CHAR(10))&amp;"N/A just.: "&amp;Checks!$AC$97)&amp;IF(Checks!$W$97="","",CHAR(10)&amp;"Batch: "&amp;Checks!$W$97)&amp;IF(AND(Checks!$X$97="",Checks!$Y$97=""),"",CHAR(10)&amp;"Exp: "&amp;Checks!$X$97&amp;"  /  Act: "&amp;Checks!$Y$97)</f>
        <v/>
      </c>
      <c r="F30" s="113" t="str">
        <f aca="false">IF(Checks!$Z$97="","","Evidence: "&amp;Checks!$Z$97)&amp;IF(Checks!$AA$97="","",IF(Checks!$Z$97="","",CHAR(10))&amp;"CA: "&amp;Checks!$AA$97)</f>
        <v/>
      </c>
      <c r="G30" s="113" t="str">
        <f aca="false">IF(ISNUMBER(Checks!$AD$97),TEXT(Checks!$AD$97,"DD-MMM-YY HH:MM")&amp;" "&amp;Checks!$P$97,"")&amp;IF(Checks!$AE$97="","",CHAR(10)&amp;"Verifier: "&amp;Checks!$AE$97)&amp;IF(Checks!$T$97="","",CHAR(10)&amp;"PIC: "&amp;Checks!$T$97)</f>
        <v/>
      </c>
      <c r="H30" s="114" t="str">
        <f aca="false">IF(Checks!$AH$97="","",Checks!$AH$97)</f>
        <v>OPEN</v>
      </c>
    </row>
    <row r="31" customFormat="false" ht="114" hidden="false" customHeight="true" outlineLevel="0" collapsed="false">
      <c r="A31" s="113" t="str">
        <f aca="false">Checks!$A$98&amp;CHAR(10)&amp;IF(Checks!$I$98="","",Checks!$I$98&amp;": ")&amp;Checks!$J$98</f>
        <v>F04-T7-09
Uplift plan: Uplift plan confirmed with caterer vs STD Uplift Information</v>
      </c>
      <c r="B31" s="113" t="str">
        <f aca="false">Checks!$K$98&amp;IF(Checks!$O$98="","",IF(Checks!$K$98="","",CHAR(10))&amp;"Note: "&amp;Checks!$O$98)</f>
        <v>Service: 1.5 Meal (Meal); meal uplift stn KUL (ref lists KUL/NRT)</v>
      </c>
      <c r="C31" s="113" t="str">
        <f aca="false">Checks!$N$98&amp;CHAR(10)&amp;IF(ISNUMBER(Checks!$R$98),TEXT(Checks!$R$98,"DD-MMM-YY HH:MM"),"")&amp;" "&amp;Checks!$P$98</f>
        <v>Required
03-Oct-26 23:30 KUL</v>
      </c>
      <c r="D31" s="113" t="str">
        <f aca="false">IF(Checks!$U$98="","",Checks!$U$98)&amp;IF(Checks!$AB$98="","",CHAR(10)&amp;"CA: "&amp;Checks!$AB$98)</f>
        <v/>
      </c>
      <c r="E31" s="113" t="str">
        <f aca="false">IF(Checks!$V$98="","",Checks!$V$98)&amp;IF(Checks!$AC$98="","",IF(Checks!$V$98="","",CHAR(10))&amp;"N/A just.: "&amp;Checks!$AC$98)&amp;IF(Checks!$W$98="","",CHAR(10)&amp;"Batch: "&amp;Checks!$W$98)&amp;IF(AND(Checks!$X$98="",Checks!$Y$98=""),"",CHAR(10)&amp;"Exp: "&amp;Checks!$X$98&amp;"  /  Act: "&amp;Checks!$Y$98)</f>
        <v/>
      </c>
      <c r="F31" s="113" t="str">
        <f aca="false">IF(Checks!$Z$98="","","Evidence: "&amp;Checks!$Z$98)&amp;IF(Checks!$AA$98="","",IF(Checks!$Z$98="","",CHAR(10))&amp;"CA: "&amp;Checks!$AA$98)</f>
        <v/>
      </c>
      <c r="G31" s="113" t="str">
        <f aca="false">IF(ISNUMBER(Checks!$AD$98),TEXT(Checks!$AD$98,"DD-MMM-YY HH:MM")&amp;" "&amp;Checks!$P$98,"")&amp;IF(Checks!$AE$98="","",CHAR(10)&amp;"Verifier: "&amp;Checks!$AE$98)&amp;IF(Checks!$T$98="","",CHAR(10)&amp;"PIC: "&amp;Checks!$T$98)</f>
        <v/>
      </c>
      <c r="H31" s="114" t="str">
        <f aca="false">IF(Checks!$AH$98="","",Checks!$AH$98)</f>
        <v>OPEN</v>
      </c>
    </row>
    <row r="32" customFormat="false" ht="25.5" hidden="false" customHeight="true" outlineLevel="0" collapsed="false">
      <c r="A32" s="112"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Checks!$A$99&amp;CHAR(10)&amp;IF(Checks!$I$99="","",Checks!$I$99&amp;": ")&amp;Checks!$J$99</f>
        <v>F04-T24-01
Meal: Sensory test repeated on ACTUAL production batch for this flight</v>
      </c>
      <c r="B33" s="113" t="str">
        <f aca="false">Checks!$K$99&amp;IF(Checks!$O$99="","",IF(Checks!$K$99="","",CHAR(10))&amp;"Note: "&amp;Checks!$O$99)</f>
        <v>Batch ID, result, CA and acceptance mandatory</v>
      </c>
      <c r="C33" s="113" t="str">
        <f aca="false">Checks!$N$99&amp;CHAR(10)&amp;IF(ISNUMBER(Checks!$R$99),TEXT(Checks!$R$99,"DD-MMM-YY HH:MM"),"")&amp;" "&amp;Checks!$P$99</f>
        <v>Required
09-Oct-26 23:30 KUL</v>
      </c>
      <c r="D33" s="113" t="str">
        <f aca="false">IF(Checks!$U$99="","",Checks!$U$99)&amp;IF(Checks!$AB$99="","",CHAR(10)&amp;"CA: "&amp;Checks!$AB$99)</f>
        <v/>
      </c>
      <c r="E33" s="113" t="str">
        <f aca="false">IF(Checks!$V$99="","",Checks!$V$99)&amp;IF(Checks!$AC$99="","",IF(Checks!$V$99="","",CHAR(10))&amp;"N/A just.: "&amp;Checks!$AC$99)&amp;IF(Checks!$W$99="","",CHAR(10)&amp;"Batch: "&amp;Checks!$W$99)&amp;IF(AND(Checks!$X$99="",Checks!$Y$99=""),"",CHAR(10)&amp;"Exp: "&amp;Checks!$X$99&amp;"  /  Act: "&amp;Checks!$Y$99)</f>
        <v/>
      </c>
      <c r="F33" s="113" t="str">
        <f aca="false">IF(Checks!$Z$99="","","Evidence: "&amp;Checks!$Z$99)&amp;IF(Checks!$AA$99="","",IF(Checks!$Z$99="","",CHAR(10))&amp;"CA: "&amp;Checks!$AA$99)</f>
        <v/>
      </c>
      <c r="G33" s="113" t="str">
        <f aca="false">IF(ISNUMBER(Checks!$AD$99),TEXT(Checks!$AD$99,"DD-MMM-YY HH:MM")&amp;" "&amp;Checks!$P$99,"")&amp;IF(Checks!$AE$99="","",CHAR(10)&amp;"Verifier: "&amp;Checks!$AE$99)&amp;IF(Checks!$T$99="","",CHAR(10)&amp;"PIC: "&amp;Checks!$T$99)</f>
        <v/>
      </c>
      <c r="H33" s="114" t="str">
        <f aca="false">IF(Checks!$AH$99="","",Checks!$AH$99)</f>
        <v>OPEN</v>
      </c>
    </row>
    <row r="34" customFormat="false" ht="25.5" hidden="false" customHeight="true" outlineLevel="0" collapsed="false">
      <c r="A34" s="112"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2"/>
      <c r="C34" s="112"/>
      <c r="D34" s="112"/>
      <c r="E34" s="112"/>
      <c r="F34" s="112"/>
      <c r="G34" s="112"/>
      <c r="H34" s="112"/>
    </row>
    <row r="35" customFormat="false" ht="114" hidden="false" customHeight="true" outlineLevel="0" collapsed="false">
      <c r="A35" s="113" t="str">
        <f aca="false">Checks!$A$100&amp;CHAR(10)&amp;IF(Checks!$I$100="","",Checks!$I$100&amp;": ")&amp;Checks!$J$100</f>
        <v>F04-T12-01
Meal: Meal quality vs menu checklist</v>
      </c>
      <c r="B35" s="113" t="str">
        <f aca="false">Checks!$K$100&amp;IF(Checks!$O$100="","",IF(Checks!$K$100="","",CHAR(10))&amp;"Note: "&amp;Checks!$O$100)</f>
        <v>Note: Preparation check at caterer - does NOT confirm loading.</v>
      </c>
      <c r="C35" s="113" t="str">
        <f aca="false">Checks!$N$100&amp;CHAR(10)&amp;IF(ISNUMBER(Checks!$R$100),TEXT(Checks!$R$100,"DD-MMM-YY HH:MM"),"")&amp;" "&amp;Checks!$P$100</f>
        <v>Required
10-Oct-26 11:30 KUL</v>
      </c>
      <c r="D35" s="113" t="str">
        <f aca="false">IF(Checks!$U$100="","",Checks!$U$100)&amp;IF(Checks!$AB$100="","",CHAR(10)&amp;"CA: "&amp;Checks!$AB$100)</f>
        <v/>
      </c>
      <c r="E35" s="113" t="str">
        <f aca="false">IF(Checks!$V$100="","",Checks!$V$100)&amp;IF(Checks!$AC$100="","",IF(Checks!$V$100="","",CHAR(10))&amp;"N/A just.: "&amp;Checks!$AC$100)&amp;IF(Checks!$W$100="","",CHAR(10)&amp;"Batch: "&amp;Checks!$W$100)&amp;IF(AND(Checks!$X$100="",Checks!$Y$100=""),"",CHAR(10)&amp;"Exp: "&amp;Checks!$X$100&amp;"  /  Act: "&amp;Checks!$Y$100)</f>
        <v/>
      </c>
      <c r="F35" s="113" t="str">
        <f aca="false">IF(Checks!$Z$100="","","Evidence: "&amp;Checks!$Z$100)&amp;IF(Checks!$AA$100="","",IF(Checks!$Z$100="","",CHAR(10))&amp;"CA: "&amp;Checks!$AA$100)</f>
        <v/>
      </c>
      <c r="G35" s="113" t="str">
        <f aca="false">IF(ISNUMBER(Checks!$AD$100),TEXT(Checks!$AD$100,"DD-MMM-YY HH:MM")&amp;" "&amp;Checks!$P$100,"")&amp;IF(Checks!$AE$100="","",CHAR(10)&amp;"Verifier: "&amp;Checks!$AE$100)&amp;IF(Checks!$T$100="","",CHAR(10)&amp;"PIC: "&amp;Checks!$T$100)</f>
        <v/>
      </c>
      <c r="H35" s="114" t="str">
        <f aca="false">IF(Checks!$AH$100="","",Checks!$AH$100)</f>
        <v>OPEN</v>
      </c>
    </row>
    <row r="36" customFormat="false" ht="114" hidden="false" customHeight="true" outlineLevel="0" collapsed="false">
      <c r="A36" s="113" t="str">
        <f aca="false">Checks!$A$101&amp;CHAR(10)&amp;IF(Checks!$I$101="","",Checks!$I$101&amp;": ")&amp;Checks!$J$101</f>
        <v>F04-T12-02
Meal: Meal quantities vs menu checklist</v>
      </c>
      <c r="B36" s="113" t="str">
        <f aca="false">Checks!$K$101&amp;IF(Checks!$O$101="","",IF(Checks!$K$101="","",CHAR(10))&amp;"Note: "&amp;Checks!$O$101)</f>
        <v>Enter expected &amp; actual
Note: Preparation check at caterer - does NOT confirm loading.</v>
      </c>
      <c r="C36" s="113" t="str">
        <f aca="false">Checks!$N$101&amp;CHAR(10)&amp;IF(ISNUMBER(Checks!$R$101),TEXT(Checks!$R$101,"DD-MMM-YY HH:MM"),"")&amp;" "&amp;Checks!$P$101</f>
        <v>Required
10-Oct-26 11:30 KUL</v>
      </c>
      <c r="D36" s="113" t="str">
        <f aca="false">IF(Checks!$U$101="","",Checks!$U$101)&amp;IF(Checks!$AB$101="","",CHAR(10)&amp;"CA: "&amp;Checks!$AB$101)</f>
        <v/>
      </c>
      <c r="E36" s="113" t="str">
        <f aca="false">IF(Checks!$V$101="","",Checks!$V$101)&amp;IF(Checks!$AC$101="","",IF(Checks!$V$101="","",CHAR(10))&amp;"N/A just.: "&amp;Checks!$AC$101)&amp;IF(Checks!$W$101="","",CHAR(10)&amp;"Batch: "&amp;Checks!$W$101)&amp;IF(AND(Checks!$X$101="",Checks!$Y$101=""),"",CHAR(10)&amp;"Exp: "&amp;Checks!$X$101&amp;"  /  Act: "&amp;Checks!$Y$101)</f>
        <v/>
      </c>
      <c r="F36" s="113" t="str">
        <f aca="false">IF(Checks!$Z$101="","","Evidence: "&amp;Checks!$Z$101)&amp;IF(Checks!$AA$101="","",IF(Checks!$Z$101="","",CHAR(10))&amp;"CA: "&amp;Checks!$AA$101)</f>
        <v/>
      </c>
      <c r="G36" s="113" t="str">
        <f aca="false">IF(ISNUMBER(Checks!$AD$101),TEXT(Checks!$AD$101,"DD-MMM-YY HH:MM")&amp;" "&amp;Checks!$P$101,"")&amp;IF(Checks!$AE$101="","",CHAR(10)&amp;"Verifier: "&amp;Checks!$AE$101)&amp;IF(Checks!$T$101="","",CHAR(10)&amp;"PIC: "&amp;Checks!$T$101)</f>
        <v/>
      </c>
      <c r="H36" s="114" t="str">
        <f aca="false">IF(Checks!$AH$101="","",Checks!$AH$101)</f>
        <v>OPEN</v>
      </c>
    </row>
    <row r="37" customFormat="false" ht="114" hidden="false" customHeight="true" outlineLevel="0" collapsed="false">
      <c r="A37" s="113" t="str">
        <f aca="false">Checks!$A$102&amp;CHAR(10)&amp;IF(Checks!$I$102="","",Checks!$I$102&amp;": ")&amp;Checks!$J$102</f>
        <v>F04-T12-03
Equipment: Equipment cleanliness vs GLD</v>
      </c>
      <c r="B37" s="113" t="str">
        <f aca="false">Checks!$K$102&amp;IF(Checks!$O$102="","",IF(Checks!$K$102="","",CHAR(10))&amp;"Note: "&amp;Checks!$O$102)</f>
        <v>Note: Preparation check at caterer - does NOT confirm loading.</v>
      </c>
      <c r="C37" s="113" t="str">
        <f aca="false">Checks!$N$102&amp;CHAR(10)&amp;IF(ISNUMBER(Checks!$R$102),TEXT(Checks!$R$102,"DD-MMM-YY HH:MM"),"")&amp;" "&amp;Checks!$P$102</f>
        <v>Required
10-Oct-26 11:30 KUL</v>
      </c>
      <c r="D37" s="113" t="str">
        <f aca="false">IF(Checks!$U$102="","",Checks!$U$102)&amp;IF(Checks!$AB$102="","",CHAR(10)&amp;"CA: "&amp;Checks!$AB$102)</f>
        <v/>
      </c>
      <c r="E37" s="113" t="str">
        <f aca="false">IF(Checks!$V$102="","",Checks!$V$102)&amp;IF(Checks!$AC$102="","",IF(Checks!$V$102="","",CHAR(10))&amp;"N/A just.: "&amp;Checks!$AC$102)&amp;IF(Checks!$W$102="","",CHAR(10)&amp;"Batch: "&amp;Checks!$W$102)&amp;IF(AND(Checks!$X$102="",Checks!$Y$102=""),"",CHAR(10)&amp;"Exp: "&amp;Checks!$X$102&amp;"  /  Act: "&amp;Checks!$Y$102)</f>
        <v/>
      </c>
      <c r="F37" s="113" t="str">
        <f aca="false">IF(Checks!$Z$102="","","Evidence: "&amp;Checks!$Z$102)&amp;IF(Checks!$AA$102="","",IF(Checks!$Z$102="","",CHAR(10))&amp;"CA: "&amp;Checks!$AA$102)</f>
        <v/>
      </c>
      <c r="G37" s="113" t="str">
        <f aca="false">IF(ISNUMBER(Checks!$AD$102),TEXT(Checks!$AD$102,"DD-MMM-YY HH:MM")&amp;" "&amp;Checks!$P$102,"")&amp;IF(Checks!$AE$102="","",CHAR(10)&amp;"Verifier: "&amp;Checks!$AE$102)&amp;IF(Checks!$T$102="","",CHAR(10)&amp;"PIC: "&amp;Checks!$T$102)</f>
        <v/>
      </c>
      <c r="H37" s="114" t="str">
        <f aca="false">IF(Checks!$AH$102="","",Checks!$AH$102)</f>
        <v>OPEN</v>
      </c>
    </row>
    <row r="38" customFormat="false" ht="114" hidden="false" customHeight="true" outlineLevel="0" collapsed="false">
      <c r="A38" s="113" t="str">
        <f aca="false">Checks!$A$103&amp;CHAR(10)&amp;IF(Checks!$I$103="","",Checks!$I$103&amp;": ")&amp;Checks!$J$103</f>
        <v>F04-T12-04
Equipment: Equipment presentation vs GLD</v>
      </c>
      <c r="B38" s="113" t="str">
        <f aca="false">Checks!$K$103&amp;IF(Checks!$O$103="","",IF(Checks!$K$103="","",CHAR(10))&amp;"Note: "&amp;Checks!$O$103)</f>
        <v>Note: Preparation check at caterer - does NOT confirm loading.</v>
      </c>
      <c r="C38" s="113" t="str">
        <f aca="false">Checks!$N$103&amp;CHAR(10)&amp;IF(ISNUMBER(Checks!$R$103),TEXT(Checks!$R$103,"DD-MMM-YY HH:MM"),"")&amp;" "&amp;Checks!$P$103</f>
        <v>Required
10-Oct-26 11:30 KUL</v>
      </c>
      <c r="D38" s="113" t="str">
        <f aca="false">IF(Checks!$U$103="","",Checks!$U$103)&amp;IF(Checks!$AB$103="","",CHAR(10)&amp;"CA: "&amp;Checks!$AB$103)</f>
        <v/>
      </c>
      <c r="E38" s="113" t="str">
        <f aca="false">IF(Checks!$V$103="","",Checks!$V$103)&amp;IF(Checks!$AC$103="","",IF(Checks!$V$103="","",CHAR(10))&amp;"N/A just.: "&amp;Checks!$AC$103)&amp;IF(Checks!$W$103="","",CHAR(10)&amp;"Batch: "&amp;Checks!$W$103)&amp;IF(AND(Checks!$X$103="",Checks!$Y$103=""),"",CHAR(10)&amp;"Exp: "&amp;Checks!$X$103&amp;"  /  Act: "&amp;Checks!$Y$103)</f>
        <v/>
      </c>
      <c r="F38" s="113" t="str">
        <f aca="false">IF(Checks!$Z$103="","","Evidence: "&amp;Checks!$Z$103)&amp;IF(Checks!$AA$103="","",IF(Checks!$Z$103="","",CHAR(10))&amp;"CA: "&amp;Checks!$AA$103)</f>
        <v/>
      </c>
      <c r="G38" s="113" t="str">
        <f aca="false">IF(ISNUMBER(Checks!$AD$103),TEXT(Checks!$AD$103,"DD-MMM-YY HH:MM")&amp;" "&amp;Checks!$P$103,"")&amp;IF(Checks!$AE$103="","",CHAR(10)&amp;"Verifier: "&amp;Checks!$AE$103)&amp;IF(Checks!$T$103="","",CHAR(10)&amp;"PIC: "&amp;Checks!$T$103)</f>
        <v/>
      </c>
      <c r="H38" s="114" t="str">
        <f aca="false">IF(Checks!$AH$103="","",Checks!$AH$103)</f>
        <v>OPEN</v>
      </c>
    </row>
    <row r="39" customFormat="false" ht="114" hidden="false" customHeight="true" outlineLevel="0" collapsed="false">
      <c r="A39" s="113" t="str">
        <f aca="false">Checks!$A$104&amp;CHAR(10)&amp;IF(Checks!$I$104="","",Checks!$I$104&amp;": ")&amp;Checks!$J$104</f>
        <v>F04-T12-05
Equipment: Equipment serviceability vs GLD</v>
      </c>
      <c r="B39" s="113" t="str">
        <f aca="false">Checks!$K$104&amp;IF(Checks!$O$104="","",IF(Checks!$K$104="","",CHAR(10))&amp;"Note: "&amp;Checks!$O$104)</f>
        <v>Note: Preparation check at caterer - does NOT confirm loading.</v>
      </c>
      <c r="C39" s="113" t="str">
        <f aca="false">Checks!$N$104&amp;CHAR(10)&amp;IF(ISNUMBER(Checks!$R$104),TEXT(Checks!$R$104,"DD-MMM-YY HH:MM"),"")&amp;" "&amp;Checks!$P$104</f>
        <v>Required
10-Oct-26 11:30 KUL</v>
      </c>
      <c r="D39" s="113" t="str">
        <f aca="false">IF(Checks!$U$104="","",Checks!$U$104)&amp;IF(Checks!$AB$104="","",CHAR(10)&amp;"CA: "&amp;Checks!$AB$104)</f>
        <v/>
      </c>
      <c r="E39" s="113" t="str">
        <f aca="false">IF(Checks!$V$104="","",Checks!$V$104)&amp;IF(Checks!$AC$104="","",IF(Checks!$V$104="","",CHAR(10))&amp;"N/A just.: "&amp;Checks!$AC$104)&amp;IF(Checks!$W$104="","",CHAR(10)&amp;"Batch: "&amp;Checks!$W$104)&amp;IF(AND(Checks!$X$104="",Checks!$Y$104=""),"",CHAR(10)&amp;"Exp: "&amp;Checks!$X$104&amp;"  /  Act: "&amp;Checks!$Y$104)</f>
        <v/>
      </c>
      <c r="F39" s="113" t="str">
        <f aca="false">IF(Checks!$Z$104="","","Evidence: "&amp;Checks!$Z$104)&amp;IF(Checks!$AA$104="","",IF(Checks!$Z$104="","",CHAR(10))&amp;"CA: "&amp;Checks!$AA$104)</f>
        <v/>
      </c>
      <c r="G39" s="113" t="str">
        <f aca="false">IF(ISNUMBER(Checks!$AD$104),TEXT(Checks!$AD$104,"DD-MMM-YY HH:MM")&amp;" "&amp;Checks!$P$104,"")&amp;IF(Checks!$AE$104="","",CHAR(10)&amp;"Verifier: "&amp;Checks!$AE$104)&amp;IF(Checks!$T$104="","",CHAR(10)&amp;"PIC: "&amp;Checks!$T$104)</f>
        <v/>
      </c>
      <c r="H39" s="114" t="str">
        <f aca="false">IF(Checks!$AH$104="","",Checks!$AH$104)</f>
        <v>OPEN</v>
      </c>
    </row>
    <row r="40" customFormat="false" ht="322.5" hidden="false" customHeight="true" outlineLevel="0" collapsed="false">
      <c r="A40" s="113" t="str">
        <f aca="false">Checks!$A$105&amp;CHAR(10)&amp;IF(Checks!$I$105="","",Checks!$I$105&amp;": ")&amp;Checks!$J$105</f>
        <v>F04-T12-06
Equipment: Equipment quantities vs GLD</v>
      </c>
      <c r="B40" s="113" t="str">
        <f aca="false">SUBSTITUTE(Checks!$K$105&amp;IF(Checks!$O$105="","",IF(Checks!$K$105="","",CHAR(10))&amp;"Note: "&amp;Checks!$O$105),"AIRCRAFT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Checks!$N$105&amp;CHAR(10)&amp;IF(ISNUMBER(Checks!$R$105),TEXT(Checks!$R$105,"DD-MMM-YY HH:MM"),"")&amp;" "&amp;Checks!$P$105</f>
        <v>Required
10-Oct-26 11:30 KUL</v>
      </c>
      <c r="D40" s="113" t="str">
        <f aca="false">IF(Checks!$U$105="","",Checks!$U$105)&amp;IF(Checks!$AB$105="","",CHAR(10)&amp;"CA: "&amp;Checks!$AB$105)</f>
        <v/>
      </c>
      <c r="E40" s="113" t="str">
        <f aca="false">IF(Checks!$V$105="","",Checks!$V$105)&amp;IF(Checks!$AC$105="","",IF(Checks!$V$105="","",CHAR(10))&amp;"N/A just.: "&amp;Checks!$AC$105)&amp;IF(Checks!$W$105="","",CHAR(10)&amp;"Batch: "&amp;Checks!$W$105)&amp;IF(AND(Checks!$X$105="",Checks!$Y$105=""),"",CHAR(10)&amp;"Exp: "&amp;Checks!$X$105&amp;"  /  Act: "&amp;Checks!$Y$105)</f>
        <v/>
      </c>
      <c r="F40" s="113" t="str">
        <f aca="false">IF(Checks!$Z$105="","","Evidence: "&amp;Checks!$Z$105)&amp;IF(Checks!$AA$105="","",IF(Checks!$Z$105="","",CHAR(10))&amp;"CA: "&amp;Checks!$AA$105)</f>
        <v/>
      </c>
      <c r="G40" s="113" t="str">
        <f aca="false">IF(ISNUMBER(Checks!$AD$105),TEXT(Checks!$AD$105,"DD-MMM-YY HH:MM")&amp;" "&amp;Checks!$P$105,"")&amp;IF(Checks!$AE$105="","",CHAR(10)&amp;"Verifier: "&amp;Checks!$AE$105)&amp;IF(Checks!$T$105="","",CHAR(10)&amp;"PIC: "&amp;Checks!$T$105)</f>
        <v/>
      </c>
      <c r="H40" s="114" t="str">
        <f aca="false">IF(Checks!$AH$105="","",Checks!$AH$105)</f>
        <v>OPEN</v>
      </c>
    </row>
    <row r="41" customFormat="false" ht="114" hidden="false" customHeight="true" outlineLevel="0" collapsed="false">
      <c r="A41" s="113" t="str">
        <f aca="false">Checks!$A$106&amp;CHAR(10)&amp;IF(Checks!$I$106="","",Checks!$I$106&amp;": ")&amp;Checks!$J$106</f>
        <v>F04-T12-07
Equipment: Loading positions planned vs GLD</v>
      </c>
      <c r="B41" s="113" t="str">
        <f aca="false">Checks!$K$106&amp;IF(Checks!$O$106="","",IF(Checks!$K$106="","",CHAR(10))&amp;"Note: "&amp;Checks!$O$106)</f>
        <v>Note: Preparation check at caterer - does NOT confirm loading.</v>
      </c>
      <c r="C41" s="113" t="str">
        <f aca="false">Checks!$N$106&amp;CHAR(10)&amp;IF(ISNUMBER(Checks!$R$106),TEXT(Checks!$R$106,"DD-MMM-YY HH:MM"),"")&amp;" "&amp;Checks!$P$106</f>
        <v>Required
10-Oct-26 11:30 KUL</v>
      </c>
      <c r="D41" s="113" t="str">
        <f aca="false">IF(Checks!$U$106="","",Checks!$U$106)&amp;IF(Checks!$AB$106="","",CHAR(10)&amp;"CA: "&amp;Checks!$AB$106)</f>
        <v/>
      </c>
      <c r="E41" s="113" t="str">
        <f aca="false">IF(Checks!$V$106="","",Checks!$V$106)&amp;IF(Checks!$AC$106="","",IF(Checks!$V$106="","",CHAR(10))&amp;"N/A just.: "&amp;Checks!$AC$106)&amp;IF(Checks!$W$106="","",CHAR(10)&amp;"Batch: "&amp;Checks!$W$106)&amp;IF(AND(Checks!$X$106="",Checks!$Y$106=""),"",CHAR(10)&amp;"Exp: "&amp;Checks!$X$106&amp;"  /  Act: "&amp;Checks!$Y$106)</f>
        <v/>
      </c>
      <c r="F41" s="113" t="str">
        <f aca="false">IF(Checks!$Z$106="","","Evidence: "&amp;Checks!$Z$106)&amp;IF(Checks!$AA$106="","",IF(Checks!$Z$106="","",CHAR(10))&amp;"CA: "&amp;Checks!$AA$106)</f>
        <v/>
      </c>
      <c r="G41" s="113" t="str">
        <f aca="false">IF(ISNUMBER(Checks!$AD$106),TEXT(Checks!$AD$106,"DD-MMM-YY HH:MM")&amp;" "&amp;Checks!$P$106,"")&amp;IF(Checks!$AE$106="","",CHAR(10)&amp;"Verifier: "&amp;Checks!$AE$106)&amp;IF(Checks!$T$106="","",CHAR(10)&amp;"PIC: "&amp;Checks!$T$106)</f>
        <v/>
      </c>
      <c r="H41" s="114" t="str">
        <f aca="false">IF(Checks!$AH$106="","",Checks!$AH$106)</f>
        <v>OPEN</v>
      </c>
    </row>
    <row r="42" customFormat="false" ht="114" hidden="false" customHeight="true" outlineLevel="0" collapsed="false">
      <c r="A42" s="113" t="str">
        <f aca="false">Checks!$A$107&amp;CHAR(10)&amp;IF(Checks!$I$107="","",Checks!$I$107&amp;": ")&amp;Checks!$J$107</f>
        <v>F04-T12-08
Amenities: Toiletry kits - prepared</v>
      </c>
      <c r="B42" s="113" t="str">
        <f aca="false">Checks!$K$107&amp;IF(Checks!$O$107="","",IF(Checks!$K$107="","",CHAR(10))&amp;"Note: "&amp;Checks!$O$107)</f>
        <v>Available (ticked in reference)</v>
      </c>
      <c r="C42" s="113" t="str">
        <f aca="false">Checks!$N$107&amp;CHAR(10)&amp;IF(ISNUMBER(Checks!$R$107),TEXT(Checks!$R$107,"DD-MMM-YY HH:MM"),"")&amp;" "&amp;Checks!$P$107</f>
        <v>Required
10-Oct-26 11:30 KUL</v>
      </c>
      <c r="D42" s="113" t="str">
        <f aca="false">IF(Checks!$U$107="","",Checks!$U$107)&amp;IF(Checks!$AB$107="","",CHAR(10)&amp;"CA: "&amp;Checks!$AB$107)</f>
        <v/>
      </c>
      <c r="E42" s="113" t="str">
        <f aca="false">IF(Checks!$V$107="","",Checks!$V$107)&amp;IF(Checks!$AC$107="","",IF(Checks!$V$107="","",CHAR(10))&amp;"N/A just.: "&amp;Checks!$AC$107)&amp;IF(Checks!$W$107="","",CHAR(10)&amp;"Batch: "&amp;Checks!$W$107)&amp;IF(AND(Checks!$X$107="",Checks!$Y$107=""),"",CHAR(10)&amp;"Exp: "&amp;Checks!$X$107&amp;"  /  Act: "&amp;Checks!$Y$107)</f>
        <v/>
      </c>
      <c r="F42" s="113" t="str">
        <f aca="false">IF(Checks!$Z$107="","","Evidence: "&amp;Checks!$Z$107)&amp;IF(Checks!$AA$107="","",IF(Checks!$Z$107="","",CHAR(10))&amp;"CA: "&amp;Checks!$AA$107)</f>
        <v/>
      </c>
      <c r="G42" s="113" t="str">
        <f aca="false">IF(ISNUMBER(Checks!$AD$107),TEXT(Checks!$AD$107,"DD-MMM-YY HH:MM")&amp;" "&amp;Checks!$P$107,"")&amp;IF(Checks!$AE$107="","",CHAR(10)&amp;"Verifier: "&amp;Checks!$AE$107)&amp;IF(Checks!$T$107="","",CHAR(10)&amp;"PIC: "&amp;Checks!$T$107)</f>
        <v/>
      </c>
      <c r="H42" s="114" t="str">
        <f aca="false">IF(Checks!$AH$107="","",Checks!$AH$107)</f>
        <v>OPEN</v>
      </c>
    </row>
    <row r="43" customFormat="false" ht="114" hidden="false" customHeight="true" outlineLevel="0" collapsed="false">
      <c r="A43" s="113" t="str">
        <f aca="false">Checks!$A$108&amp;CHAR(10)&amp;IF(Checks!$I$108="","",Checks!$I$108&amp;": ")&amp;Checks!$J$108</f>
        <v>F04-T12-09
Amenities: Slippers (BS/BC) - prepared</v>
      </c>
      <c r="B43" s="113" t="str">
        <f aca="false">Checks!$K$108&amp;IF(Checks!$O$108="","",IF(Checks!$K$108="","",CHAR(10))&amp;"Note: "&amp;Checks!$O$108)</f>
        <v>Available (ticked in reference)</v>
      </c>
      <c r="C43" s="113" t="str">
        <f aca="false">Checks!$N$108&amp;CHAR(10)&amp;IF(ISNUMBER(Checks!$R$108),TEXT(Checks!$R$108,"DD-MMM-YY HH:MM"),"")&amp;" "&amp;Checks!$P$108</f>
        <v>Required
10-Oct-26 11:30 KUL</v>
      </c>
      <c r="D43" s="113" t="str">
        <f aca="false">IF(Checks!$U$108="","",Checks!$U$108)&amp;IF(Checks!$AB$108="","",CHAR(10)&amp;"CA: "&amp;Checks!$AB$108)</f>
        <v/>
      </c>
      <c r="E43" s="113" t="str">
        <f aca="false">IF(Checks!$V$108="","",Checks!$V$108)&amp;IF(Checks!$AC$108="","",IF(Checks!$V$108="","",CHAR(10))&amp;"N/A just.: "&amp;Checks!$AC$108)&amp;IF(Checks!$W$108="","",CHAR(10)&amp;"Batch: "&amp;Checks!$W$108)&amp;IF(AND(Checks!$X$108="",Checks!$Y$108=""),"",CHAR(10)&amp;"Exp: "&amp;Checks!$X$108&amp;"  /  Act: "&amp;Checks!$Y$108)</f>
        <v/>
      </c>
      <c r="F43" s="113" t="str">
        <f aca="false">IF(Checks!$Z$108="","","Evidence: "&amp;Checks!$Z$108)&amp;IF(Checks!$AA$108="","",IF(Checks!$Z$108="","",CHAR(10))&amp;"CA: "&amp;Checks!$AA$108)</f>
        <v/>
      </c>
      <c r="G43" s="113" t="str">
        <f aca="false">IF(ISNUMBER(Checks!$AD$108),TEXT(Checks!$AD$108,"DD-MMM-YY HH:MM")&amp;" "&amp;Checks!$P$108,"")&amp;IF(Checks!$AE$108="","",CHAR(10)&amp;"Verifier: "&amp;Checks!$AE$108)&amp;IF(Checks!$T$108="","",CHAR(10)&amp;"PIC: "&amp;Checks!$T$108)</f>
        <v/>
      </c>
      <c r="H43" s="114" t="str">
        <f aca="false">IF(Checks!$AH$108="","",Checks!$AH$108)</f>
        <v>OPEN</v>
      </c>
    </row>
    <row r="44" customFormat="false" ht="114" hidden="false" customHeight="true" outlineLevel="0" collapsed="false">
      <c r="A44" s="113" t="str">
        <f aca="false">Checks!$A$109&amp;CHAR(10)&amp;IF(Checks!$I$109="","",Checks!$I$109&amp;": ")&amp;Checks!$J$109</f>
        <v>F04-T12-10
F&amp;B Linen: Towel - prepared</v>
      </c>
      <c r="B44" s="113" t="str">
        <f aca="false">Checks!$K$109&amp;IF(Checks!$O$109="","",IF(Checks!$K$109="","",CHAR(10))&amp;"Note: "&amp;Checks!$O$109)</f>
        <v>Available (ticked in reference)
Note: Reference gives no uplift stn for this item: preparation checked at the meal uplift stn (KUL) - confirm with caterer.</v>
      </c>
      <c r="C44" s="113" t="str">
        <f aca="false">Checks!$N$109&amp;CHAR(10)&amp;IF(ISNUMBER(Checks!$R$109),TEXT(Checks!$R$109,"DD-MMM-YY HH:MM"),"")&amp;" "&amp;Checks!$P$109</f>
        <v>Required
10-Oct-26 11:30 KUL</v>
      </c>
      <c r="D44" s="113" t="str">
        <f aca="false">IF(Checks!$U$109="","",Checks!$U$109)&amp;IF(Checks!$AB$109="","",CHAR(10)&amp;"CA: "&amp;Checks!$AB$109)</f>
        <v/>
      </c>
      <c r="E44" s="113" t="str">
        <f aca="false">IF(Checks!$V$109="","",Checks!$V$109)&amp;IF(Checks!$AC$109="","",IF(Checks!$V$109="","",CHAR(10))&amp;"N/A just.: "&amp;Checks!$AC$109)&amp;IF(Checks!$W$109="","",CHAR(10)&amp;"Batch: "&amp;Checks!$W$109)&amp;IF(AND(Checks!$X$109="",Checks!$Y$109=""),"",CHAR(10)&amp;"Exp: "&amp;Checks!$X$109&amp;"  /  Act: "&amp;Checks!$Y$109)</f>
        <v/>
      </c>
      <c r="F44" s="113" t="str">
        <f aca="false">IF(Checks!$Z$109="","","Evidence: "&amp;Checks!$Z$109)&amp;IF(Checks!$AA$109="","",IF(Checks!$Z$109="","",CHAR(10))&amp;"CA: "&amp;Checks!$AA$109)</f>
        <v/>
      </c>
      <c r="G44" s="113" t="str">
        <f aca="false">IF(ISNUMBER(Checks!$AD$109),TEXT(Checks!$AD$109,"DD-MMM-YY HH:MM")&amp;" "&amp;Checks!$P$109,"")&amp;IF(Checks!$AE$109="","",CHAR(10)&amp;"Verifier: "&amp;Checks!$AE$109)&amp;IF(Checks!$T$109="","",CHAR(10)&amp;"PIC: "&amp;Checks!$T$109)</f>
        <v/>
      </c>
      <c r="H44" s="114" t="str">
        <f aca="false">IF(Checks!$AH$109="","",Checks!$AH$109)</f>
        <v>OPEN</v>
      </c>
    </row>
    <row r="45" customFormat="false" ht="114" hidden="false" customHeight="true" outlineLevel="0" collapsed="false">
      <c r="A45" s="113" t="str">
        <f aca="false">Checks!$A$110&amp;CHAR(10)&amp;IF(Checks!$I$110="","",Checks!$I$110&amp;": ")&amp;Checks!$J$110</f>
        <v>F04-T12-11
F&amp;B Linen: Tray cloth - prepared</v>
      </c>
      <c r="B45" s="113" t="str">
        <f aca="false">Checks!$K$110&amp;IF(Checks!$O$110="","",IF(Checks!$K$110="","",CHAR(10))&amp;"Note: "&amp;Checks!$O$110)</f>
        <v>Available (ticked in reference)
Note: Reference gives no uplift stn for this item: preparation checked at the meal uplift stn (KUL) - confirm with caterer.</v>
      </c>
      <c r="C45" s="113" t="str">
        <f aca="false">Checks!$N$110&amp;CHAR(10)&amp;IF(ISNUMBER(Checks!$R$110),TEXT(Checks!$R$110,"DD-MMM-YY HH:MM"),"")&amp;" "&amp;Checks!$P$110</f>
        <v>Required
10-Oct-26 11:30 KUL</v>
      </c>
      <c r="D45" s="113" t="str">
        <f aca="false">IF(Checks!$U$110="","",Checks!$U$110)&amp;IF(Checks!$AB$110="","",CHAR(10)&amp;"CA: "&amp;Checks!$AB$110)</f>
        <v/>
      </c>
      <c r="E45" s="113" t="str">
        <f aca="false">IF(Checks!$V$110="","",Checks!$V$110)&amp;IF(Checks!$AC$110="","",IF(Checks!$V$110="","",CHAR(10))&amp;"N/A just.: "&amp;Checks!$AC$110)&amp;IF(Checks!$W$110="","",CHAR(10)&amp;"Batch: "&amp;Checks!$W$110)&amp;IF(AND(Checks!$X$110="",Checks!$Y$110=""),"",CHAR(10)&amp;"Exp: "&amp;Checks!$X$110&amp;"  /  Act: "&amp;Checks!$Y$110)</f>
        <v/>
      </c>
      <c r="F45" s="113" t="str">
        <f aca="false">IF(Checks!$Z$110="","","Evidence: "&amp;Checks!$Z$110)&amp;IF(Checks!$AA$110="","",IF(Checks!$Z$110="","",CHAR(10))&amp;"CA: "&amp;Checks!$AA$110)</f>
        <v/>
      </c>
      <c r="G45" s="113" t="str">
        <f aca="false">IF(ISNUMBER(Checks!$AD$110),TEXT(Checks!$AD$110,"DD-MMM-YY HH:MM")&amp;" "&amp;Checks!$P$110,"")&amp;IF(Checks!$AE$110="","",CHAR(10)&amp;"Verifier: "&amp;Checks!$AE$110)&amp;IF(Checks!$T$110="","",CHAR(10)&amp;"PIC: "&amp;Checks!$T$110)</f>
        <v/>
      </c>
      <c r="H45" s="114" t="str">
        <f aca="false">IF(Checks!$AH$110="","",Checks!$AH$110)</f>
        <v>OPEN</v>
      </c>
    </row>
    <row r="46" customFormat="false" ht="114" hidden="false" customHeight="true" outlineLevel="0" collapsed="false">
      <c r="A46" s="113" t="str">
        <f aca="false">Checks!$A$111&amp;CHAR(10)&amp;IF(Checks!$I$111="","",Checks!$I$111&amp;": ")&amp;Checks!$J$111</f>
        <v>F04-T12-12
F&amp;B Linen: Napkin - prepared</v>
      </c>
      <c r="B46" s="113" t="str">
        <f aca="false">Checks!$K$111&amp;IF(Checks!$O$111="","",IF(Checks!$K$111="","",CHAR(10))&amp;"Note: "&amp;Checks!$O$111)</f>
        <v>Available (ticked in reference)
Note: Reference gives no uplift stn for this item: preparation checked at the meal uplift stn (KUL) - confirm with caterer.</v>
      </c>
      <c r="C46" s="113" t="str">
        <f aca="false">Checks!$N$111&amp;CHAR(10)&amp;IF(ISNUMBER(Checks!$R$111),TEXT(Checks!$R$111,"DD-MMM-YY HH:MM"),"")&amp;" "&amp;Checks!$P$111</f>
        <v>Required
10-Oct-26 11:30 KUL</v>
      </c>
      <c r="D46" s="113" t="str">
        <f aca="false">IF(Checks!$U$111="","",Checks!$U$111)&amp;IF(Checks!$AB$111="","",CHAR(10)&amp;"CA: "&amp;Checks!$AB$111)</f>
        <v/>
      </c>
      <c r="E46" s="113" t="str">
        <f aca="false">IF(Checks!$V$111="","",Checks!$V$111)&amp;IF(Checks!$AC$111="","",IF(Checks!$V$111="","",CHAR(10))&amp;"N/A just.: "&amp;Checks!$AC$111)&amp;IF(Checks!$W$111="","",CHAR(10)&amp;"Batch: "&amp;Checks!$W$111)&amp;IF(AND(Checks!$X$111="",Checks!$Y$111=""),"",CHAR(10)&amp;"Exp: "&amp;Checks!$X$111&amp;"  /  Act: "&amp;Checks!$Y$111)</f>
        <v/>
      </c>
      <c r="F46" s="113" t="str">
        <f aca="false">IF(Checks!$Z$111="","","Evidence: "&amp;Checks!$Z$111)&amp;IF(Checks!$AA$111="","",IF(Checks!$Z$111="","",CHAR(10))&amp;"CA: "&amp;Checks!$AA$111)</f>
        <v/>
      </c>
      <c r="G46" s="113" t="str">
        <f aca="false">IF(ISNUMBER(Checks!$AD$111),TEXT(Checks!$AD$111,"DD-MMM-YY HH:MM")&amp;" "&amp;Checks!$P$111,"")&amp;IF(Checks!$AE$111="","",CHAR(10)&amp;"Verifier: "&amp;Checks!$AE$111)&amp;IF(Checks!$T$111="","",CHAR(10)&amp;"PIC: "&amp;Checks!$T$111)</f>
        <v/>
      </c>
      <c r="H46" s="114" t="str">
        <f aca="false">IF(Checks!$AH$111="","",Checks!$AH$111)</f>
        <v>OPEN</v>
      </c>
    </row>
    <row r="47" customFormat="false" ht="114" hidden="false" customHeight="true" outlineLevel="0" collapsed="false">
      <c r="A47" s="113" t="str">
        <f aca="false">Checks!$A$112&amp;CHAR(10)&amp;IF(Checks!$I$112="","",Checks!$I$112&amp;": ")&amp;Checks!$J$112</f>
        <v>F04-T12-13
F&amp;B Linen: Table cloth - prepared</v>
      </c>
      <c r="B47" s="113" t="str">
        <f aca="false">Checks!$K$112&amp;IF(Checks!$O$112="","",IF(Checks!$K$112="","",CHAR(10))&amp;"Note: "&amp;Checks!$O$112)</f>
        <v>Available (ticked in reference)
Note: Reference gives no uplift stn for this item: preparation checked at the meal uplift stn (KUL) - confirm with caterer.</v>
      </c>
      <c r="C47" s="113" t="str">
        <f aca="false">Checks!$N$112&amp;CHAR(10)&amp;IF(ISNUMBER(Checks!$R$112),TEXT(Checks!$R$112,"DD-MMM-YY HH:MM"),"")&amp;" "&amp;Checks!$P$112</f>
        <v>Required
10-Oct-26 11:30 KUL</v>
      </c>
      <c r="D47" s="113" t="str">
        <f aca="false">IF(Checks!$U$112="","",Checks!$U$112)&amp;IF(Checks!$AB$112="","",CHAR(10)&amp;"CA: "&amp;Checks!$AB$112)</f>
        <v/>
      </c>
      <c r="E47" s="113" t="str">
        <f aca="false">IF(Checks!$V$112="","",Checks!$V$112)&amp;IF(Checks!$AC$112="","",IF(Checks!$V$112="","",CHAR(10))&amp;"N/A just.: "&amp;Checks!$AC$112)&amp;IF(Checks!$W$112="","",CHAR(10)&amp;"Batch: "&amp;Checks!$W$112)&amp;IF(AND(Checks!$X$112="",Checks!$Y$112=""),"",CHAR(10)&amp;"Exp: "&amp;Checks!$X$112&amp;"  /  Act: "&amp;Checks!$Y$112)</f>
        <v/>
      </c>
      <c r="F47" s="113" t="str">
        <f aca="false">IF(Checks!$Z$112="","","Evidence: "&amp;Checks!$Z$112)&amp;IF(Checks!$AA$112="","",IF(Checks!$Z$112="","",CHAR(10))&amp;"CA: "&amp;Checks!$AA$112)</f>
        <v/>
      </c>
      <c r="G47" s="113" t="str">
        <f aca="false">IF(ISNUMBER(Checks!$AD$112),TEXT(Checks!$AD$112,"DD-MMM-YY HH:MM")&amp;" "&amp;Checks!$P$112,"")&amp;IF(Checks!$AE$112="","",CHAR(10)&amp;"Verifier: "&amp;Checks!$AE$112)&amp;IF(Checks!$T$112="","",CHAR(10)&amp;"PIC: "&amp;Checks!$T$112)</f>
        <v/>
      </c>
      <c r="H47" s="114" t="str">
        <f aca="false">IF(Checks!$AH$112="","",Checks!$AH$112)</f>
        <v>OPEN</v>
      </c>
    </row>
    <row r="48" customFormat="false" ht="114" hidden="false" customHeight="true" outlineLevel="0" collapsed="false">
      <c r="A48" s="113" t="str">
        <f aca="false">Checks!$A$113&amp;CHAR(10)&amp;IF(Checks!$I$113="","",Checks!$I$113&amp;": ")&amp;Checks!$J$113</f>
        <v>F04-T12-14
F&amp;B Linen: Bread linen (using table cloth) - prepared</v>
      </c>
      <c r="B48" s="113" t="str">
        <f aca="false">Checks!$K$113&amp;IF(Checks!$O$113="","",IF(Checks!$K$113="","",CHAR(10))&amp;"Note: "&amp;Checks!$O$113)</f>
        <v>Available (ticked in reference)
Note: Reference gives no uplift stn for this item: preparation checked at the meal uplift stn (KUL) - confirm with caterer.</v>
      </c>
      <c r="C48" s="113" t="str">
        <f aca="false">Checks!$N$113&amp;CHAR(10)&amp;IF(ISNUMBER(Checks!$R$113),TEXT(Checks!$R$113,"DD-MMM-YY HH:MM"),"")&amp;" "&amp;Checks!$P$113</f>
        <v>Required
10-Oct-26 11:30 KUL</v>
      </c>
      <c r="D48" s="113" t="str">
        <f aca="false">IF(Checks!$U$113="","",Checks!$U$113)&amp;IF(Checks!$AB$113="","",CHAR(10)&amp;"CA: "&amp;Checks!$AB$113)</f>
        <v/>
      </c>
      <c r="E48" s="113" t="str">
        <f aca="false">IF(Checks!$V$113="","",Checks!$V$113)&amp;IF(Checks!$AC$113="","",IF(Checks!$V$113="","",CHAR(10))&amp;"N/A just.: "&amp;Checks!$AC$113)&amp;IF(Checks!$W$113="","",CHAR(10)&amp;"Batch: "&amp;Checks!$W$113)&amp;IF(AND(Checks!$X$113="",Checks!$Y$113=""),"",CHAR(10)&amp;"Exp: "&amp;Checks!$X$113&amp;"  /  Act: "&amp;Checks!$Y$113)</f>
        <v/>
      </c>
      <c r="F48" s="113" t="str">
        <f aca="false">IF(Checks!$Z$113="","","Evidence: "&amp;Checks!$Z$113)&amp;IF(Checks!$AA$113="","",IF(Checks!$Z$113="","",CHAR(10))&amp;"CA: "&amp;Checks!$AA$113)</f>
        <v/>
      </c>
      <c r="G48" s="113" t="str">
        <f aca="false">IF(ISNUMBER(Checks!$AD$113),TEXT(Checks!$AD$113,"DD-MMM-YY HH:MM")&amp;" "&amp;Checks!$P$113,"")&amp;IF(Checks!$AE$113="","",CHAR(10)&amp;"Verifier: "&amp;Checks!$AE$113)&amp;IF(Checks!$T$113="","",CHAR(10)&amp;"PIC: "&amp;Checks!$T$113)</f>
        <v/>
      </c>
      <c r="H48" s="114" t="str">
        <f aca="false">IF(Checks!$AH$113="","",Checks!$AH$113)</f>
        <v>OPEN</v>
      </c>
    </row>
    <row r="49" customFormat="false" ht="124.5" hidden="false" customHeight="true" outlineLevel="0" collapsed="false">
      <c r="A49" s="113" t="str">
        <f aca="false">Checks!$A$114&amp;CHAR(10)&amp;IF(Checks!$I$114="","",Checks!$I$114&amp;": ")&amp;Checks!$J$114</f>
        <v>F04-T12-15
F&amp;B Linen: Trolley cloth - prepared</v>
      </c>
      <c r="B49" s="113" t="str">
        <f aca="false">SUBSTITUTE(Checks!$K$114&amp;IF(Checks!$O$114="","",IF(Checks!$K$114="","",CHAR(10))&amp;"Note: "&amp;Checks!$O$114),"F&amp;B LINEN!","Ref: F&amp;B LINEN!")</f>
        <v>Wide body: Top/Middle &amp; Bottom
Note: Per note Ref: F&amp;B LINEN!B79:C80. Reference gives no uplift stn for this item: preparation checked at the meal uplift stn (KUL) - confirm with caterer.</v>
      </c>
      <c r="C49" s="113" t="str">
        <f aca="false">Checks!$N$114&amp;CHAR(10)&amp;IF(ISNUMBER(Checks!$R$114),TEXT(Checks!$R$114,"DD-MMM-YY HH:MM"),"")&amp;" "&amp;Checks!$P$114</f>
        <v>Required
10-Oct-26 11:30 KUL</v>
      </c>
      <c r="D49" s="113" t="str">
        <f aca="false">IF(Checks!$U$114="","",Checks!$U$114)&amp;IF(Checks!$AB$114="","",CHAR(10)&amp;"CA: "&amp;Checks!$AB$114)</f>
        <v/>
      </c>
      <c r="E49" s="113" t="str">
        <f aca="false">IF(Checks!$V$114="","",Checks!$V$114)&amp;IF(Checks!$AC$114="","",IF(Checks!$V$114="","",CHAR(10))&amp;"N/A just.: "&amp;Checks!$AC$114)&amp;IF(Checks!$W$114="","",CHAR(10)&amp;"Batch: "&amp;Checks!$W$114)&amp;IF(AND(Checks!$X$114="",Checks!$Y$114=""),"",CHAR(10)&amp;"Exp: "&amp;Checks!$X$114&amp;"  /  Act: "&amp;Checks!$Y$114)</f>
        <v/>
      </c>
      <c r="F49" s="113" t="str">
        <f aca="false">IF(Checks!$Z$114="","","Evidence: "&amp;Checks!$Z$114)&amp;IF(Checks!$AA$114="","",IF(Checks!$Z$114="","",CHAR(10))&amp;"CA: "&amp;Checks!$AA$114)</f>
        <v/>
      </c>
      <c r="G49" s="113" t="str">
        <f aca="false">IF(ISNUMBER(Checks!$AD$114),TEXT(Checks!$AD$114,"DD-MMM-YY HH:MM")&amp;" "&amp;Checks!$P$114,"")&amp;IF(Checks!$AE$114="","",CHAR(10)&amp;"Verifier: "&amp;Checks!$AE$114)&amp;IF(Checks!$T$114="","",CHAR(10)&amp;"PIC: "&amp;Checks!$T$114)</f>
        <v/>
      </c>
      <c r="H49" s="114" t="str">
        <f aca="false">IF(Checks!$AH$114="","",Checks!$AH$114)</f>
        <v>OPEN</v>
      </c>
    </row>
    <row r="50" customFormat="false" ht="114" hidden="false" customHeight="true" outlineLevel="0" collapsed="false">
      <c r="A50" s="113" t="str">
        <f aca="false">Checks!$A$115&amp;CHAR(10)&amp;IF(Checks!$I$115="","",Checks!$I$115&amp;": ")&amp;Checks!$J$115</f>
        <v>F04-T12-16
F&amp;B Linen: Linen bag - prepared</v>
      </c>
      <c r="B50" s="113" t="str">
        <f aca="false">Checks!$K$115&amp;IF(Checks!$O$115="","",IF(Checks!$K$115="","",CHAR(10))&amp;"Note: "&amp;Checks!$O$115)</f>
        <v>Available (ticked in reference)
Note: Reference gives no uplift stn for this item: preparation checked at the meal uplift stn (KUL) - confirm with caterer.</v>
      </c>
      <c r="C50" s="113" t="str">
        <f aca="false">Checks!$N$115&amp;CHAR(10)&amp;IF(ISNUMBER(Checks!$R$115),TEXT(Checks!$R$115,"DD-MMM-YY HH:MM"),"")&amp;" "&amp;Checks!$P$115</f>
        <v>Required
10-Oct-26 11:30 KUL</v>
      </c>
      <c r="D50" s="113" t="str">
        <f aca="false">IF(Checks!$U$115="","",Checks!$U$115)&amp;IF(Checks!$AB$115="","",CHAR(10)&amp;"CA: "&amp;Checks!$AB$115)</f>
        <v/>
      </c>
      <c r="E50" s="113" t="str">
        <f aca="false">IF(Checks!$V$115="","",Checks!$V$115)&amp;IF(Checks!$AC$115="","",IF(Checks!$V$115="","",CHAR(10))&amp;"N/A just.: "&amp;Checks!$AC$115)&amp;IF(Checks!$W$115="","",CHAR(10)&amp;"Batch: "&amp;Checks!$W$115)&amp;IF(AND(Checks!$X$115="",Checks!$Y$115=""),"",CHAR(10)&amp;"Exp: "&amp;Checks!$X$115&amp;"  /  Act: "&amp;Checks!$Y$115)</f>
        <v/>
      </c>
      <c r="F50" s="113" t="str">
        <f aca="false">IF(Checks!$Z$115="","","Evidence: "&amp;Checks!$Z$115)&amp;IF(Checks!$AA$115="","",IF(Checks!$Z$115="","",CHAR(10))&amp;"CA: "&amp;Checks!$AA$115)</f>
        <v/>
      </c>
      <c r="G50" s="113" t="str">
        <f aca="false">IF(ISNUMBER(Checks!$AD$115),TEXT(Checks!$AD$115,"DD-MMM-YY HH:MM")&amp;" "&amp;Checks!$P$115,"")&amp;IF(Checks!$AE$115="","",CHAR(10)&amp;"Verifier: "&amp;Checks!$AE$115)&amp;IF(Checks!$T$115="","",CHAR(10)&amp;"PIC: "&amp;Checks!$T$115)</f>
        <v/>
      </c>
      <c r="H50" s="114" t="str">
        <f aca="false">IF(Checks!$AH$115="","",Checks!$AH$115)</f>
        <v>OPEN</v>
      </c>
    </row>
    <row r="51" customFormat="false" ht="114" hidden="false" customHeight="true" outlineLevel="0" collapsed="false">
      <c r="A51" s="113" t="str">
        <f aca="false">Checks!$A$116&amp;CHAR(10)&amp;IF(Checks!$I$116="","",Checks!$I$116&amp;": ")&amp;Checks!$J$116</f>
        <v>F04-T12-17
Seat Linen: Seat pillow (BS &amp; BC) - prepared</v>
      </c>
      <c r="B51" s="113" t="str">
        <f aca="false">Checks!$K$116&amp;IF(Checks!$O$116="","",IF(Checks!$K$116="","",CHAR(10))&amp;"Note: "&amp;Checks!$O$116)</f>
        <v>Available 100% (ticked in reference)
Note: Reference gives no uplift stn for this item: preparation checked at the meal uplift stn (KUL) - confirm with caterer.</v>
      </c>
      <c r="C51" s="113" t="str">
        <f aca="false">Checks!$N$116&amp;CHAR(10)&amp;IF(ISNUMBER(Checks!$R$116),TEXT(Checks!$R$116,"DD-MMM-YY HH:MM"),"")&amp;" "&amp;Checks!$P$116</f>
        <v>Required
10-Oct-26 11:30 KUL</v>
      </c>
      <c r="D51" s="113" t="str">
        <f aca="false">IF(Checks!$U$116="","",Checks!$U$116)&amp;IF(Checks!$AB$116="","",CHAR(10)&amp;"CA: "&amp;Checks!$AB$116)</f>
        <v/>
      </c>
      <c r="E51" s="113" t="str">
        <f aca="false">IF(Checks!$V$116="","",Checks!$V$116)&amp;IF(Checks!$AC$116="","",IF(Checks!$V$116="","",CHAR(10))&amp;"N/A just.: "&amp;Checks!$AC$116)&amp;IF(Checks!$W$116="","",CHAR(10)&amp;"Batch: "&amp;Checks!$W$116)&amp;IF(AND(Checks!$X$116="",Checks!$Y$116=""),"",CHAR(10)&amp;"Exp: "&amp;Checks!$X$116&amp;"  /  Act: "&amp;Checks!$Y$116)</f>
        <v/>
      </c>
      <c r="F51" s="113" t="str">
        <f aca="false">IF(Checks!$Z$116="","","Evidence: "&amp;Checks!$Z$116)&amp;IF(Checks!$AA$116="","",IF(Checks!$Z$116="","",CHAR(10))&amp;"CA: "&amp;Checks!$AA$116)</f>
        <v/>
      </c>
      <c r="G51" s="113" t="str">
        <f aca="false">IF(ISNUMBER(Checks!$AD$116),TEXT(Checks!$AD$116,"DD-MMM-YY HH:MM")&amp;" "&amp;Checks!$P$116,"")&amp;IF(Checks!$AE$116="","",CHAR(10)&amp;"Verifier: "&amp;Checks!$AE$116)&amp;IF(Checks!$T$116="","",CHAR(10)&amp;"PIC: "&amp;Checks!$T$116)</f>
        <v/>
      </c>
      <c r="H51" s="114" t="str">
        <f aca="false">IF(Checks!$AH$116="","",Checks!$AH$116)</f>
        <v>OPEN</v>
      </c>
    </row>
    <row r="52" customFormat="false" ht="114" hidden="false" customHeight="true" outlineLevel="0" collapsed="false">
      <c r="A52" s="113" t="str">
        <f aca="false">Checks!$A$117&amp;CHAR(10)&amp;IF(Checks!$I$117="","",Checks!$I$117&amp;": ")&amp;Checks!$J$117</f>
        <v>F04-T12-18
Seat Linen: Duvet (BS &amp; BC) - prepared</v>
      </c>
      <c r="B52" s="113" t="str">
        <f aca="false">Checks!$K$117&amp;IF(Checks!$O$117="","",IF(Checks!$K$117="","",CHAR(10))&amp;"Note: "&amp;Checks!$O$117)</f>
        <v>Available 100% (ticked in reference)
Note: Reference gives no uplift stn for this item: preparation checked at the meal uplift stn (KUL) - confirm with caterer.</v>
      </c>
      <c r="C52" s="113" t="str">
        <f aca="false">Checks!$N$117&amp;CHAR(10)&amp;IF(ISNUMBER(Checks!$R$117),TEXT(Checks!$R$117,"DD-MMM-YY HH:MM"),"")&amp;" "&amp;Checks!$P$117</f>
        <v>Required
10-Oct-26 11:30 KUL</v>
      </c>
      <c r="D52" s="113" t="str">
        <f aca="false">IF(Checks!$U$117="","",Checks!$U$117)&amp;IF(Checks!$AB$117="","",CHAR(10)&amp;"CA: "&amp;Checks!$AB$117)</f>
        <v/>
      </c>
      <c r="E52" s="113" t="str">
        <f aca="false">IF(Checks!$V$117="","",Checks!$V$117)&amp;IF(Checks!$AC$117="","",IF(Checks!$V$117="","",CHAR(10))&amp;"N/A just.: "&amp;Checks!$AC$117)&amp;IF(Checks!$W$117="","",CHAR(10)&amp;"Batch: "&amp;Checks!$W$117)&amp;IF(AND(Checks!$X$117="",Checks!$Y$117=""),"",CHAR(10)&amp;"Exp: "&amp;Checks!$X$117&amp;"  /  Act: "&amp;Checks!$Y$117)</f>
        <v/>
      </c>
      <c r="F52" s="113" t="str">
        <f aca="false">IF(Checks!$Z$117="","","Evidence: "&amp;Checks!$Z$117)&amp;IF(Checks!$AA$117="","",IF(Checks!$Z$117="","",CHAR(10))&amp;"CA: "&amp;Checks!$AA$117)</f>
        <v/>
      </c>
      <c r="G52" s="113" t="str">
        <f aca="false">IF(ISNUMBER(Checks!$AD$117),TEXT(Checks!$AD$117,"DD-MMM-YY HH:MM")&amp;" "&amp;Checks!$P$117,"")&amp;IF(Checks!$AE$117="","",CHAR(10)&amp;"Verifier: "&amp;Checks!$AE$117)&amp;IF(Checks!$T$117="","",CHAR(10)&amp;"PIC: "&amp;Checks!$T$117)</f>
        <v/>
      </c>
      <c r="H52" s="114" t="str">
        <f aca="false">IF(Checks!$AH$117="","",Checks!$AH$117)</f>
        <v>OPEN</v>
      </c>
    </row>
    <row r="53" customFormat="false" ht="114" hidden="false" customHeight="true" outlineLevel="0" collapsed="false">
      <c r="A53" s="113" t="str">
        <f aca="false">Checks!$A$118&amp;CHAR(10)&amp;IF(Checks!$I$118="","",Checks!$I$118&amp;": ")&amp;Checks!$J$118</f>
        <v>F04-T12-19
Seat Linen: Mattress (BS &amp; BC) - prepared</v>
      </c>
      <c r="B53" s="113" t="str">
        <f aca="false">Checks!$K$118&amp;IF(Checks!$O$118="","",IF(Checks!$K$118="","",CHAR(10))&amp;"Note: "&amp;Checks!$O$118)</f>
        <v>Available 100% (ticked in reference)
Note: Reference gives no uplift stn for this item: preparation checked at the meal uplift stn (KUL) - confirm with caterer.</v>
      </c>
      <c r="C53" s="113" t="str">
        <f aca="false">Checks!$N$118&amp;CHAR(10)&amp;IF(ISNUMBER(Checks!$R$118),TEXT(Checks!$R$118,"DD-MMM-YY HH:MM"),"")&amp;" "&amp;Checks!$P$118</f>
        <v>Required
10-Oct-26 11:30 KUL</v>
      </c>
      <c r="D53" s="113" t="str">
        <f aca="false">IF(Checks!$U$118="","",Checks!$U$118)&amp;IF(Checks!$AB$118="","",CHAR(10)&amp;"CA: "&amp;Checks!$AB$118)</f>
        <v/>
      </c>
      <c r="E53" s="113" t="str">
        <f aca="false">IF(Checks!$V$118="","",Checks!$V$118)&amp;IF(Checks!$AC$118="","",IF(Checks!$V$118="","",CHAR(10))&amp;"N/A just.: "&amp;Checks!$AC$118)&amp;IF(Checks!$W$118="","",CHAR(10)&amp;"Batch: "&amp;Checks!$W$118)&amp;IF(AND(Checks!$X$118="",Checks!$Y$118=""),"",CHAR(10)&amp;"Exp: "&amp;Checks!$X$118&amp;"  /  Act: "&amp;Checks!$Y$118)</f>
        <v/>
      </c>
      <c r="F53" s="113" t="str">
        <f aca="false">IF(Checks!$Z$118="","","Evidence: "&amp;Checks!$Z$118)&amp;IF(Checks!$AA$118="","",IF(Checks!$Z$118="","",CHAR(10))&amp;"CA: "&amp;Checks!$AA$118)</f>
        <v/>
      </c>
      <c r="G53" s="113" t="str">
        <f aca="false">IF(ISNUMBER(Checks!$AD$118),TEXT(Checks!$AD$118,"DD-MMM-YY HH:MM")&amp;" "&amp;Checks!$P$118,"")&amp;IF(Checks!$AE$118="","",CHAR(10)&amp;"Verifier: "&amp;Checks!$AE$118)&amp;IF(Checks!$T$118="","",CHAR(10)&amp;"PIC: "&amp;Checks!$T$118)</f>
        <v/>
      </c>
      <c r="H53" s="114" t="str">
        <f aca="false">IF(Checks!$AH$118="","",Checks!$AH$118)</f>
        <v>OPEN</v>
      </c>
    </row>
    <row r="54" customFormat="false" ht="114" hidden="false" customHeight="true" outlineLevel="0" collapsed="false">
      <c r="A54" s="113" t="str">
        <f aca="false">Checks!$A$119&amp;CHAR(10)&amp;IF(Checks!$I$119="","",Checks!$I$119&amp;": ")&amp;Checks!$J$119</f>
        <v>F04-T12-20
Signature Drinks: Signature drink &amp; garnish (BC) - prepared</v>
      </c>
      <c r="B54" s="113" t="str">
        <f aca="false">Checks!$K$119&amp;IF(Checks!$O$119="","",IF(Checks!$K$119="","",CHAR(10))&amp;"Note: "&amp;Checks!$O$119)</f>
        <v>Available (ticked in reference)
Note: Signature drinks &amp; garnish uplifted from KUL (note D79).</v>
      </c>
      <c r="C54" s="113" t="str">
        <f aca="false">Checks!$N$119&amp;CHAR(10)&amp;IF(ISNUMBER(Checks!$R$119),TEXT(Checks!$R$119,"DD-MMM-YY HH:MM"),"")&amp;" "&amp;Checks!$P$119</f>
        <v>Required
10-Oct-26 11:30 KUL</v>
      </c>
      <c r="D54" s="113" t="str">
        <f aca="false">IF(Checks!$U$119="","",Checks!$U$119)&amp;IF(Checks!$AB$119="","",CHAR(10)&amp;"CA: "&amp;Checks!$AB$119)</f>
        <v/>
      </c>
      <c r="E54" s="113" t="str">
        <f aca="false">IF(Checks!$V$119="","",Checks!$V$119)&amp;IF(Checks!$AC$119="","",IF(Checks!$V$119="","",CHAR(10))&amp;"N/A just.: "&amp;Checks!$AC$119)&amp;IF(Checks!$W$119="","",CHAR(10)&amp;"Batch: "&amp;Checks!$W$119)&amp;IF(AND(Checks!$X$119="",Checks!$Y$119=""),"",CHAR(10)&amp;"Exp: "&amp;Checks!$X$119&amp;"  /  Act: "&amp;Checks!$Y$119)</f>
        <v/>
      </c>
      <c r="F54" s="113" t="str">
        <f aca="false">IF(Checks!$Z$119="","","Evidence: "&amp;Checks!$Z$119)&amp;IF(Checks!$AA$119="","",IF(Checks!$Z$119="","",CHAR(10))&amp;"CA: "&amp;Checks!$AA$119)</f>
        <v/>
      </c>
      <c r="G54" s="113" t="str">
        <f aca="false">IF(ISNUMBER(Checks!$AD$119),TEXT(Checks!$AD$119,"DD-MMM-YY HH:MM")&amp;" "&amp;Checks!$P$119,"")&amp;IF(Checks!$AE$119="","",CHAR(10)&amp;"Verifier: "&amp;Checks!$AE$119)&amp;IF(Checks!$T$119="","",CHAR(10)&amp;"PIC: "&amp;Checks!$T$119)</f>
        <v/>
      </c>
      <c r="H54" s="114" t="str">
        <f aca="false">IF(Checks!$AH$119="","",Checks!$AH$119)</f>
        <v>OPEN</v>
      </c>
    </row>
    <row r="55" customFormat="false" ht="168.75" hidden="false" customHeight="true" outlineLevel="0" collapsed="false">
      <c r="A55" s="113" t="str">
        <f aca="false">Checks!$A$120&amp;CHAR(10)&amp;IF(Checks!$I$120="","",Checks!$I$120&amp;": ")&amp;Checks!$J$120</f>
        <v>F04-T12-21
Sales Cart: Sales cart (caterer PASB) - prepared</v>
      </c>
      <c r="B55" s="113"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13" t="str">
        <f aca="false">Checks!$N$120&amp;CHAR(10)&amp;IF(ISNUMBER(Checks!$R$120),TEXT(Checks!$R$120,"DD-MMM-YY HH:MM"),"")&amp;" "&amp;Checks!$P$120</f>
        <v>Required
10-Oct-26 11:30 KUL</v>
      </c>
      <c r="D55" s="113" t="str">
        <f aca="false">IF(Checks!$U$120="","",Checks!$U$120)&amp;IF(Checks!$AB$120="","",CHAR(10)&amp;"CA: "&amp;Checks!$AB$120)</f>
        <v/>
      </c>
      <c r="E55" s="113" t="str">
        <f aca="false">IF(Checks!$V$120="","",Checks!$V$120)&amp;IF(Checks!$AC$120="","",IF(Checks!$V$120="","",CHAR(10))&amp;"N/A just.: "&amp;Checks!$AC$120)&amp;IF(Checks!$W$120="","",CHAR(10)&amp;"Batch: "&amp;Checks!$W$120)&amp;IF(AND(Checks!$X$120="",Checks!$Y$120=""),"",CHAR(10)&amp;"Exp: "&amp;Checks!$X$120&amp;"  /  Act: "&amp;Checks!$Y$120)</f>
        <v/>
      </c>
      <c r="F55" s="113" t="str">
        <f aca="false">IF(Checks!$Z$120="","","Evidence: "&amp;Checks!$Z$120)&amp;IF(Checks!$AA$120="","",IF(Checks!$Z$120="","",CHAR(10))&amp;"CA: "&amp;Checks!$AA$120)</f>
        <v/>
      </c>
      <c r="G55" s="113" t="str">
        <f aca="false">IF(ISNUMBER(Checks!$AD$120),TEXT(Checks!$AD$120,"DD-MMM-YY HH:MM")&amp;" "&amp;Checks!$P$120,"")&amp;IF(Checks!$AE$120="","",CHAR(10)&amp;"Verifier: "&amp;Checks!$AE$120)&amp;IF(Checks!$T$120="","",CHAR(10)&amp;"PIC: "&amp;Checks!$T$120)</f>
        <v/>
      </c>
      <c r="H55" s="114" t="str">
        <f aca="false">IF(Checks!$AH$120="","",Checks!$AH$120)</f>
        <v>OPEN</v>
      </c>
    </row>
    <row r="56" customFormat="false" ht="25.5" hidden="false" customHeight="true" outlineLevel="0" collapsed="false">
      <c r="A56" s="112"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2"/>
      <c r="C56" s="112"/>
      <c r="D56" s="112"/>
      <c r="E56" s="112"/>
      <c r="F56" s="112"/>
      <c r="G56" s="112"/>
      <c r="H56" s="112"/>
    </row>
    <row r="57" customFormat="false" ht="114" hidden="false" customHeight="true" outlineLevel="0" collapsed="false">
      <c r="A57" s="113" t="str">
        <f aca="false">Checks!$A$121&amp;CHAR(10)&amp;IF(Checks!$I$121="","",Checks!$I$121&amp;": ")&amp;Checks!$J$121</f>
        <v>F04-UPL-01
Meal: Meals physically uplifted on board - quantity vs menu checklist</v>
      </c>
      <c r="B57" s="113" t="str">
        <f aca="false">Checks!$K$121&amp;IF(Checks!$O$121="","",IF(Checks!$K$121="","",CHAR(10))&amp;"Note: "&amp;Checks!$O$121)</f>
        <v>Enter expected &amp; actual
Note: Confirm on board before departure; completion time must fall inside the uplift window.</v>
      </c>
      <c r="C57" s="113" t="str">
        <f aca="false">Checks!$N$121&amp;CHAR(10)&amp;IF(ISNUMBER(Checks!$R$121),TEXT(Checks!$R$121,"DD-MMM-YY HH:MM"),"")&amp;" "&amp;Checks!$P$121</f>
        <v>Required
10-Oct-26 23:30 KUL</v>
      </c>
      <c r="D57" s="113" t="str">
        <f aca="false">IF(Checks!$U$121="","",Checks!$U$121)&amp;IF(Checks!$AB$121="","",CHAR(10)&amp;"CA: "&amp;Checks!$AB$121)</f>
        <v/>
      </c>
      <c r="E57" s="113" t="str">
        <f aca="false">IF(Checks!$V$121="","",Checks!$V$121)&amp;IF(Checks!$AC$121="","",IF(Checks!$V$121="","",CHAR(10))&amp;"N/A just.: "&amp;Checks!$AC$121)&amp;IF(Checks!$W$121="","",CHAR(10)&amp;"Batch: "&amp;Checks!$W$121)&amp;IF(AND(Checks!$X$121="",Checks!$Y$121=""),"",CHAR(10)&amp;"Exp: "&amp;Checks!$X$121&amp;"  /  Act: "&amp;Checks!$Y$121)</f>
        <v/>
      </c>
      <c r="F57" s="113" t="str">
        <f aca="false">IF(Checks!$Z$121="","","Evidence: "&amp;Checks!$Z$121)&amp;IF(Checks!$AA$121="","",IF(Checks!$Z$121="","",CHAR(10))&amp;"CA: "&amp;Checks!$AA$121)</f>
        <v/>
      </c>
      <c r="G57" s="113" t="str">
        <f aca="false">IF(ISNUMBER(Checks!$AD$121),TEXT(Checks!$AD$121,"DD-MMM-YY HH:MM")&amp;" "&amp;Checks!$P$121,"")&amp;IF(Checks!$AE$121="","",CHAR(10)&amp;"Verifier: "&amp;Checks!$AE$121)&amp;IF(Checks!$T$121="","",CHAR(10)&amp;"PIC: "&amp;Checks!$T$121)</f>
        <v/>
      </c>
      <c r="H57" s="114" t="str">
        <f aca="false">IF(Checks!$AH$121="","",Checks!$AH$121)</f>
        <v>OPEN</v>
      </c>
    </row>
    <row r="58" customFormat="false" ht="114" hidden="false" customHeight="true" outlineLevel="0" collapsed="false">
      <c r="A58" s="113" t="str">
        <f aca="false">Checks!$A$122&amp;CHAR(10)&amp;IF(Checks!$I$122="","",Checks!$I$122&amp;": ")&amp;Checks!$J$122</f>
        <v>F04-UPL-02
Equipment: Equipment physically loaded at GLD positions - quantity &amp; positions</v>
      </c>
      <c r="B58" s="113" t="str">
        <f aca="false">Checks!$K$122&amp;IF(Checks!$O$122="","",IF(Checks!$K$122="","",CHAR(10))&amp;"Note: "&amp;Checks!$O$122)</f>
        <v>Enter expected &amp; actual
Note: Confirm on board before departure; completion time must fall inside the uplift window.</v>
      </c>
      <c r="C58" s="113" t="str">
        <f aca="false">Checks!$N$122&amp;CHAR(10)&amp;IF(ISNUMBER(Checks!$R$122),TEXT(Checks!$R$122,"DD-MMM-YY HH:MM"),"")&amp;" "&amp;Checks!$P$122</f>
        <v>Required
10-Oct-26 23:30 KUL</v>
      </c>
      <c r="D58" s="113" t="str">
        <f aca="false">IF(Checks!$U$122="","",Checks!$U$122)&amp;IF(Checks!$AB$122="","",CHAR(10)&amp;"CA: "&amp;Checks!$AB$122)</f>
        <v/>
      </c>
      <c r="E58" s="113" t="str">
        <f aca="false">IF(Checks!$V$122="","",Checks!$V$122)&amp;IF(Checks!$AC$122="","",IF(Checks!$V$122="","",CHAR(10))&amp;"N/A just.: "&amp;Checks!$AC$122)&amp;IF(Checks!$W$122="","",CHAR(10)&amp;"Batch: "&amp;Checks!$W$122)&amp;IF(AND(Checks!$X$122="",Checks!$Y$122=""),"",CHAR(10)&amp;"Exp: "&amp;Checks!$X$122&amp;"  /  Act: "&amp;Checks!$Y$122)</f>
        <v/>
      </c>
      <c r="F58" s="113" t="str">
        <f aca="false">IF(Checks!$Z$122="","","Evidence: "&amp;Checks!$Z$122)&amp;IF(Checks!$AA$122="","",IF(Checks!$Z$122="","",CHAR(10))&amp;"CA: "&amp;Checks!$AA$122)</f>
        <v/>
      </c>
      <c r="G58" s="113" t="str">
        <f aca="false">IF(ISNUMBER(Checks!$AD$122),TEXT(Checks!$AD$122,"DD-MMM-YY HH:MM")&amp;" "&amp;Checks!$P$122,"")&amp;IF(Checks!$AE$122="","",CHAR(10)&amp;"Verifier: "&amp;Checks!$AE$122)&amp;IF(Checks!$T$122="","",CHAR(10)&amp;"PIC: "&amp;Checks!$T$122)</f>
        <v/>
      </c>
      <c r="H58" s="114" t="str">
        <f aca="false">IF(Checks!$AH$122="","",Checks!$AH$122)</f>
        <v>OPEN</v>
      </c>
    </row>
    <row r="59" customFormat="false" ht="114" hidden="false" customHeight="true" outlineLevel="0" collapsed="false">
      <c r="A59" s="113" t="str">
        <f aca="false">Checks!$A$123&amp;CHAR(10)&amp;IF(Checks!$I$123="","",Checks!$I$123&amp;": ")&amp;Checks!$J$123</f>
        <v>F04-UPL-03
Amenities: Toiletry kits - on board</v>
      </c>
      <c r="B59" s="113" t="str">
        <f aca="false">Checks!$K$123&amp;IF(Checks!$O$123="","",IF(Checks!$K$123="","",CHAR(10))&amp;"Note: "&amp;Checks!$O$123)</f>
        <v>Available (ticked in reference)</v>
      </c>
      <c r="C59" s="113" t="str">
        <f aca="false">Checks!$N$123&amp;CHAR(10)&amp;IF(ISNUMBER(Checks!$R$123),TEXT(Checks!$R$123,"DD-MMM-YY HH:MM"),"")&amp;" "&amp;Checks!$P$123</f>
        <v>Required
10-Oct-26 23:30 KUL</v>
      </c>
      <c r="D59" s="113" t="str">
        <f aca="false">IF(Checks!$U$123="","",Checks!$U$123)&amp;IF(Checks!$AB$123="","",CHAR(10)&amp;"CA: "&amp;Checks!$AB$123)</f>
        <v/>
      </c>
      <c r="E59" s="113" t="str">
        <f aca="false">IF(Checks!$V$123="","",Checks!$V$123)&amp;IF(Checks!$AC$123="","",IF(Checks!$V$123="","",CHAR(10))&amp;"N/A just.: "&amp;Checks!$AC$123)&amp;IF(Checks!$W$123="","",CHAR(10)&amp;"Batch: "&amp;Checks!$W$123)&amp;IF(AND(Checks!$X$123="",Checks!$Y$123=""),"",CHAR(10)&amp;"Exp: "&amp;Checks!$X$123&amp;"  /  Act: "&amp;Checks!$Y$123)</f>
        <v/>
      </c>
      <c r="F59" s="113" t="str">
        <f aca="false">IF(Checks!$Z$123="","","Evidence: "&amp;Checks!$Z$123)&amp;IF(Checks!$AA$123="","",IF(Checks!$Z$123="","",CHAR(10))&amp;"CA: "&amp;Checks!$AA$123)</f>
        <v/>
      </c>
      <c r="G59" s="113" t="str">
        <f aca="false">IF(ISNUMBER(Checks!$AD$123),TEXT(Checks!$AD$123,"DD-MMM-YY HH:MM")&amp;" "&amp;Checks!$P$123,"")&amp;IF(Checks!$AE$123="","",CHAR(10)&amp;"Verifier: "&amp;Checks!$AE$123)&amp;IF(Checks!$T$123="","",CHAR(10)&amp;"PIC: "&amp;Checks!$T$123)</f>
        <v/>
      </c>
      <c r="H59" s="114" t="str">
        <f aca="false">IF(Checks!$AH$123="","",Checks!$AH$123)</f>
        <v>OPEN</v>
      </c>
    </row>
    <row r="60" customFormat="false" ht="114" hidden="false" customHeight="true" outlineLevel="0" collapsed="false">
      <c r="A60" s="113" t="str">
        <f aca="false">Checks!$A$124&amp;CHAR(10)&amp;IF(Checks!$I$124="","",Checks!$I$124&amp;": ")&amp;Checks!$J$124</f>
        <v>F04-UPL-04
Amenities: Slippers (BS/BC) - on board</v>
      </c>
      <c r="B60" s="113" t="str">
        <f aca="false">Checks!$K$124&amp;IF(Checks!$O$124="","",IF(Checks!$K$124="","",CHAR(10))&amp;"Note: "&amp;Checks!$O$124)</f>
        <v>Available (ticked in reference)</v>
      </c>
      <c r="C60" s="113" t="str">
        <f aca="false">Checks!$N$124&amp;CHAR(10)&amp;IF(ISNUMBER(Checks!$R$124),TEXT(Checks!$R$124,"DD-MMM-YY HH:MM"),"")&amp;" "&amp;Checks!$P$124</f>
        <v>Required
10-Oct-26 23:30 KUL</v>
      </c>
      <c r="D60" s="113" t="str">
        <f aca="false">IF(Checks!$U$124="","",Checks!$U$124)&amp;IF(Checks!$AB$124="","",CHAR(10)&amp;"CA: "&amp;Checks!$AB$124)</f>
        <v/>
      </c>
      <c r="E60" s="113" t="str">
        <f aca="false">IF(Checks!$V$124="","",Checks!$V$124)&amp;IF(Checks!$AC$124="","",IF(Checks!$V$124="","",CHAR(10))&amp;"N/A just.: "&amp;Checks!$AC$124)&amp;IF(Checks!$W$124="","",CHAR(10)&amp;"Batch: "&amp;Checks!$W$124)&amp;IF(AND(Checks!$X$124="",Checks!$Y$124=""),"",CHAR(10)&amp;"Exp: "&amp;Checks!$X$124&amp;"  /  Act: "&amp;Checks!$Y$124)</f>
        <v/>
      </c>
      <c r="F60" s="113" t="str">
        <f aca="false">IF(Checks!$Z$124="","","Evidence: "&amp;Checks!$Z$124)&amp;IF(Checks!$AA$124="","",IF(Checks!$Z$124="","",CHAR(10))&amp;"CA: "&amp;Checks!$AA$124)</f>
        <v/>
      </c>
      <c r="G60" s="113" t="str">
        <f aca="false">IF(ISNUMBER(Checks!$AD$124),TEXT(Checks!$AD$124,"DD-MMM-YY HH:MM")&amp;" "&amp;Checks!$P$124,"")&amp;IF(Checks!$AE$124="","",CHAR(10)&amp;"Verifier: "&amp;Checks!$AE$124)&amp;IF(Checks!$T$124="","",CHAR(10)&amp;"PIC: "&amp;Checks!$T$124)</f>
        <v/>
      </c>
      <c r="H60" s="114" t="str">
        <f aca="false">IF(Checks!$AH$124="","",Checks!$AH$124)</f>
        <v>OPEN</v>
      </c>
    </row>
    <row r="61" customFormat="false" ht="114" hidden="false" customHeight="true" outlineLevel="0" collapsed="false">
      <c r="A61" s="113" t="str">
        <f aca="false">Checks!$A$125&amp;CHAR(10)&amp;IF(Checks!$I$125="","",Checks!$I$125&amp;": ")&amp;Checks!$J$125</f>
        <v>F04-UPL-05
F&amp;B Linen: Towel - on board</v>
      </c>
      <c r="B61" s="113" t="str">
        <f aca="false">Checks!$K$125&amp;IF(Checks!$O$125="","",IF(Checks!$K$125="","",CHAR(10))&amp;"Note: "&amp;Checks!$O$125)</f>
        <v>Available (ticked in reference)</v>
      </c>
      <c r="C61" s="113" t="str">
        <f aca="false">Checks!$N$125&amp;CHAR(10)&amp;IF(ISNUMBER(Checks!$R$125),TEXT(Checks!$R$125,"DD-MMM-YY HH:MM"),"")&amp;" "&amp;Checks!$P$125</f>
        <v>Required
10-Oct-26 23:30 KUL</v>
      </c>
      <c r="D61" s="113" t="str">
        <f aca="false">IF(Checks!$U$125="","",Checks!$U$125)&amp;IF(Checks!$AB$125="","",CHAR(10)&amp;"CA: "&amp;Checks!$AB$125)</f>
        <v/>
      </c>
      <c r="E61" s="113" t="str">
        <f aca="false">IF(Checks!$V$125="","",Checks!$V$125)&amp;IF(Checks!$AC$125="","",IF(Checks!$V$125="","",CHAR(10))&amp;"N/A just.: "&amp;Checks!$AC$125)&amp;IF(Checks!$W$125="","",CHAR(10)&amp;"Batch: "&amp;Checks!$W$125)&amp;IF(AND(Checks!$X$125="",Checks!$Y$125=""),"",CHAR(10)&amp;"Exp: "&amp;Checks!$X$125&amp;"  /  Act: "&amp;Checks!$Y$125)</f>
        <v/>
      </c>
      <c r="F61" s="113" t="str">
        <f aca="false">IF(Checks!$Z$125="","","Evidence: "&amp;Checks!$Z$125)&amp;IF(Checks!$AA$125="","",IF(Checks!$Z$125="","",CHAR(10))&amp;"CA: "&amp;Checks!$AA$125)</f>
        <v/>
      </c>
      <c r="G61" s="113" t="str">
        <f aca="false">IF(ISNUMBER(Checks!$AD$125),TEXT(Checks!$AD$125,"DD-MMM-YY HH:MM")&amp;" "&amp;Checks!$P$125,"")&amp;IF(Checks!$AE$125="","",CHAR(10)&amp;"Verifier: "&amp;Checks!$AE$125)&amp;IF(Checks!$T$125="","",CHAR(10)&amp;"PIC: "&amp;Checks!$T$125)</f>
        <v/>
      </c>
      <c r="H61" s="114" t="str">
        <f aca="false">IF(Checks!$AH$125="","",Checks!$AH$125)</f>
        <v>OPEN</v>
      </c>
    </row>
    <row r="62" customFormat="false" ht="114" hidden="false" customHeight="true" outlineLevel="0" collapsed="false">
      <c r="A62" s="113" t="str">
        <f aca="false">Checks!$A$126&amp;CHAR(10)&amp;IF(Checks!$I$126="","",Checks!$I$126&amp;": ")&amp;Checks!$J$126</f>
        <v>F04-UPL-06
F&amp;B Linen: Tray cloth - on board</v>
      </c>
      <c r="B62" s="113" t="str">
        <f aca="false">Checks!$K$126&amp;IF(Checks!$O$126="","",IF(Checks!$K$126="","",CHAR(10))&amp;"Note: "&amp;Checks!$O$126)</f>
        <v>Available (ticked in reference)</v>
      </c>
      <c r="C62" s="113" t="str">
        <f aca="false">Checks!$N$126&amp;CHAR(10)&amp;IF(ISNUMBER(Checks!$R$126),TEXT(Checks!$R$126,"DD-MMM-YY HH:MM"),"")&amp;" "&amp;Checks!$P$126</f>
        <v>Required
10-Oct-26 23:30 KUL</v>
      </c>
      <c r="D62" s="113" t="str">
        <f aca="false">IF(Checks!$U$126="","",Checks!$U$126)&amp;IF(Checks!$AB$126="","",CHAR(10)&amp;"CA: "&amp;Checks!$AB$126)</f>
        <v/>
      </c>
      <c r="E62" s="113" t="str">
        <f aca="false">IF(Checks!$V$126="","",Checks!$V$126)&amp;IF(Checks!$AC$126="","",IF(Checks!$V$126="","",CHAR(10))&amp;"N/A just.: "&amp;Checks!$AC$126)&amp;IF(Checks!$W$126="","",CHAR(10)&amp;"Batch: "&amp;Checks!$W$126)&amp;IF(AND(Checks!$X$126="",Checks!$Y$126=""),"",CHAR(10)&amp;"Exp: "&amp;Checks!$X$126&amp;"  /  Act: "&amp;Checks!$Y$126)</f>
        <v/>
      </c>
      <c r="F62" s="113" t="str">
        <f aca="false">IF(Checks!$Z$126="","","Evidence: "&amp;Checks!$Z$126)&amp;IF(Checks!$AA$126="","",IF(Checks!$Z$126="","",CHAR(10))&amp;"CA: "&amp;Checks!$AA$126)</f>
        <v/>
      </c>
      <c r="G62" s="113" t="str">
        <f aca="false">IF(ISNUMBER(Checks!$AD$126),TEXT(Checks!$AD$126,"DD-MMM-YY HH:MM")&amp;" "&amp;Checks!$P$126,"")&amp;IF(Checks!$AE$126="","",CHAR(10)&amp;"Verifier: "&amp;Checks!$AE$126)&amp;IF(Checks!$T$126="","",CHAR(10)&amp;"PIC: "&amp;Checks!$T$126)</f>
        <v/>
      </c>
      <c r="H62" s="114" t="str">
        <f aca="false">IF(Checks!$AH$126="","",Checks!$AH$126)</f>
        <v>OPEN</v>
      </c>
    </row>
    <row r="63" customFormat="false" ht="114" hidden="false" customHeight="true" outlineLevel="0" collapsed="false">
      <c r="A63" s="113" t="str">
        <f aca="false">Checks!$A$127&amp;CHAR(10)&amp;IF(Checks!$I$127="","",Checks!$I$127&amp;": ")&amp;Checks!$J$127</f>
        <v>F04-UPL-07
F&amp;B Linen: Napkin - on board</v>
      </c>
      <c r="B63" s="113" t="str">
        <f aca="false">Checks!$K$127&amp;IF(Checks!$O$127="","",IF(Checks!$K$127="","",CHAR(10))&amp;"Note: "&amp;Checks!$O$127)</f>
        <v>Available (ticked in reference)</v>
      </c>
      <c r="C63" s="113" t="str">
        <f aca="false">Checks!$N$127&amp;CHAR(10)&amp;IF(ISNUMBER(Checks!$R$127),TEXT(Checks!$R$127,"DD-MMM-YY HH:MM"),"")&amp;" "&amp;Checks!$P$127</f>
        <v>Required
10-Oct-26 23:30 KUL</v>
      </c>
      <c r="D63" s="113" t="str">
        <f aca="false">IF(Checks!$U$127="","",Checks!$U$127)&amp;IF(Checks!$AB$127="","",CHAR(10)&amp;"CA: "&amp;Checks!$AB$127)</f>
        <v/>
      </c>
      <c r="E63" s="113" t="str">
        <f aca="false">IF(Checks!$V$127="","",Checks!$V$127)&amp;IF(Checks!$AC$127="","",IF(Checks!$V$127="","",CHAR(10))&amp;"N/A just.: "&amp;Checks!$AC$127)&amp;IF(Checks!$W$127="","",CHAR(10)&amp;"Batch: "&amp;Checks!$W$127)&amp;IF(AND(Checks!$X$127="",Checks!$Y$127=""),"",CHAR(10)&amp;"Exp: "&amp;Checks!$X$127&amp;"  /  Act: "&amp;Checks!$Y$127)</f>
        <v/>
      </c>
      <c r="F63" s="113" t="str">
        <f aca="false">IF(Checks!$Z$127="","","Evidence: "&amp;Checks!$Z$127)&amp;IF(Checks!$AA$127="","",IF(Checks!$Z$127="","",CHAR(10))&amp;"CA: "&amp;Checks!$AA$127)</f>
        <v/>
      </c>
      <c r="G63" s="113" t="str">
        <f aca="false">IF(ISNUMBER(Checks!$AD$127),TEXT(Checks!$AD$127,"DD-MMM-YY HH:MM")&amp;" "&amp;Checks!$P$127,"")&amp;IF(Checks!$AE$127="","",CHAR(10)&amp;"Verifier: "&amp;Checks!$AE$127)&amp;IF(Checks!$T$127="","",CHAR(10)&amp;"PIC: "&amp;Checks!$T$127)</f>
        <v/>
      </c>
      <c r="H63" s="114" t="str">
        <f aca="false">IF(Checks!$AH$127="","",Checks!$AH$127)</f>
        <v>OPEN</v>
      </c>
    </row>
    <row r="64" customFormat="false" ht="114" hidden="false" customHeight="true" outlineLevel="0" collapsed="false">
      <c r="A64" s="113" t="str">
        <f aca="false">Checks!$A$128&amp;CHAR(10)&amp;IF(Checks!$I$128="","",Checks!$I$128&amp;": ")&amp;Checks!$J$128</f>
        <v>F04-UPL-08
F&amp;B Linen: Table cloth - on board</v>
      </c>
      <c r="B64" s="113" t="str">
        <f aca="false">Checks!$K$128&amp;IF(Checks!$O$128="","",IF(Checks!$K$128="","",CHAR(10))&amp;"Note: "&amp;Checks!$O$128)</f>
        <v>Available (ticked in reference)</v>
      </c>
      <c r="C64" s="113" t="str">
        <f aca="false">Checks!$N$128&amp;CHAR(10)&amp;IF(ISNUMBER(Checks!$R$128),TEXT(Checks!$R$128,"DD-MMM-YY HH:MM"),"")&amp;" "&amp;Checks!$P$128</f>
        <v>Required
10-Oct-26 23:30 KUL</v>
      </c>
      <c r="D64" s="113" t="str">
        <f aca="false">IF(Checks!$U$128="","",Checks!$U$128)&amp;IF(Checks!$AB$128="","",CHAR(10)&amp;"CA: "&amp;Checks!$AB$128)</f>
        <v/>
      </c>
      <c r="E64" s="113" t="str">
        <f aca="false">IF(Checks!$V$128="","",Checks!$V$128)&amp;IF(Checks!$AC$128="","",IF(Checks!$V$128="","",CHAR(10))&amp;"N/A just.: "&amp;Checks!$AC$128)&amp;IF(Checks!$W$128="","",CHAR(10)&amp;"Batch: "&amp;Checks!$W$128)&amp;IF(AND(Checks!$X$128="",Checks!$Y$128=""),"",CHAR(10)&amp;"Exp: "&amp;Checks!$X$128&amp;"  /  Act: "&amp;Checks!$Y$128)</f>
        <v/>
      </c>
      <c r="F64" s="113" t="str">
        <f aca="false">IF(Checks!$Z$128="","","Evidence: "&amp;Checks!$Z$128)&amp;IF(Checks!$AA$128="","",IF(Checks!$Z$128="","",CHAR(10))&amp;"CA: "&amp;Checks!$AA$128)</f>
        <v/>
      </c>
      <c r="G64" s="113" t="str">
        <f aca="false">IF(ISNUMBER(Checks!$AD$128),TEXT(Checks!$AD$128,"DD-MMM-YY HH:MM")&amp;" "&amp;Checks!$P$128,"")&amp;IF(Checks!$AE$128="","",CHAR(10)&amp;"Verifier: "&amp;Checks!$AE$128)&amp;IF(Checks!$T$128="","",CHAR(10)&amp;"PIC: "&amp;Checks!$T$128)</f>
        <v/>
      </c>
      <c r="H64" s="114" t="str">
        <f aca="false">IF(Checks!$AH$128="","",Checks!$AH$128)</f>
        <v>OPEN</v>
      </c>
    </row>
    <row r="65" customFormat="false" ht="114" hidden="false" customHeight="true" outlineLevel="0" collapsed="false">
      <c r="A65" s="113" t="str">
        <f aca="false">Checks!$A$129&amp;CHAR(10)&amp;IF(Checks!$I$129="","",Checks!$I$129&amp;": ")&amp;Checks!$J$129</f>
        <v>F04-UPL-09
F&amp;B Linen: Bread linen (using table cloth) - on board</v>
      </c>
      <c r="B65" s="113" t="str">
        <f aca="false">Checks!$K$129&amp;IF(Checks!$O$129="","",IF(Checks!$K$129="","",CHAR(10))&amp;"Note: "&amp;Checks!$O$129)</f>
        <v>Available (ticked in reference)</v>
      </c>
      <c r="C65" s="113" t="str">
        <f aca="false">Checks!$N$129&amp;CHAR(10)&amp;IF(ISNUMBER(Checks!$R$129),TEXT(Checks!$R$129,"DD-MMM-YY HH:MM"),"")&amp;" "&amp;Checks!$P$129</f>
        <v>Required
10-Oct-26 23:30 KUL</v>
      </c>
      <c r="D65" s="113" t="str">
        <f aca="false">IF(Checks!$U$129="","",Checks!$U$129)&amp;IF(Checks!$AB$129="","",CHAR(10)&amp;"CA: "&amp;Checks!$AB$129)</f>
        <v/>
      </c>
      <c r="E65" s="113" t="str">
        <f aca="false">IF(Checks!$V$129="","",Checks!$V$129)&amp;IF(Checks!$AC$129="","",IF(Checks!$V$129="","",CHAR(10))&amp;"N/A just.: "&amp;Checks!$AC$129)&amp;IF(Checks!$W$129="","",CHAR(10)&amp;"Batch: "&amp;Checks!$W$129)&amp;IF(AND(Checks!$X$129="",Checks!$Y$129=""),"",CHAR(10)&amp;"Exp: "&amp;Checks!$X$129&amp;"  /  Act: "&amp;Checks!$Y$129)</f>
        <v/>
      </c>
      <c r="F65" s="113" t="str">
        <f aca="false">IF(Checks!$Z$129="","","Evidence: "&amp;Checks!$Z$129)&amp;IF(Checks!$AA$129="","",IF(Checks!$Z$129="","",CHAR(10))&amp;"CA: "&amp;Checks!$AA$129)</f>
        <v/>
      </c>
      <c r="G65" s="113" t="str">
        <f aca="false">IF(ISNUMBER(Checks!$AD$129),TEXT(Checks!$AD$129,"DD-MMM-YY HH:MM")&amp;" "&amp;Checks!$P$129,"")&amp;IF(Checks!$AE$129="","",CHAR(10)&amp;"Verifier: "&amp;Checks!$AE$129)&amp;IF(Checks!$T$129="","",CHAR(10)&amp;"PIC: "&amp;Checks!$T$129)</f>
        <v/>
      </c>
      <c r="H65" s="114" t="str">
        <f aca="false">IF(Checks!$AH$129="","",Checks!$AH$129)</f>
        <v>OPEN</v>
      </c>
    </row>
    <row r="66" customFormat="false" ht="114" hidden="false" customHeight="true" outlineLevel="0" collapsed="false">
      <c r="A66" s="113" t="str">
        <f aca="false">Checks!$A$130&amp;CHAR(10)&amp;IF(Checks!$I$130="","",Checks!$I$130&amp;": ")&amp;Checks!$J$130</f>
        <v>F04-UPL-10
F&amp;B Linen: Trolley cloth - on board</v>
      </c>
      <c r="B66" s="113" t="str">
        <f aca="false">SUBSTITUTE(Checks!$K$130&amp;IF(Checks!$O$130="","",IF(Checks!$K$130="","",CHAR(10))&amp;"Note: "&amp;Checks!$O$130),"F&amp;B LINEN!","Ref: F&amp;B LINEN!")</f>
        <v>Wide body: Top/Middle &amp; Bottom
Note: Per note Ref: F&amp;B LINEN!B79:C80.</v>
      </c>
      <c r="C66" s="113" t="str">
        <f aca="false">Checks!$N$130&amp;CHAR(10)&amp;IF(ISNUMBER(Checks!$R$130),TEXT(Checks!$R$130,"DD-MMM-YY HH:MM"),"")&amp;" "&amp;Checks!$P$130</f>
        <v>Required
10-Oct-26 23:30 KUL</v>
      </c>
      <c r="D66" s="113" t="str">
        <f aca="false">IF(Checks!$U$130="","",Checks!$U$130)&amp;IF(Checks!$AB$130="","",CHAR(10)&amp;"CA: "&amp;Checks!$AB$130)</f>
        <v/>
      </c>
      <c r="E66" s="113" t="str">
        <f aca="false">IF(Checks!$V$130="","",Checks!$V$130)&amp;IF(Checks!$AC$130="","",IF(Checks!$V$130="","",CHAR(10))&amp;"N/A just.: "&amp;Checks!$AC$130)&amp;IF(Checks!$W$130="","",CHAR(10)&amp;"Batch: "&amp;Checks!$W$130)&amp;IF(AND(Checks!$X$130="",Checks!$Y$130=""),"",CHAR(10)&amp;"Exp: "&amp;Checks!$X$130&amp;"  /  Act: "&amp;Checks!$Y$130)</f>
        <v/>
      </c>
      <c r="F66" s="113" t="str">
        <f aca="false">IF(Checks!$Z$130="","","Evidence: "&amp;Checks!$Z$130)&amp;IF(Checks!$AA$130="","",IF(Checks!$Z$130="","",CHAR(10))&amp;"CA: "&amp;Checks!$AA$130)</f>
        <v/>
      </c>
      <c r="G66" s="113" t="str">
        <f aca="false">IF(ISNUMBER(Checks!$AD$130),TEXT(Checks!$AD$130,"DD-MMM-YY HH:MM")&amp;" "&amp;Checks!$P$130,"")&amp;IF(Checks!$AE$130="","",CHAR(10)&amp;"Verifier: "&amp;Checks!$AE$130)&amp;IF(Checks!$T$130="","",CHAR(10)&amp;"PIC: "&amp;Checks!$T$130)</f>
        <v/>
      </c>
      <c r="H66" s="114" t="str">
        <f aca="false">IF(Checks!$AH$130="","",Checks!$AH$130)</f>
        <v>OPEN</v>
      </c>
    </row>
    <row r="67" customFormat="false" ht="114" hidden="false" customHeight="true" outlineLevel="0" collapsed="false">
      <c r="A67" s="113" t="str">
        <f aca="false">Checks!$A$131&amp;CHAR(10)&amp;IF(Checks!$I$131="","",Checks!$I$131&amp;": ")&amp;Checks!$J$131</f>
        <v>F04-UPL-11
F&amp;B Linen: Linen bag - on board</v>
      </c>
      <c r="B67" s="113" t="str">
        <f aca="false">Checks!$K$131&amp;IF(Checks!$O$131="","",IF(Checks!$K$131="","",CHAR(10))&amp;"Note: "&amp;Checks!$O$131)</f>
        <v>Available (ticked in reference)</v>
      </c>
      <c r="C67" s="113" t="str">
        <f aca="false">Checks!$N$131&amp;CHAR(10)&amp;IF(ISNUMBER(Checks!$R$131),TEXT(Checks!$R$131,"DD-MMM-YY HH:MM"),"")&amp;" "&amp;Checks!$P$131</f>
        <v>Required
10-Oct-26 23:30 KUL</v>
      </c>
      <c r="D67" s="113" t="str">
        <f aca="false">IF(Checks!$U$131="","",Checks!$U$131)&amp;IF(Checks!$AB$131="","",CHAR(10)&amp;"CA: "&amp;Checks!$AB$131)</f>
        <v/>
      </c>
      <c r="E67" s="113" t="str">
        <f aca="false">IF(Checks!$V$131="","",Checks!$V$131)&amp;IF(Checks!$AC$131="","",IF(Checks!$V$131="","",CHAR(10))&amp;"N/A just.: "&amp;Checks!$AC$131)&amp;IF(Checks!$W$131="","",CHAR(10)&amp;"Batch: "&amp;Checks!$W$131)&amp;IF(AND(Checks!$X$131="",Checks!$Y$131=""),"",CHAR(10)&amp;"Exp: "&amp;Checks!$X$131&amp;"  /  Act: "&amp;Checks!$Y$131)</f>
        <v/>
      </c>
      <c r="F67" s="113" t="str">
        <f aca="false">IF(Checks!$Z$131="","","Evidence: "&amp;Checks!$Z$131)&amp;IF(Checks!$AA$131="","",IF(Checks!$Z$131="","",CHAR(10))&amp;"CA: "&amp;Checks!$AA$131)</f>
        <v/>
      </c>
      <c r="G67" s="113" t="str">
        <f aca="false">IF(ISNUMBER(Checks!$AD$131),TEXT(Checks!$AD$131,"DD-MMM-YY HH:MM")&amp;" "&amp;Checks!$P$131,"")&amp;IF(Checks!$AE$131="","",CHAR(10)&amp;"Verifier: "&amp;Checks!$AE$131)&amp;IF(Checks!$T$131="","",CHAR(10)&amp;"PIC: "&amp;Checks!$T$131)</f>
        <v/>
      </c>
      <c r="H67" s="114" t="str">
        <f aca="false">IF(Checks!$AH$131="","",Checks!$AH$131)</f>
        <v>OPEN</v>
      </c>
    </row>
    <row r="68" customFormat="false" ht="114" hidden="false" customHeight="true" outlineLevel="0" collapsed="false">
      <c r="A68" s="113" t="str">
        <f aca="false">Checks!$A$132&amp;CHAR(10)&amp;IF(Checks!$I$132="","",Checks!$I$132&amp;": ")&amp;Checks!$J$132</f>
        <v>F04-UPL-12
Seat Linen: Seat pillow (BS &amp; BC) - on board</v>
      </c>
      <c r="B68" s="113" t="str">
        <f aca="false">Checks!$K$132&amp;IF(Checks!$O$132="","",IF(Checks!$K$132="","",CHAR(10))&amp;"Note: "&amp;Checks!$O$132)</f>
        <v>Available 100% (ticked in reference)</v>
      </c>
      <c r="C68" s="113" t="str">
        <f aca="false">Checks!$N$132&amp;CHAR(10)&amp;IF(ISNUMBER(Checks!$R$132),TEXT(Checks!$R$132,"DD-MMM-YY HH:MM"),"")&amp;" "&amp;Checks!$P$132</f>
        <v>Required
10-Oct-26 23:30 KUL</v>
      </c>
      <c r="D68" s="113" t="str">
        <f aca="false">IF(Checks!$U$132="","",Checks!$U$132)&amp;IF(Checks!$AB$132="","",CHAR(10)&amp;"CA: "&amp;Checks!$AB$132)</f>
        <v/>
      </c>
      <c r="E68" s="113" t="str">
        <f aca="false">IF(Checks!$V$132="","",Checks!$V$132)&amp;IF(Checks!$AC$132="","",IF(Checks!$V$132="","",CHAR(10))&amp;"N/A just.: "&amp;Checks!$AC$132)&amp;IF(Checks!$W$132="","",CHAR(10)&amp;"Batch: "&amp;Checks!$W$132)&amp;IF(AND(Checks!$X$132="",Checks!$Y$132=""),"",CHAR(10)&amp;"Exp: "&amp;Checks!$X$132&amp;"  /  Act: "&amp;Checks!$Y$132)</f>
        <v/>
      </c>
      <c r="F68" s="113" t="str">
        <f aca="false">IF(Checks!$Z$132="","","Evidence: "&amp;Checks!$Z$132)&amp;IF(Checks!$AA$132="","",IF(Checks!$Z$132="","",CHAR(10))&amp;"CA: "&amp;Checks!$AA$132)</f>
        <v/>
      </c>
      <c r="G68" s="113" t="str">
        <f aca="false">IF(ISNUMBER(Checks!$AD$132),TEXT(Checks!$AD$132,"DD-MMM-YY HH:MM")&amp;" "&amp;Checks!$P$132,"")&amp;IF(Checks!$AE$132="","",CHAR(10)&amp;"Verifier: "&amp;Checks!$AE$132)&amp;IF(Checks!$T$132="","",CHAR(10)&amp;"PIC: "&amp;Checks!$T$132)</f>
        <v/>
      </c>
      <c r="H68" s="114" t="str">
        <f aca="false">IF(Checks!$AH$132="","",Checks!$AH$132)</f>
        <v>OPEN</v>
      </c>
    </row>
    <row r="69" customFormat="false" ht="114" hidden="false" customHeight="true" outlineLevel="0" collapsed="false">
      <c r="A69" s="113" t="str">
        <f aca="false">Checks!$A$133&amp;CHAR(10)&amp;IF(Checks!$I$133="","",Checks!$I$133&amp;": ")&amp;Checks!$J$133</f>
        <v>F04-UPL-13
Seat Linen: Duvet (BS &amp; BC) - on board</v>
      </c>
      <c r="B69" s="113" t="str">
        <f aca="false">Checks!$K$133&amp;IF(Checks!$O$133="","",IF(Checks!$K$133="","",CHAR(10))&amp;"Note: "&amp;Checks!$O$133)</f>
        <v>Available 100% (ticked in reference)</v>
      </c>
      <c r="C69" s="113" t="str">
        <f aca="false">Checks!$N$133&amp;CHAR(10)&amp;IF(ISNUMBER(Checks!$R$133),TEXT(Checks!$R$133,"DD-MMM-YY HH:MM"),"")&amp;" "&amp;Checks!$P$133</f>
        <v>Required
10-Oct-26 23:30 KUL</v>
      </c>
      <c r="D69" s="113" t="str">
        <f aca="false">IF(Checks!$U$133="","",Checks!$U$133)&amp;IF(Checks!$AB$133="","",CHAR(10)&amp;"CA: "&amp;Checks!$AB$133)</f>
        <v/>
      </c>
      <c r="E69" s="113" t="str">
        <f aca="false">IF(Checks!$V$133="","",Checks!$V$133)&amp;IF(Checks!$AC$133="","",IF(Checks!$V$133="","",CHAR(10))&amp;"N/A just.: "&amp;Checks!$AC$133)&amp;IF(Checks!$W$133="","",CHAR(10)&amp;"Batch: "&amp;Checks!$W$133)&amp;IF(AND(Checks!$X$133="",Checks!$Y$133=""),"",CHAR(10)&amp;"Exp: "&amp;Checks!$X$133&amp;"  /  Act: "&amp;Checks!$Y$133)</f>
        <v/>
      </c>
      <c r="F69" s="113" t="str">
        <f aca="false">IF(Checks!$Z$133="","","Evidence: "&amp;Checks!$Z$133)&amp;IF(Checks!$AA$133="","",IF(Checks!$Z$133="","",CHAR(10))&amp;"CA: "&amp;Checks!$AA$133)</f>
        <v/>
      </c>
      <c r="G69" s="113" t="str">
        <f aca="false">IF(ISNUMBER(Checks!$AD$133),TEXT(Checks!$AD$133,"DD-MMM-YY HH:MM")&amp;" "&amp;Checks!$P$133,"")&amp;IF(Checks!$AE$133="","",CHAR(10)&amp;"Verifier: "&amp;Checks!$AE$133)&amp;IF(Checks!$T$133="","",CHAR(10)&amp;"PIC: "&amp;Checks!$T$133)</f>
        <v/>
      </c>
      <c r="H69" s="114" t="str">
        <f aca="false">IF(Checks!$AH$133="","",Checks!$AH$133)</f>
        <v>OPEN</v>
      </c>
    </row>
    <row r="70" customFormat="false" ht="114" hidden="false" customHeight="true" outlineLevel="0" collapsed="false">
      <c r="A70" s="113" t="str">
        <f aca="false">Checks!$A$134&amp;CHAR(10)&amp;IF(Checks!$I$134="","",Checks!$I$134&amp;": ")&amp;Checks!$J$134</f>
        <v>F04-UPL-14
Seat Linen: Mattress (BS &amp; BC) - on board</v>
      </c>
      <c r="B70" s="113" t="str">
        <f aca="false">Checks!$K$134&amp;IF(Checks!$O$134="","",IF(Checks!$K$134="","",CHAR(10))&amp;"Note: "&amp;Checks!$O$134)</f>
        <v>Available 100% (ticked in reference)</v>
      </c>
      <c r="C70" s="113" t="str">
        <f aca="false">Checks!$N$134&amp;CHAR(10)&amp;IF(ISNUMBER(Checks!$R$134),TEXT(Checks!$R$134,"DD-MMM-YY HH:MM"),"")&amp;" "&amp;Checks!$P$134</f>
        <v>Required
10-Oct-26 23:30 KUL</v>
      </c>
      <c r="D70" s="113" t="str">
        <f aca="false">IF(Checks!$U$134="","",Checks!$U$134)&amp;IF(Checks!$AB$134="","",CHAR(10)&amp;"CA: "&amp;Checks!$AB$134)</f>
        <v/>
      </c>
      <c r="E70" s="113" t="str">
        <f aca="false">IF(Checks!$V$134="","",Checks!$V$134)&amp;IF(Checks!$AC$134="","",IF(Checks!$V$134="","",CHAR(10))&amp;"N/A just.: "&amp;Checks!$AC$134)&amp;IF(Checks!$W$134="","",CHAR(10)&amp;"Batch: "&amp;Checks!$W$134)&amp;IF(AND(Checks!$X$134="",Checks!$Y$134=""),"",CHAR(10)&amp;"Exp: "&amp;Checks!$X$134&amp;"  /  Act: "&amp;Checks!$Y$134)</f>
        <v/>
      </c>
      <c r="F70" s="113" t="str">
        <f aca="false">IF(Checks!$Z$134="","","Evidence: "&amp;Checks!$Z$134)&amp;IF(Checks!$AA$134="","",IF(Checks!$Z$134="","",CHAR(10))&amp;"CA: "&amp;Checks!$AA$134)</f>
        <v/>
      </c>
      <c r="G70" s="113" t="str">
        <f aca="false">IF(ISNUMBER(Checks!$AD$134),TEXT(Checks!$AD$134,"DD-MMM-YY HH:MM")&amp;" "&amp;Checks!$P$134,"")&amp;IF(Checks!$AE$134="","",CHAR(10)&amp;"Verifier: "&amp;Checks!$AE$134)&amp;IF(Checks!$T$134="","",CHAR(10)&amp;"PIC: "&amp;Checks!$T$134)</f>
        <v/>
      </c>
      <c r="H70" s="114" t="str">
        <f aca="false">IF(Checks!$AH$134="","",Checks!$AH$134)</f>
        <v>OPEN</v>
      </c>
    </row>
    <row r="71" customFormat="false" ht="114" hidden="false" customHeight="true" outlineLevel="0" collapsed="false">
      <c r="A71" s="113" t="str">
        <f aca="false">Checks!$A$135&amp;CHAR(10)&amp;IF(Checks!$I$135="","",Checks!$I$135&amp;": ")&amp;Checks!$J$135</f>
        <v>F04-UPL-15
Signature Drinks: Signature drink &amp; garnish (BC) - on board</v>
      </c>
      <c r="B71" s="113" t="str">
        <f aca="false">Checks!$K$135&amp;IF(Checks!$O$135="","",IF(Checks!$K$135="","",CHAR(10))&amp;"Note: "&amp;Checks!$O$135)</f>
        <v>Available (ticked in reference)
Note: Signature drinks &amp; garnish uplifted from KUL (note D79).</v>
      </c>
      <c r="C71" s="113" t="str">
        <f aca="false">Checks!$N$135&amp;CHAR(10)&amp;IF(ISNUMBER(Checks!$R$135),TEXT(Checks!$R$135,"DD-MMM-YY HH:MM"),"")&amp;" "&amp;Checks!$P$135</f>
        <v>Required
10-Oct-26 23:30 KUL</v>
      </c>
      <c r="D71" s="113" t="str">
        <f aca="false">IF(Checks!$U$135="","",Checks!$U$135)&amp;IF(Checks!$AB$135="","",CHAR(10)&amp;"CA: "&amp;Checks!$AB$135)</f>
        <v/>
      </c>
      <c r="E71" s="113" t="str">
        <f aca="false">IF(Checks!$V$135="","",Checks!$V$135)&amp;IF(Checks!$AC$135="","",IF(Checks!$V$135="","",CHAR(10))&amp;"N/A just.: "&amp;Checks!$AC$135)&amp;IF(Checks!$W$135="","",CHAR(10)&amp;"Batch: "&amp;Checks!$W$135)&amp;IF(AND(Checks!$X$135="",Checks!$Y$135=""),"",CHAR(10)&amp;"Exp: "&amp;Checks!$X$135&amp;"  /  Act: "&amp;Checks!$Y$135)</f>
        <v/>
      </c>
      <c r="F71" s="113" t="str">
        <f aca="false">IF(Checks!$Z$135="","","Evidence: "&amp;Checks!$Z$135)&amp;IF(Checks!$AA$135="","",IF(Checks!$Z$135="","",CHAR(10))&amp;"CA: "&amp;Checks!$AA$135)</f>
        <v/>
      </c>
      <c r="G71" s="113" t="str">
        <f aca="false">IF(ISNUMBER(Checks!$AD$135),TEXT(Checks!$AD$135,"DD-MMM-YY HH:MM")&amp;" "&amp;Checks!$P$135,"")&amp;IF(Checks!$AE$135="","",CHAR(10)&amp;"Verifier: "&amp;Checks!$AE$135)&amp;IF(Checks!$T$135="","",CHAR(10)&amp;"PIC: "&amp;Checks!$T$135)</f>
        <v/>
      </c>
      <c r="H71" s="114" t="str">
        <f aca="false">IF(Checks!$AH$135="","",Checks!$AH$135)</f>
        <v>OPEN</v>
      </c>
    </row>
    <row r="72" customFormat="false" ht="114" hidden="false" customHeight="true" outlineLevel="0" collapsed="false">
      <c r="A72" s="113" t="str">
        <f aca="false">Checks!$A$136&amp;CHAR(10)&amp;IF(Checks!$I$136="","",Checks!$I$136&amp;": ")&amp;Checks!$J$136</f>
        <v>F04-UPL-16
Sales Cart: Sales cart (caterer PASB) - on board</v>
      </c>
      <c r="B72" s="113" t="str">
        <f aca="false">Checks!$K$136&amp;IF(Checks!$O$136="","",IF(Checks!$K$136="","",CHAR(10))&amp;"Note: "&amp;Checks!$O$136)</f>
        <v>A359: 5R41A &amp; 5R42A (not applicable for LHR) (full cart); 9M-MAH: G4F13A (half cart) - per tail
Note: Block 7.17 h &gt;= 4 h. Location depends on tail.</v>
      </c>
      <c r="C72" s="113" t="str">
        <f aca="false">Checks!$N$136&amp;CHAR(10)&amp;IF(ISNUMBER(Checks!$R$136),TEXT(Checks!$R$136,"DD-MMM-YY HH:MM"),"")&amp;" "&amp;Checks!$P$136</f>
        <v>Required
10-Oct-26 23:30 KUL</v>
      </c>
      <c r="D72" s="113" t="str">
        <f aca="false">IF(Checks!$U$136="","",Checks!$U$136)&amp;IF(Checks!$AB$136="","",CHAR(10)&amp;"CA: "&amp;Checks!$AB$136)</f>
        <v/>
      </c>
      <c r="E72" s="113" t="str">
        <f aca="false">IF(Checks!$V$136="","",Checks!$V$136)&amp;IF(Checks!$AC$136="","",IF(Checks!$V$136="","",CHAR(10))&amp;"N/A just.: "&amp;Checks!$AC$136)&amp;IF(Checks!$W$136="","",CHAR(10)&amp;"Batch: "&amp;Checks!$W$136)&amp;IF(AND(Checks!$X$136="",Checks!$Y$136=""),"",CHAR(10)&amp;"Exp: "&amp;Checks!$X$136&amp;"  /  Act: "&amp;Checks!$Y$136)</f>
        <v/>
      </c>
      <c r="F72" s="113" t="str">
        <f aca="false">IF(Checks!$Z$136="","","Evidence: "&amp;Checks!$Z$136)&amp;IF(Checks!$AA$136="","",IF(Checks!$Z$136="","",CHAR(10))&amp;"CA: "&amp;Checks!$AA$136)</f>
        <v/>
      </c>
      <c r="G72" s="113" t="str">
        <f aca="false">IF(ISNUMBER(Checks!$AD$136),TEXT(Checks!$AD$136,"DD-MMM-YY HH:MM")&amp;" "&amp;Checks!$P$136,"")&amp;IF(Checks!$AE$136="","",CHAR(10)&amp;"Verifier: "&amp;Checks!$AE$136)&amp;IF(Checks!$T$136="","",CHAR(10)&amp;"PIC: "&amp;Checks!$T$136)</f>
        <v/>
      </c>
      <c r="H72" s="114" t="str">
        <f aca="false">IF(Checks!$AH$136="","",Checks!$AH$136)</f>
        <v>OPEN</v>
      </c>
    </row>
    <row r="74" customFormat="false" ht="24" hidden="false" customHeight="true" outlineLevel="0" collapsed="false">
      <c r="A74" s="115" t="s">
        <v>1650</v>
      </c>
      <c r="B74" s="115"/>
      <c r="C74" s="115"/>
      <c r="D74" s="115"/>
      <c r="E74" s="115" t="s">
        <v>1651</v>
      </c>
      <c r="F74" s="115"/>
      <c r="G74" s="115"/>
      <c r="H74" s="115"/>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F05  "&amp;Flights!$F$9&amp;"  "&amp;TEXT(Flights!$D$9,"DD-MMM-YY")&amp;" ("&amp;Flights!$E$9&amp;")  "&amp;Flights!$G$9&amp;" → "&amp;Flights!$H$9&amp;"  |  Class "&amp;Flights!$K$9</f>
        <v>SKYTRAX 2026 CATERING READINESS CHECKLIST  |  F05  MH0089  15-Oct-26 (THU)  NRT → KUL  |  Class EY</v>
      </c>
      <c r="B1" s="91"/>
      <c r="C1" s="91"/>
      <c r="D1" s="91"/>
      <c r="E1" s="91"/>
      <c r="F1" s="91"/>
      <c r="G1" s="91"/>
      <c r="H1" s="91"/>
    </row>
    <row r="2" customFormat="false" ht="12.75" hidden="false" customHeight="true" outlineLevel="0" collapsed="false">
      <c r="A2" s="92" t="s">
        <v>1605</v>
      </c>
      <c r="B2" s="93" t="str">
        <f aca="false">Flights!$F$9&amp;"   "&amp;TEXT(Flights!$D$9,"DD-MMM-YY")&amp;" ("&amp;Flights!$E$9&amp;")"</f>
        <v>MH0089   15-Oct-26 (THU)</v>
      </c>
      <c r="C2" s="93"/>
      <c r="D2" s="93"/>
      <c r="E2" s="94" t="s">
        <v>1606</v>
      </c>
      <c r="F2" s="95" t="str">
        <f aca="false">Flights!$AT$9</f>
        <v>NOT READY – DOCUMENTS</v>
      </c>
      <c r="G2" s="95"/>
      <c r="H2" s="95"/>
    </row>
    <row r="3" customFormat="false" ht="24" hidden="false" customHeight="true" outlineLevel="0" collapsed="false">
      <c r="A3" s="92" t="s">
        <v>1607</v>
      </c>
      <c r="B3" s="93" t="str">
        <f aca="false">Flights!$G$9&amp;" → "&amp;Flights!$H$9&amp;"   Class "&amp;Flights!$K$9&amp;"   Seat "&amp;Flights!$O$9</f>
        <v>NRT → KUL   Class EY   Seat 9K</v>
      </c>
      <c r="C3" s="93"/>
      <c r="D3" s="93"/>
      <c r="E3" s="94" t="s">
        <v>68</v>
      </c>
      <c r="F3" s="94" t="s">
        <v>1608</v>
      </c>
      <c r="G3" s="94" t="s">
        <v>1609</v>
      </c>
      <c r="H3" s="94"/>
    </row>
    <row r="4" customFormat="false" ht="24" hidden="false" customHeight="true" outlineLevel="0" collapsed="false">
      <c r="A4" s="92" t="s">
        <v>1610</v>
      </c>
      <c r="B4" s="93" t="str">
        <f aca="false">IF(ISNUMBER(Flights!$I$9),TEXT(Flights!$I$9,"DD-MMM-YY HH:MM"),"")&amp;" "&amp;Flights!$G$9&amp;"  →  "&amp;IF(ISNUMBER(Flights!$J$9),TEXT(Flights!$J$9,"DD-MMM-YY HH:MM"),"")&amp;" "&amp;Flights!$H$9</f>
        <v>15-Oct-26 10:05 NRT  →  15-Oct-26 16:45 KUL</v>
      </c>
      <c r="C4" s="93"/>
      <c r="D4" s="93"/>
      <c r="E4" s="92" t="s">
        <v>1611</v>
      </c>
      <c r="F4" s="96" t="str">
        <f aca="false">IF(ISNUMBER(Flights!$AG$9),TEXT(Flights!$AG$9,"DD-MMM-YY HH:MM"),"")&amp;" "&amp;Flights!$V$9</f>
        <v>08-Oct-26 10:05 NRT</v>
      </c>
      <c r="G4" s="97" t="n">
        <f aca="false">Flights!$AJ$9</f>
        <v>0</v>
      </c>
      <c r="H4" s="97"/>
    </row>
    <row r="5" customFormat="false" ht="24" hidden="false" customHeight="true" outlineLevel="0" collapsed="false">
      <c r="A5" s="92" t="s">
        <v>1612</v>
      </c>
      <c r="B5" s="93" t="str">
        <f aca="false">Flights!$L$9&amp;" – "&amp;Flights!$M$9</f>
        <v>A350 – A350-900: A359 (9M-MAB..MAG, row 6) or A350 9M-MAH (row 7) - tail to confirm</v>
      </c>
      <c r="C5" s="93"/>
      <c r="D5" s="93"/>
      <c r="E5" s="92" t="s">
        <v>1613</v>
      </c>
      <c r="F5" s="96" t="str">
        <f aca="false">IF(ISNUMBER(Flights!$AH$9),TEXT(Flights!$AH$9,"DD-MMM-YY HH:MM"),"")&amp;" "&amp;Flights!$V$9</f>
        <v>14-Oct-26 10:05 NRT</v>
      </c>
      <c r="G5" s="97" t="n">
        <f aca="false">Flights!$AK$9</f>
        <v>0</v>
      </c>
      <c r="H5" s="97"/>
    </row>
    <row r="6" customFormat="false" ht="24" hidden="false" customHeight="true" outlineLevel="0" collapsed="false">
      <c r="A6" s="92" t="s">
        <v>1614</v>
      </c>
      <c r="B6" s="93" t="str">
        <f aca="false">IF(TRIM(Flights!$N$9)="","__________________",Flights!$N$9)</f>
        <v>__________________</v>
      </c>
      <c r="C6" s="93"/>
      <c r="D6" s="93"/>
      <c r="E6" s="92" t="s">
        <v>1615</v>
      </c>
      <c r="F6" s="96" t="str">
        <f aca="false">IF(ISNUMBER(Flights!$AI$9),TEXT(Flights!$AI$9,"DD-MMM-YY HH:MM"),"")&amp;" "&amp;Flights!$V$9&amp;IF(Flights!$AI$9=Flights!$AH$9,"  (= T-24H due)","")</f>
        <v>14-Oct-26 22:05 NRT</v>
      </c>
      <c r="G6" s="97" t="n">
        <f aca="false">Flights!$AL$9</f>
        <v>0</v>
      </c>
      <c r="H6" s="97"/>
    </row>
    <row r="7" customFormat="false" ht="24" hidden="false" customHeight="true" outlineLevel="0" collapsed="false">
      <c r="A7" s="92" t="s">
        <v>1616</v>
      </c>
      <c r="B7" s="93" t="str">
        <f aca="false">Flights!$T$9</f>
        <v>1.5 Meal (Meal)</v>
      </c>
      <c r="C7" s="93"/>
      <c r="D7" s="93"/>
      <c r="E7" s="92" t="s">
        <v>1617</v>
      </c>
      <c r="F7" s="96" t="str">
        <f aca="false">"STD "&amp;IF(ISNUMBER(Flights!$I$9),TEXT(Flights!$I$9,"DD-MMM-YY HH:MM"),"")&amp;" "&amp;Flights!$G$9&amp;" (dep stn)"</f>
        <v>STD 15-Oct-26 10:05 NRT (dep stn)</v>
      </c>
      <c r="G7" s="97" t="n">
        <f aca="false">Flights!$AM$9</f>
        <v>0</v>
      </c>
      <c r="H7" s="97"/>
    </row>
    <row r="8" customFormat="false" ht="12.75" hidden="false" customHeight="true" outlineLevel="0" collapsed="false">
      <c r="A8" s="92" t="s">
        <v>150</v>
      </c>
      <c r="B8" s="93" t="str">
        <f aca="false">Flights!$V$9&amp;"   (reference uplift stns: "&amp;Flights!$U$9&amp;")"</f>
        <v>NRT   (reference uplift stns: KUL/NRT)</v>
      </c>
      <c r="C8" s="93"/>
      <c r="D8" s="93"/>
      <c r="E8" s="92" t="s">
        <v>1618</v>
      </c>
      <c r="F8" s="98" t="s">
        <v>1619</v>
      </c>
      <c r="G8" s="97" t="n">
        <f aca="false">Flights!$AN$9</f>
        <v>0</v>
      </c>
      <c r="H8" s="97"/>
    </row>
    <row r="9" customFormat="false" ht="12.75" hidden="false" customHeight="true" outlineLevel="0" collapsed="false">
      <c r="A9" s="92" t="s">
        <v>1620</v>
      </c>
      <c r="B9" s="93" t="str">
        <f aca="false">TRIM(Flights!$P$9&amp;"  "&amp;Flights!$Q$9)</f>
        <v>-</v>
      </c>
      <c r="C9" s="93"/>
      <c r="D9" s="93"/>
      <c r="E9" s="92" t="s">
        <v>1621</v>
      </c>
      <c r="F9" s="99" t="n">
        <f aca="false">Flights!$AP$9</f>
        <v>0</v>
      </c>
      <c r="G9" s="99" t="n">
        <f aca="false">Flights!$AQ$9</f>
        <v>0</v>
      </c>
      <c r="H9" s="99" t="n">
        <f aca="false">Flights!$AU$9</f>
        <v>0</v>
      </c>
    </row>
    <row r="10" customFormat="false" ht="24" hidden="false" customHeight="true" outlineLevel="0" collapsed="false">
      <c r="A10" s="92" t="s">
        <v>1622</v>
      </c>
      <c r="B10" s="93" t="str">
        <f aca="false">IF(TRIM(Flights!$X$9)="","__________________",Flights!$X$9)</f>
        <v>__________________</v>
      </c>
      <c r="C10" s="93"/>
      <c r="D10" s="93"/>
      <c r="E10" s="92" t="s">
        <v>1623</v>
      </c>
      <c r="F10" s="99" t="n">
        <f aca="false">Flights!$AO$9</f>
        <v>28</v>
      </c>
      <c r="G10" s="99" t="n">
        <f aca="false">Flights!$AS$9</f>
        <v>5</v>
      </c>
      <c r="H10" s="99" t="n">
        <f aca="false">Flights!$AR$9</f>
        <v>2</v>
      </c>
    </row>
    <row r="11" customFormat="false" ht="21" hidden="false" customHeight="true" outlineLevel="0" collapsed="false">
      <c r="A11" s="92" t="s">
        <v>1624</v>
      </c>
      <c r="B11" s="93" t="str">
        <f aca="false">IF(TRIM(Flights!$Y$9)="","__________________",Flights!$Y$9)</f>
        <v>__________________</v>
      </c>
      <c r="C11" s="93"/>
      <c r="D11" s="93"/>
      <c r="E11" s="92" t="s">
        <v>1625</v>
      </c>
      <c r="F11" s="99" t="str">
        <f aca="false">Flights!$AV$9&amp;" / "&amp;Flights!$AW$9</f>
        <v>0 / 28</v>
      </c>
      <c r="G11" s="100" t="str">
        <f aca="false">IF(ISNUMBER(Settings!$B$6),TEXT(Settings!$B$6,"DD-MMM-YY HH:MM"),"")</f>
        <v>28-Sep-26 03:19</v>
      </c>
      <c r="H11" s="100"/>
    </row>
    <row r="12" customFormat="false" ht="34.5" hidden="false" customHeight="true" outlineLevel="0" collapsed="false">
      <c r="A12" s="101" t="s">
        <v>1626</v>
      </c>
      <c r="B12" s="101"/>
      <c r="C12" s="101"/>
      <c r="D12" s="101"/>
      <c r="E12" s="102" t="s">
        <v>1627</v>
      </c>
      <c r="F12" s="103" t="s">
        <v>1628</v>
      </c>
      <c r="G12" s="104" t="s">
        <v>89</v>
      </c>
      <c r="H12" s="105" t="s">
        <v>1629</v>
      </c>
    </row>
    <row r="13" customFormat="false" ht="45.75" hidden="false" customHeight="true" outlineLevel="0" collapsed="false">
      <c r="A13" s="117"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"&amp;IF(ISNUMBER(Flights!$AY$9),TEXT(Flights!$AY$9+IFERROR(INDEX(Settings!$C$13:$C$22,MATCH("KUL",Settings!$A$13:$A$22,0)),8)/24,"DD-MMM-YY HH:MM")&amp;" KUL","(not set)")&amp;"   |   Carrying flight KUL departure (loading confirmed by): "&amp;IF(ISNUMBER(Flights!$AY$9),TEXT(Flights!$AY$9+UpliftWindowH/24+IFERROR(INDEX(Settings!$C$13:$C$22,MATCH("KUL",Settings!$A$13:$A$22,0)),8)/24,"DD-MMM-YY HH:MM")&amp;" KUL","(not set)")&amp;IF(ISNUMBER(Flights!$AX$9),""," (estimated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10-Oct-26 17:30 KUL   |   Carrying flight KUL departure (loading confirmed by): 10-Oct-26 23:30 KUL (estimated – enter actual on Flights AX)</v>
      </c>
      <c r="B13" s="117"/>
      <c r="C13" s="117"/>
      <c r="D13" s="117"/>
      <c r="E13" s="117"/>
      <c r="F13" s="117"/>
      <c r="G13" s="117"/>
      <c r="H13" s="117"/>
    </row>
    <row r="14" customFormat="false" ht="13.5" hidden="false" customHeight="true" outlineLevel="0" collapsed="false">
      <c r="A14" s="94" t="s">
        <v>1630</v>
      </c>
      <c r="B14" s="94" t="s">
        <v>1631</v>
      </c>
      <c r="C14" s="94" t="s">
        <v>1632</v>
      </c>
      <c r="D14" s="94"/>
      <c r="E14" s="94" t="s">
        <v>1633</v>
      </c>
      <c r="F14" s="94" t="s">
        <v>1634</v>
      </c>
      <c r="G14" s="94"/>
      <c r="H14" s="94"/>
    </row>
    <row r="15" customFormat="false" ht="36" hidden="false" customHeight="true" outlineLevel="0" collapsed="false">
      <c r="A15" s="92" t="s">
        <v>1635</v>
      </c>
      <c r="B15" s="93" t="str">
        <f aca="false">IF(Documents!$F$9="","",Documents!$F$9)</f>
        <v/>
      </c>
      <c r="C15" s="98" t="str">
        <f aca="false">IF(Documents!$G$9="","",Documents!$G$9)&amp;IF(ISNUMBER(Documents!$H$9),"  "&amp;TEXT(Documents!$H$9,"DD-MMM-YY"),"")</f>
        <v/>
      </c>
      <c r="D15" s="98"/>
      <c r="E15" s="106" t="str">
        <f aca="false">IF(Documents!$J$9="OUTSTANDING","OUTSTANDING – attach before T-7D (due "&amp;IF(ISNUMBER(Flights!$AG$9),TEXT(Flights!$AG$9,"DD-MMM-YY HH:MM"),"")&amp;" "&amp;Flights!$V$9&amp;")",IF(Documents!$J$9="","Status not recorded",Documents!$J$9))</f>
        <v>OUTSTANDING – attach before T-7D (due 08-Oct-26 10:05 NRT)</v>
      </c>
      <c r="F15" s="107" t="str">
        <f aca="false">"Staple behind this sheet as page A1."&amp;IF(Documents!$I$9="",""," Location: "&amp;Documents!$I$9)</f>
        <v>Staple behind this sheet as page A1.</v>
      </c>
      <c r="G15" s="107"/>
      <c r="H15" s="107"/>
    </row>
    <row r="16" customFormat="false" ht="36" hidden="false" customHeight="true" outlineLevel="0" collapsed="false">
      <c r="A16" s="92" t="s">
        <v>1636</v>
      </c>
      <c r="B16" s="93" t="str">
        <f aca="false">IF(Documents!$K$9="","",Documents!$K$9)</f>
        <v/>
      </c>
      <c r="C16" s="98" t="str">
        <f aca="false">IF(Documents!$L$9="","",Documents!$L$9)&amp;IF(ISNUMBER(Documents!$M$9),"  "&amp;TEXT(Documents!$M$9,"DD-MMM-YY"),"")</f>
        <v/>
      </c>
      <c r="D16" s="98"/>
      <c r="E16" s="106" t="str">
        <f aca="false">IF(Documents!$O$9="OUTSTANDING","OUTSTANDING – attach before T-7D (due "&amp;IF(ISNUMBER(Flights!$AG$9),TEXT(Flights!$AG$9,"DD-MMM-YY HH:MM"),"")&amp;" "&amp;Flights!$V$9&amp;")",IF(Documents!$O$9="","Status not recorded",Documents!$O$9))</f>
        <v>OUTSTANDING – attach before T-7D (due 08-Oct-26 10:05 NRT)</v>
      </c>
      <c r="F16" s="107" t="str">
        <f aca="false">"Staple behind this sheet as page A2."&amp;IF(Documents!$N$9="",""," Location: "&amp;Documents!$N$9)</f>
        <v>Staple behind this sheet as page A2.</v>
      </c>
      <c r="G16" s="107"/>
      <c r="H16" s="107"/>
    </row>
    <row r="17" customFormat="false" ht="22.5" hidden="false" customHeight="true" outlineLevel="0" collapsed="false">
      <c r="A17" s="92" t="s">
        <v>1637</v>
      </c>
      <c r="B17" s="108" t="str">
        <f aca="false">IF(Documents!$Q$9="","",Documents!$Q$9)</f>
        <v>Not supplied with brief – obtain from caterer / MAGCS.</v>
      </c>
      <c r="C17" s="108"/>
      <c r="D17" s="108"/>
      <c r="E17" s="108"/>
      <c r="F17" s="108"/>
      <c r="G17" s="108"/>
      <c r="H17" s="108"/>
    </row>
    <row r="18" customFormat="false" ht="13.5" hidden="false" customHeight="true" outlineLevel="0" collapsed="false">
      <c r="A18" s="109" t="s">
        <v>1638</v>
      </c>
      <c r="B18" s="109"/>
      <c r="C18" s="109" t="s">
        <v>1639</v>
      </c>
      <c r="D18" s="109"/>
      <c r="E18" s="109"/>
      <c r="F18" s="109" t="s">
        <v>1640</v>
      </c>
      <c r="G18" s="109"/>
      <c r="H18" s="109"/>
    </row>
    <row r="19" customFormat="false" ht="18" hidden="false" customHeight="true" outlineLevel="0" collapsed="false">
      <c r="A19" s="93" t="str">
        <f aca="false">"Name: "&amp;IF(TRIM(Flights!$Y$9)="","__________________",Flights!$Y$9)</f>
        <v>Name: __________________</v>
      </c>
      <c r="B19" s="93"/>
      <c r="C19" s="93" t="str">
        <f aca="false">"Name: __________________"</f>
        <v>Name: __________________</v>
      </c>
      <c r="D19" s="93"/>
      <c r="E19" s="93"/>
      <c r="F19" s="93" t="str">
        <f aca="false">"Name: __________________"&amp;"   Station: "&amp;Flights!$V$9</f>
        <v>Name: __________________   Station: NRT</v>
      </c>
      <c r="G19" s="93"/>
      <c r="H19" s="93"/>
    </row>
    <row r="20" customFormat="false" ht="30" hidden="false" customHeight="true" outlineLevel="0" collapsed="false">
      <c r="A20" s="110" t="s">
        <v>1641</v>
      </c>
      <c r="B20" s="110"/>
      <c r="C20" s="110" t="s">
        <v>1641</v>
      </c>
      <c r="D20" s="110"/>
      <c r="E20" s="110"/>
      <c r="F20" s="110" t="s">
        <v>1641</v>
      </c>
      <c r="G20" s="110"/>
      <c r="H20" s="110"/>
    </row>
    <row r="21" customFormat="false" ht="13.5" hidden="false" customHeight="true" outlineLevel="0" collapsed="false">
      <c r="A21" s="111" t="s">
        <v>1642</v>
      </c>
      <c r="B21" s="111"/>
      <c r="C21" s="111"/>
      <c r="D21" s="111"/>
      <c r="E21" s="111"/>
      <c r="F21" s="111"/>
      <c r="G21" s="111"/>
      <c r="H21" s="111"/>
    </row>
    <row r="22" customFormat="false" ht="24" hidden="false" customHeight="true" outlineLevel="0" collapsed="false">
      <c r="A22" s="94" t="s">
        <v>1643</v>
      </c>
      <c r="B22" s="94" t="s">
        <v>1644</v>
      </c>
      <c r="C22" s="94" t="s">
        <v>1645</v>
      </c>
      <c r="D22" s="94" t="s">
        <v>1646</v>
      </c>
      <c r="E22" s="94" t="s">
        <v>1647</v>
      </c>
      <c r="F22" s="94" t="s">
        <v>1648</v>
      </c>
      <c r="G22" s="94" t="s">
        <v>1649</v>
      </c>
      <c r="H22" s="94" t="s">
        <v>121</v>
      </c>
    </row>
    <row r="23" customFormat="false" ht="25.5" hidden="false" customHeight="true" outlineLevel="0" collapsed="false">
      <c r="A23" s="112"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Checks!$A$137&amp;CHAR(10)&amp;IF(Checks!$I$137="","",Checks!$I$137&amp;": ")&amp;Checks!$J$137</f>
        <v>F05-T7-01
Meal: Meal sensory testing completed for this flight's menu cycle (assessed class)</v>
      </c>
      <c r="B24" s="113" t="str">
        <f aca="false">Checks!$K$137&amp;IF(Checks!$O$137="","",IF(Checks!$K$137="","",CHAR(10))&amp;"Note: "&amp;Checks!$O$137)</f>
        <v>Record panel result / score in Result</v>
      </c>
      <c r="C24" s="113" t="str">
        <f aca="false">Checks!$N$137&amp;CHAR(10)&amp;IF(ISNUMBER(Checks!$R$137),TEXT(Checks!$R$137,"DD-MMM-YY HH:MM"),"")&amp;" "&amp;Checks!$P$137</f>
        <v>Required
08-Oct-26 10:05 NRT</v>
      </c>
      <c r="D24" s="113" t="str">
        <f aca="false">IF(Checks!$U$137="","",Checks!$U$137)&amp;IF(Checks!$AB$137="","",CHAR(10)&amp;"CA: "&amp;Checks!$AB$137)</f>
        <v/>
      </c>
      <c r="E24" s="113" t="str">
        <f aca="false">IF(Checks!$V$137="","",Checks!$V$137)&amp;IF(Checks!$AC$137="","",IF(Checks!$V$137="","",CHAR(10))&amp;"N/A just.: "&amp;Checks!$AC$137)&amp;IF(Checks!$W$137="","",CHAR(10)&amp;"Batch: "&amp;Checks!$W$137)&amp;IF(AND(Checks!$X$137="",Checks!$Y$137=""),"",CHAR(10)&amp;"Exp: "&amp;Checks!$X$137&amp;"  /  Act: "&amp;Checks!$Y$137)</f>
        <v/>
      </c>
      <c r="F24" s="113" t="str">
        <f aca="false">IF(Checks!$Z$137="","","Evidence: "&amp;Checks!$Z$137)&amp;IF(Checks!$AA$137="","",IF(Checks!$Z$137="","",CHAR(10))&amp;"CA: "&amp;Checks!$AA$137)</f>
        <v/>
      </c>
      <c r="G24" s="113" t="str">
        <f aca="false">IF(ISNUMBER(Checks!$AD$137),TEXT(Checks!$AD$137,"DD-MMM-YY HH:MM")&amp;" "&amp;Checks!$P$137,"")&amp;IF(Checks!$AE$137="","",CHAR(10)&amp;"Verifier: "&amp;Checks!$AE$137)&amp;IF(Checks!$T$137="","",CHAR(10)&amp;"PIC: "&amp;Checks!$T$137)</f>
        <v/>
      </c>
      <c r="H24" s="114" t="str">
        <f aca="false">IF(Checks!$AH$137="","",Checks!$AH$137)</f>
        <v>OPEN</v>
      </c>
    </row>
    <row r="25" customFormat="false" ht="114" hidden="false" customHeight="true" outlineLevel="0" collapsed="false">
      <c r="A25" s="113" t="str">
        <f aca="false">Checks!$A$138&amp;CHAR(10)&amp;IF(Checks!$I$138="","",Checks!$I$138&amp;": ")&amp;Checks!$J$138</f>
        <v>F05-T7-02
Menu: Printed menu cards confirmed (content, cycle, language, quantity)</v>
      </c>
      <c r="B25" s="113" t="str">
        <f aca="false">Checks!$K$138&amp;IF(Checks!$O$138="","",IF(Checks!$K$138="","",CHAR(10))&amp;"Note: "&amp;Checks!$O$138)</f>
        <v>Menu card matches approved menu for this flight</v>
      </c>
      <c r="C25" s="113" t="str">
        <f aca="false">Checks!$N$138&amp;CHAR(10)&amp;IF(ISNUMBER(Checks!$R$138),TEXT(Checks!$R$138,"DD-MMM-YY HH:MM"),"")&amp;" "&amp;Checks!$P$138</f>
        <v>Required
08-Oct-26 10:05 NRT</v>
      </c>
      <c r="D25" s="113" t="str">
        <f aca="false">IF(Checks!$U$138="","",Checks!$U$138)&amp;IF(Checks!$AB$138="","",CHAR(10)&amp;"CA: "&amp;Checks!$AB$138)</f>
        <v/>
      </c>
      <c r="E25" s="113" t="str">
        <f aca="false">IF(Checks!$V$138="","",Checks!$V$138)&amp;IF(Checks!$AC$138="","",IF(Checks!$V$138="","",CHAR(10))&amp;"N/A just.: "&amp;Checks!$AC$138)&amp;IF(Checks!$W$138="","",CHAR(10)&amp;"Batch: "&amp;Checks!$W$138)&amp;IF(AND(Checks!$X$138="",Checks!$Y$138=""),"",CHAR(10)&amp;"Exp: "&amp;Checks!$X$138&amp;"  /  Act: "&amp;Checks!$Y$138)</f>
        <v/>
      </c>
      <c r="F25" s="113" t="str">
        <f aca="false">IF(Checks!$Z$138="","","Evidence: "&amp;Checks!$Z$138)&amp;IF(Checks!$AA$138="","",IF(Checks!$Z$138="","",CHAR(10))&amp;"CA: "&amp;Checks!$AA$138)</f>
        <v/>
      </c>
      <c r="G25" s="113" t="str">
        <f aca="false">IF(ISNUMBER(Checks!$AD$138),TEXT(Checks!$AD$138,"DD-MMM-YY HH:MM")&amp;" "&amp;Checks!$P$138,"")&amp;IF(Checks!$AE$138="","",CHAR(10)&amp;"Verifier: "&amp;Checks!$AE$138)&amp;IF(Checks!$T$138="","",CHAR(10)&amp;"PIC: "&amp;Checks!$T$138)</f>
        <v/>
      </c>
      <c r="H25" s="114" t="str">
        <f aca="false">IF(Checks!$AH$138="","",Checks!$AH$138)</f>
        <v>OPEN</v>
      </c>
    </row>
    <row r="26" customFormat="false" ht="114" hidden="false" customHeight="true" outlineLevel="0" collapsed="false">
      <c r="A26" s="113" t="str">
        <f aca="false">Checks!$A$139&amp;CHAR(10)&amp;IF(Checks!$I$139="","",Checks!$I$139&amp;": ")&amp;Checks!$J$139</f>
        <v>F05-T7-03
IFE: Digital menu in IFE confirmed (A339 only)</v>
      </c>
      <c r="B26" s="113" t="str">
        <f aca="false">Checks!$K$139&amp;IF(Checks!$O$139="","",IF(Checks!$K$139="","",CHAR(10))&amp;"Note: "&amp;Checks!$O$139)</f>
        <v>Applies when fleet = A339
Note: Digital IFE menu applies to A339 only (user brief). Applicability follows the Fleet cell on Flights.</v>
      </c>
      <c r="C26" s="113" t="str">
        <f aca="false">Checks!$N$139&amp;CHAR(10)&amp;IF(ISNUMBER(Checks!$R$139),TEXT(Checks!$R$139,"DD-MMM-YY HH:MM"),"")&amp;" "&amp;Checks!$P$139</f>
        <v>N/A – rule
08-Oct-26 10:05 NRT</v>
      </c>
      <c r="D26" s="113" t="str">
        <f aca="false">IF(Checks!$U$139="","",Checks!$U$139)&amp;IF(Checks!$AB$139="","",CHAR(10)&amp;"CA: "&amp;Checks!$AB$139)</f>
        <v/>
      </c>
      <c r="E26" s="113" t="str">
        <f aca="false">IF(Checks!$V$139="","",Checks!$V$139)&amp;IF(Checks!$AC$139="","",IF(Checks!$V$139="","",CHAR(10))&amp;"N/A just.: "&amp;Checks!$AC$139)&amp;IF(Checks!$W$139="","",CHAR(10)&amp;"Batch: "&amp;Checks!$W$139)&amp;IF(AND(Checks!$X$139="",Checks!$Y$139=""),"",CHAR(10)&amp;"Exp: "&amp;Checks!$X$139&amp;"  /  Act: "&amp;Checks!$Y$139)</f>
        <v/>
      </c>
      <c r="F26" s="113" t="str">
        <f aca="false">IF(Checks!$Z$139="","","Evidence: "&amp;Checks!$Z$139)&amp;IF(Checks!$AA$139="","",IF(Checks!$Z$139="","",CHAR(10))&amp;"CA: "&amp;Checks!$AA$139)</f>
        <v/>
      </c>
      <c r="G26" s="113" t="str">
        <f aca="false">IF(ISNUMBER(Checks!$AD$139),TEXT(Checks!$AD$139,"DD-MMM-YY HH:MM")&amp;" "&amp;Checks!$P$139,"")&amp;IF(Checks!$AE$139="","",CHAR(10)&amp;"Verifier: "&amp;Checks!$AE$139)&amp;IF(Checks!$T$139="","",CHAR(10)&amp;"PIC: "&amp;Checks!$T$139)</f>
        <v/>
      </c>
      <c r="H26" s="114" t="str">
        <f aca="false">IF(Checks!$AH$139="","",Checks!$AH$139)</f>
        <v>N/A – RULE</v>
      </c>
    </row>
    <row r="27" customFormat="false" ht="114" hidden="false" customHeight="true" outlineLevel="0" collapsed="false">
      <c r="A27" s="113" t="str">
        <f aca="false">Checks!$A$140&amp;CHAR(10)&amp;IF(Checks!$I$140="","",Checks!$I$140&amp;": ")&amp;Checks!$J$140</f>
        <v>F05-T7-04
Staffing: Experienced catering officer assigned to this flight</v>
      </c>
      <c r="B27" s="113" t="str">
        <f aca="false">Checks!$K$140&amp;IF(Checks!$O$140="","",IF(Checks!$K$140="","",CHAR(10))&amp;"Note: "&amp;Checks!$O$140)</f>
        <v>Record officer name in Result</v>
      </c>
      <c r="C27" s="113" t="str">
        <f aca="false">Checks!$N$140&amp;CHAR(10)&amp;IF(ISNUMBER(Checks!$R$140),TEXT(Checks!$R$140,"DD-MMM-YY HH:MM"),"")&amp;" "&amp;Checks!$P$140</f>
        <v>Required
08-Oct-26 10:05 NRT</v>
      </c>
      <c r="D27" s="113" t="str">
        <f aca="false">IF(Checks!$U$140="","",Checks!$U$140)&amp;IF(Checks!$AB$140="","",CHAR(10)&amp;"CA: "&amp;Checks!$AB$140)</f>
        <v/>
      </c>
      <c r="E27" s="113" t="str">
        <f aca="false">IF(Checks!$V$140="","",Checks!$V$140)&amp;IF(Checks!$AC$140="","",IF(Checks!$V$140="","",CHAR(10))&amp;"N/A just.: "&amp;Checks!$AC$140)&amp;IF(Checks!$W$140="","",CHAR(10)&amp;"Batch: "&amp;Checks!$W$140)&amp;IF(AND(Checks!$X$140="",Checks!$Y$140=""),"",CHAR(10)&amp;"Exp: "&amp;Checks!$X$140&amp;"  /  Act: "&amp;Checks!$Y$140)</f>
        <v/>
      </c>
      <c r="F27" s="113" t="str">
        <f aca="false">IF(Checks!$Z$140="","","Evidence: "&amp;Checks!$Z$140)&amp;IF(Checks!$AA$140="","",IF(Checks!$Z$140="","",CHAR(10))&amp;"CA: "&amp;Checks!$AA$140)</f>
        <v/>
      </c>
      <c r="G27" s="113" t="str">
        <f aca="false">IF(ISNUMBER(Checks!$AD$140),TEXT(Checks!$AD$140,"DD-MMM-YY HH:MM")&amp;" "&amp;Checks!$P$140,"")&amp;IF(Checks!$AE$140="","",CHAR(10)&amp;"Verifier: "&amp;Checks!$AE$140)&amp;IF(Checks!$T$140="","",CHAR(10)&amp;"PIC: "&amp;Checks!$T$140)</f>
        <v/>
      </c>
      <c r="H27" s="114" t="str">
        <f aca="false">IF(Checks!$AH$140="","",Checks!$AH$140)</f>
        <v>OPEN</v>
      </c>
    </row>
    <row r="28" customFormat="false" ht="114" hidden="false" customHeight="true" outlineLevel="0" collapsed="false">
      <c r="A28" s="113" t="str">
        <f aca="false">Checks!$A$141&amp;CHAR(10)&amp;IF(Checks!$I$141="","",Checks!$I$141&amp;": ")&amp;Checks!$J$141</f>
        <v>F05-T7-05
ISOP: All latest applicable ISOP revisions communicated to caterer</v>
      </c>
      <c r="B28" s="113" t="str">
        <f aca="false">Checks!$K$141&amp;IF(Checks!$O$141="","",IF(Checks!$K$141="","",CHAR(10))&amp;"Note: "&amp;Checks!$O$141)</f>
        <v>List revision numbers in Result (see ISOP register)</v>
      </c>
      <c r="C28" s="113" t="str">
        <f aca="false">Checks!$N$141&amp;CHAR(10)&amp;IF(ISNUMBER(Checks!$R$141),TEXT(Checks!$R$141,"DD-MMM-YY HH:MM"),"")&amp;" "&amp;Checks!$P$141</f>
        <v>Required
08-Oct-26 10:05 NRT</v>
      </c>
      <c r="D28" s="113" t="str">
        <f aca="false">IF(Checks!$U$141="","",Checks!$U$141)&amp;IF(Checks!$AB$141="","",CHAR(10)&amp;"CA: "&amp;Checks!$AB$141)</f>
        <v/>
      </c>
      <c r="E28" s="113" t="str">
        <f aca="false">IF(Checks!$V$141="","",Checks!$V$141)&amp;IF(Checks!$AC$141="","",IF(Checks!$V$141="","",CHAR(10))&amp;"N/A just.: "&amp;Checks!$AC$141)&amp;IF(Checks!$W$141="","",CHAR(10)&amp;"Batch: "&amp;Checks!$W$141)&amp;IF(AND(Checks!$X$141="",Checks!$Y$141=""),"",CHAR(10)&amp;"Exp: "&amp;Checks!$X$141&amp;"  /  Act: "&amp;Checks!$Y$141)</f>
        <v/>
      </c>
      <c r="F28" s="113" t="str">
        <f aca="false">IF(Checks!$Z$141="","","Evidence: "&amp;Checks!$Z$141)&amp;IF(Checks!$AA$141="","",IF(Checks!$Z$141="","",CHAR(10))&amp;"CA: "&amp;Checks!$AA$141)</f>
        <v/>
      </c>
      <c r="G28" s="113" t="str">
        <f aca="false">IF(ISNUMBER(Checks!$AD$141),TEXT(Checks!$AD$141,"DD-MMM-YY HH:MM")&amp;" "&amp;Checks!$P$141,"")&amp;IF(Checks!$AE$141="","",CHAR(10)&amp;"Verifier: "&amp;Checks!$AE$141)&amp;IF(Checks!$T$141="","",CHAR(10)&amp;"PIC: "&amp;Checks!$T$141)</f>
        <v/>
      </c>
      <c r="H28" s="114" t="str">
        <f aca="false">IF(Checks!$AH$141="","",Checks!$AH$141)</f>
        <v>OPEN</v>
      </c>
    </row>
    <row r="29" customFormat="false" ht="114" hidden="false" customHeight="true" outlineLevel="0" collapsed="false">
      <c r="A29" s="113" t="str">
        <f aca="false">Checks!$A$142&amp;CHAR(10)&amp;IF(Checks!$I$142="","",Checks!$I$142&amp;": ")&amp;Checks!$J$142</f>
        <v>F05-T7-06
ISOP: Caterer acknowledgement of ISOP revisions recorded</v>
      </c>
      <c r="B29" s="113" t="str">
        <f aca="false">Checks!$K$142&amp;IF(Checks!$O$142="","",IF(Checks!$K$142="","",CHAR(10))&amp;"Note: "&amp;Checks!$O$142)</f>
        <v>Record acknowledgement ref in Evidence</v>
      </c>
      <c r="C29" s="113" t="str">
        <f aca="false">Checks!$N$142&amp;CHAR(10)&amp;IF(ISNUMBER(Checks!$R$142),TEXT(Checks!$R$142,"DD-MMM-YY HH:MM"),"")&amp;" "&amp;Checks!$P$142</f>
        <v>Required
08-Oct-26 10:05 NRT</v>
      </c>
      <c r="D29" s="113" t="str">
        <f aca="false">IF(Checks!$U$142="","",Checks!$U$142)&amp;IF(Checks!$AB$142="","",CHAR(10)&amp;"CA: "&amp;Checks!$AB$142)</f>
        <v/>
      </c>
      <c r="E29" s="113" t="str">
        <f aca="false">IF(Checks!$V$142="","",Checks!$V$142)&amp;IF(Checks!$AC$142="","",IF(Checks!$V$142="","",CHAR(10))&amp;"N/A just.: "&amp;Checks!$AC$142)&amp;IF(Checks!$W$142="","",CHAR(10)&amp;"Batch: "&amp;Checks!$W$142)&amp;IF(AND(Checks!$X$142="",Checks!$Y$142=""),"",CHAR(10)&amp;"Exp: "&amp;Checks!$X$142&amp;"  /  Act: "&amp;Checks!$Y$142)</f>
        <v/>
      </c>
      <c r="F29" s="113" t="str">
        <f aca="false">IF(Checks!$Z$142="","","Evidence: "&amp;Checks!$Z$142)&amp;IF(Checks!$AA$142="","",IF(Checks!$Z$142="","",CHAR(10))&amp;"CA: "&amp;Checks!$AA$142)</f>
        <v/>
      </c>
      <c r="G29" s="113" t="str">
        <f aca="false">IF(ISNUMBER(Checks!$AD$142),TEXT(Checks!$AD$142,"DD-MMM-YY HH:MM")&amp;" "&amp;Checks!$P$142,"")&amp;IF(Checks!$AE$142="","",CHAR(10)&amp;"Verifier: "&amp;Checks!$AE$142)&amp;IF(Checks!$T$142="","",CHAR(10)&amp;"PIC: "&amp;Checks!$T$142)</f>
        <v/>
      </c>
      <c r="H29" s="114" t="str">
        <f aca="false">IF(Checks!$AH$142="","",Checks!$AH$142)</f>
        <v>OPEN</v>
      </c>
    </row>
    <row r="30" customFormat="false" ht="114" hidden="false" customHeight="true" outlineLevel="0" collapsed="false">
      <c r="A30" s="113" t="str">
        <f aca="false">Checks!$A$143&amp;CHAR(10)&amp;IF(Checks!$I$143="","",Checks!$I$143&amp;": ")&amp;Checks!$J$143</f>
        <v>F05-T7-07
Documents: Galley loading diagram (GLD) received, revision recorded &amp; attached</v>
      </c>
      <c r="B30" s="113" t="str">
        <f aca="false">Checks!$K$143&amp;IF(Checks!$O$143="","",IF(Checks!$K$143="","",CHAR(10))&amp;"Note: "&amp;Checks!$O$143)</f>
        <v>Documents sheet row complete</v>
      </c>
      <c r="C30" s="113" t="str">
        <f aca="false">Checks!$N$143&amp;CHAR(10)&amp;IF(ISNUMBER(Checks!$R$143),TEXT(Checks!$R$143,"DD-MMM-YY HH:MM"),"")&amp;" "&amp;Checks!$P$143</f>
        <v>Required
08-Oct-26 10:05 NRT</v>
      </c>
      <c r="D30" s="113" t="str">
        <f aca="false">IF(Checks!$U$143="","",Checks!$U$143)&amp;IF(Checks!$AB$143="","",CHAR(10)&amp;"CA: "&amp;Checks!$AB$143)</f>
        <v/>
      </c>
      <c r="E30" s="113" t="str">
        <f aca="false">IF(Checks!$V$143="","",Checks!$V$143)&amp;IF(Checks!$AC$143="","",IF(Checks!$V$143="","",CHAR(10))&amp;"N/A just.: "&amp;Checks!$AC$143)&amp;IF(Checks!$W$143="","",CHAR(10)&amp;"Batch: "&amp;Checks!$W$143)&amp;IF(AND(Checks!$X$143="",Checks!$Y$143=""),"",CHAR(10)&amp;"Exp: "&amp;Checks!$X$143&amp;"  /  Act: "&amp;Checks!$Y$143)</f>
        <v/>
      </c>
      <c r="F30" s="113" t="str">
        <f aca="false">IF(Checks!$Z$143="","","Evidence: "&amp;Checks!$Z$143)&amp;IF(Checks!$AA$143="","",IF(Checks!$Z$143="","",CHAR(10))&amp;"CA: "&amp;Checks!$AA$143)</f>
        <v/>
      </c>
      <c r="G30" s="113" t="str">
        <f aca="false">IF(ISNUMBER(Checks!$AD$143),TEXT(Checks!$AD$143,"DD-MMM-YY HH:MM")&amp;" "&amp;Checks!$P$143,"")&amp;IF(Checks!$AE$143="","",CHAR(10)&amp;"Verifier: "&amp;Checks!$AE$143)&amp;IF(Checks!$T$143="","",CHAR(10)&amp;"PIC: "&amp;Checks!$T$143)</f>
        <v/>
      </c>
      <c r="H30" s="114" t="str">
        <f aca="false">IF(Checks!$AH$143="","",Checks!$AH$143)</f>
        <v>OPEN</v>
      </c>
    </row>
    <row r="31" customFormat="false" ht="114" hidden="false" customHeight="true" outlineLevel="0" collapsed="false">
      <c r="A31" s="113" t="str">
        <f aca="false">Checks!$A$144&amp;CHAR(10)&amp;IF(Checks!$I$144="","",Checks!$I$144&amp;": ")&amp;Checks!$J$144</f>
        <v>F05-T7-08
Documents: Menu checklist received, revision recorded &amp; attached</v>
      </c>
      <c r="B31" s="113" t="str">
        <f aca="false">Checks!$K$144&amp;IF(Checks!$O$144="","",IF(Checks!$K$144="","",CHAR(10))&amp;"Note: "&amp;Checks!$O$144)</f>
        <v>Documents sheet row complete</v>
      </c>
      <c r="C31" s="113" t="str">
        <f aca="false">Checks!$N$144&amp;CHAR(10)&amp;IF(ISNUMBER(Checks!$R$144),TEXT(Checks!$R$144,"DD-MMM-YY HH:MM"),"")&amp;" "&amp;Checks!$P$144</f>
        <v>Required
08-Oct-26 10:05 NRT</v>
      </c>
      <c r="D31" s="113" t="str">
        <f aca="false">IF(Checks!$U$144="","",Checks!$U$144)&amp;IF(Checks!$AB$144="","",CHAR(10)&amp;"CA: "&amp;Checks!$AB$144)</f>
        <v/>
      </c>
      <c r="E31" s="113" t="str">
        <f aca="false">IF(Checks!$V$144="","",Checks!$V$144)&amp;IF(Checks!$AC$144="","",IF(Checks!$V$144="","",CHAR(10))&amp;"N/A just.: "&amp;Checks!$AC$144)&amp;IF(Checks!$W$144="","",CHAR(10)&amp;"Batch: "&amp;Checks!$W$144)&amp;IF(AND(Checks!$X$144="",Checks!$Y$144=""),"",CHAR(10)&amp;"Exp: "&amp;Checks!$X$144&amp;"  /  Act: "&amp;Checks!$Y$144)</f>
        <v/>
      </c>
      <c r="F31" s="113" t="str">
        <f aca="false">IF(Checks!$Z$144="","","Evidence: "&amp;Checks!$Z$144)&amp;IF(Checks!$AA$144="","",IF(Checks!$Z$144="","",CHAR(10))&amp;"CA: "&amp;Checks!$AA$144)</f>
        <v/>
      </c>
      <c r="G31" s="113" t="str">
        <f aca="false">IF(ISNUMBER(Checks!$AD$144),TEXT(Checks!$AD$144,"DD-MMM-YY HH:MM")&amp;" "&amp;Checks!$P$144,"")&amp;IF(Checks!$AE$144="","",CHAR(10)&amp;"Verifier: "&amp;Checks!$AE$144)&amp;IF(Checks!$T$144="","",CHAR(10)&amp;"PIC: "&amp;Checks!$T$144)</f>
        <v/>
      </c>
      <c r="H31" s="114" t="str">
        <f aca="false">IF(Checks!$AH$144="","",Checks!$AH$144)</f>
        <v>OPEN</v>
      </c>
    </row>
    <row r="32" customFormat="false" ht="114" hidden="false" customHeight="true" outlineLevel="0" collapsed="false">
      <c r="A32" s="113" t="str">
        <f aca="false">Checks!$A$145&amp;CHAR(10)&amp;IF(Checks!$I$145="","",Checks!$I$145&amp;": ")&amp;Checks!$J$145</f>
        <v>F05-T7-09
Uplift plan: Uplift plan confirmed with caterer vs STD Uplift Information</v>
      </c>
      <c r="B32" s="113" t="str">
        <f aca="false">Checks!$K$145&amp;IF(Checks!$O$145="","",IF(Checks!$K$145="","",CHAR(10))&amp;"Note: "&amp;Checks!$O$145)</f>
        <v>Service: 1.5 Meal (Meal); meal uplift stn NRT (ref lists KUL/NRT)</v>
      </c>
      <c r="C32" s="113" t="str">
        <f aca="false">Checks!$N$145&amp;CHAR(10)&amp;IF(ISNUMBER(Checks!$R$145),TEXT(Checks!$R$145,"DD-MMM-YY HH:MM"),"")&amp;" "&amp;Checks!$P$145</f>
        <v>Required
08-Oct-26 10:05 NRT</v>
      </c>
      <c r="D32" s="113" t="str">
        <f aca="false">IF(Checks!$U$145="","",Checks!$U$145)&amp;IF(Checks!$AB$145="","",CHAR(10)&amp;"CA: "&amp;Checks!$AB$145)</f>
        <v/>
      </c>
      <c r="E32" s="113" t="str">
        <f aca="false">IF(Checks!$V$145="","",Checks!$V$145)&amp;IF(Checks!$AC$145="","",IF(Checks!$V$145="","",CHAR(10))&amp;"N/A just.: "&amp;Checks!$AC$145)&amp;IF(Checks!$W$145="","",CHAR(10)&amp;"Batch: "&amp;Checks!$W$145)&amp;IF(AND(Checks!$X$145="",Checks!$Y$145=""),"",CHAR(10)&amp;"Exp: "&amp;Checks!$X$145&amp;"  /  Act: "&amp;Checks!$Y$145)</f>
        <v/>
      </c>
      <c r="F32" s="113" t="str">
        <f aca="false">IF(Checks!$Z$145="","","Evidence: "&amp;Checks!$Z$145)&amp;IF(Checks!$AA$145="","",IF(Checks!$Z$145="","",CHAR(10))&amp;"CA: "&amp;Checks!$AA$145)</f>
        <v/>
      </c>
      <c r="G32" s="113" t="str">
        <f aca="false">IF(ISNUMBER(Checks!$AD$145),TEXT(Checks!$AD$145,"DD-MMM-YY HH:MM")&amp;" "&amp;Checks!$P$145,"")&amp;IF(Checks!$AE$145="","",CHAR(10)&amp;"Verifier: "&amp;Checks!$AE$145)&amp;IF(Checks!$T$145="","",CHAR(10)&amp;"PIC: "&amp;Checks!$T$145)</f>
        <v/>
      </c>
      <c r="H32" s="114" t="str">
        <f aca="false">IF(Checks!$AH$145="","",Checks!$AH$145)</f>
        <v>OPEN</v>
      </c>
    </row>
    <row r="33" customFormat="false" ht="256.5" hidden="false" customHeight="true" outlineLevel="0" collapsed="false">
      <c r="A33" s="113" t="str">
        <f aca="false">Checks!$A$146&amp;CHAR(10)&amp;IF(Checks!$I$146="","",Checks!$I$146&amp;": ")&amp;Checks!$J$146</f>
        <v>F05-T7-10
Uplift plan: Inbound KUL-NRT flight carrying KUL-sourced items identified and its KUL departure (UTC) entered on Flights col AX</v>
      </c>
      <c r="B33" s="113" t="str">
        <f aca="false">Checks!$K$146&amp;IF(Checks!$O$146="","",IF(Checks!$K$146="","",CHAR(10))&amp;"Note: "&amp;Checks!$O$146)</f>
        <v>KUL-sourced items (Toiletry kits) travel on the inbound KUL-NRT sector
Note: Cannot be passed until Flights AX holds the carrying flight's KUL departure (agenda candidate MH0088 10-Oct (F04)). Until then the prep and KUL-loading dues assume the agenda candidate's KUL departure, or if none, the latest possible one (STD minus the shortest agenda KUL-NRT block).</v>
      </c>
      <c r="C33" s="113" t="str">
        <f aca="false">Checks!$N$146&amp;CHAR(10)&amp;IF(ISNUMBER(Checks!$R$146),TEXT(Checks!$R$146,"DD-MMM-YY HH:MM"),"")&amp;" "&amp;Checks!$P$146</f>
        <v>Clarification required
08-Oct-26 09:05 KUL</v>
      </c>
      <c r="D33" s="113" t="str">
        <f aca="false">IF(Checks!$U$146="","",Checks!$U$146)&amp;IF(Checks!$AB$146="","",CHAR(10)&amp;"CA: "&amp;Checks!$AB$146)</f>
        <v/>
      </c>
      <c r="E33" s="113" t="str">
        <f aca="false">IF(Checks!$V$146="","",Checks!$V$146)&amp;IF(Checks!$AC$146="","",IF(Checks!$V$146="","",CHAR(10))&amp;"N/A just.: "&amp;Checks!$AC$146)&amp;IF(Checks!$W$146="","",CHAR(10)&amp;"Batch: "&amp;Checks!$W$146)&amp;IF(AND(Checks!$X$146="",Checks!$Y$146=""),"",CHAR(10)&amp;"Exp: "&amp;Checks!$X$146&amp;"  /  Act: "&amp;Checks!$Y$146)</f>
        <v/>
      </c>
      <c r="F33" s="113" t="str">
        <f aca="false">IF(Checks!$Z$146="","","Evidence: "&amp;Checks!$Z$146)&amp;IF(Checks!$AA$146="","",IF(Checks!$Z$146="","",CHAR(10))&amp;"CA: "&amp;Checks!$AA$146)</f>
        <v/>
      </c>
      <c r="G33" s="113" t="str">
        <f aca="false">IF(ISNUMBER(Checks!$AD$146),TEXT(Checks!$AD$146,"DD-MMM-YY HH:MM")&amp;" "&amp;Checks!$P$146,"")&amp;IF(Checks!$AE$146="","",CHAR(10)&amp;"Verifier: "&amp;Checks!$AE$146)&amp;IF(Checks!$T$146="","",CHAR(10)&amp;"PIC: "&amp;Checks!$T$146)</f>
        <v/>
      </c>
      <c r="H33" s="114" t="str">
        <f aca="false">IF(Checks!$AH$146="","",Checks!$AH$146)</f>
        <v>OPEN – CLARIFICATION</v>
      </c>
    </row>
    <row r="34" customFormat="false" ht="25.5" hidden="false" customHeight="true" outlineLevel="0" collapsed="false">
      <c r="A34" s="112"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Checks!$A$147&amp;CHAR(10)&amp;IF(Checks!$I$147="","",Checks!$I$147&amp;": ")&amp;Checks!$J$147</f>
        <v>F05-T24-01
Meal: Sensory test repeated on ACTUAL production batch for this flight</v>
      </c>
      <c r="B35" s="113" t="str">
        <f aca="false">Checks!$K$147&amp;IF(Checks!$O$147="","",IF(Checks!$K$147="","",CHAR(10))&amp;"Note: "&amp;Checks!$O$147)</f>
        <v>Batch ID, result, CA and acceptance mandatory</v>
      </c>
      <c r="C35" s="113" t="str">
        <f aca="false">Checks!$N$147&amp;CHAR(10)&amp;IF(ISNUMBER(Checks!$R$147),TEXT(Checks!$R$147,"DD-MMM-YY HH:MM"),"")&amp;" "&amp;Checks!$P$147</f>
        <v>Required
14-Oct-26 10:05 NRT</v>
      </c>
      <c r="D35" s="113" t="str">
        <f aca="false">IF(Checks!$U$147="","",Checks!$U$147)&amp;IF(Checks!$AB$147="","",CHAR(10)&amp;"CA: "&amp;Checks!$AB$147)</f>
        <v/>
      </c>
      <c r="E35" s="113" t="str">
        <f aca="false">IF(Checks!$V$147="","",Checks!$V$147)&amp;IF(Checks!$AC$147="","",IF(Checks!$V$147="","",CHAR(10))&amp;"N/A just.: "&amp;Checks!$AC$147)&amp;IF(Checks!$W$147="","",CHAR(10)&amp;"Batch: "&amp;Checks!$W$147)&amp;IF(AND(Checks!$X$147="",Checks!$Y$147=""),"",CHAR(10)&amp;"Exp: "&amp;Checks!$X$147&amp;"  /  Act: "&amp;Checks!$Y$147)</f>
        <v/>
      </c>
      <c r="F35" s="113" t="str">
        <f aca="false">IF(Checks!$Z$147="","","Evidence: "&amp;Checks!$Z$147)&amp;IF(Checks!$AA$147="","",IF(Checks!$Z$147="","",CHAR(10))&amp;"CA: "&amp;Checks!$AA$147)</f>
        <v/>
      </c>
      <c r="G35" s="113" t="str">
        <f aca="false">IF(ISNUMBER(Checks!$AD$147),TEXT(Checks!$AD$147,"DD-MMM-YY HH:MM")&amp;" "&amp;Checks!$P$147,"")&amp;IF(Checks!$AE$147="","",CHAR(10)&amp;"Verifier: "&amp;Checks!$AE$147)&amp;IF(Checks!$T$147="","",CHAR(10)&amp;"PIC: "&amp;Checks!$T$147)</f>
        <v/>
      </c>
      <c r="H35" s="114" t="str">
        <f aca="false">IF(Checks!$AH$147="","",Checks!$AH$147)</f>
        <v>OPEN</v>
      </c>
    </row>
    <row r="36" customFormat="false" ht="25.5" hidden="false" customHeight="true" outlineLevel="0" collapsed="false">
      <c r="A36" s="112"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2"/>
      <c r="C36" s="112"/>
      <c r="D36" s="112"/>
      <c r="E36" s="112"/>
      <c r="F36" s="112"/>
      <c r="G36" s="112"/>
      <c r="H36" s="112"/>
    </row>
    <row r="37" customFormat="false" ht="114" hidden="false" customHeight="true" outlineLevel="0" collapsed="false">
      <c r="A37" s="113" t="str">
        <f aca="false">Checks!$A$148&amp;CHAR(10)&amp;IF(Checks!$I$148="","",Checks!$I$148&amp;": ")&amp;Checks!$J$148</f>
        <v>F05-T12-01
Meal: Meal quality vs menu checklist</v>
      </c>
      <c r="B37" s="113" t="str">
        <f aca="false">Checks!$K$148&amp;IF(Checks!$O$148="","",IF(Checks!$K$148="","",CHAR(10))&amp;"Note: "&amp;Checks!$O$148)</f>
        <v>Note: Preparation check at caterer - does NOT confirm loading.</v>
      </c>
      <c r="C37" s="113" t="str">
        <f aca="false">Checks!$N$148&amp;CHAR(10)&amp;IF(ISNUMBER(Checks!$R$148),TEXT(Checks!$R$148,"DD-MMM-YY HH:MM"),"")&amp;" "&amp;Checks!$P$148</f>
        <v>Required
14-Oct-26 22:05 NRT</v>
      </c>
      <c r="D37" s="113" t="str">
        <f aca="false">IF(Checks!$U$148="","",Checks!$U$148)&amp;IF(Checks!$AB$148="","",CHAR(10)&amp;"CA: "&amp;Checks!$AB$148)</f>
        <v/>
      </c>
      <c r="E37" s="113" t="str">
        <f aca="false">IF(Checks!$V$148="","",Checks!$V$148)&amp;IF(Checks!$AC$148="","",IF(Checks!$V$148="","",CHAR(10))&amp;"N/A just.: "&amp;Checks!$AC$148)&amp;IF(Checks!$W$148="","",CHAR(10)&amp;"Batch: "&amp;Checks!$W$148)&amp;IF(AND(Checks!$X$148="",Checks!$Y$148=""),"",CHAR(10)&amp;"Exp: "&amp;Checks!$X$148&amp;"  /  Act: "&amp;Checks!$Y$148)</f>
        <v/>
      </c>
      <c r="F37" s="113" t="str">
        <f aca="false">IF(Checks!$Z$148="","","Evidence: "&amp;Checks!$Z$148)&amp;IF(Checks!$AA$148="","",IF(Checks!$Z$148="","",CHAR(10))&amp;"CA: "&amp;Checks!$AA$148)</f>
        <v/>
      </c>
      <c r="G37" s="113" t="str">
        <f aca="false">IF(ISNUMBER(Checks!$AD$148),TEXT(Checks!$AD$148,"DD-MMM-YY HH:MM")&amp;" "&amp;Checks!$P$148,"")&amp;IF(Checks!$AE$148="","",CHAR(10)&amp;"Verifier: "&amp;Checks!$AE$148)&amp;IF(Checks!$T$148="","",CHAR(10)&amp;"PIC: "&amp;Checks!$T$148)</f>
        <v/>
      </c>
      <c r="H37" s="114" t="str">
        <f aca="false">IF(Checks!$AH$148="","",Checks!$AH$148)</f>
        <v>OPEN</v>
      </c>
    </row>
    <row r="38" customFormat="false" ht="114" hidden="false" customHeight="true" outlineLevel="0" collapsed="false">
      <c r="A38" s="113" t="str">
        <f aca="false">Checks!$A$149&amp;CHAR(10)&amp;IF(Checks!$I$149="","",Checks!$I$149&amp;": ")&amp;Checks!$J$149</f>
        <v>F05-T12-02
Meal: Meal quantities vs menu checklist</v>
      </c>
      <c r="B38" s="113" t="str">
        <f aca="false">Checks!$K$149&amp;IF(Checks!$O$149="","",IF(Checks!$K$149="","",CHAR(10))&amp;"Note: "&amp;Checks!$O$149)</f>
        <v>Enter expected &amp; actual
Note: Preparation check at caterer - does NOT confirm loading.</v>
      </c>
      <c r="C38" s="113" t="str">
        <f aca="false">Checks!$N$149&amp;CHAR(10)&amp;IF(ISNUMBER(Checks!$R$149),TEXT(Checks!$R$149,"DD-MMM-YY HH:MM"),"")&amp;" "&amp;Checks!$P$149</f>
        <v>Required
14-Oct-26 22:05 NRT</v>
      </c>
      <c r="D38" s="113" t="str">
        <f aca="false">IF(Checks!$U$149="","",Checks!$U$149)&amp;IF(Checks!$AB$149="","",CHAR(10)&amp;"CA: "&amp;Checks!$AB$149)</f>
        <v/>
      </c>
      <c r="E38" s="113" t="str">
        <f aca="false">IF(Checks!$V$149="","",Checks!$V$149)&amp;IF(Checks!$AC$149="","",IF(Checks!$V$149="","",CHAR(10))&amp;"N/A just.: "&amp;Checks!$AC$149)&amp;IF(Checks!$W$149="","",CHAR(10)&amp;"Batch: "&amp;Checks!$W$149)&amp;IF(AND(Checks!$X$149="",Checks!$Y$149=""),"",CHAR(10)&amp;"Exp: "&amp;Checks!$X$149&amp;"  /  Act: "&amp;Checks!$Y$149)</f>
        <v/>
      </c>
      <c r="F38" s="113" t="str">
        <f aca="false">IF(Checks!$Z$149="","","Evidence: "&amp;Checks!$Z$149)&amp;IF(Checks!$AA$149="","",IF(Checks!$Z$149="","",CHAR(10))&amp;"CA: "&amp;Checks!$AA$149)</f>
        <v/>
      </c>
      <c r="G38" s="113" t="str">
        <f aca="false">IF(ISNUMBER(Checks!$AD$149),TEXT(Checks!$AD$149,"DD-MMM-YY HH:MM")&amp;" "&amp;Checks!$P$149,"")&amp;IF(Checks!$AE$149="","",CHAR(10)&amp;"Verifier: "&amp;Checks!$AE$149)&amp;IF(Checks!$T$149="","",CHAR(10)&amp;"PIC: "&amp;Checks!$T$149)</f>
        <v/>
      </c>
      <c r="H38" s="114" t="str">
        <f aca="false">IF(Checks!$AH$149="","",Checks!$AH$149)</f>
        <v>OPEN</v>
      </c>
    </row>
    <row r="39" customFormat="false" ht="114" hidden="false" customHeight="true" outlineLevel="0" collapsed="false">
      <c r="A39" s="113" t="str">
        <f aca="false">Checks!$A$150&amp;CHAR(10)&amp;IF(Checks!$I$150="","",Checks!$I$150&amp;": ")&amp;Checks!$J$150</f>
        <v>F05-T12-03
Equipment: Equipment cleanliness vs GLD</v>
      </c>
      <c r="B39" s="113" t="str">
        <f aca="false">Checks!$K$150&amp;IF(Checks!$O$150="","",IF(Checks!$K$150="","",CHAR(10))&amp;"Note: "&amp;Checks!$O$150)</f>
        <v>Note: Preparation check at caterer - does NOT confirm loading.</v>
      </c>
      <c r="C39" s="113" t="str">
        <f aca="false">Checks!$N$150&amp;CHAR(10)&amp;IF(ISNUMBER(Checks!$R$150),TEXT(Checks!$R$150,"DD-MMM-YY HH:MM"),"")&amp;" "&amp;Checks!$P$150</f>
        <v>Required
14-Oct-26 22:05 NRT</v>
      </c>
      <c r="D39" s="113" t="str">
        <f aca="false">IF(Checks!$U$150="","",Checks!$U$150)&amp;IF(Checks!$AB$150="","",CHAR(10)&amp;"CA: "&amp;Checks!$AB$150)</f>
        <v/>
      </c>
      <c r="E39" s="113" t="str">
        <f aca="false">IF(Checks!$V$150="","",Checks!$V$150)&amp;IF(Checks!$AC$150="","",IF(Checks!$V$150="","",CHAR(10))&amp;"N/A just.: "&amp;Checks!$AC$150)&amp;IF(Checks!$W$150="","",CHAR(10)&amp;"Batch: "&amp;Checks!$W$150)&amp;IF(AND(Checks!$X$150="",Checks!$Y$150=""),"",CHAR(10)&amp;"Exp: "&amp;Checks!$X$150&amp;"  /  Act: "&amp;Checks!$Y$150)</f>
        <v/>
      </c>
      <c r="F39" s="113" t="str">
        <f aca="false">IF(Checks!$Z$150="","","Evidence: "&amp;Checks!$Z$150)&amp;IF(Checks!$AA$150="","",IF(Checks!$Z$150="","",CHAR(10))&amp;"CA: "&amp;Checks!$AA$150)</f>
        <v/>
      </c>
      <c r="G39" s="113" t="str">
        <f aca="false">IF(ISNUMBER(Checks!$AD$150),TEXT(Checks!$AD$150,"DD-MMM-YY HH:MM")&amp;" "&amp;Checks!$P$150,"")&amp;IF(Checks!$AE$150="","",CHAR(10)&amp;"Verifier: "&amp;Checks!$AE$150)&amp;IF(Checks!$T$150="","",CHAR(10)&amp;"PIC: "&amp;Checks!$T$150)</f>
        <v/>
      </c>
      <c r="H39" s="114" t="str">
        <f aca="false">IF(Checks!$AH$150="","",Checks!$AH$150)</f>
        <v>OPEN</v>
      </c>
    </row>
    <row r="40" customFormat="false" ht="114" hidden="false" customHeight="true" outlineLevel="0" collapsed="false">
      <c r="A40" s="113" t="str">
        <f aca="false">Checks!$A$151&amp;CHAR(10)&amp;IF(Checks!$I$151="","",Checks!$I$151&amp;": ")&amp;Checks!$J$151</f>
        <v>F05-T12-04
Equipment: Equipment presentation vs GLD</v>
      </c>
      <c r="B40" s="113" t="str">
        <f aca="false">Checks!$K$151&amp;IF(Checks!$O$151="","",IF(Checks!$K$151="","",CHAR(10))&amp;"Note: "&amp;Checks!$O$151)</f>
        <v>Note: Preparation check at caterer - does NOT confirm loading.</v>
      </c>
      <c r="C40" s="113" t="str">
        <f aca="false">Checks!$N$151&amp;CHAR(10)&amp;IF(ISNUMBER(Checks!$R$151),TEXT(Checks!$R$151,"DD-MMM-YY HH:MM"),"")&amp;" "&amp;Checks!$P$151</f>
        <v>Required
14-Oct-26 22:05 NRT</v>
      </c>
      <c r="D40" s="113" t="str">
        <f aca="false">IF(Checks!$U$151="","",Checks!$U$151)&amp;IF(Checks!$AB$151="","",CHAR(10)&amp;"CA: "&amp;Checks!$AB$151)</f>
        <v/>
      </c>
      <c r="E40" s="113" t="str">
        <f aca="false">IF(Checks!$V$151="","",Checks!$V$151)&amp;IF(Checks!$AC$151="","",IF(Checks!$V$151="","",CHAR(10))&amp;"N/A just.: "&amp;Checks!$AC$151)&amp;IF(Checks!$W$151="","",CHAR(10)&amp;"Batch: "&amp;Checks!$W$151)&amp;IF(AND(Checks!$X$151="",Checks!$Y$151=""),"",CHAR(10)&amp;"Exp: "&amp;Checks!$X$151&amp;"  /  Act: "&amp;Checks!$Y$151)</f>
        <v/>
      </c>
      <c r="F40" s="113" t="str">
        <f aca="false">IF(Checks!$Z$151="","","Evidence: "&amp;Checks!$Z$151)&amp;IF(Checks!$AA$151="","",IF(Checks!$Z$151="","",CHAR(10))&amp;"CA: "&amp;Checks!$AA$151)</f>
        <v/>
      </c>
      <c r="G40" s="113" t="str">
        <f aca="false">IF(ISNUMBER(Checks!$AD$151),TEXT(Checks!$AD$151,"DD-MMM-YY HH:MM")&amp;" "&amp;Checks!$P$151,"")&amp;IF(Checks!$AE$151="","",CHAR(10)&amp;"Verifier: "&amp;Checks!$AE$151)&amp;IF(Checks!$T$151="","",CHAR(10)&amp;"PIC: "&amp;Checks!$T$151)</f>
        <v/>
      </c>
      <c r="H40" s="114" t="str">
        <f aca="false">IF(Checks!$AH$151="","",Checks!$AH$151)</f>
        <v>OPEN</v>
      </c>
    </row>
    <row r="41" customFormat="false" ht="114" hidden="false" customHeight="true" outlineLevel="0" collapsed="false">
      <c r="A41" s="113" t="str">
        <f aca="false">Checks!$A$152&amp;CHAR(10)&amp;IF(Checks!$I$152="","",Checks!$I$152&amp;": ")&amp;Checks!$J$152</f>
        <v>F05-T12-05
Equipment: Equipment serviceability vs GLD</v>
      </c>
      <c r="B41" s="113" t="str">
        <f aca="false">Checks!$K$152&amp;IF(Checks!$O$152="","",IF(Checks!$K$152="","",CHAR(10))&amp;"Note: "&amp;Checks!$O$152)</f>
        <v>Note: Preparation check at caterer - does NOT confirm loading.</v>
      </c>
      <c r="C41" s="113" t="str">
        <f aca="false">Checks!$N$152&amp;CHAR(10)&amp;IF(ISNUMBER(Checks!$R$152),TEXT(Checks!$R$152,"DD-MMM-YY HH:MM"),"")&amp;" "&amp;Checks!$P$152</f>
        <v>Required
14-Oct-26 22:05 NRT</v>
      </c>
      <c r="D41" s="113" t="str">
        <f aca="false">IF(Checks!$U$152="","",Checks!$U$152)&amp;IF(Checks!$AB$152="","",CHAR(10)&amp;"CA: "&amp;Checks!$AB$152)</f>
        <v/>
      </c>
      <c r="E41" s="113" t="str">
        <f aca="false">IF(Checks!$V$152="","",Checks!$V$152)&amp;IF(Checks!$AC$152="","",IF(Checks!$V$152="","",CHAR(10))&amp;"N/A just.: "&amp;Checks!$AC$152)&amp;IF(Checks!$W$152="","",CHAR(10)&amp;"Batch: "&amp;Checks!$W$152)&amp;IF(AND(Checks!$X$152="",Checks!$Y$152=""),"",CHAR(10)&amp;"Exp: "&amp;Checks!$X$152&amp;"  /  Act: "&amp;Checks!$Y$152)</f>
        <v/>
      </c>
      <c r="F41" s="113" t="str">
        <f aca="false">IF(Checks!$Z$152="","","Evidence: "&amp;Checks!$Z$152)&amp;IF(Checks!$AA$152="","",IF(Checks!$Z$152="","",CHAR(10))&amp;"CA: "&amp;Checks!$AA$152)</f>
        <v/>
      </c>
      <c r="G41" s="113" t="str">
        <f aca="false">IF(ISNUMBER(Checks!$AD$152),TEXT(Checks!$AD$152,"DD-MMM-YY HH:MM")&amp;" "&amp;Checks!$P$152,"")&amp;IF(Checks!$AE$152="","",CHAR(10)&amp;"Verifier: "&amp;Checks!$AE$152)&amp;IF(Checks!$T$152="","",CHAR(10)&amp;"PIC: "&amp;Checks!$T$152)</f>
        <v/>
      </c>
      <c r="H41" s="114" t="str">
        <f aca="false">IF(Checks!$AH$152="","",Checks!$AH$152)</f>
        <v>OPEN</v>
      </c>
    </row>
    <row r="42" customFormat="false" ht="322.5" hidden="false" customHeight="true" outlineLevel="0" collapsed="false">
      <c r="A42" s="113" t="str">
        <f aca="false">Checks!$A$153&amp;CHAR(10)&amp;IF(Checks!$I$153="","",Checks!$I$153&amp;": ")&amp;Checks!$J$153</f>
        <v>F05-T12-06
Equipment: Equipment quantities vs GLD</v>
      </c>
      <c r="B42" s="113" t="str">
        <f aca="false">SUBSTITUTE(Checks!$K$153&amp;IF(Checks!$O$153="","",IF(Checks!$K$153="","",CHAR(10))&amp;"Note: "&amp;Checks!$O$153),"AIRCRAFT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3" t="str">
        <f aca="false">Checks!$N$153&amp;CHAR(10)&amp;IF(ISNUMBER(Checks!$R$153),TEXT(Checks!$R$153,"DD-MMM-YY HH:MM"),"")&amp;" "&amp;Checks!$P$153</f>
        <v>Required
14-Oct-26 22:05 NRT</v>
      </c>
      <c r="D42" s="113" t="str">
        <f aca="false">IF(Checks!$U$153="","",Checks!$U$153)&amp;IF(Checks!$AB$153="","",CHAR(10)&amp;"CA: "&amp;Checks!$AB$153)</f>
        <v/>
      </c>
      <c r="E42" s="113" t="str">
        <f aca="false">IF(Checks!$V$153="","",Checks!$V$153)&amp;IF(Checks!$AC$153="","",IF(Checks!$V$153="","",CHAR(10))&amp;"N/A just.: "&amp;Checks!$AC$153)&amp;IF(Checks!$W$153="","",CHAR(10)&amp;"Batch: "&amp;Checks!$W$153)&amp;IF(AND(Checks!$X$153="",Checks!$Y$153=""),"",CHAR(10)&amp;"Exp: "&amp;Checks!$X$153&amp;"  /  Act: "&amp;Checks!$Y$153)</f>
        <v/>
      </c>
      <c r="F42" s="113" t="str">
        <f aca="false">IF(Checks!$Z$153="","","Evidence: "&amp;Checks!$Z$153)&amp;IF(Checks!$AA$153="","",IF(Checks!$Z$153="","",CHAR(10))&amp;"CA: "&amp;Checks!$AA$153)</f>
        <v/>
      </c>
      <c r="G42" s="113" t="str">
        <f aca="false">IF(ISNUMBER(Checks!$AD$153),TEXT(Checks!$AD$153,"DD-MMM-YY HH:MM")&amp;" "&amp;Checks!$P$153,"")&amp;IF(Checks!$AE$153="","",CHAR(10)&amp;"Verifier: "&amp;Checks!$AE$153)&amp;IF(Checks!$T$153="","",CHAR(10)&amp;"PIC: "&amp;Checks!$T$153)</f>
        <v/>
      </c>
      <c r="H42" s="114" t="str">
        <f aca="false">IF(Checks!$AH$153="","",Checks!$AH$153)</f>
        <v>OPEN</v>
      </c>
    </row>
    <row r="43" customFormat="false" ht="114" hidden="false" customHeight="true" outlineLevel="0" collapsed="false">
      <c r="A43" s="113" t="str">
        <f aca="false">Checks!$A$154&amp;CHAR(10)&amp;IF(Checks!$I$154="","",Checks!$I$154&amp;": ")&amp;Checks!$J$154</f>
        <v>F05-T12-07
Equipment: Loading positions planned vs GLD</v>
      </c>
      <c r="B43" s="113" t="str">
        <f aca="false">Checks!$K$154&amp;IF(Checks!$O$154="","",IF(Checks!$K$154="","",CHAR(10))&amp;"Note: "&amp;Checks!$O$154)</f>
        <v>Note: Preparation check at caterer - does NOT confirm loading.</v>
      </c>
      <c r="C43" s="113" t="str">
        <f aca="false">Checks!$N$154&amp;CHAR(10)&amp;IF(ISNUMBER(Checks!$R$154),TEXT(Checks!$R$154,"DD-MMM-YY HH:MM"),"")&amp;" "&amp;Checks!$P$154</f>
        <v>Required
14-Oct-26 22:05 NRT</v>
      </c>
      <c r="D43" s="113" t="str">
        <f aca="false">IF(Checks!$U$154="","",Checks!$U$154)&amp;IF(Checks!$AB$154="","",CHAR(10)&amp;"CA: "&amp;Checks!$AB$154)</f>
        <v/>
      </c>
      <c r="E43" s="113" t="str">
        <f aca="false">IF(Checks!$V$154="","",Checks!$V$154)&amp;IF(Checks!$AC$154="","",IF(Checks!$V$154="","",CHAR(10))&amp;"N/A just.: "&amp;Checks!$AC$154)&amp;IF(Checks!$W$154="","",CHAR(10)&amp;"Batch: "&amp;Checks!$W$154)&amp;IF(AND(Checks!$X$154="",Checks!$Y$154=""),"",CHAR(10)&amp;"Exp: "&amp;Checks!$X$154&amp;"  /  Act: "&amp;Checks!$Y$154)</f>
        <v/>
      </c>
      <c r="F43" s="113" t="str">
        <f aca="false">IF(Checks!$Z$154="","","Evidence: "&amp;Checks!$Z$154)&amp;IF(Checks!$AA$154="","",IF(Checks!$Z$154="","",CHAR(10))&amp;"CA: "&amp;Checks!$AA$154)</f>
        <v/>
      </c>
      <c r="G43" s="113" t="str">
        <f aca="false">IF(ISNUMBER(Checks!$AD$154),TEXT(Checks!$AD$154,"DD-MMM-YY HH:MM")&amp;" "&amp;Checks!$P$154,"")&amp;IF(Checks!$AE$154="","",CHAR(10)&amp;"Verifier: "&amp;Checks!$AE$154)&amp;IF(Checks!$T$154="","",CHAR(10)&amp;"PIC: "&amp;Checks!$T$154)</f>
        <v/>
      </c>
      <c r="H43" s="114" t="str">
        <f aca="false">IF(Checks!$AH$154="","",Checks!$AH$154)</f>
        <v>OPEN</v>
      </c>
    </row>
    <row r="44" customFormat="false" ht="213" hidden="false" customHeight="true" outlineLevel="0" collapsed="false">
      <c r="A44" s="113" t="str">
        <f aca="false">Checks!$A$155&amp;CHAR(10)&amp;IF(Checks!$I$155="","",Checks!$I$155&amp;": ")&amp;Checks!$J$155</f>
        <v>F05-T12-08
Amenities: Toiletry kits - prepared</v>
      </c>
      <c r="B44" s="113"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44" s="113" t="str">
        <f aca="false">Checks!$N$155&amp;CHAR(10)&amp;IF(ISNUMBER(Checks!$R$155),TEXT(Checks!$R$155,"DD-MMM-YY HH:MM"),"")&amp;" "&amp;Checks!$P$155</f>
        <v>Clarification required
10-Oct-26 17:30 KUL</v>
      </c>
      <c r="D44" s="113" t="str">
        <f aca="false">IF(Checks!$U$155="","",Checks!$U$155)&amp;IF(Checks!$AB$155="","",CHAR(10)&amp;"CA: "&amp;Checks!$AB$155)</f>
        <v/>
      </c>
      <c r="E44" s="113" t="str">
        <f aca="false">IF(Checks!$V$155="","",Checks!$V$155)&amp;IF(Checks!$AC$155="","",IF(Checks!$V$155="","",CHAR(10))&amp;"N/A just.: "&amp;Checks!$AC$155)&amp;IF(Checks!$W$155="","",CHAR(10)&amp;"Batch: "&amp;Checks!$W$155)&amp;IF(AND(Checks!$X$155="",Checks!$Y$155=""),"",CHAR(10)&amp;"Exp: "&amp;Checks!$X$155&amp;"  /  Act: "&amp;Checks!$Y$155)</f>
        <v/>
      </c>
      <c r="F44" s="113" t="str">
        <f aca="false">IF(Checks!$Z$155="","","Evidence: "&amp;Checks!$Z$155)&amp;IF(Checks!$AA$155="","",IF(Checks!$Z$155="","",CHAR(10))&amp;"CA: "&amp;Checks!$AA$155)</f>
        <v/>
      </c>
      <c r="G44" s="113" t="str">
        <f aca="false">IF(ISNUMBER(Checks!$AD$155),TEXT(Checks!$AD$155,"DD-MMM-YY HH:MM")&amp;" "&amp;Checks!$P$155,"")&amp;IF(Checks!$AE$155="","",CHAR(10)&amp;"Verifier: "&amp;Checks!$AE$155)&amp;IF(Checks!$T$155="","",CHAR(10)&amp;"PIC: "&amp;Checks!$T$155)</f>
        <v/>
      </c>
      <c r="H44" s="114" t="str">
        <f aca="false">IF(Checks!$AH$155="","",Checks!$AH$155)</f>
        <v>OPEN – CLARIFICATION</v>
      </c>
    </row>
    <row r="45" customFormat="false" ht="114" hidden="false" customHeight="true" outlineLevel="0" collapsed="false">
      <c r="A45" s="113" t="str">
        <f aca="false">Checks!$A$156&amp;CHAR(10)&amp;IF(Checks!$I$156="","",Checks!$I$156&amp;": ")&amp;Checks!$J$156</f>
        <v>F05-T12-09
Seat Linen: Seat pillow (EY) - prepared</v>
      </c>
      <c r="B45" s="113" t="str">
        <f aca="false">Checks!$K$156&amp;IF(Checks!$O$156="","",IF(Checks!$K$156="","",CHAR(10))&amp;"Note: "&amp;Checks!$O$156)</f>
        <v>Available 100% (ticked in reference)
Note: Reference gives no uplift stn for this item: preparation checked at the meal uplift stn (NRT) - confirm with caterer.</v>
      </c>
      <c r="C45" s="113" t="str">
        <f aca="false">Checks!$N$156&amp;CHAR(10)&amp;IF(ISNUMBER(Checks!$R$156),TEXT(Checks!$R$156,"DD-MMM-YY HH:MM"),"")&amp;" "&amp;Checks!$P$156</f>
        <v>Required
14-Oct-26 22:05 NRT</v>
      </c>
      <c r="D45" s="113" t="str">
        <f aca="false">IF(Checks!$U$156="","",Checks!$U$156)&amp;IF(Checks!$AB$156="","",CHAR(10)&amp;"CA: "&amp;Checks!$AB$156)</f>
        <v/>
      </c>
      <c r="E45" s="113" t="str">
        <f aca="false">IF(Checks!$V$156="","",Checks!$V$156)&amp;IF(Checks!$AC$156="","",IF(Checks!$V$156="","",CHAR(10))&amp;"N/A just.: "&amp;Checks!$AC$156)&amp;IF(Checks!$W$156="","",CHAR(10)&amp;"Batch: "&amp;Checks!$W$156)&amp;IF(AND(Checks!$X$156="",Checks!$Y$156=""),"",CHAR(10)&amp;"Exp: "&amp;Checks!$X$156&amp;"  /  Act: "&amp;Checks!$Y$156)</f>
        <v/>
      </c>
      <c r="F45" s="113" t="str">
        <f aca="false">IF(Checks!$Z$156="","","Evidence: "&amp;Checks!$Z$156)&amp;IF(Checks!$AA$156="","",IF(Checks!$Z$156="","",CHAR(10))&amp;"CA: "&amp;Checks!$AA$156)</f>
        <v/>
      </c>
      <c r="G45" s="113" t="str">
        <f aca="false">IF(ISNUMBER(Checks!$AD$156),TEXT(Checks!$AD$156,"DD-MMM-YY HH:MM")&amp;" "&amp;Checks!$P$156,"")&amp;IF(Checks!$AE$156="","",CHAR(10)&amp;"Verifier: "&amp;Checks!$AE$156)&amp;IF(Checks!$T$156="","",CHAR(10)&amp;"PIC: "&amp;Checks!$T$156)</f>
        <v/>
      </c>
      <c r="H45" s="114" t="str">
        <f aca="false">IF(Checks!$AH$156="","",Checks!$AH$156)</f>
        <v>OPEN</v>
      </c>
    </row>
    <row r="46" customFormat="false" ht="246" hidden="false" customHeight="true" outlineLevel="0" collapsed="false">
      <c r="A46" s="113" t="str">
        <f aca="false">Checks!$A$157&amp;CHAR(10)&amp;IF(Checks!$I$157="","",Checks!$I$157&amp;": ")&amp;Checks!$J$157</f>
        <v>F05-T12-10
Seat Linen: Blanket (EY) - prepared</v>
      </c>
      <c r="B46" s="113" t="str">
        <f aca="false">SUBSTITUTE(Checks!$K$157&amp;IF(Checks!$O$157="","",IF(Checks!$K$157="","",CHAR(10))&amp;"Note: "&amp;Checks!$O$157),"SEAT LINEN!","Ref: SEAT LINEN!")</f>
        <v>Available 100% (ticked in reference); qty 280 (A350 9M-MAH) / 260 (A359) - per tail
Note: EY blanket: flight above 3 hours excl. Regional (Ref: SEAT LINEN!B74:C74); block 7.67 h. Qty per tail: A350 280 pcs (Ref: SEAT LINEN!B76:C76), A359 260 pcs (Ref: SEAT LINEN!B77:C77). Reference gives no uplift stn for this item: preparation checked at the meal uplift stn (NRT) - confirm with caterer.</v>
      </c>
      <c r="C46" s="113" t="str">
        <f aca="false">Checks!$N$157&amp;CHAR(10)&amp;IF(ISNUMBER(Checks!$R$157),TEXT(Checks!$R$157,"DD-MMM-YY HH:MM"),"")&amp;" "&amp;Checks!$P$157</f>
        <v>Required
14-Oct-26 22:05 NRT</v>
      </c>
      <c r="D46" s="113" t="str">
        <f aca="false">IF(Checks!$U$157="","",Checks!$U$157)&amp;IF(Checks!$AB$157="","",CHAR(10)&amp;"CA: "&amp;Checks!$AB$157)</f>
        <v/>
      </c>
      <c r="E46" s="113" t="str">
        <f aca="false">IF(Checks!$V$157="","",Checks!$V$157)&amp;IF(Checks!$AC$157="","",IF(Checks!$V$157="","",CHAR(10))&amp;"N/A just.: "&amp;Checks!$AC$157)&amp;IF(Checks!$W$157="","",CHAR(10)&amp;"Batch: "&amp;Checks!$W$157)&amp;IF(AND(Checks!$X$157="",Checks!$Y$157=""),"",CHAR(10)&amp;"Exp: "&amp;Checks!$X$157&amp;"  /  Act: "&amp;Checks!$Y$157)</f>
        <v/>
      </c>
      <c r="F46" s="113" t="str">
        <f aca="false">IF(Checks!$Z$157="","","Evidence: "&amp;Checks!$Z$157)&amp;IF(Checks!$AA$157="","",IF(Checks!$Z$157="","",CHAR(10))&amp;"CA: "&amp;Checks!$AA$157)</f>
        <v/>
      </c>
      <c r="G46" s="113" t="str">
        <f aca="false">IF(ISNUMBER(Checks!$AD$157),TEXT(Checks!$AD$157,"DD-MMM-YY HH:MM")&amp;" "&amp;Checks!$P$157,"")&amp;IF(Checks!$AE$157="","",CHAR(10)&amp;"Verifier: "&amp;Checks!$AE$157)&amp;IF(Checks!$T$157="","",CHAR(10)&amp;"PIC: "&amp;Checks!$T$157)</f>
        <v/>
      </c>
      <c r="H46" s="114" t="str">
        <f aca="false">IF(Checks!$AH$157="","",Checks!$AH$157)</f>
        <v>OPEN</v>
      </c>
    </row>
    <row r="47" customFormat="false" ht="256.5" hidden="false" customHeight="true" outlineLevel="0" collapsed="false">
      <c r="A47" s="113" t="str">
        <f aca="false">Checks!$A$158&amp;CHAR(10)&amp;IF(Checks!$I$158="","",Checks!$I$158&amp;": ")&amp;Checks!$J$158</f>
        <v>F05-T12-11
Sales Cart: Sales cart (caterer PASB) - prepared</v>
      </c>
      <c r="B47" s="113"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13" t="str">
        <f aca="false">Checks!$N$158&amp;CHAR(10)&amp;IF(ISNUMBER(Checks!$R$158),TEXT(Checks!$R$158,"DD-MMM-YY HH:MM"),"")&amp;" "&amp;Checks!$P$158</f>
        <v>Clarification required
14-Oct-26 22:05 NRT</v>
      </c>
      <c r="D47" s="113" t="str">
        <f aca="false">IF(Checks!$U$158="","",Checks!$U$158)&amp;IF(Checks!$AB$158="","",CHAR(10)&amp;"CA: "&amp;Checks!$AB$158)</f>
        <v/>
      </c>
      <c r="E47" s="113" t="str">
        <f aca="false">IF(Checks!$V$158="","",Checks!$V$158)&amp;IF(Checks!$AC$158="","",IF(Checks!$V$158="","",CHAR(10))&amp;"N/A just.: "&amp;Checks!$AC$158)&amp;IF(Checks!$W$158="","",CHAR(10)&amp;"Batch: "&amp;Checks!$W$158)&amp;IF(AND(Checks!$X$158="",Checks!$Y$158=""),"",CHAR(10)&amp;"Exp: "&amp;Checks!$X$158&amp;"  /  Act: "&amp;Checks!$Y$158)</f>
        <v/>
      </c>
      <c r="F47" s="113" t="str">
        <f aca="false">IF(Checks!$Z$158="","","Evidence: "&amp;Checks!$Z$158)&amp;IF(Checks!$AA$158="","",IF(Checks!$Z$158="","",CHAR(10))&amp;"CA: "&amp;Checks!$AA$158)</f>
        <v/>
      </c>
      <c r="G47" s="113" t="str">
        <f aca="false">IF(ISNUMBER(Checks!$AD$158),TEXT(Checks!$AD$158,"DD-MMM-YY HH:MM")&amp;" "&amp;Checks!$P$158,"")&amp;IF(Checks!$AE$158="","",CHAR(10)&amp;"Verifier: "&amp;Checks!$AE$158)&amp;IF(Checks!$T$158="","",CHAR(10)&amp;"PIC: "&amp;Checks!$T$158)</f>
        <v/>
      </c>
      <c r="H47" s="114" t="str">
        <f aca="false">IF(Checks!$AH$158="","",Checks!$AH$158)</f>
        <v>OPEN – CLARIFICATION</v>
      </c>
    </row>
    <row r="48" customFormat="false" ht="25.5" hidden="false" customHeight="true" outlineLevel="0" collapsed="false">
      <c r="A48" s="112"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2"/>
      <c r="C48" s="112"/>
      <c r="D48" s="112"/>
      <c r="E48" s="112"/>
      <c r="F48" s="112"/>
      <c r="G48" s="112"/>
      <c r="H48" s="112"/>
    </row>
    <row r="49" customFormat="false" ht="114" hidden="false" customHeight="true" outlineLevel="0" collapsed="false">
      <c r="A49" s="113" t="str">
        <f aca="false">Checks!$A$159&amp;CHAR(10)&amp;IF(Checks!$I$159="","",Checks!$I$159&amp;": ")&amp;Checks!$J$159</f>
        <v>F05-UPL-01
Meal: Meals physically uplifted on board - quantity vs menu checklist</v>
      </c>
      <c r="B49" s="113" t="str">
        <f aca="false">Checks!$K$159&amp;IF(Checks!$O$159="","",IF(Checks!$K$159="","",CHAR(10))&amp;"Note: "&amp;Checks!$O$159)</f>
        <v>Enter expected &amp; actual
Note: Confirm on board before departure; completion time must fall inside the uplift window.</v>
      </c>
      <c r="C49" s="113" t="str">
        <f aca="false">Checks!$N$159&amp;CHAR(10)&amp;IF(ISNUMBER(Checks!$R$159),TEXT(Checks!$R$159,"DD-MMM-YY HH:MM"),"")&amp;" "&amp;Checks!$P$159</f>
        <v>Required
15-Oct-26 10:05 NRT</v>
      </c>
      <c r="D49" s="113" t="str">
        <f aca="false">IF(Checks!$U$159="","",Checks!$U$159)&amp;IF(Checks!$AB$159="","",CHAR(10)&amp;"CA: "&amp;Checks!$AB$159)</f>
        <v/>
      </c>
      <c r="E49" s="113" t="str">
        <f aca="false">IF(Checks!$V$159="","",Checks!$V$159)&amp;IF(Checks!$AC$159="","",IF(Checks!$V$159="","",CHAR(10))&amp;"N/A just.: "&amp;Checks!$AC$159)&amp;IF(Checks!$W$159="","",CHAR(10)&amp;"Batch: "&amp;Checks!$W$159)&amp;IF(AND(Checks!$X$159="",Checks!$Y$159=""),"",CHAR(10)&amp;"Exp: "&amp;Checks!$X$159&amp;"  /  Act: "&amp;Checks!$Y$159)</f>
        <v/>
      </c>
      <c r="F49" s="113" t="str">
        <f aca="false">IF(Checks!$Z$159="","","Evidence: "&amp;Checks!$Z$159)&amp;IF(Checks!$AA$159="","",IF(Checks!$Z$159="","",CHAR(10))&amp;"CA: "&amp;Checks!$AA$159)</f>
        <v/>
      </c>
      <c r="G49" s="113" t="str">
        <f aca="false">IF(ISNUMBER(Checks!$AD$159),TEXT(Checks!$AD$159,"DD-MMM-YY HH:MM")&amp;" "&amp;Checks!$P$159,"")&amp;IF(Checks!$AE$159="","",CHAR(10)&amp;"Verifier: "&amp;Checks!$AE$159)&amp;IF(Checks!$T$159="","",CHAR(10)&amp;"PIC: "&amp;Checks!$T$159)</f>
        <v/>
      </c>
      <c r="H49" s="114" t="str">
        <f aca="false">IF(Checks!$AH$159="","",Checks!$AH$159)</f>
        <v>OPEN</v>
      </c>
    </row>
    <row r="50" customFormat="false" ht="114" hidden="false" customHeight="true" outlineLevel="0" collapsed="false">
      <c r="A50" s="113" t="str">
        <f aca="false">Checks!$A$160&amp;CHAR(10)&amp;IF(Checks!$I$160="","",Checks!$I$160&amp;": ")&amp;Checks!$J$160</f>
        <v>F05-UPL-02
Equipment: Equipment physically loaded at GLD positions - quantity &amp; positions</v>
      </c>
      <c r="B50" s="113" t="str">
        <f aca="false">Checks!$K$160&amp;IF(Checks!$O$160="","",IF(Checks!$K$160="","",CHAR(10))&amp;"Note: "&amp;Checks!$O$160)</f>
        <v>Enter expected &amp; actual
Note: Confirm on board before departure; completion time must fall inside the uplift window.</v>
      </c>
      <c r="C50" s="113" t="str">
        <f aca="false">Checks!$N$160&amp;CHAR(10)&amp;IF(ISNUMBER(Checks!$R$160),TEXT(Checks!$R$160,"DD-MMM-YY HH:MM"),"")&amp;" "&amp;Checks!$P$160</f>
        <v>Required
15-Oct-26 10:05 NRT</v>
      </c>
      <c r="D50" s="113" t="str">
        <f aca="false">IF(Checks!$U$160="","",Checks!$U$160)&amp;IF(Checks!$AB$160="","",CHAR(10)&amp;"CA: "&amp;Checks!$AB$160)</f>
        <v/>
      </c>
      <c r="E50" s="113" t="str">
        <f aca="false">IF(Checks!$V$160="","",Checks!$V$160)&amp;IF(Checks!$AC$160="","",IF(Checks!$V$160="","",CHAR(10))&amp;"N/A just.: "&amp;Checks!$AC$160)&amp;IF(Checks!$W$160="","",CHAR(10)&amp;"Batch: "&amp;Checks!$W$160)&amp;IF(AND(Checks!$X$160="",Checks!$Y$160=""),"",CHAR(10)&amp;"Exp: "&amp;Checks!$X$160&amp;"  /  Act: "&amp;Checks!$Y$160)</f>
        <v/>
      </c>
      <c r="F50" s="113" t="str">
        <f aca="false">IF(Checks!$Z$160="","","Evidence: "&amp;Checks!$Z$160)&amp;IF(Checks!$AA$160="","",IF(Checks!$Z$160="","",CHAR(10))&amp;"CA: "&amp;Checks!$AA$160)</f>
        <v/>
      </c>
      <c r="G50" s="113" t="str">
        <f aca="false">IF(ISNUMBER(Checks!$AD$160),TEXT(Checks!$AD$160,"DD-MMM-YY HH:MM")&amp;" "&amp;Checks!$P$160,"")&amp;IF(Checks!$AE$160="","",CHAR(10)&amp;"Verifier: "&amp;Checks!$AE$160)&amp;IF(Checks!$T$160="","",CHAR(10)&amp;"PIC: "&amp;Checks!$T$160)</f>
        <v/>
      </c>
      <c r="H50" s="114" t="str">
        <f aca="false">IF(Checks!$AH$160="","",Checks!$AH$160)</f>
        <v>OPEN</v>
      </c>
    </row>
    <row r="51" customFormat="false" ht="114" hidden="false" customHeight="true" outlineLevel="0" collapsed="false">
      <c r="A51" s="113" t="str">
        <f aca="false">Checks!$A$161&amp;CHAR(10)&amp;IF(Checks!$I$161="","",Checks!$I$161&amp;": ")&amp;Checks!$J$161</f>
        <v>F05-UPL-03
Uplift plan: KUL-sourced items physically loaded at KUL on the inbound KUL-NRT flight</v>
      </c>
      <c r="B51" s="113" t="str">
        <f aca="false">Checks!$K$161&amp;IF(Checks!$O$161="","",IF(Checks!$K$161="","",CHAR(10))&amp;"Note: "&amp;Checks!$O$161)</f>
        <v>Items: Toiletry kits. Quantities as per Requirements
Note: Confirmed at KUL inside the uplift window before the carrying flight's KUL departure (Flights AX).</v>
      </c>
      <c r="C51" s="113" t="str">
        <f aca="false">Checks!$N$161&amp;CHAR(10)&amp;IF(ISNUMBER(Checks!$R$161),TEXT(Checks!$R$161,"DD-MMM-YY HH:MM"),"")&amp;" "&amp;Checks!$P$161</f>
        <v>Required
10-Oct-26 23:30 KUL</v>
      </c>
      <c r="D51" s="113" t="str">
        <f aca="false">IF(Checks!$U$161="","",Checks!$U$161)&amp;IF(Checks!$AB$161="","",CHAR(10)&amp;"CA: "&amp;Checks!$AB$161)</f>
        <v/>
      </c>
      <c r="E51" s="113" t="str">
        <f aca="false">IF(Checks!$V$161="","",Checks!$V$161)&amp;IF(Checks!$AC$161="","",IF(Checks!$V$161="","",CHAR(10))&amp;"N/A just.: "&amp;Checks!$AC$161)&amp;IF(Checks!$W$161="","",CHAR(10)&amp;"Batch: "&amp;Checks!$W$161)&amp;IF(AND(Checks!$X$161="",Checks!$Y$161=""),"",CHAR(10)&amp;"Exp: "&amp;Checks!$X$161&amp;"  /  Act: "&amp;Checks!$Y$161)</f>
        <v/>
      </c>
      <c r="F51" s="113" t="str">
        <f aca="false">IF(Checks!$Z$161="","","Evidence: "&amp;Checks!$Z$161)&amp;IF(Checks!$AA$161="","",IF(Checks!$Z$161="","",CHAR(10))&amp;"CA: "&amp;Checks!$AA$161)</f>
        <v/>
      </c>
      <c r="G51" s="113" t="str">
        <f aca="false">IF(ISNUMBER(Checks!$AD$161),TEXT(Checks!$AD$161,"DD-MMM-YY HH:MM")&amp;" "&amp;Checks!$P$161,"")&amp;IF(Checks!$AE$161="","",CHAR(10)&amp;"Verifier: "&amp;Checks!$AE$161)&amp;IF(Checks!$T$161="","",CHAR(10)&amp;"PIC: "&amp;Checks!$T$161)</f>
        <v/>
      </c>
      <c r="H51" s="114" t="str">
        <f aca="false">IF(Checks!$AH$161="","",Checks!$AH$161)</f>
        <v>OPEN</v>
      </c>
    </row>
    <row r="52" customFormat="false" ht="135.75" hidden="false" customHeight="true" outlineLevel="0" collapsed="false">
      <c r="A52" s="113" t="str">
        <f aca="false">Checks!$A$162&amp;CHAR(10)&amp;IF(Checks!$I$162="","",Checks!$I$162&amp;": ")&amp;Checks!$J$162</f>
        <v>F05-UPL-04
Amenities: Toiletry kits - on board</v>
      </c>
      <c r="B52" s="113"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13" t="str">
        <f aca="false">Checks!$N$162&amp;CHAR(10)&amp;IF(ISNUMBER(Checks!$R$162),TEXT(Checks!$R$162,"DD-MMM-YY HH:MM"),"")&amp;" "&amp;Checks!$P$162</f>
        <v>Clarification required
15-Oct-26 10:05 NRT</v>
      </c>
      <c r="D52" s="113" t="str">
        <f aca="false">IF(Checks!$U$162="","",Checks!$U$162)&amp;IF(Checks!$AB$162="","",CHAR(10)&amp;"CA: "&amp;Checks!$AB$162)</f>
        <v/>
      </c>
      <c r="E52" s="113" t="str">
        <f aca="false">IF(Checks!$V$162="","",Checks!$V$162)&amp;IF(Checks!$AC$162="","",IF(Checks!$V$162="","",CHAR(10))&amp;"N/A just.: "&amp;Checks!$AC$162)&amp;IF(Checks!$W$162="","",CHAR(10)&amp;"Batch: "&amp;Checks!$W$162)&amp;IF(AND(Checks!$X$162="",Checks!$Y$162=""),"",CHAR(10)&amp;"Exp: "&amp;Checks!$X$162&amp;"  /  Act: "&amp;Checks!$Y$162)</f>
        <v/>
      </c>
      <c r="F52" s="113" t="str">
        <f aca="false">IF(Checks!$Z$162="","","Evidence: "&amp;Checks!$Z$162)&amp;IF(Checks!$AA$162="","",IF(Checks!$Z$162="","",CHAR(10))&amp;"CA: "&amp;Checks!$AA$162)</f>
        <v/>
      </c>
      <c r="G52" s="113" t="str">
        <f aca="false">IF(ISNUMBER(Checks!$AD$162),TEXT(Checks!$AD$162,"DD-MMM-YY HH:MM")&amp;" "&amp;Checks!$P$162,"")&amp;IF(Checks!$AE$162="","",CHAR(10)&amp;"Verifier: "&amp;Checks!$AE$162)&amp;IF(Checks!$T$162="","",CHAR(10)&amp;"PIC: "&amp;Checks!$T$162)</f>
        <v/>
      </c>
      <c r="H52" s="114" t="str">
        <f aca="false">IF(Checks!$AH$162="","",Checks!$AH$162)</f>
        <v>OPEN – CLARIFICATION</v>
      </c>
    </row>
    <row r="53" customFormat="false" ht="114" hidden="false" customHeight="true" outlineLevel="0" collapsed="false">
      <c r="A53" s="113" t="str">
        <f aca="false">Checks!$A$163&amp;CHAR(10)&amp;IF(Checks!$I$163="","",Checks!$I$163&amp;": ")&amp;Checks!$J$163</f>
        <v>F05-UPL-05
Seat Linen: Seat pillow (EY) - on board</v>
      </c>
      <c r="B53" s="113" t="str">
        <f aca="false">Checks!$K$163&amp;IF(Checks!$O$163="","",IF(Checks!$K$163="","",CHAR(10))&amp;"Note: "&amp;Checks!$O$163)</f>
        <v>Available 100% (ticked in reference)</v>
      </c>
      <c r="C53" s="113" t="str">
        <f aca="false">Checks!$N$163&amp;CHAR(10)&amp;IF(ISNUMBER(Checks!$R$163),TEXT(Checks!$R$163,"DD-MMM-YY HH:MM"),"")&amp;" "&amp;Checks!$P$163</f>
        <v>Required
15-Oct-26 10:05 NRT</v>
      </c>
      <c r="D53" s="113" t="str">
        <f aca="false">IF(Checks!$U$163="","",Checks!$U$163)&amp;IF(Checks!$AB$163="","",CHAR(10)&amp;"CA: "&amp;Checks!$AB$163)</f>
        <v/>
      </c>
      <c r="E53" s="113" t="str">
        <f aca="false">IF(Checks!$V$163="","",Checks!$V$163)&amp;IF(Checks!$AC$163="","",IF(Checks!$V$163="","",CHAR(10))&amp;"N/A just.: "&amp;Checks!$AC$163)&amp;IF(Checks!$W$163="","",CHAR(10)&amp;"Batch: "&amp;Checks!$W$163)&amp;IF(AND(Checks!$X$163="",Checks!$Y$163=""),"",CHAR(10)&amp;"Exp: "&amp;Checks!$X$163&amp;"  /  Act: "&amp;Checks!$Y$163)</f>
        <v/>
      </c>
      <c r="F53" s="113" t="str">
        <f aca="false">IF(Checks!$Z$163="","","Evidence: "&amp;Checks!$Z$163)&amp;IF(Checks!$AA$163="","",IF(Checks!$Z$163="","",CHAR(10))&amp;"CA: "&amp;Checks!$AA$163)</f>
        <v/>
      </c>
      <c r="G53" s="113" t="str">
        <f aca="false">IF(ISNUMBER(Checks!$AD$163),TEXT(Checks!$AD$163,"DD-MMM-YY HH:MM")&amp;" "&amp;Checks!$P$163,"")&amp;IF(Checks!$AE$163="","",CHAR(10)&amp;"Verifier: "&amp;Checks!$AE$163)&amp;IF(Checks!$T$163="","",CHAR(10)&amp;"PIC: "&amp;Checks!$T$163)</f>
        <v/>
      </c>
      <c r="H53" s="114" t="str">
        <f aca="false">IF(Checks!$AH$163="","",Checks!$AH$163)</f>
        <v>OPEN</v>
      </c>
    </row>
    <row r="54" customFormat="false" ht="168.75" hidden="false" customHeight="true" outlineLevel="0" collapsed="false">
      <c r="A54" s="113" t="str">
        <f aca="false">Checks!$A$164&amp;CHAR(10)&amp;IF(Checks!$I$164="","",Checks!$I$164&amp;": ")&amp;Checks!$J$164</f>
        <v>F05-UPL-06
Seat Linen: Blanket (EY) - on board</v>
      </c>
      <c r="B54" s="113" t="str">
        <f aca="false">SUBSTITUTE(Checks!$K$164&amp;IF(Checks!$O$164="","",IF(Checks!$K$164="","",CHAR(10))&amp;"Note: "&amp;Checks!$O$164),"SEAT LINEN!","Ref: SEAT LINEN!")</f>
        <v>Available 100% (ticked in reference); qty 280 (A350 9M-MAH) / 260 (A359) - per tail
Note: EY blanket: flight above 3 hours excl. Regional (Ref: SEAT LINEN!B74:C74); block 7.67 h. Qty per tail: A350 280 pcs (Ref: SEAT LINEN!B76:C76), A359 260 pcs (Ref: SEAT LINEN!B77:C77).</v>
      </c>
      <c r="C54" s="113" t="str">
        <f aca="false">Checks!$N$164&amp;CHAR(10)&amp;IF(ISNUMBER(Checks!$R$164),TEXT(Checks!$R$164,"DD-MMM-YY HH:MM"),"")&amp;" "&amp;Checks!$P$164</f>
        <v>Required
15-Oct-26 10:05 NRT</v>
      </c>
      <c r="D54" s="113" t="str">
        <f aca="false">IF(Checks!$U$164="","",Checks!$U$164)&amp;IF(Checks!$AB$164="","",CHAR(10)&amp;"CA: "&amp;Checks!$AB$164)</f>
        <v/>
      </c>
      <c r="E54" s="113" t="str">
        <f aca="false">IF(Checks!$V$164="","",Checks!$V$164)&amp;IF(Checks!$AC$164="","",IF(Checks!$V$164="","",CHAR(10))&amp;"N/A just.: "&amp;Checks!$AC$164)&amp;IF(Checks!$W$164="","",CHAR(10)&amp;"Batch: "&amp;Checks!$W$164)&amp;IF(AND(Checks!$X$164="",Checks!$Y$164=""),"",CHAR(10)&amp;"Exp: "&amp;Checks!$X$164&amp;"  /  Act: "&amp;Checks!$Y$164)</f>
        <v/>
      </c>
      <c r="F54" s="113" t="str">
        <f aca="false">IF(Checks!$Z$164="","","Evidence: "&amp;Checks!$Z$164)&amp;IF(Checks!$AA$164="","",IF(Checks!$Z$164="","",CHAR(10))&amp;"CA: "&amp;Checks!$AA$164)</f>
        <v/>
      </c>
      <c r="G54" s="113" t="str">
        <f aca="false">IF(ISNUMBER(Checks!$AD$164),TEXT(Checks!$AD$164,"DD-MMM-YY HH:MM")&amp;" "&amp;Checks!$P$164,"")&amp;IF(Checks!$AE$164="","",CHAR(10)&amp;"Verifier: "&amp;Checks!$AE$164)&amp;IF(Checks!$T$164="","",CHAR(10)&amp;"PIC: "&amp;Checks!$T$164)</f>
        <v/>
      </c>
      <c r="H54" s="114" t="str">
        <f aca="false">IF(Checks!$AH$164="","",Checks!$AH$164)</f>
        <v>OPEN</v>
      </c>
    </row>
    <row r="55" customFormat="false" ht="190.5" hidden="false" customHeight="true" outlineLevel="0" collapsed="false">
      <c r="A55" s="113" t="str">
        <f aca="false">Checks!$A$165&amp;CHAR(10)&amp;IF(Checks!$I$165="","",Checks!$I$165&amp;": ")&amp;Checks!$J$165</f>
        <v>F05-UPL-07
Sales Cart: Sales cart (caterer PASB) - on board</v>
      </c>
      <c r="B55" s="113"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13" t="str">
        <f aca="false">Checks!$N$165&amp;CHAR(10)&amp;IF(ISNUMBER(Checks!$R$165),TEXT(Checks!$R$165,"DD-MMM-YY HH:MM"),"")&amp;" "&amp;Checks!$P$165</f>
        <v>Clarification required
15-Oct-26 10:05 NRT</v>
      </c>
      <c r="D55" s="113" t="str">
        <f aca="false">IF(Checks!$U$165="","",Checks!$U$165)&amp;IF(Checks!$AB$165="","",CHAR(10)&amp;"CA: "&amp;Checks!$AB$165)</f>
        <v/>
      </c>
      <c r="E55" s="113" t="str">
        <f aca="false">IF(Checks!$V$165="","",Checks!$V$165)&amp;IF(Checks!$AC$165="","",IF(Checks!$V$165="","",CHAR(10))&amp;"N/A just.: "&amp;Checks!$AC$165)&amp;IF(Checks!$W$165="","",CHAR(10)&amp;"Batch: "&amp;Checks!$W$165)&amp;IF(AND(Checks!$X$165="",Checks!$Y$165=""),"",CHAR(10)&amp;"Exp: "&amp;Checks!$X$165&amp;"  /  Act: "&amp;Checks!$Y$165)</f>
        <v/>
      </c>
      <c r="F55" s="113" t="str">
        <f aca="false">IF(Checks!$Z$165="","","Evidence: "&amp;Checks!$Z$165)&amp;IF(Checks!$AA$165="","",IF(Checks!$Z$165="","",CHAR(10))&amp;"CA: "&amp;Checks!$AA$165)</f>
        <v/>
      </c>
      <c r="G55" s="113" t="str">
        <f aca="false">IF(ISNUMBER(Checks!$AD$165),TEXT(Checks!$AD$165,"DD-MMM-YY HH:MM")&amp;" "&amp;Checks!$P$165,"")&amp;IF(Checks!$AE$165="","",CHAR(10)&amp;"Verifier: "&amp;Checks!$AE$165)&amp;IF(Checks!$T$165="","",CHAR(10)&amp;"PIC: "&amp;Checks!$T$165)</f>
        <v/>
      </c>
      <c r="H55" s="114" t="str">
        <f aca="false">IF(Checks!$AH$165="","",Checks!$AH$165)</f>
        <v>OPEN – CLARIFICATION</v>
      </c>
    </row>
    <row r="57" customFormat="false" ht="24" hidden="false" customHeight="true" outlineLevel="0" collapsed="false">
      <c r="A57" s="115" t="s">
        <v>1650</v>
      </c>
      <c r="B57" s="115"/>
      <c r="C57" s="115"/>
      <c r="D57" s="115"/>
      <c r="E57" s="115" t="s">
        <v>1651</v>
      </c>
      <c r="F57" s="115"/>
      <c r="G57" s="115"/>
      <c r="H57" s="115"/>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row r="63" customFormat="false" ht="21.75" hidden="false" customHeight="true" outlineLevel="0" collapsed="false">
      <c r="A63" s="116"/>
      <c r="B63" s="116"/>
      <c r="C63" s="116"/>
      <c r="D63" s="116"/>
      <c r="E63" s="116"/>
      <c r="F63" s="116"/>
      <c r="G63" s="116"/>
      <c r="H63" s="116"/>
    </row>
    <row r="64" customFormat="false" ht="21.75" hidden="false" customHeight="true" outlineLevel="0" collapsed="false">
      <c r="A64" s="116"/>
      <c r="B64" s="116"/>
      <c r="C64" s="116"/>
      <c r="D64" s="116"/>
      <c r="E64" s="116"/>
      <c r="F64" s="116"/>
      <c r="G64" s="116"/>
      <c r="H64" s="116"/>
    </row>
    <row r="65" customFormat="false" ht="21.75" hidden="false" customHeight="true" outlineLevel="0" collapsed="false">
      <c r="A65" s="116"/>
      <c r="B65" s="116"/>
      <c r="C65" s="116"/>
      <c r="D65" s="116"/>
      <c r="E65" s="116"/>
      <c r="F65" s="116"/>
      <c r="G65" s="116"/>
      <c r="H65" s="116"/>
    </row>
    <row r="66" customFormat="false" ht="21.75" hidden="false" customHeight="true" outlineLevel="0" collapsed="false">
      <c r="A66" s="116"/>
      <c r="B66" s="116"/>
      <c r="C66" s="116"/>
      <c r="D66" s="116"/>
      <c r="E66" s="116"/>
      <c r="F66" s="116"/>
      <c r="G66" s="116"/>
      <c r="H66" s="116"/>
    </row>
    <row r="67" customFormat="false" ht="21.75" hidden="false" customHeight="true" outlineLevel="0" collapsed="false">
      <c r="A67" s="116"/>
      <c r="B67" s="116"/>
      <c r="C67" s="116"/>
      <c r="D67" s="116"/>
      <c r="E67" s="116"/>
      <c r="F67" s="116"/>
      <c r="G67" s="116"/>
      <c r="H67" s="116"/>
    </row>
  </sheetData>
  <sheetProtection sheet="true" formatCells="false" formatColumns="false" formatRows="false" sort="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55">
    <cfRule type="expression" priority="17" aboveAverage="0" equalAverage="0" bottom="0" percent="0" rank="0" text="" dxfId="34">
      <formula>LEFT($H24,3)="N/A"</formula>
    </cfRule>
  </conditionalFormatting>
  <conditionalFormatting sqref="D24:D5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6" man="true" max="16383" min="0"/>
    <brk id="49" man="true" max="16383" min="0"/>
    <brk id="53"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F06  "&amp;Flights!$F$10&amp;"  "&amp;TEXT(Flights!$D$10,"DD-MMM-YY")&amp;" ("&amp;Flights!$E$10&amp;")  "&amp;Flights!$G$10&amp;" → "&amp;Flights!$H$10&amp;"  |  Class "&amp;Flights!$K$10</f>
        <v>SKYTRAX 2026 CATERING READINESS CHECKLIST  |  F06  MH0002  15-Oct-26 (THU)  KUL → LHR  |  Class BC</v>
      </c>
      <c r="B1" s="91"/>
      <c r="C1" s="91"/>
      <c r="D1" s="91"/>
      <c r="E1" s="91"/>
      <c r="F1" s="91"/>
      <c r="G1" s="91"/>
      <c r="H1" s="91"/>
    </row>
    <row r="2" customFormat="false" ht="12.75" hidden="false" customHeight="true" outlineLevel="0" collapsed="false">
      <c r="A2" s="92" t="s">
        <v>1605</v>
      </c>
      <c r="B2" s="93" t="str">
        <f aca="false">Flights!$F$10&amp;"   "&amp;TEXT(Flights!$D$10,"DD-MMM-YY")&amp;" ("&amp;Flights!$E$10&amp;")"</f>
        <v>MH0002   15-Oct-26 (THU)</v>
      </c>
      <c r="C2" s="93"/>
      <c r="D2" s="93"/>
      <c r="E2" s="94" t="s">
        <v>1606</v>
      </c>
      <c r="F2" s="95" t="str">
        <f aca="false">Flights!$AT$10</f>
        <v>NOT READY – DOCUMENTS</v>
      </c>
      <c r="G2" s="95"/>
      <c r="H2" s="95"/>
    </row>
    <row r="3" customFormat="false" ht="24" hidden="false" customHeight="true" outlineLevel="0" collapsed="false">
      <c r="A3" s="92" t="s">
        <v>1607</v>
      </c>
      <c r="B3" s="93" t="str">
        <f aca="false">Flights!$G$10&amp;" → "&amp;Flights!$H$10&amp;"   Class "&amp;Flights!$K$10&amp;"   Seat "&amp;Flights!$O$10</f>
        <v>KUL → LHR   Class BC   Seat 2K</v>
      </c>
      <c r="C3" s="93"/>
      <c r="D3" s="93"/>
      <c r="E3" s="94" t="s">
        <v>68</v>
      </c>
      <c r="F3" s="94" t="s">
        <v>1608</v>
      </c>
      <c r="G3" s="94" t="s">
        <v>1609</v>
      </c>
      <c r="H3" s="94"/>
    </row>
    <row r="4" customFormat="false" ht="24" hidden="false" customHeight="true" outlineLevel="0" collapsed="false">
      <c r="A4" s="92" t="s">
        <v>1610</v>
      </c>
      <c r="B4" s="93" t="str">
        <f aca="false">IF(ISNUMBER(Flights!$I$10),TEXT(Flights!$I$10,"DD-MMM-YY HH:MM"),"")&amp;" "&amp;Flights!$G$10&amp;"  →  "&amp;IF(ISNUMBER(Flights!$J$10),TEXT(Flights!$J$10,"DD-MMM-YY HH:MM"),"")&amp;" "&amp;Flights!$H$10</f>
        <v>15-Oct-26 23:20 KUL  →  16-Oct-26 05:55 LHR</v>
      </c>
      <c r="C4" s="93"/>
      <c r="D4" s="93"/>
      <c r="E4" s="92" t="s">
        <v>1611</v>
      </c>
      <c r="F4" s="96" t="str">
        <f aca="false">IF(ISNUMBER(Flights!$AG$10),TEXT(Flights!$AG$10,"DD-MMM-YY HH:MM"),"")&amp;" "&amp;Flights!$V$10</f>
        <v>08-Oct-26 23:20 KUL</v>
      </c>
      <c r="G4" s="97" t="n">
        <f aca="false">Flights!$AJ$10</f>
        <v>0</v>
      </c>
      <c r="H4" s="97"/>
    </row>
    <row r="5" customFormat="false" ht="24" hidden="false" customHeight="true" outlineLevel="0" collapsed="false">
      <c r="A5" s="92" t="s">
        <v>1612</v>
      </c>
      <c r="B5" s="93" t="str">
        <f aca="false">Flights!$L$10&amp;" – "&amp;Flights!$M$10</f>
        <v>A350 – A350-900: A359 (9M-MAB..MAG, row 6) or A350 9M-MAH (row 7) - tail to confirm</v>
      </c>
      <c r="C5" s="93"/>
      <c r="D5" s="93"/>
      <c r="E5" s="92" t="s">
        <v>1613</v>
      </c>
      <c r="F5" s="96" t="str">
        <f aca="false">IF(ISNUMBER(Flights!$AH$10),TEXT(Flights!$AH$10,"DD-MMM-YY HH:MM"),"")&amp;" "&amp;Flights!$V$10</f>
        <v>14-Oct-26 23:20 KUL</v>
      </c>
      <c r="G5" s="97" t="n">
        <f aca="false">Flights!$AK$10</f>
        <v>0</v>
      </c>
      <c r="H5" s="97"/>
    </row>
    <row r="6" customFormat="false" ht="24" hidden="false" customHeight="true" outlineLevel="0" collapsed="false">
      <c r="A6" s="92" t="s">
        <v>1614</v>
      </c>
      <c r="B6" s="93" t="str">
        <f aca="false">IF(TRIM(Flights!$N$10)="","__________________",Flights!$N$10)</f>
        <v>__________________</v>
      </c>
      <c r="C6" s="93"/>
      <c r="D6" s="93"/>
      <c r="E6" s="92" t="s">
        <v>1615</v>
      </c>
      <c r="F6" s="96" t="str">
        <f aca="false">IF(ISNUMBER(Flights!$AI$10),TEXT(Flights!$AI$10,"DD-MMM-YY HH:MM"),"")&amp;" "&amp;Flights!$V$10&amp;IF(Flights!$AI$10=Flights!$AH$10,"  (= T-24H due)","")</f>
        <v>15-Oct-26 11:20 KUL</v>
      </c>
      <c r="G6" s="97" t="n">
        <f aca="false">Flights!$AL$10</f>
        <v>0</v>
      </c>
      <c r="H6" s="97"/>
    </row>
    <row r="7" customFormat="false" ht="24" hidden="false" customHeight="true" outlineLevel="0" collapsed="false">
      <c r="A7" s="92" t="s">
        <v>1616</v>
      </c>
      <c r="B7" s="93" t="str">
        <f aca="false">Flights!$T$10</f>
        <v>2.5 Meal (Meal)</v>
      </c>
      <c r="C7" s="93"/>
      <c r="D7" s="93"/>
      <c r="E7" s="92" t="s">
        <v>1617</v>
      </c>
      <c r="F7" s="96" t="str">
        <f aca="false">"STD "&amp;IF(ISNUMBER(Flights!$I$10),TEXT(Flights!$I$10,"DD-MMM-YY HH:MM"),"")&amp;" "&amp;Flights!$G$10&amp;" (dep stn)"</f>
        <v>STD 15-Oct-26 23:20 KUL (dep stn)</v>
      </c>
      <c r="G7" s="97" t="n">
        <f aca="false">Flights!$AM$10</f>
        <v>0</v>
      </c>
      <c r="H7" s="97"/>
    </row>
    <row r="8" customFormat="false" ht="12.75" hidden="false" customHeight="true" outlineLevel="0" collapsed="false">
      <c r="A8" s="92" t="s">
        <v>150</v>
      </c>
      <c r="B8" s="93" t="str">
        <f aca="false">Flights!$V$10&amp;"   (reference uplift stns: "&amp;Flights!$U$10&amp;")"</f>
        <v>KUL   (reference uplift stns: KUL/LHR)</v>
      </c>
      <c r="C8" s="93"/>
      <c r="D8" s="93"/>
      <c r="E8" s="92" t="s">
        <v>1618</v>
      </c>
      <c r="F8" s="98" t="s">
        <v>1619</v>
      </c>
      <c r="G8" s="97" t="n">
        <f aca="false">Flights!$AN$10</f>
        <v>0</v>
      </c>
      <c r="H8" s="97"/>
    </row>
    <row r="9" customFormat="false" ht="12.75" hidden="false" customHeight="true" outlineLevel="0" collapsed="false">
      <c r="A9" s="92" t="s">
        <v>1620</v>
      </c>
      <c r="B9" s="93" t="str">
        <f aca="false">TRIM(Flights!$P$10&amp;"  "&amp;Flights!$Q$10)</f>
        <v>6H 35M</v>
      </c>
      <c r="C9" s="93"/>
      <c r="D9" s="93"/>
      <c r="E9" s="92" t="s">
        <v>1621</v>
      </c>
      <c r="F9" s="99" t="n">
        <f aca="false">Flights!$AP$10</f>
        <v>0</v>
      </c>
      <c r="G9" s="99" t="n">
        <f aca="false">Flights!$AQ$10</f>
        <v>0</v>
      </c>
      <c r="H9" s="99" t="n">
        <f aca="false">Flights!$AU$10</f>
        <v>0</v>
      </c>
    </row>
    <row r="10" customFormat="false" ht="24" hidden="false" customHeight="true" outlineLevel="0" collapsed="false">
      <c r="A10" s="92" t="s">
        <v>1622</v>
      </c>
      <c r="B10" s="93" t="str">
        <f aca="false">IF(TRIM(Flights!$X$10)="","__________________",Flights!$X$10)</f>
        <v>__________________</v>
      </c>
      <c r="C10" s="93"/>
      <c r="D10" s="93"/>
      <c r="E10" s="92" t="s">
        <v>1623</v>
      </c>
      <c r="F10" s="99" t="n">
        <f aca="false">Flights!$AO$10</f>
        <v>46</v>
      </c>
      <c r="G10" s="99" t="n">
        <f aca="false">Flights!$AS$10</f>
        <v>2</v>
      </c>
      <c r="H10" s="99" t="n">
        <f aca="false">Flights!$AR$10</f>
        <v>2</v>
      </c>
    </row>
    <row r="11" customFormat="false" ht="21" hidden="false" customHeight="true" outlineLevel="0" collapsed="false">
      <c r="A11" s="92" t="s">
        <v>1624</v>
      </c>
      <c r="B11" s="93" t="str">
        <f aca="false">IF(TRIM(Flights!$Y$10)="","__________________",Flights!$Y$10)</f>
        <v>__________________</v>
      </c>
      <c r="C11" s="93"/>
      <c r="D11" s="93"/>
      <c r="E11" s="92" t="s">
        <v>1625</v>
      </c>
      <c r="F11" s="99" t="str">
        <f aca="false">Flights!$AV$10&amp;" / "&amp;Flights!$AW$10</f>
        <v>0 / 46</v>
      </c>
      <c r="G11" s="100" t="str">
        <f aca="false">IF(ISNUMBER(Settings!$B$6),TEXT(Settings!$B$6,"DD-MMM-YY HH:MM"),"")</f>
        <v>28-Sep-26 03:19</v>
      </c>
      <c r="H11" s="100"/>
    </row>
    <row r="12" customFormat="false" ht="34.5" hidden="false" customHeight="true" outlineLevel="0" collapsed="false">
      <c r="A12" s="101" t="s">
        <v>1626</v>
      </c>
      <c r="B12" s="101"/>
      <c r="C12" s="101"/>
      <c r="D12" s="101"/>
      <c r="E12" s="102" t="s">
        <v>1627</v>
      </c>
      <c r="F12" s="103" t="s">
        <v>1628</v>
      </c>
      <c r="G12" s="104" t="s">
        <v>89</v>
      </c>
      <c r="H12" s="105" t="s">
        <v>1629</v>
      </c>
    </row>
    <row r="13" customFormat="false" ht="13.5" hidden="false" customHeight="true" outlineLevel="0" collapsed="false">
      <c r="A13" s="94" t="s">
        <v>1630</v>
      </c>
      <c r="B13" s="94" t="s">
        <v>1631</v>
      </c>
      <c r="C13" s="94" t="s">
        <v>1632</v>
      </c>
      <c r="D13" s="94"/>
      <c r="E13" s="94" t="s">
        <v>1633</v>
      </c>
      <c r="F13" s="94" t="s">
        <v>1634</v>
      </c>
      <c r="G13" s="94"/>
      <c r="H13" s="94"/>
    </row>
    <row r="14" customFormat="false" ht="36" hidden="false" customHeight="true" outlineLevel="0" collapsed="false">
      <c r="A14" s="92" t="s">
        <v>1635</v>
      </c>
      <c r="B14" s="93" t="str">
        <f aca="false">IF(Documents!$F$10="","",Documents!$F$10)</f>
        <v/>
      </c>
      <c r="C14" s="98" t="str">
        <f aca="false">IF(Documents!$G$10="","",Documents!$G$10)&amp;IF(ISNUMBER(Documents!$H$10),"  "&amp;TEXT(Documents!$H$10,"DD-MMM-YY"),"")</f>
        <v/>
      </c>
      <c r="D14" s="98"/>
      <c r="E14" s="106" t="str">
        <f aca="false">IF(Documents!$J$10="OUTSTANDING","OUTSTANDING – attach before T-7D (due "&amp;IF(ISNUMBER(Flights!$AG$10),TEXT(Flights!$AG$10,"DD-MMM-YY HH:MM"),"")&amp;" "&amp;Flights!$V$10&amp;")",IF(Documents!$J$10="","Status not recorded",Documents!$J$10))</f>
        <v>OUTSTANDING – attach before T-7D (due 08-Oct-26 23:20 KUL)</v>
      </c>
      <c r="F14" s="107" t="str">
        <f aca="false">"Staple behind this sheet as page A1."&amp;IF(Documents!$I$10="",""," Location: "&amp;Documents!$I$10)</f>
        <v>Staple behind this sheet as page A1.</v>
      </c>
      <c r="G14" s="107"/>
      <c r="H14" s="107"/>
    </row>
    <row r="15" customFormat="false" ht="36" hidden="false" customHeight="true" outlineLevel="0" collapsed="false">
      <c r="A15" s="92" t="s">
        <v>1636</v>
      </c>
      <c r="B15" s="93" t="str">
        <f aca="false">IF(Documents!$K$10="","",Documents!$K$10)</f>
        <v/>
      </c>
      <c r="C15" s="98" t="str">
        <f aca="false">IF(Documents!$L$10="","",Documents!$L$10)&amp;IF(ISNUMBER(Documents!$M$10),"  "&amp;TEXT(Documents!$M$10,"DD-MMM-YY"),"")</f>
        <v/>
      </c>
      <c r="D15" s="98"/>
      <c r="E15" s="106" t="str">
        <f aca="false">IF(Documents!$O$10="OUTSTANDING","OUTSTANDING – attach before T-7D (due "&amp;IF(ISNUMBER(Flights!$AG$10),TEXT(Flights!$AG$10,"DD-MMM-YY HH:MM"),"")&amp;" "&amp;Flights!$V$10&amp;")",IF(Documents!$O$10="","Status not recorded",Documents!$O$10))</f>
        <v>OUTSTANDING – attach before T-7D (due 08-Oct-26 23:20 KUL)</v>
      </c>
      <c r="F15" s="107" t="str">
        <f aca="false">"Staple behind this sheet as page A2."&amp;IF(Documents!$N$10="",""," Location: "&amp;Documents!$N$10)</f>
        <v>Staple behind this sheet as page A2.</v>
      </c>
      <c r="G15" s="107"/>
      <c r="H15" s="107"/>
    </row>
    <row r="16" customFormat="false" ht="22.5" hidden="false" customHeight="true" outlineLevel="0" collapsed="false">
      <c r="A16" s="92" t="s">
        <v>1637</v>
      </c>
      <c r="B16" s="108" t="str">
        <f aca="false">IF(Documents!$Q$10="","",Documents!$Q$10)</f>
        <v>Not supplied with brief – obtain from caterer / MAGCS.</v>
      </c>
      <c r="C16" s="108"/>
      <c r="D16" s="108"/>
      <c r="E16" s="108"/>
      <c r="F16" s="108"/>
      <c r="G16" s="108"/>
      <c r="H16" s="108"/>
    </row>
    <row r="17" customFormat="false" ht="13.5" hidden="false" customHeight="true" outlineLevel="0" collapsed="false">
      <c r="A17" s="109" t="s">
        <v>1638</v>
      </c>
      <c r="B17" s="109"/>
      <c r="C17" s="109" t="s">
        <v>1639</v>
      </c>
      <c r="D17" s="109"/>
      <c r="E17" s="109"/>
      <c r="F17" s="109" t="s">
        <v>1640</v>
      </c>
      <c r="G17" s="109"/>
      <c r="H17" s="109"/>
    </row>
    <row r="18" customFormat="false" ht="18" hidden="false" customHeight="true" outlineLevel="0" collapsed="false">
      <c r="A18" s="93" t="str">
        <f aca="false">"Name: "&amp;IF(TRIM(Flights!$Y$10)="","__________________",Flights!$Y$10)</f>
        <v>Name: __________________</v>
      </c>
      <c r="B18" s="93"/>
      <c r="C18" s="93" t="str">
        <f aca="false">"Name: __________________"</f>
        <v>Name: __________________</v>
      </c>
      <c r="D18" s="93"/>
      <c r="E18" s="93"/>
      <c r="F18" s="93" t="str">
        <f aca="false">"Name: __________________"&amp;"   Station: "&amp;Flights!$V$10</f>
        <v>Name: __________________   Station: KUL</v>
      </c>
      <c r="G18" s="93"/>
      <c r="H18" s="93"/>
    </row>
    <row r="19" customFormat="false" ht="30" hidden="false" customHeight="true" outlineLevel="0" collapsed="false">
      <c r="A19" s="110" t="s">
        <v>1641</v>
      </c>
      <c r="B19" s="110"/>
      <c r="C19" s="110" t="s">
        <v>1641</v>
      </c>
      <c r="D19" s="110"/>
      <c r="E19" s="110"/>
      <c r="F19" s="110" t="s">
        <v>1641</v>
      </c>
      <c r="G19" s="110"/>
      <c r="H19" s="110"/>
    </row>
    <row r="20" customFormat="false" ht="13.5" hidden="false" customHeight="true" outlineLevel="0" collapsed="false">
      <c r="A20" s="111" t="s">
        <v>1642</v>
      </c>
      <c r="B20" s="111"/>
      <c r="C20" s="111"/>
      <c r="D20" s="111"/>
      <c r="E20" s="111"/>
      <c r="F20" s="111"/>
      <c r="G20" s="111"/>
      <c r="H20" s="111"/>
    </row>
    <row r="21" customFormat="false" ht="24" hidden="false" customHeight="true" outlineLevel="0" collapsed="false">
      <c r="A21" s="94" t="s">
        <v>1643</v>
      </c>
      <c r="B21" s="94" t="s">
        <v>1644</v>
      </c>
      <c r="C21" s="94" t="s">
        <v>1645</v>
      </c>
      <c r="D21" s="94" t="s">
        <v>1646</v>
      </c>
      <c r="E21" s="94" t="s">
        <v>1647</v>
      </c>
      <c r="F21" s="94" t="s">
        <v>1648</v>
      </c>
      <c r="G21" s="94" t="s">
        <v>1649</v>
      </c>
      <c r="H21" s="94" t="s">
        <v>121</v>
      </c>
    </row>
    <row r="22" customFormat="false" ht="25.5" hidden="false" customHeight="true" outlineLevel="0" collapsed="false">
      <c r="A22" s="112"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Checks!$A$166&amp;CHAR(10)&amp;IF(Checks!$I$166="","",Checks!$I$166&amp;": ")&amp;Checks!$J$166</f>
        <v>F06-T7-01
Meal: Meal sensory testing completed for this flight's menu cycle (assessed class)</v>
      </c>
      <c r="B23" s="113" t="str">
        <f aca="false">Checks!$K$166&amp;IF(Checks!$O$166="","",IF(Checks!$K$166="","",CHAR(10))&amp;"Note: "&amp;Checks!$O$166)</f>
        <v>Record panel result / score in Result</v>
      </c>
      <c r="C23" s="113" t="str">
        <f aca="false">Checks!$N$166&amp;CHAR(10)&amp;IF(ISNUMBER(Checks!$R$166),TEXT(Checks!$R$166,"DD-MMM-YY HH:MM"),"")&amp;" "&amp;Checks!$P$166</f>
        <v>Required
08-Oct-26 23:20 KUL</v>
      </c>
      <c r="D23" s="113" t="str">
        <f aca="false">IF(Checks!$U$166="","",Checks!$U$166)&amp;IF(Checks!$AB$166="","",CHAR(10)&amp;"CA: "&amp;Checks!$AB$166)</f>
        <v/>
      </c>
      <c r="E23" s="113" t="str">
        <f aca="false">IF(Checks!$V$166="","",Checks!$V$166)&amp;IF(Checks!$AC$166="","",IF(Checks!$V$166="","",CHAR(10))&amp;"N/A just.: "&amp;Checks!$AC$166)&amp;IF(Checks!$W$166="","",CHAR(10)&amp;"Batch: "&amp;Checks!$W$166)&amp;IF(AND(Checks!$X$166="",Checks!$Y$166=""),"",CHAR(10)&amp;"Exp: "&amp;Checks!$X$166&amp;"  /  Act: "&amp;Checks!$Y$166)</f>
        <v/>
      </c>
      <c r="F23" s="113" t="str">
        <f aca="false">IF(Checks!$Z$166="","","Evidence: "&amp;Checks!$Z$166)&amp;IF(Checks!$AA$166="","",IF(Checks!$Z$166="","",CHAR(10))&amp;"CA: "&amp;Checks!$AA$166)</f>
        <v/>
      </c>
      <c r="G23" s="113" t="str">
        <f aca="false">IF(ISNUMBER(Checks!$AD$166),TEXT(Checks!$AD$166,"DD-MMM-YY HH:MM")&amp;" "&amp;Checks!$P$166,"")&amp;IF(Checks!$AE$166="","",CHAR(10)&amp;"Verifier: "&amp;Checks!$AE$166)&amp;IF(Checks!$T$166="","",CHAR(10)&amp;"PIC: "&amp;Checks!$T$166)</f>
        <v/>
      </c>
      <c r="H23" s="114" t="str">
        <f aca="false">IF(Checks!$AH$166="","",Checks!$AH$166)</f>
        <v>OPEN</v>
      </c>
    </row>
    <row r="24" customFormat="false" ht="114" hidden="false" customHeight="true" outlineLevel="0" collapsed="false">
      <c r="A24" s="113" t="str">
        <f aca="false">Checks!$A$167&amp;CHAR(10)&amp;IF(Checks!$I$167="","",Checks!$I$167&amp;": ")&amp;Checks!$J$167</f>
        <v>F06-T7-02
Menu: Printed menu cards confirmed (content, cycle, language, quantity)</v>
      </c>
      <c r="B24" s="113" t="str">
        <f aca="false">Checks!$K$167&amp;IF(Checks!$O$167="","",IF(Checks!$K$167="","",CHAR(10))&amp;"Note: "&amp;Checks!$O$167)</f>
        <v>Menu card matches approved menu for this flight</v>
      </c>
      <c r="C24" s="113" t="str">
        <f aca="false">Checks!$N$167&amp;CHAR(10)&amp;IF(ISNUMBER(Checks!$R$167),TEXT(Checks!$R$167,"DD-MMM-YY HH:MM"),"")&amp;" "&amp;Checks!$P$167</f>
        <v>Required
08-Oct-26 23:20 KUL</v>
      </c>
      <c r="D24" s="113" t="str">
        <f aca="false">IF(Checks!$U$167="","",Checks!$U$167)&amp;IF(Checks!$AB$167="","",CHAR(10)&amp;"CA: "&amp;Checks!$AB$167)</f>
        <v/>
      </c>
      <c r="E24" s="113" t="str">
        <f aca="false">IF(Checks!$V$167="","",Checks!$V$167)&amp;IF(Checks!$AC$167="","",IF(Checks!$V$167="","",CHAR(10))&amp;"N/A just.: "&amp;Checks!$AC$167)&amp;IF(Checks!$W$167="","",CHAR(10)&amp;"Batch: "&amp;Checks!$W$167)&amp;IF(AND(Checks!$X$167="",Checks!$Y$167=""),"",CHAR(10)&amp;"Exp: "&amp;Checks!$X$167&amp;"  /  Act: "&amp;Checks!$Y$167)</f>
        <v/>
      </c>
      <c r="F24" s="113" t="str">
        <f aca="false">IF(Checks!$Z$167="","","Evidence: "&amp;Checks!$Z$167)&amp;IF(Checks!$AA$167="","",IF(Checks!$Z$167="","",CHAR(10))&amp;"CA: "&amp;Checks!$AA$167)</f>
        <v/>
      </c>
      <c r="G24" s="113" t="str">
        <f aca="false">IF(ISNUMBER(Checks!$AD$167),TEXT(Checks!$AD$167,"DD-MMM-YY HH:MM")&amp;" "&amp;Checks!$P$167,"")&amp;IF(Checks!$AE$167="","",CHAR(10)&amp;"Verifier: "&amp;Checks!$AE$167)&amp;IF(Checks!$T$167="","",CHAR(10)&amp;"PIC: "&amp;Checks!$T$167)</f>
        <v/>
      </c>
      <c r="H24" s="114" t="str">
        <f aca="false">IF(Checks!$AH$167="","",Checks!$AH$167)</f>
        <v>OPEN</v>
      </c>
    </row>
    <row r="25" customFormat="false" ht="114" hidden="false" customHeight="true" outlineLevel="0" collapsed="false">
      <c r="A25" s="113" t="str">
        <f aca="false">Checks!$A$168&amp;CHAR(10)&amp;IF(Checks!$I$168="","",Checks!$I$168&amp;": ")&amp;Checks!$J$168</f>
        <v>F06-T7-03
IFE: Digital menu in IFE confirmed (A339 only)</v>
      </c>
      <c r="B25" s="113" t="str">
        <f aca="false">Checks!$K$168&amp;IF(Checks!$O$168="","",IF(Checks!$K$168="","",CHAR(10))&amp;"Note: "&amp;Checks!$O$168)</f>
        <v>Applies when fleet = A339
Note: Digital IFE menu applies to A339 only (user brief). Applicability follows the Fleet cell on Flights.</v>
      </c>
      <c r="C25" s="113" t="str">
        <f aca="false">Checks!$N$168&amp;CHAR(10)&amp;IF(ISNUMBER(Checks!$R$168),TEXT(Checks!$R$168,"DD-MMM-YY HH:MM"),"")&amp;" "&amp;Checks!$P$168</f>
        <v>N/A – rule
08-Oct-26 23:20 KUL</v>
      </c>
      <c r="D25" s="113" t="str">
        <f aca="false">IF(Checks!$U$168="","",Checks!$U$168)&amp;IF(Checks!$AB$168="","",CHAR(10)&amp;"CA: "&amp;Checks!$AB$168)</f>
        <v/>
      </c>
      <c r="E25" s="113" t="str">
        <f aca="false">IF(Checks!$V$168="","",Checks!$V$168)&amp;IF(Checks!$AC$168="","",IF(Checks!$V$168="","",CHAR(10))&amp;"N/A just.: "&amp;Checks!$AC$168)&amp;IF(Checks!$W$168="","",CHAR(10)&amp;"Batch: "&amp;Checks!$W$168)&amp;IF(AND(Checks!$X$168="",Checks!$Y$168=""),"",CHAR(10)&amp;"Exp: "&amp;Checks!$X$168&amp;"  /  Act: "&amp;Checks!$Y$168)</f>
        <v/>
      </c>
      <c r="F25" s="113" t="str">
        <f aca="false">IF(Checks!$Z$168="","","Evidence: "&amp;Checks!$Z$168)&amp;IF(Checks!$AA$168="","",IF(Checks!$Z$168="","",CHAR(10))&amp;"CA: "&amp;Checks!$AA$168)</f>
        <v/>
      </c>
      <c r="G25" s="113" t="str">
        <f aca="false">IF(ISNUMBER(Checks!$AD$168),TEXT(Checks!$AD$168,"DD-MMM-YY HH:MM")&amp;" "&amp;Checks!$P$168,"")&amp;IF(Checks!$AE$168="","",CHAR(10)&amp;"Verifier: "&amp;Checks!$AE$168)&amp;IF(Checks!$T$168="","",CHAR(10)&amp;"PIC: "&amp;Checks!$T$168)</f>
        <v/>
      </c>
      <c r="H25" s="114" t="str">
        <f aca="false">IF(Checks!$AH$168="","",Checks!$AH$168)</f>
        <v>N/A – RULE</v>
      </c>
    </row>
    <row r="26" customFormat="false" ht="114" hidden="false" customHeight="true" outlineLevel="0" collapsed="false">
      <c r="A26" s="113" t="str">
        <f aca="false">Checks!$A$169&amp;CHAR(10)&amp;IF(Checks!$I$169="","",Checks!$I$169&amp;": ")&amp;Checks!$J$169</f>
        <v>F06-T7-04
Staffing: Experienced catering officer assigned to this flight</v>
      </c>
      <c r="B26" s="113" t="str">
        <f aca="false">Checks!$K$169&amp;IF(Checks!$O$169="","",IF(Checks!$K$169="","",CHAR(10))&amp;"Note: "&amp;Checks!$O$169)</f>
        <v>Record officer name in Result</v>
      </c>
      <c r="C26" s="113" t="str">
        <f aca="false">Checks!$N$169&amp;CHAR(10)&amp;IF(ISNUMBER(Checks!$R$169),TEXT(Checks!$R$169,"DD-MMM-YY HH:MM"),"")&amp;" "&amp;Checks!$P$169</f>
        <v>Required
08-Oct-26 23:20 KUL</v>
      </c>
      <c r="D26" s="113" t="str">
        <f aca="false">IF(Checks!$U$169="","",Checks!$U$169)&amp;IF(Checks!$AB$169="","",CHAR(10)&amp;"CA: "&amp;Checks!$AB$169)</f>
        <v/>
      </c>
      <c r="E26" s="113" t="str">
        <f aca="false">IF(Checks!$V$169="","",Checks!$V$169)&amp;IF(Checks!$AC$169="","",IF(Checks!$V$169="","",CHAR(10))&amp;"N/A just.: "&amp;Checks!$AC$169)&amp;IF(Checks!$W$169="","",CHAR(10)&amp;"Batch: "&amp;Checks!$W$169)&amp;IF(AND(Checks!$X$169="",Checks!$Y$169=""),"",CHAR(10)&amp;"Exp: "&amp;Checks!$X$169&amp;"  /  Act: "&amp;Checks!$Y$169)</f>
        <v/>
      </c>
      <c r="F26" s="113" t="str">
        <f aca="false">IF(Checks!$Z$169="","","Evidence: "&amp;Checks!$Z$169)&amp;IF(Checks!$AA$169="","",IF(Checks!$Z$169="","",CHAR(10))&amp;"CA: "&amp;Checks!$AA$169)</f>
        <v/>
      </c>
      <c r="G26" s="113" t="str">
        <f aca="false">IF(ISNUMBER(Checks!$AD$169),TEXT(Checks!$AD$169,"DD-MMM-YY HH:MM")&amp;" "&amp;Checks!$P$169,"")&amp;IF(Checks!$AE$169="","",CHAR(10)&amp;"Verifier: "&amp;Checks!$AE$169)&amp;IF(Checks!$T$169="","",CHAR(10)&amp;"PIC: "&amp;Checks!$T$169)</f>
        <v/>
      </c>
      <c r="H26" s="114" t="str">
        <f aca="false">IF(Checks!$AH$169="","",Checks!$AH$169)</f>
        <v>OPEN</v>
      </c>
    </row>
    <row r="27" customFormat="false" ht="114" hidden="false" customHeight="true" outlineLevel="0" collapsed="false">
      <c r="A27" s="113" t="str">
        <f aca="false">Checks!$A$170&amp;CHAR(10)&amp;IF(Checks!$I$170="","",Checks!$I$170&amp;": ")&amp;Checks!$J$170</f>
        <v>F06-T7-05
ISOP: All latest applicable ISOP revisions communicated to caterer</v>
      </c>
      <c r="B27" s="113" t="str">
        <f aca="false">Checks!$K$170&amp;IF(Checks!$O$170="","",IF(Checks!$K$170="","",CHAR(10))&amp;"Note: "&amp;Checks!$O$170)</f>
        <v>List revision numbers in Result (see ISOP register)</v>
      </c>
      <c r="C27" s="113" t="str">
        <f aca="false">Checks!$N$170&amp;CHAR(10)&amp;IF(ISNUMBER(Checks!$R$170),TEXT(Checks!$R$170,"DD-MMM-YY HH:MM"),"")&amp;" "&amp;Checks!$P$170</f>
        <v>Required
08-Oct-26 23:20 KUL</v>
      </c>
      <c r="D27" s="113" t="str">
        <f aca="false">IF(Checks!$U$170="","",Checks!$U$170)&amp;IF(Checks!$AB$170="","",CHAR(10)&amp;"CA: "&amp;Checks!$AB$170)</f>
        <v/>
      </c>
      <c r="E27" s="113" t="str">
        <f aca="false">IF(Checks!$V$170="","",Checks!$V$170)&amp;IF(Checks!$AC$170="","",IF(Checks!$V$170="","",CHAR(10))&amp;"N/A just.: "&amp;Checks!$AC$170)&amp;IF(Checks!$W$170="","",CHAR(10)&amp;"Batch: "&amp;Checks!$W$170)&amp;IF(AND(Checks!$X$170="",Checks!$Y$170=""),"",CHAR(10)&amp;"Exp: "&amp;Checks!$X$170&amp;"  /  Act: "&amp;Checks!$Y$170)</f>
        <v/>
      </c>
      <c r="F27" s="113" t="str">
        <f aca="false">IF(Checks!$Z$170="","","Evidence: "&amp;Checks!$Z$170)&amp;IF(Checks!$AA$170="","",IF(Checks!$Z$170="","",CHAR(10))&amp;"CA: "&amp;Checks!$AA$170)</f>
        <v/>
      </c>
      <c r="G27" s="113" t="str">
        <f aca="false">IF(ISNUMBER(Checks!$AD$170),TEXT(Checks!$AD$170,"DD-MMM-YY HH:MM")&amp;" "&amp;Checks!$P$170,"")&amp;IF(Checks!$AE$170="","",CHAR(10)&amp;"Verifier: "&amp;Checks!$AE$170)&amp;IF(Checks!$T$170="","",CHAR(10)&amp;"PIC: "&amp;Checks!$T$170)</f>
        <v/>
      </c>
      <c r="H27" s="114" t="str">
        <f aca="false">IF(Checks!$AH$170="","",Checks!$AH$170)</f>
        <v>OPEN</v>
      </c>
    </row>
    <row r="28" customFormat="false" ht="114" hidden="false" customHeight="true" outlineLevel="0" collapsed="false">
      <c r="A28" s="113" t="str">
        <f aca="false">Checks!$A$171&amp;CHAR(10)&amp;IF(Checks!$I$171="","",Checks!$I$171&amp;": ")&amp;Checks!$J$171</f>
        <v>F06-T7-06
ISOP: Caterer acknowledgement of ISOP revisions recorded</v>
      </c>
      <c r="B28" s="113" t="str">
        <f aca="false">Checks!$K$171&amp;IF(Checks!$O$171="","",IF(Checks!$K$171="","",CHAR(10))&amp;"Note: "&amp;Checks!$O$171)</f>
        <v>Record acknowledgement ref in Evidence</v>
      </c>
      <c r="C28" s="113" t="str">
        <f aca="false">Checks!$N$171&amp;CHAR(10)&amp;IF(ISNUMBER(Checks!$R$171),TEXT(Checks!$R$171,"DD-MMM-YY HH:MM"),"")&amp;" "&amp;Checks!$P$171</f>
        <v>Required
08-Oct-26 23:20 KUL</v>
      </c>
      <c r="D28" s="113" t="str">
        <f aca="false">IF(Checks!$U$171="","",Checks!$U$171)&amp;IF(Checks!$AB$171="","",CHAR(10)&amp;"CA: "&amp;Checks!$AB$171)</f>
        <v/>
      </c>
      <c r="E28" s="113" t="str">
        <f aca="false">IF(Checks!$V$171="","",Checks!$V$171)&amp;IF(Checks!$AC$171="","",IF(Checks!$V$171="","",CHAR(10))&amp;"N/A just.: "&amp;Checks!$AC$171)&amp;IF(Checks!$W$171="","",CHAR(10)&amp;"Batch: "&amp;Checks!$W$171)&amp;IF(AND(Checks!$X$171="",Checks!$Y$171=""),"",CHAR(10)&amp;"Exp: "&amp;Checks!$X$171&amp;"  /  Act: "&amp;Checks!$Y$171)</f>
        <v/>
      </c>
      <c r="F28" s="113" t="str">
        <f aca="false">IF(Checks!$Z$171="","","Evidence: "&amp;Checks!$Z$171)&amp;IF(Checks!$AA$171="","",IF(Checks!$Z$171="","",CHAR(10))&amp;"CA: "&amp;Checks!$AA$171)</f>
        <v/>
      </c>
      <c r="G28" s="113" t="str">
        <f aca="false">IF(ISNUMBER(Checks!$AD$171),TEXT(Checks!$AD$171,"DD-MMM-YY HH:MM")&amp;" "&amp;Checks!$P$171,"")&amp;IF(Checks!$AE$171="","",CHAR(10)&amp;"Verifier: "&amp;Checks!$AE$171)&amp;IF(Checks!$T$171="","",CHAR(10)&amp;"PIC: "&amp;Checks!$T$171)</f>
        <v/>
      </c>
      <c r="H28" s="114" t="str">
        <f aca="false">IF(Checks!$AH$171="","",Checks!$AH$171)</f>
        <v>OPEN</v>
      </c>
    </row>
    <row r="29" customFormat="false" ht="114" hidden="false" customHeight="true" outlineLevel="0" collapsed="false">
      <c r="A29" s="113" t="str">
        <f aca="false">Checks!$A$172&amp;CHAR(10)&amp;IF(Checks!$I$172="","",Checks!$I$172&amp;": ")&amp;Checks!$J$172</f>
        <v>F06-T7-07
Documents: Galley loading diagram (GLD) received, revision recorded &amp; attached</v>
      </c>
      <c r="B29" s="113" t="str">
        <f aca="false">Checks!$K$172&amp;IF(Checks!$O$172="","",IF(Checks!$K$172="","",CHAR(10))&amp;"Note: "&amp;Checks!$O$172)</f>
        <v>Documents sheet row complete</v>
      </c>
      <c r="C29" s="113" t="str">
        <f aca="false">Checks!$N$172&amp;CHAR(10)&amp;IF(ISNUMBER(Checks!$R$172),TEXT(Checks!$R$172,"DD-MMM-YY HH:MM"),"")&amp;" "&amp;Checks!$P$172</f>
        <v>Required
08-Oct-26 23:20 KUL</v>
      </c>
      <c r="D29" s="113" t="str">
        <f aca="false">IF(Checks!$U$172="","",Checks!$U$172)&amp;IF(Checks!$AB$172="","",CHAR(10)&amp;"CA: "&amp;Checks!$AB$172)</f>
        <v/>
      </c>
      <c r="E29" s="113" t="str">
        <f aca="false">IF(Checks!$V$172="","",Checks!$V$172)&amp;IF(Checks!$AC$172="","",IF(Checks!$V$172="","",CHAR(10))&amp;"N/A just.: "&amp;Checks!$AC$172)&amp;IF(Checks!$W$172="","",CHAR(10)&amp;"Batch: "&amp;Checks!$W$172)&amp;IF(AND(Checks!$X$172="",Checks!$Y$172=""),"",CHAR(10)&amp;"Exp: "&amp;Checks!$X$172&amp;"  /  Act: "&amp;Checks!$Y$172)</f>
        <v/>
      </c>
      <c r="F29" s="113" t="str">
        <f aca="false">IF(Checks!$Z$172="","","Evidence: "&amp;Checks!$Z$172)&amp;IF(Checks!$AA$172="","",IF(Checks!$Z$172="","",CHAR(10))&amp;"CA: "&amp;Checks!$AA$172)</f>
        <v/>
      </c>
      <c r="G29" s="113" t="str">
        <f aca="false">IF(ISNUMBER(Checks!$AD$172),TEXT(Checks!$AD$172,"DD-MMM-YY HH:MM")&amp;" "&amp;Checks!$P$172,"")&amp;IF(Checks!$AE$172="","",CHAR(10)&amp;"Verifier: "&amp;Checks!$AE$172)&amp;IF(Checks!$T$172="","",CHAR(10)&amp;"PIC: "&amp;Checks!$T$172)</f>
        <v/>
      </c>
      <c r="H29" s="114" t="str">
        <f aca="false">IF(Checks!$AH$172="","",Checks!$AH$172)</f>
        <v>OPEN</v>
      </c>
    </row>
    <row r="30" customFormat="false" ht="114" hidden="false" customHeight="true" outlineLevel="0" collapsed="false">
      <c r="A30" s="113" t="str">
        <f aca="false">Checks!$A$173&amp;CHAR(10)&amp;IF(Checks!$I$173="","",Checks!$I$173&amp;": ")&amp;Checks!$J$173</f>
        <v>F06-T7-08
Documents: Menu checklist received, revision recorded &amp; attached</v>
      </c>
      <c r="B30" s="113" t="str">
        <f aca="false">Checks!$K$173&amp;IF(Checks!$O$173="","",IF(Checks!$K$173="","",CHAR(10))&amp;"Note: "&amp;Checks!$O$173)</f>
        <v>Documents sheet row complete</v>
      </c>
      <c r="C30" s="113" t="str">
        <f aca="false">Checks!$N$173&amp;CHAR(10)&amp;IF(ISNUMBER(Checks!$R$173),TEXT(Checks!$R$173,"DD-MMM-YY HH:MM"),"")&amp;" "&amp;Checks!$P$173</f>
        <v>Required
08-Oct-26 23:20 KUL</v>
      </c>
      <c r="D30" s="113" t="str">
        <f aca="false">IF(Checks!$U$173="","",Checks!$U$173)&amp;IF(Checks!$AB$173="","",CHAR(10)&amp;"CA: "&amp;Checks!$AB$173)</f>
        <v/>
      </c>
      <c r="E30" s="113" t="str">
        <f aca="false">IF(Checks!$V$173="","",Checks!$V$173)&amp;IF(Checks!$AC$173="","",IF(Checks!$V$173="","",CHAR(10))&amp;"N/A just.: "&amp;Checks!$AC$173)&amp;IF(Checks!$W$173="","",CHAR(10)&amp;"Batch: "&amp;Checks!$W$173)&amp;IF(AND(Checks!$X$173="",Checks!$Y$173=""),"",CHAR(10)&amp;"Exp: "&amp;Checks!$X$173&amp;"  /  Act: "&amp;Checks!$Y$173)</f>
        <v/>
      </c>
      <c r="F30" s="113" t="str">
        <f aca="false">IF(Checks!$Z$173="","","Evidence: "&amp;Checks!$Z$173)&amp;IF(Checks!$AA$173="","",IF(Checks!$Z$173="","",CHAR(10))&amp;"CA: "&amp;Checks!$AA$173)</f>
        <v/>
      </c>
      <c r="G30" s="113" t="str">
        <f aca="false">IF(ISNUMBER(Checks!$AD$173),TEXT(Checks!$AD$173,"DD-MMM-YY HH:MM")&amp;" "&amp;Checks!$P$173,"")&amp;IF(Checks!$AE$173="","",CHAR(10)&amp;"Verifier: "&amp;Checks!$AE$173)&amp;IF(Checks!$T$173="","",CHAR(10)&amp;"PIC: "&amp;Checks!$T$173)</f>
        <v/>
      </c>
      <c r="H30" s="114" t="str">
        <f aca="false">IF(Checks!$AH$173="","",Checks!$AH$173)</f>
        <v>OPEN</v>
      </c>
    </row>
    <row r="31" customFormat="false" ht="114" hidden="false" customHeight="true" outlineLevel="0" collapsed="false">
      <c r="A31" s="113" t="str">
        <f aca="false">Checks!$A$174&amp;CHAR(10)&amp;IF(Checks!$I$174="","",Checks!$I$174&amp;": ")&amp;Checks!$J$174</f>
        <v>F06-T7-09
Uplift plan: Uplift plan confirmed with caterer vs STD Uplift Information</v>
      </c>
      <c r="B31" s="113" t="str">
        <f aca="false">Checks!$K$174&amp;IF(Checks!$O$174="","",IF(Checks!$K$174="","",CHAR(10))&amp;"Note: "&amp;Checks!$O$174)</f>
        <v>Service: 2.5 Meal (Meal); meal uplift stn KUL (ref lists KUL/LHR)</v>
      </c>
      <c r="C31" s="113" t="str">
        <f aca="false">Checks!$N$174&amp;CHAR(10)&amp;IF(ISNUMBER(Checks!$R$174),TEXT(Checks!$R$174,"DD-MMM-YY HH:MM"),"")&amp;" "&amp;Checks!$P$174</f>
        <v>Required
08-Oct-26 23:20 KUL</v>
      </c>
      <c r="D31" s="113" t="str">
        <f aca="false">IF(Checks!$U$174="","",Checks!$U$174)&amp;IF(Checks!$AB$174="","",CHAR(10)&amp;"CA: "&amp;Checks!$AB$174)</f>
        <v/>
      </c>
      <c r="E31" s="113" t="str">
        <f aca="false">IF(Checks!$V$174="","",Checks!$V$174)&amp;IF(Checks!$AC$174="","",IF(Checks!$V$174="","",CHAR(10))&amp;"N/A just.: "&amp;Checks!$AC$174)&amp;IF(Checks!$W$174="","",CHAR(10)&amp;"Batch: "&amp;Checks!$W$174)&amp;IF(AND(Checks!$X$174="",Checks!$Y$174=""),"",CHAR(10)&amp;"Exp: "&amp;Checks!$X$174&amp;"  /  Act: "&amp;Checks!$Y$174)</f>
        <v/>
      </c>
      <c r="F31" s="113" t="str">
        <f aca="false">IF(Checks!$Z$174="","","Evidence: "&amp;Checks!$Z$174)&amp;IF(Checks!$AA$174="","",IF(Checks!$Z$174="","",CHAR(10))&amp;"CA: "&amp;Checks!$AA$174)</f>
        <v/>
      </c>
      <c r="G31" s="113" t="str">
        <f aca="false">IF(ISNUMBER(Checks!$AD$174),TEXT(Checks!$AD$174,"DD-MMM-YY HH:MM")&amp;" "&amp;Checks!$P$174,"")&amp;IF(Checks!$AE$174="","",CHAR(10)&amp;"Verifier: "&amp;Checks!$AE$174)&amp;IF(Checks!$T$174="","",CHAR(10)&amp;"PIC: "&amp;Checks!$T$174)</f>
        <v/>
      </c>
      <c r="H31" s="114" t="str">
        <f aca="false">IF(Checks!$AH$174="","",Checks!$AH$174)</f>
        <v>OPEN</v>
      </c>
    </row>
    <row r="32" customFormat="false" ht="25.5" hidden="false" customHeight="true" outlineLevel="0" collapsed="false">
      <c r="A32" s="112"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Checks!$A$175&amp;CHAR(10)&amp;IF(Checks!$I$175="","",Checks!$I$175&amp;": ")&amp;Checks!$J$175</f>
        <v>F06-T24-01
Meal: Sensory test repeated on ACTUAL production batch for this flight</v>
      </c>
      <c r="B33" s="113" t="str">
        <f aca="false">Checks!$K$175&amp;IF(Checks!$O$175="","",IF(Checks!$K$175="","",CHAR(10))&amp;"Note: "&amp;Checks!$O$175)</f>
        <v>Batch ID, result, CA and acceptance mandatory</v>
      </c>
      <c r="C33" s="113" t="str">
        <f aca="false">Checks!$N$175&amp;CHAR(10)&amp;IF(ISNUMBER(Checks!$R$175),TEXT(Checks!$R$175,"DD-MMM-YY HH:MM"),"")&amp;" "&amp;Checks!$P$175</f>
        <v>Required
14-Oct-26 23:20 KUL</v>
      </c>
      <c r="D33" s="113" t="str">
        <f aca="false">IF(Checks!$U$175="","",Checks!$U$175)&amp;IF(Checks!$AB$175="","",CHAR(10)&amp;"CA: "&amp;Checks!$AB$175)</f>
        <v/>
      </c>
      <c r="E33" s="113" t="str">
        <f aca="false">IF(Checks!$V$175="","",Checks!$V$175)&amp;IF(Checks!$AC$175="","",IF(Checks!$V$175="","",CHAR(10))&amp;"N/A just.: "&amp;Checks!$AC$175)&amp;IF(Checks!$W$175="","",CHAR(10)&amp;"Batch: "&amp;Checks!$W$175)&amp;IF(AND(Checks!$X$175="",Checks!$Y$175=""),"",CHAR(10)&amp;"Exp: "&amp;Checks!$X$175&amp;"  /  Act: "&amp;Checks!$Y$175)</f>
        <v/>
      </c>
      <c r="F33" s="113" t="str">
        <f aca="false">IF(Checks!$Z$175="","","Evidence: "&amp;Checks!$Z$175)&amp;IF(Checks!$AA$175="","",IF(Checks!$Z$175="","",CHAR(10))&amp;"CA: "&amp;Checks!$AA$175)</f>
        <v/>
      </c>
      <c r="G33" s="113" t="str">
        <f aca="false">IF(ISNUMBER(Checks!$AD$175),TEXT(Checks!$AD$175,"DD-MMM-YY HH:MM")&amp;" "&amp;Checks!$P$175,"")&amp;IF(Checks!$AE$175="","",CHAR(10)&amp;"Verifier: "&amp;Checks!$AE$175)&amp;IF(Checks!$T$175="","",CHAR(10)&amp;"PIC: "&amp;Checks!$T$175)</f>
        <v/>
      </c>
      <c r="H33" s="114" t="str">
        <f aca="false">IF(Checks!$AH$175="","",Checks!$AH$175)</f>
        <v>OPEN</v>
      </c>
    </row>
    <row r="34" customFormat="false" ht="25.5" hidden="false" customHeight="true" outlineLevel="0" collapsed="false">
      <c r="A34" s="112"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2"/>
      <c r="C34" s="112"/>
      <c r="D34" s="112"/>
      <c r="E34" s="112"/>
      <c r="F34" s="112"/>
      <c r="G34" s="112"/>
      <c r="H34" s="112"/>
    </row>
    <row r="35" customFormat="false" ht="114" hidden="false" customHeight="true" outlineLevel="0" collapsed="false">
      <c r="A35" s="113" t="str">
        <f aca="false">Checks!$A$176&amp;CHAR(10)&amp;IF(Checks!$I$176="","",Checks!$I$176&amp;": ")&amp;Checks!$J$176</f>
        <v>F06-T12-01
Meal: Meal quality vs menu checklist</v>
      </c>
      <c r="B35" s="113" t="str">
        <f aca="false">Checks!$K$176&amp;IF(Checks!$O$176="","",IF(Checks!$K$176="","",CHAR(10))&amp;"Note: "&amp;Checks!$O$176)</f>
        <v>Note: Preparation check at caterer - does NOT confirm loading.</v>
      </c>
      <c r="C35" s="113" t="str">
        <f aca="false">Checks!$N$176&amp;CHAR(10)&amp;IF(ISNUMBER(Checks!$R$176),TEXT(Checks!$R$176,"DD-MMM-YY HH:MM"),"")&amp;" "&amp;Checks!$P$176</f>
        <v>Required
15-Oct-26 11:20 KUL</v>
      </c>
      <c r="D35" s="113" t="str">
        <f aca="false">IF(Checks!$U$176="","",Checks!$U$176)&amp;IF(Checks!$AB$176="","",CHAR(10)&amp;"CA: "&amp;Checks!$AB$176)</f>
        <v/>
      </c>
      <c r="E35" s="113" t="str">
        <f aca="false">IF(Checks!$V$176="","",Checks!$V$176)&amp;IF(Checks!$AC$176="","",IF(Checks!$V$176="","",CHAR(10))&amp;"N/A just.: "&amp;Checks!$AC$176)&amp;IF(Checks!$W$176="","",CHAR(10)&amp;"Batch: "&amp;Checks!$W$176)&amp;IF(AND(Checks!$X$176="",Checks!$Y$176=""),"",CHAR(10)&amp;"Exp: "&amp;Checks!$X$176&amp;"  /  Act: "&amp;Checks!$Y$176)</f>
        <v/>
      </c>
      <c r="F35" s="113" t="str">
        <f aca="false">IF(Checks!$Z$176="","","Evidence: "&amp;Checks!$Z$176)&amp;IF(Checks!$AA$176="","",IF(Checks!$Z$176="","",CHAR(10))&amp;"CA: "&amp;Checks!$AA$176)</f>
        <v/>
      </c>
      <c r="G35" s="113" t="str">
        <f aca="false">IF(ISNUMBER(Checks!$AD$176),TEXT(Checks!$AD$176,"DD-MMM-YY HH:MM")&amp;" "&amp;Checks!$P$176,"")&amp;IF(Checks!$AE$176="","",CHAR(10)&amp;"Verifier: "&amp;Checks!$AE$176)&amp;IF(Checks!$T$176="","",CHAR(10)&amp;"PIC: "&amp;Checks!$T$176)</f>
        <v/>
      </c>
      <c r="H35" s="114" t="str">
        <f aca="false">IF(Checks!$AH$176="","",Checks!$AH$176)</f>
        <v>OPEN</v>
      </c>
    </row>
    <row r="36" customFormat="false" ht="114" hidden="false" customHeight="true" outlineLevel="0" collapsed="false">
      <c r="A36" s="113" t="str">
        <f aca="false">Checks!$A$177&amp;CHAR(10)&amp;IF(Checks!$I$177="","",Checks!$I$177&amp;": ")&amp;Checks!$J$177</f>
        <v>F06-T12-02
Meal: Meal quantities vs menu checklist</v>
      </c>
      <c r="B36" s="113" t="str">
        <f aca="false">Checks!$K$177&amp;IF(Checks!$O$177="","",IF(Checks!$K$177="","",CHAR(10))&amp;"Note: "&amp;Checks!$O$177)</f>
        <v>Enter expected &amp; actual
Note: Preparation check at caterer - does NOT confirm loading.</v>
      </c>
      <c r="C36" s="113" t="str">
        <f aca="false">Checks!$N$177&amp;CHAR(10)&amp;IF(ISNUMBER(Checks!$R$177),TEXT(Checks!$R$177,"DD-MMM-YY HH:MM"),"")&amp;" "&amp;Checks!$P$177</f>
        <v>Required
15-Oct-26 11:20 KUL</v>
      </c>
      <c r="D36" s="113" t="str">
        <f aca="false">IF(Checks!$U$177="","",Checks!$U$177)&amp;IF(Checks!$AB$177="","",CHAR(10)&amp;"CA: "&amp;Checks!$AB$177)</f>
        <v/>
      </c>
      <c r="E36" s="113" t="str">
        <f aca="false">IF(Checks!$V$177="","",Checks!$V$177)&amp;IF(Checks!$AC$177="","",IF(Checks!$V$177="","",CHAR(10))&amp;"N/A just.: "&amp;Checks!$AC$177)&amp;IF(Checks!$W$177="","",CHAR(10)&amp;"Batch: "&amp;Checks!$W$177)&amp;IF(AND(Checks!$X$177="",Checks!$Y$177=""),"",CHAR(10)&amp;"Exp: "&amp;Checks!$X$177&amp;"  /  Act: "&amp;Checks!$Y$177)</f>
        <v/>
      </c>
      <c r="F36" s="113" t="str">
        <f aca="false">IF(Checks!$Z$177="","","Evidence: "&amp;Checks!$Z$177)&amp;IF(Checks!$AA$177="","",IF(Checks!$Z$177="","",CHAR(10))&amp;"CA: "&amp;Checks!$AA$177)</f>
        <v/>
      </c>
      <c r="G36" s="113" t="str">
        <f aca="false">IF(ISNUMBER(Checks!$AD$177),TEXT(Checks!$AD$177,"DD-MMM-YY HH:MM")&amp;" "&amp;Checks!$P$177,"")&amp;IF(Checks!$AE$177="","",CHAR(10)&amp;"Verifier: "&amp;Checks!$AE$177)&amp;IF(Checks!$T$177="","",CHAR(10)&amp;"PIC: "&amp;Checks!$T$177)</f>
        <v/>
      </c>
      <c r="H36" s="114" t="str">
        <f aca="false">IF(Checks!$AH$177="","",Checks!$AH$177)</f>
        <v>OPEN</v>
      </c>
    </row>
    <row r="37" customFormat="false" ht="114" hidden="false" customHeight="true" outlineLevel="0" collapsed="false">
      <c r="A37" s="113" t="str">
        <f aca="false">Checks!$A$178&amp;CHAR(10)&amp;IF(Checks!$I$178="","",Checks!$I$178&amp;": ")&amp;Checks!$J$178</f>
        <v>F06-T12-03
Equipment: Equipment cleanliness vs GLD</v>
      </c>
      <c r="B37" s="113" t="str">
        <f aca="false">Checks!$K$178&amp;IF(Checks!$O$178="","",IF(Checks!$K$178="","",CHAR(10))&amp;"Note: "&amp;Checks!$O$178)</f>
        <v>Note: Preparation check at caterer - does NOT confirm loading.</v>
      </c>
      <c r="C37" s="113" t="str">
        <f aca="false">Checks!$N$178&amp;CHAR(10)&amp;IF(ISNUMBER(Checks!$R$178),TEXT(Checks!$R$178,"DD-MMM-YY HH:MM"),"")&amp;" "&amp;Checks!$P$178</f>
        <v>Required
15-Oct-26 11:20 KUL</v>
      </c>
      <c r="D37" s="113" t="str">
        <f aca="false">IF(Checks!$U$178="","",Checks!$U$178)&amp;IF(Checks!$AB$178="","",CHAR(10)&amp;"CA: "&amp;Checks!$AB$178)</f>
        <v/>
      </c>
      <c r="E37" s="113" t="str">
        <f aca="false">IF(Checks!$V$178="","",Checks!$V$178)&amp;IF(Checks!$AC$178="","",IF(Checks!$V$178="","",CHAR(10))&amp;"N/A just.: "&amp;Checks!$AC$178)&amp;IF(Checks!$W$178="","",CHAR(10)&amp;"Batch: "&amp;Checks!$W$178)&amp;IF(AND(Checks!$X$178="",Checks!$Y$178=""),"",CHAR(10)&amp;"Exp: "&amp;Checks!$X$178&amp;"  /  Act: "&amp;Checks!$Y$178)</f>
        <v/>
      </c>
      <c r="F37" s="113" t="str">
        <f aca="false">IF(Checks!$Z$178="","","Evidence: "&amp;Checks!$Z$178)&amp;IF(Checks!$AA$178="","",IF(Checks!$Z$178="","",CHAR(10))&amp;"CA: "&amp;Checks!$AA$178)</f>
        <v/>
      </c>
      <c r="G37" s="113" t="str">
        <f aca="false">IF(ISNUMBER(Checks!$AD$178),TEXT(Checks!$AD$178,"DD-MMM-YY HH:MM")&amp;" "&amp;Checks!$P$178,"")&amp;IF(Checks!$AE$178="","",CHAR(10)&amp;"Verifier: "&amp;Checks!$AE$178)&amp;IF(Checks!$T$178="","",CHAR(10)&amp;"PIC: "&amp;Checks!$T$178)</f>
        <v/>
      </c>
      <c r="H37" s="114" t="str">
        <f aca="false">IF(Checks!$AH$178="","",Checks!$AH$178)</f>
        <v>OPEN</v>
      </c>
    </row>
    <row r="38" customFormat="false" ht="114" hidden="false" customHeight="true" outlineLevel="0" collapsed="false">
      <c r="A38" s="113" t="str">
        <f aca="false">Checks!$A$179&amp;CHAR(10)&amp;IF(Checks!$I$179="","",Checks!$I$179&amp;": ")&amp;Checks!$J$179</f>
        <v>F06-T12-04
Equipment: Equipment presentation vs GLD</v>
      </c>
      <c r="B38" s="113" t="str">
        <f aca="false">Checks!$K$179&amp;IF(Checks!$O$179="","",IF(Checks!$K$179="","",CHAR(10))&amp;"Note: "&amp;Checks!$O$179)</f>
        <v>Note: Preparation check at caterer - does NOT confirm loading.</v>
      </c>
      <c r="C38" s="113" t="str">
        <f aca="false">Checks!$N$179&amp;CHAR(10)&amp;IF(ISNUMBER(Checks!$R$179),TEXT(Checks!$R$179,"DD-MMM-YY HH:MM"),"")&amp;" "&amp;Checks!$P$179</f>
        <v>Required
15-Oct-26 11:20 KUL</v>
      </c>
      <c r="D38" s="113" t="str">
        <f aca="false">IF(Checks!$U$179="","",Checks!$U$179)&amp;IF(Checks!$AB$179="","",CHAR(10)&amp;"CA: "&amp;Checks!$AB$179)</f>
        <v/>
      </c>
      <c r="E38" s="113" t="str">
        <f aca="false">IF(Checks!$V$179="","",Checks!$V$179)&amp;IF(Checks!$AC$179="","",IF(Checks!$V$179="","",CHAR(10))&amp;"N/A just.: "&amp;Checks!$AC$179)&amp;IF(Checks!$W$179="","",CHAR(10)&amp;"Batch: "&amp;Checks!$W$179)&amp;IF(AND(Checks!$X$179="",Checks!$Y$179=""),"",CHAR(10)&amp;"Exp: "&amp;Checks!$X$179&amp;"  /  Act: "&amp;Checks!$Y$179)</f>
        <v/>
      </c>
      <c r="F38" s="113" t="str">
        <f aca="false">IF(Checks!$Z$179="","","Evidence: "&amp;Checks!$Z$179)&amp;IF(Checks!$AA$179="","",IF(Checks!$Z$179="","",CHAR(10))&amp;"CA: "&amp;Checks!$AA$179)</f>
        <v/>
      </c>
      <c r="G38" s="113" t="str">
        <f aca="false">IF(ISNUMBER(Checks!$AD$179),TEXT(Checks!$AD$179,"DD-MMM-YY HH:MM")&amp;" "&amp;Checks!$P$179,"")&amp;IF(Checks!$AE$179="","",CHAR(10)&amp;"Verifier: "&amp;Checks!$AE$179)&amp;IF(Checks!$T$179="","",CHAR(10)&amp;"PIC: "&amp;Checks!$T$179)</f>
        <v/>
      </c>
      <c r="H38" s="114" t="str">
        <f aca="false">IF(Checks!$AH$179="","",Checks!$AH$179)</f>
        <v>OPEN</v>
      </c>
    </row>
    <row r="39" customFormat="false" ht="114" hidden="false" customHeight="true" outlineLevel="0" collapsed="false">
      <c r="A39" s="113" t="str">
        <f aca="false">Checks!$A$180&amp;CHAR(10)&amp;IF(Checks!$I$180="","",Checks!$I$180&amp;": ")&amp;Checks!$J$180</f>
        <v>F06-T12-05
Equipment: Equipment serviceability vs GLD</v>
      </c>
      <c r="B39" s="113" t="str">
        <f aca="false">Checks!$K$180&amp;IF(Checks!$O$180="","",IF(Checks!$K$180="","",CHAR(10))&amp;"Note: "&amp;Checks!$O$180)</f>
        <v>Note: Preparation check at caterer - does NOT confirm loading.</v>
      </c>
      <c r="C39" s="113" t="str">
        <f aca="false">Checks!$N$180&amp;CHAR(10)&amp;IF(ISNUMBER(Checks!$R$180),TEXT(Checks!$R$180,"DD-MMM-YY HH:MM"),"")&amp;" "&amp;Checks!$P$180</f>
        <v>Required
15-Oct-26 11:20 KUL</v>
      </c>
      <c r="D39" s="113" t="str">
        <f aca="false">IF(Checks!$U$180="","",Checks!$U$180)&amp;IF(Checks!$AB$180="","",CHAR(10)&amp;"CA: "&amp;Checks!$AB$180)</f>
        <v/>
      </c>
      <c r="E39" s="113" t="str">
        <f aca="false">IF(Checks!$V$180="","",Checks!$V$180)&amp;IF(Checks!$AC$180="","",IF(Checks!$V$180="","",CHAR(10))&amp;"N/A just.: "&amp;Checks!$AC$180)&amp;IF(Checks!$W$180="","",CHAR(10)&amp;"Batch: "&amp;Checks!$W$180)&amp;IF(AND(Checks!$X$180="",Checks!$Y$180=""),"",CHAR(10)&amp;"Exp: "&amp;Checks!$X$180&amp;"  /  Act: "&amp;Checks!$Y$180)</f>
        <v/>
      </c>
      <c r="F39" s="113" t="str">
        <f aca="false">IF(Checks!$Z$180="","","Evidence: "&amp;Checks!$Z$180)&amp;IF(Checks!$AA$180="","",IF(Checks!$Z$180="","",CHAR(10))&amp;"CA: "&amp;Checks!$AA$180)</f>
        <v/>
      </c>
      <c r="G39" s="113" t="str">
        <f aca="false">IF(ISNUMBER(Checks!$AD$180),TEXT(Checks!$AD$180,"DD-MMM-YY HH:MM")&amp;" "&amp;Checks!$P$180,"")&amp;IF(Checks!$AE$180="","",CHAR(10)&amp;"Verifier: "&amp;Checks!$AE$180)&amp;IF(Checks!$T$180="","",CHAR(10)&amp;"PIC: "&amp;Checks!$T$180)</f>
        <v/>
      </c>
      <c r="H39" s="114" t="str">
        <f aca="false">IF(Checks!$AH$180="","",Checks!$AH$180)</f>
        <v>OPEN</v>
      </c>
    </row>
    <row r="40" customFormat="false" ht="322.5" hidden="false" customHeight="true" outlineLevel="0" collapsed="false">
      <c r="A40" s="113" t="str">
        <f aca="false">Checks!$A$181&amp;CHAR(10)&amp;IF(Checks!$I$181="","",Checks!$I$181&amp;": ")&amp;Checks!$J$181</f>
        <v>F06-T12-06
Equipment: Equipment quantities vs GLD</v>
      </c>
      <c r="B40" s="113" t="str">
        <f aca="false">SUBSTITUTE(Checks!$K$181&amp;IF(Checks!$O$181="","",IF(Checks!$K$181="","",CHAR(10))&amp;"Note: "&amp;Checks!$O$181),"AIRCRAFT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Checks!$N$181&amp;CHAR(10)&amp;IF(ISNUMBER(Checks!$R$181),TEXT(Checks!$R$181,"DD-MMM-YY HH:MM"),"")&amp;" "&amp;Checks!$P$181</f>
        <v>Required
15-Oct-26 11:20 KUL</v>
      </c>
      <c r="D40" s="113" t="str">
        <f aca="false">IF(Checks!$U$181="","",Checks!$U$181)&amp;IF(Checks!$AB$181="","",CHAR(10)&amp;"CA: "&amp;Checks!$AB$181)</f>
        <v/>
      </c>
      <c r="E40" s="113" t="str">
        <f aca="false">IF(Checks!$V$181="","",Checks!$V$181)&amp;IF(Checks!$AC$181="","",IF(Checks!$V$181="","",CHAR(10))&amp;"N/A just.: "&amp;Checks!$AC$181)&amp;IF(Checks!$W$181="","",CHAR(10)&amp;"Batch: "&amp;Checks!$W$181)&amp;IF(AND(Checks!$X$181="",Checks!$Y$181=""),"",CHAR(10)&amp;"Exp: "&amp;Checks!$X$181&amp;"  /  Act: "&amp;Checks!$Y$181)</f>
        <v/>
      </c>
      <c r="F40" s="113" t="str">
        <f aca="false">IF(Checks!$Z$181="","","Evidence: "&amp;Checks!$Z$181)&amp;IF(Checks!$AA$181="","",IF(Checks!$Z$181="","",CHAR(10))&amp;"CA: "&amp;Checks!$AA$181)</f>
        <v/>
      </c>
      <c r="G40" s="113" t="str">
        <f aca="false">IF(ISNUMBER(Checks!$AD$181),TEXT(Checks!$AD$181,"DD-MMM-YY HH:MM")&amp;" "&amp;Checks!$P$181,"")&amp;IF(Checks!$AE$181="","",CHAR(10)&amp;"Verifier: "&amp;Checks!$AE$181)&amp;IF(Checks!$T$181="","",CHAR(10)&amp;"PIC: "&amp;Checks!$T$181)</f>
        <v/>
      </c>
      <c r="H40" s="114" t="str">
        <f aca="false">IF(Checks!$AH$181="","",Checks!$AH$181)</f>
        <v>OPEN</v>
      </c>
    </row>
    <row r="41" customFormat="false" ht="114" hidden="false" customHeight="true" outlineLevel="0" collapsed="false">
      <c r="A41" s="113" t="str">
        <f aca="false">Checks!$A$182&amp;CHAR(10)&amp;IF(Checks!$I$182="","",Checks!$I$182&amp;": ")&amp;Checks!$J$182</f>
        <v>F06-T12-07
Equipment: Loading positions planned vs GLD</v>
      </c>
      <c r="B41" s="113" t="str">
        <f aca="false">Checks!$K$182&amp;IF(Checks!$O$182="","",IF(Checks!$K$182="","",CHAR(10))&amp;"Note: "&amp;Checks!$O$182)</f>
        <v>Note: Preparation check at caterer - does NOT confirm loading.</v>
      </c>
      <c r="C41" s="113" t="str">
        <f aca="false">Checks!$N$182&amp;CHAR(10)&amp;IF(ISNUMBER(Checks!$R$182),TEXT(Checks!$R$182,"DD-MMM-YY HH:MM"),"")&amp;" "&amp;Checks!$P$182</f>
        <v>Required
15-Oct-26 11:20 KUL</v>
      </c>
      <c r="D41" s="113" t="str">
        <f aca="false">IF(Checks!$U$182="","",Checks!$U$182)&amp;IF(Checks!$AB$182="","",CHAR(10)&amp;"CA: "&amp;Checks!$AB$182)</f>
        <v/>
      </c>
      <c r="E41" s="113" t="str">
        <f aca="false">IF(Checks!$V$182="","",Checks!$V$182)&amp;IF(Checks!$AC$182="","",IF(Checks!$V$182="","",CHAR(10))&amp;"N/A just.: "&amp;Checks!$AC$182)&amp;IF(Checks!$W$182="","",CHAR(10)&amp;"Batch: "&amp;Checks!$W$182)&amp;IF(AND(Checks!$X$182="",Checks!$Y$182=""),"",CHAR(10)&amp;"Exp: "&amp;Checks!$X$182&amp;"  /  Act: "&amp;Checks!$Y$182)</f>
        <v/>
      </c>
      <c r="F41" s="113" t="str">
        <f aca="false">IF(Checks!$Z$182="","","Evidence: "&amp;Checks!$Z$182)&amp;IF(Checks!$AA$182="","",IF(Checks!$Z$182="","",CHAR(10))&amp;"CA: "&amp;Checks!$AA$182)</f>
        <v/>
      </c>
      <c r="G41" s="113" t="str">
        <f aca="false">IF(ISNUMBER(Checks!$AD$182),TEXT(Checks!$AD$182,"DD-MMM-YY HH:MM")&amp;" "&amp;Checks!$P$182,"")&amp;IF(Checks!$AE$182="","",CHAR(10)&amp;"Verifier: "&amp;Checks!$AE$182)&amp;IF(Checks!$T$182="","",CHAR(10)&amp;"PIC: "&amp;Checks!$T$182)</f>
        <v/>
      </c>
      <c r="H41" s="114" t="str">
        <f aca="false">IF(Checks!$AH$182="","",Checks!$AH$182)</f>
        <v>OPEN</v>
      </c>
    </row>
    <row r="42" customFormat="false" ht="213" hidden="false" customHeight="true" outlineLevel="0" collapsed="false">
      <c r="A42" s="113" t="str">
        <f aca="false">Checks!$A$183&amp;CHAR(10)&amp;IF(Checks!$I$183="","",Checks!$I$183&amp;": ")&amp;Checks!$J$183</f>
        <v>F06-T12-08
Amenities: Toiletry kits - prepared</v>
      </c>
      <c r="B42" s="113" t="str">
        <f aca="false">SUBSTITUTE(Checks!$K$183&amp;IF(Checks!$O$183="","",IF(Checks!$K$183="","",CHAR(10))&amp;"Note: "&amp;Checks!$O$183),"AMENITIES!","Ref: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3" t="str">
        <f aca="false">Checks!$N$183&amp;CHAR(10)&amp;IF(ISNUMBER(Checks!$R$183),TEXT(Checks!$R$183,"DD-MMM-YY HH:MM"),"")&amp;" "&amp;Checks!$P$183</f>
        <v>Clarification required
15-Oct-26 11:20 KUL</v>
      </c>
      <c r="D42" s="113" t="str">
        <f aca="false">IF(Checks!$U$183="","",Checks!$U$183)&amp;IF(Checks!$AB$183="","",CHAR(10)&amp;"CA: "&amp;Checks!$AB$183)</f>
        <v/>
      </c>
      <c r="E42" s="113" t="str">
        <f aca="false">IF(Checks!$V$183="","",Checks!$V$183)&amp;IF(Checks!$AC$183="","",IF(Checks!$V$183="","",CHAR(10))&amp;"N/A just.: "&amp;Checks!$AC$183)&amp;IF(Checks!$W$183="","",CHAR(10)&amp;"Batch: "&amp;Checks!$W$183)&amp;IF(AND(Checks!$X$183="",Checks!$Y$183=""),"",CHAR(10)&amp;"Exp: "&amp;Checks!$X$183&amp;"  /  Act: "&amp;Checks!$Y$183)</f>
        <v/>
      </c>
      <c r="F42" s="113" t="str">
        <f aca="false">IF(Checks!$Z$183="","","Evidence: "&amp;Checks!$Z$183)&amp;IF(Checks!$AA$183="","",IF(Checks!$Z$183="","",CHAR(10))&amp;"CA: "&amp;Checks!$AA$183)</f>
        <v/>
      </c>
      <c r="G42" s="113" t="str">
        <f aca="false">IF(ISNUMBER(Checks!$AD$183),TEXT(Checks!$AD$183,"DD-MMM-YY HH:MM")&amp;" "&amp;Checks!$P$183,"")&amp;IF(Checks!$AE$183="","",CHAR(10)&amp;"Verifier: "&amp;Checks!$AE$183)&amp;IF(Checks!$T$183="","",CHAR(10)&amp;"PIC: "&amp;Checks!$T$183)</f>
        <v/>
      </c>
      <c r="H42" s="114" t="str">
        <f aca="false">IF(Checks!$AH$183="","",Checks!$AH$183)</f>
        <v>OPEN – CLARIFICATION</v>
      </c>
    </row>
    <row r="43" customFormat="false" ht="114" hidden="false" customHeight="true" outlineLevel="0" collapsed="false">
      <c r="A43" s="113" t="str">
        <f aca="false">Checks!$A$184&amp;CHAR(10)&amp;IF(Checks!$I$184="","",Checks!$I$184&amp;": ")&amp;Checks!$J$184</f>
        <v>F06-T12-09
Amenities: Pajamas (BC) - prepared</v>
      </c>
      <c r="B43" s="113" t="str">
        <f aca="false">Checks!$K$184&amp;IF(Checks!$O$184="","",IF(Checks!$K$184="","",CHAR(10))&amp;"Note: "&amp;Checks!$O$184)</f>
        <v>Available - BC red-eye only
Note: Red-eye departure 2320 local.</v>
      </c>
      <c r="C43" s="113" t="str">
        <f aca="false">Checks!$N$184&amp;CHAR(10)&amp;IF(ISNUMBER(Checks!$R$184),TEXT(Checks!$R$184,"DD-MMM-YY HH:MM"),"")&amp;" "&amp;Checks!$P$184</f>
        <v>Required
15-Oct-26 11:20 KUL</v>
      </c>
      <c r="D43" s="113" t="str">
        <f aca="false">IF(Checks!$U$184="","",Checks!$U$184)&amp;IF(Checks!$AB$184="","",CHAR(10)&amp;"CA: "&amp;Checks!$AB$184)</f>
        <v/>
      </c>
      <c r="E43" s="113" t="str">
        <f aca="false">IF(Checks!$V$184="","",Checks!$V$184)&amp;IF(Checks!$AC$184="","",IF(Checks!$V$184="","",CHAR(10))&amp;"N/A just.: "&amp;Checks!$AC$184)&amp;IF(Checks!$W$184="","",CHAR(10)&amp;"Batch: "&amp;Checks!$W$184)&amp;IF(AND(Checks!$X$184="",Checks!$Y$184=""),"",CHAR(10)&amp;"Exp: "&amp;Checks!$X$184&amp;"  /  Act: "&amp;Checks!$Y$184)</f>
        <v/>
      </c>
      <c r="F43" s="113" t="str">
        <f aca="false">IF(Checks!$Z$184="","","Evidence: "&amp;Checks!$Z$184)&amp;IF(Checks!$AA$184="","",IF(Checks!$Z$184="","",CHAR(10))&amp;"CA: "&amp;Checks!$AA$184)</f>
        <v/>
      </c>
      <c r="G43" s="113" t="str">
        <f aca="false">IF(ISNUMBER(Checks!$AD$184),TEXT(Checks!$AD$184,"DD-MMM-YY HH:MM")&amp;" "&amp;Checks!$P$184,"")&amp;IF(Checks!$AE$184="","",CHAR(10)&amp;"Verifier: "&amp;Checks!$AE$184)&amp;IF(Checks!$T$184="","",CHAR(10)&amp;"PIC: "&amp;Checks!$T$184)</f>
        <v/>
      </c>
      <c r="H43" s="114" t="str">
        <f aca="false">IF(Checks!$AH$184="","",Checks!$AH$184)</f>
        <v>OPEN</v>
      </c>
    </row>
    <row r="44" customFormat="false" ht="114" hidden="false" customHeight="true" outlineLevel="0" collapsed="false">
      <c r="A44" s="113" t="str">
        <f aca="false">Checks!$A$185&amp;CHAR(10)&amp;IF(Checks!$I$185="","",Checks!$I$185&amp;": ")&amp;Checks!$J$185</f>
        <v>F06-T12-10
Amenities: Slippers (BS/BC) - prepared</v>
      </c>
      <c r="B44" s="113" t="str">
        <f aca="false">Checks!$K$185&amp;IF(Checks!$O$185="","",IF(Checks!$K$185="","",CHAR(10))&amp;"Note: "&amp;Checks!$O$185)</f>
        <v>Available (ticked in reference)</v>
      </c>
      <c r="C44" s="113" t="str">
        <f aca="false">Checks!$N$185&amp;CHAR(10)&amp;IF(ISNUMBER(Checks!$R$185),TEXT(Checks!$R$185,"DD-MMM-YY HH:MM"),"")&amp;" "&amp;Checks!$P$185</f>
        <v>Required
15-Oct-26 11:20 KUL</v>
      </c>
      <c r="D44" s="113" t="str">
        <f aca="false">IF(Checks!$U$185="","",Checks!$U$185)&amp;IF(Checks!$AB$185="","",CHAR(10)&amp;"CA: "&amp;Checks!$AB$185)</f>
        <v/>
      </c>
      <c r="E44" s="113" t="str">
        <f aca="false">IF(Checks!$V$185="","",Checks!$V$185)&amp;IF(Checks!$AC$185="","",IF(Checks!$V$185="","",CHAR(10))&amp;"N/A just.: "&amp;Checks!$AC$185)&amp;IF(Checks!$W$185="","",CHAR(10)&amp;"Batch: "&amp;Checks!$W$185)&amp;IF(AND(Checks!$X$185="",Checks!$Y$185=""),"",CHAR(10)&amp;"Exp: "&amp;Checks!$X$185&amp;"  /  Act: "&amp;Checks!$Y$185)</f>
        <v/>
      </c>
      <c r="F44" s="113" t="str">
        <f aca="false">IF(Checks!$Z$185="","","Evidence: "&amp;Checks!$Z$185)&amp;IF(Checks!$AA$185="","",IF(Checks!$Z$185="","",CHAR(10))&amp;"CA: "&amp;Checks!$AA$185)</f>
        <v/>
      </c>
      <c r="G44" s="113" t="str">
        <f aca="false">IF(ISNUMBER(Checks!$AD$185),TEXT(Checks!$AD$185,"DD-MMM-YY HH:MM")&amp;" "&amp;Checks!$P$185,"")&amp;IF(Checks!$AE$185="","",CHAR(10)&amp;"Verifier: "&amp;Checks!$AE$185)&amp;IF(Checks!$T$185="","",CHAR(10)&amp;"PIC: "&amp;Checks!$T$185)</f>
        <v/>
      </c>
      <c r="H44" s="114" t="str">
        <f aca="false">IF(Checks!$AH$185="","",Checks!$AH$185)</f>
        <v>OPEN</v>
      </c>
    </row>
    <row r="45" customFormat="false" ht="114" hidden="false" customHeight="true" outlineLevel="0" collapsed="false">
      <c r="A45" s="113" t="str">
        <f aca="false">Checks!$A$186&amp;CHAR(10)&amp;IF(Checks!$I$186="","",Checks!$I$186&amp;": ")&amp;Checks!$J$186</f>
        <v>F06-T12-11
F&amp;B Linen: Towel - prepared</v>
      </c>
      <c r="B45" s="113" t="str">
        <f aca="false">Checks!$K$186&amp;IF(Checks!$O$186="","",IF(Checks!$K$186="","",CHAR(10))&amp;"Note: "&amp;Checks!$O$186)</f>
        <v>Available (ticked in reference)
Note: Reference gives no uplift stn for this item: preparation checked at the meal uplift stn (KUL) - confirm with caterer.</v>
      </c>
      <c r="C45" s="113" t="str">
        <f aca="false">Checks!$N$186&amp;CHAR(10)&amp;IF(ISNUMBER(Checks!$R$186),TEXT(Checks!$R$186,"DD-MMM-YY HH:MM"),"")&amp;" "&amp;Checks!$P$186</f>
        <v>Required
15-Oct-26 11:20 KUL</v>
      </c>
      <c r="D45" s="113" t="str">
        <f aca="false">IF(Checks!$U$186="","",Checks!$U$186)&amp;IF(Checks!$AB$186="","",CHAR(10)&amp;"CA: "&amp;Checks!$AB$186)</f>
        <v/>
      </c>
      <c r="E45" s="113" t="str">
        <f aca="false">IF(Checks!$V$186="","",Checks!$V$186)&amp;IF(Checks!$AC$186="","",IF(Checks!$V$186="","",CHAR(10))&amp;"N/A just.: "&amp;Checks!$AC$186)&amp;IF(Checks!$W$186="","",CHAR(10)&amp;"Batch: "&amp;Checks!$W$186)&amp;IF(AND(Checks!$X$186="",Checks!$Y$186=""),"",CHAR(10)&amp;"Exp: "&amp;Checks!$X$186&amp;"  /  Act: "&amp;Checks!$Y$186)</f>
        <v/>
      </c>
      <c r="F45" s="113" t="str">
        <f aca="false">IF(Checks!$Z$186="","","Evidence: "&amp;Checks!$Z$186)&amp;IF(Checks!$AA$186="","",IF(Checks!$Z$186="","",CHAR(10))&amp;"CA: "&amp;Checks!$AA$186)</f>
        <v/>
      </c>
      <c r="G45" s="113" t="str">
        <f aca="false">IF(ISNUMBER(Checks!$AD$186),TEXT(Checks!$AD$186,"DD-MMM-YY HH:MM")&amp;" "&amp;Checks!$P$186,"")&amp;IF(Checks!$AE$186="","",CHAR(10)&amp;"Verifier: "&amp;Checks!$AE$186)&amp;IF(Checks!$T$186="","",CHAR(10)&amp;"PIC: "&amp;Checks!$T$186)</f>
        <v/>
      </c>
      <c r="H45" s="114" t="str">
        <f aca="false">IF(Checks!$AH$186="","",Checks!$AH$186)</f>
        <v>OPEN</v>
      </c>
    </row>
    <row r="46" customFormat="false" ht="114" hidden="false" customHeight="true" outlineLevel="0" collapsed="false">
      <c r="A46" s="113" t="str">
        <f aca="false">Checks!$A$187&amp;CHAR(10)&amp;IF(Checks!$I$187="","",Checks!$I$187&amp;": ")&amp;Checks!$J$187</f>
        <v>F06-T12-12
F&amp;B Linen: Tray cloth - prepared</v>
      </c>
      <c r="B46" s="113" t="str">
        <f aca="false">Checks!$K$187&amp;IF(Checks!$O$187="","",IF(Checks!$K$187="","",CHAR(10))&amp;"Note: "&amp;Checks!$O$187)</f>
        <v>Available (ticked in reference)
Note: Reference gives no uplift stn for this item: preparation checked at the meal uplift stn (KUL) - confirm with caterer.</v>
      </c>
      <c r="C46" s="113" t="str">
        <f aca="false">Checks!$N$187&amp;CHAR(10)&amp;IF(ISNUMBER(Checks!$R$187),TEXT(Checks!$R$187,"DD-MMM-YY HH:MM"),"")&amp;" "&amp;Checks!$P$187</f>
        <v>Required
15-Oct-26 11:20 KUL</v>
      </c>
      <c r="D46" s="113" t="str">
        <f aca="false">IF(Checks!$U$187="","",Checks!$U$187)&amp;IF(Checks!$AB$187="","",CHAR(10)&amp;"CA: "&amp;Checks!$AB$187)</f>
        <v/>
      </c>
      <c r="E46" s="113" t="str">
        <f aca="false">IF(Checks!$V$187="","",Checks!$V$187)&amp;IF(Checks!$AC$187="","",IF(Checks!$V$187="","",CHAR(10))&amp;"N/A just.: "&amp;Checks!$AC$187)&amp;IF(Checks!$W$187="","",CHAR(10)&amp;"Batch: "&amp;Checks!$W$187)&amp;IF(AND(Checks!$X$187="",Checks!$Y$187=""),"",CHAR(10)&amp;"Exp: "&amp;Checks!$X$187&amp;"  /  Act: "&amp;Checks!$Y$187)</f>
        <v/>
      </c>
      <c r="F46" s="113" t="str">
        <f aca="false">IF(Checks!$Z$187="","","Evidence: "&amp;Checks!$Z$187)&amp;IF(Checks!$AA$187="","",IF(Checks!$Z$187="","",CHAR(10))&amp;"CA: "&amp;Checks!$AA$187)</f>
        <v/>
      </c>
      <c r="G46" s="113" t="str">
        <f aca="false">IF(ISNUMBER(Checks!$AD$187),TEXT(Checks!$AD$187,"DD-MMM-YY HH:MM")&amp;" "&amp;Checks!$P$187,"")&amp;IF(Checks!$AE$187="","",CHAR(10)&amp;"Verifier: "&amp;Checks!$AE$187)&amp;IF(Checks!$T$187="","",CHAR(10)&amp;"PIC: "&amp;Checks!$T$187)</f>
        <v/>
      </c>
      <c r="H46" s="114" t="str">
        <f aca="false">IF(Checks!$AH$187="","",Checks!$AH$187)</f>
        <v>OPEN</v>
      </c>
    </row>
    <row r="47" customFormat="false" ht="114" hidden="false" customHeight="true" outlineLevel="0" collapsed="false">
      <c r="A47" s="113" t="str">
        <f aca="false">Checks!$A$188&amp;CHAR(10)&amp;IF(Checks!$I$188="","",Checks!$I$188&amp;": ")&amp;Checks!$J$188</f>
        <v>F06-T12-13
F&amp;B Linen: Napkin - prepared</v>
      </c>
      <c r="B47" s="113" t="str">
        <f aca="false">Checks!$K$188&amp;IF(Checks!$O$188="","",IF(Checks!$K$188="","",CHAR(10))&amp;"Note: "&amp;Checks!$O$188)</f>
        <v>Available (ticked in reference)
Note: Reference gives no uplift stn for this item: preparation checked at the meal uplift stn (KUL) - confirm with caterer.</v>
      </c>
      <c r="C47" s="113" t="str">
        <f aca="false">Checks!$N$188&amp;CHAR(10)&amp;IF(ISNUMBER(Checks!$R$188),TEXT(Checks!$R$188,"DD-MMM-YY HH:MM"),"")&amp;" "&amp;Checks!$P$188</f>
        <v>Required
15-Oct-26 11:20 KUL</v>
      </c>
      <c r="D47" s="113" t="str">
        <f aca="false">IF(Checks!$U$188="","",Checks!$U$188)&amp;IF(Checks!$AB$188="","",CHAR(10)&amp;"CA: "&amp;Checks!$AB$188)</f>
        <v/>
      </c>
      <c r="E47" s="113" t="str">
        <f aca="false">IF(Checks!$V$188="","",Checks!$V$188)&amp;IF(Checks!$AC$188="","",IF(Checks!$V$188="","",CHAR(10))&amp;"N/A just.: "&amp;Checks!$AC$188)&amp;IF(Checks!$W$188="","",CHAR(10)&amp;"Batch: "&amp;Checks!$W$188)&amp;IF(AND(Checks!$X$188="",Checks!$Y$188=""),"",CHAR(10)&amp;"Exp: "&amp;Checks!$X$188&amp;"  /  Act: "&amp;Checks!$Y$188)</f>
        <v/>
      </c>
      <c r="F47" s="113" t="str">
        <f aca="false">IF(Checks!$Z$188="","","Evidence: "&amp;Checks!$Z$188)&amp;IF(Checks!$AA$188="","",IF(Checks!$Z$188="","",CHAR(10))&amp;"CA: "&amp;Checks!$AA$188)</f>
        <v/>
      </c>
      <c r="G47" s="113" t="str">
        <f aca="false">IF(ISNUMBER(Checks!$AD$188),TEXT(Checks!$AD$188,"DD-MMM-YY HH:MM")&amp;" "&amp;Checks!$P$188,"")&amp;IF(Checks!$AE$188="","",CHAR(10)&amp;"Verifier: "&amp;Checks!$AE$188)&amp;IF(Checks!$T$188="","",CHAR(10)&amp;"PIC: "&amp;Checks!$T$188)</f>
        <v/>
      </c>
      <c r="H47" s="114" t="str">
        <f aca="false">IF(Checks!$AH$188="","",Checks!$AH$188)</f>
        <v>OPEN</v>
      </c>
    </row>
    <row r="48" customFormat="false" ht="114" hidden="false" customHeight="true" outlineLevel="0" collapsed="false">
      <c r="A48" s="113" t="str">
        <f aca="false">Checks!$A$189&amp;CHAR(10)&amp;IF(Checks!$I$189="","",Checks!$I$189&amp;": ")&amp;Checks!$J$189</f>
        <v>F06-T12-14
F&amp;B Linen: Table cloth - prepared</v>
      </c>
      <c r="B48" s="113" t="str">
        <f aca="false">Checks!$K$189&amp;IF(Checks!$O$189="","",IF(Checks!$K$189="","",CHAR(10))&amp;"Note: "&amp;Checks!$O$189)</f>
        <v>Available (ticked in reference)
Note: Reference gives no uplift stn for this item: preparation checked at the meal uplift stn (KUL) - confirm with caterer.</v>
      </c>
      <c r="C48" s="113" t="str">
        <f aca="false">Checks!$N$189&amp;CHAR(10)&amp;IF(ISNUMBER(Checks!$R$189),TEXT(Checks!$R$189,"DD-MMM-YY HH:MM"),"")&amp;" "&amp;Checks!$P$189</f>
        <v>Required
15-Oct-26 11:20 KUL</v>
      </c>
      <c r="D48" s="113" t="str">
        <f aca="false">IF(Checks!$U$189="","",Checks!$U$189)&amp;IF(Checks!$AB$189="","",CHAR(10)&amp;"CA: "&amp;Checks!$AB$189)</f>
        <v/>
      </c>
      <c r="E48" s="113" t="str">
        <f aca="false">IF(Checks!$V$189="","",Checks!$V$189)&amp;IF(Checks!$AC$189="","",IF(Checks!$V$189="","",CHAR(10))&amp;"N/A just.: "&amp;Checks!$AC$189)&amp;IF(Checks!$W$189="","",CHAR(10)&amp;"Batch: "&amp;Checks!$W$189)&amp;IF(AND(Checks!$X$189="",Checks!$Y$189=""),"",CHAR(10)&amp;"Exp: "&amp;Checks!$X$189&amp;"  /  Act: "&amp;Checks!$Y$189)</f>
        <v/>
      </c>
      <c r="F48" s="113" t="str">
        <f aca="false">IF(Checks!$Z$189="","","Evidence: "&amp;Checks!$Z$189)&amp;IF(Checks!$AA$189="","",IF(Checks!$Z$189="","",CHAR(10))&amp;"CA: "&amp;Checks!$AA$189)</f>
        <v/>
      </c>
      <c r="G48" s="113" t="str">
        <f aca="false">IF(ISNUMBER(Checks!$AD$189),TEXT(Checks!$AD$189,"DD-MMM-YY HH:MM")&amp;" "&amp;Checks!$P$189,"")&amp;IF(Checks!$AE$189="","",CHAR(10)&amp;"Verifier: "&amp;Checks!$AE$189)&amp;IF(Checks!$T$189="","",CHAR(10)&amp;"PIC: "&amp;Checks!$T$189)</f>
        <v/>
      </c>
      <c r="H48" s="114" t="str">
        <f aca="false">IF(Checks!$AH$189="","",Checks!$AH$189)</f>
        <v>OPEN</v>
      </c>
    </row>
    <row r="49" customFormat="false" ht="114" hidden="false" customHeight="true" outlineLevel="0" collapsed="false">
      <c r="A49" s="113" t="str">
        <f aca="false">Checks!$A$190&amp;CHAR(10)&amp;IF(Checks!$I$190="","",Checks!$I$190&amp;": ")&amp;Checks!$J$190</f>
        <v>F06-T12-15
F&amp;B Linen: Bread linen (using table cloth) - prepared</v>
      </c>
      <c r="B49" s="113" t="str">
        <f aca="false">Checks!$K$190&amp;IF(Checks!$O$190="","",IF(Checks!$K$190="","",CHAR(10))&amp;"Note: "&amp;Checks!$O$190)</f>
        <v>Available (ticked in reference)
Note: Reference gives no uplift stn for this item: preparation checked at the meal uplift stn (KUL) - confirm with caterer.</v>
      </c>
      <c r="C49" s="113" t="str">
        <f aca="false">Checks!$N$190&amp;CHAR(10)&amp;IF(ISNUMBER(Checks!$R$190),TEXT(Checks!$R$190,"DD-MMM-YY HH:MM"),"")&amp;" "&amp;Checks!$P$190</f>
        <v>Required
15-Oct-26 11:20 KUL</v>
      </c>
      <c r="D49" s="113" t="str">
        <f aca="false">IF(Checks!$U$190="","",Checks!$U$190)&amp;IF(Checks!$AB$190="","",CHAR(10)&amp;"CA: "&amp;Checks!$AB$190)</f>
        <v/>
      </c>
      <c r="E49" s="113" t="str">
        <f aca="false">IF(Checks!$V$190="","",Checks!$V$190)&amp;IF(Checks!$AC$190="","",IF(Checks!$V$190="","",CHAR(10))&amp;"N/A just.: "&amp;Checks!$AC$190)&amp;IF(Checks!$W$190="","",CHAR(10)&amp;"Batch: "&amp;Checks!$W$190)&amp;IF(AND(Checks!$X$190="",Checks!$Y$190=""),"",CHAR(10)&amp;"Exp: "&amp;Checks!$X$190&amp;"  /  Act: "&amp;Checks!$Y$190)</f>
        <v/>
      </c>
      <c r="F49" s="113" t="str">
        <f aca="false">IF(Checks!$Z$190="","","Evidence: "&amp;Checks!$Z$190)&amp;IF(Checks!$AA$190="","",IF(Checks!$Z$190="","",CHAR(10))&amp;"CA: "&amp;Checks!$AA$190)</f>
        <v/>
      </c>
      <c r="G49" s="113" t="str">
        <f aca="false">IF(ISNUMBER(Checks!$AD$190),TEXT(Checks!$AD$190,"DD-MMM-YY HH:MM")&amp;" "&amp;Checks!$P$190,"")&amp;IF(Checks!$AE$190="","",CHAR(10)&amp;"Verifier: "&amp;Checks!$AE$190)&amp;IF(Checks!$T$190="","",CHAR(10)&amp;"PIC: "&amp;Checks!$T$190)</f>
        <v/>
      </c>
      <c r="H49" s="114" t="str">
        <f aca="false">IF(Checks!$AH$190="","",Checks!$AH$190)</f>
        <v>OPEN</v>
      </c>
    </row>
    <row r="50" customFormat="false" ht="124.5" hidden="false" customHeight="true" outlineLevel="0" collapsed="false">
      <c r="A50" s="113" t="str">
        <f aca="false">Checks!$A$191&amp;CHAR(10)&amp;IF(Checks!$I$191="","",Checks!$I$191&amp;": ")&amp;Checks!$J$191</f>
        <v>F06-T12-16
F&amp;B Linen: Trolley cloth - prepared</v>
      </c>
      <c r="B50" s="113" t="str">
        <f aca="false">SUBSTITUTE(Checks!$K$191&amp;IF(Checks!$O$191="","",IF(Checks!$K$191="","",CHAR(10))&amp;"Note: "&amp;Checks!$O$191),"F&amp;B LINEN!","Ref: F&amp;B LINEN!")</f>
        <v>Wide body: Top/Middle &amp; Bottom
Note: Per note Ref: F&amp;B LINEN!B79:C80. Reference gives no uplift stn for this item: preparation checked at the meal uplift stn (KUL) - confirm with caterer.</v>
      </c>
      <c r="C50" s="113" t="str">
        <f aca="false">Checks!$N$191&amp;CHAR(10)&amp;IF(ISNUMBER(Checks!$R$191),TEXT(Checks!$R$191,"DD-MMM-YY HH:MM"),"")&amp;" "&amp;Checks!$P$191</f>
        <v>Required
15-Oct-26 11:20 KUL</v>
      </c>
      <c r="D50" s="113" t="str">
        <f aca="false">IF(Checks!$U$191="","",Checks!$U$191)&amp;IF(Checks!$AB$191="","",CHAR(10)&amp;"CA: "&amp;Checks!$AB$191)</f>
        <v/>
      </c>
      <c r="E50" s="113" t="str">
        <f aca="false">IF(Checks!$V$191="","",Checks!$V$191)&amp;IF(Checks!$AC$191="","",IF(Checks!$V$191="","",CHAR(10))&amp;"N/A just.: "&amp;Checks!$AC$191)&amp;IF(Checks!$W$191="","",CHAR(10)&amp;"Batch: "&amp;Checks!$W$191)&amp;IF(AND(Checks!$X$191="",Checks!$Y$191=""),"",CHAR(10)&amp;"Exp: "&amp;Checks!$X$191&amp;"  /  Act: "&amp;Checks!$Y$191)</f>
        <v/>
      </c>
      <c r="F50" s="113" t="str">
        <f aca="false">IF(Checks!$Z$191="","","Evidence: "&amp;Checks!$Z$191)&amp;IF(Checks!$AA$191="","",IF(Checks!$Z$191="","",CHAR(10))&amp;"CA: "&amp;Checks!$AA$191)</f>
        <v/>
      </c>
      <c r="G50" s="113" t="str">
        <f aca="false">IF(ISNUMBER(Checks!$AD$191),TEXT(Checks!$AD$191,"DD-MMM-YY HH:MM")&amp;" "&amp;Checks!$P$191,"")&amp;IF(Checks!$AE$191="","",CHAR(10)&amp;"Verifier: "&amp;Checks!$AE$191)&amp;IF(Checks!$T$191="","",CHAR(10)&amp;"PIC: "&amp;Checks!$T$191)</f>
        <v/>
      </c>
      <c r="H50" s="114" t="str">
        <f aca="false">IF(Checks!$AH$191="","",Checks!$AH$191)</f>
        <v>OPEN</v>
      </c>
    </row>
    <row r="51" customFormat="false" ht="114" hidden="false" customHeight="true" outlineLevel="0" collapsed="false">
      <c r="A51" s="113" t="str">
        <f aca="false">Checks!$A$192&amp;CHAR(10)&amp;IF(Checks!$I$192="","",Checks!$I$192&amp;": ")&amp;Checks!$J$192</f>
        <v>F06-T12-17
F&amp;B Linen: Linen bag - prepared</v>
      </c>
      <c r="B51" s="113" t="str">
        <f aca="false">Checks!$K$192&amp;IF(Checks!$O$192="","",IF(Checks!$K$192="","",CHAR(10))&amp;"Note: "&amp;Checks!$O$192)</f>
        <v>Available (ticked in reference)
Note: Reference gives no uplift stn for this item: preparation checked at the meal uplift stn (KUL) - confirm with caterer.</v>
      </c>
      <c r="C51" s="113" t="str">
        <f aca="false">Checks!$N$192&amp;CHAR(10)&amp;IF(ISNUMBER(Checks!$R$192),TEXT(Checks!$R$192,"DD-MMM-YY HH:MM"),"")&amp;" "&amp;Checks!$P$192</f>
        <v>Required
15-Oct-26 11:20 KUL</v>
      </c>
      <c r="D51" s="113" t="str">
        <f aca="false">IF(Checks!$U$192="","",Checks!$U$192)&amp;IF(Checks!$AB$192="","",CHAR(10)&amp;"CA: "&amp;Checks!$AB$192)</f>
        <v/>
      </c>
      <c r="E51" s="113" t="str">
        <f aca="false">IF(Checks!$V$192="","",Checks!$V$192)&amp;IF(Checks!$AC$192="","",IF(Checks!$V$192="","",CHAR(10))&amp;"N/A just.: "&amp;Checks!$AC$192)&amp;IF(Checks!$W$192="","",CHAR(10)&amp;"Batch: "&amp;Checks!$W$192)&amp;IF(AND(Checks!$X$192="",Checks!$Y$192=""),"",CHAR(10)&amp;"Exp: "&amp;Checks!$X$192&amp;"  /  Act: "&amp;Checks!$Y$192)</f>
        <v/>
      </c>
      <c r="F51" s="113" t="str">
        <f aca="false">IF(Checks!$Z$192="","","Evidence: "&amp;Checks!$Z$192)&amp;IF(Checks!$AA$192="","",IF(Checks!$Z$192="","",CHAR(10))&amp;"CA: "&amp;Checks!$AA$192)</f>
        <v/>
      </c>
      <c r="G51" s="113" t="str">
        <f aca="false">IF(ISNUMBER(Checks!$AD$192),TEXT(Checks!$AD$192,"DD-MMM-YY HH:MM")&amp;" "&amp;Checks!$P$192,"")&amp;IF(Checks!$AE$192="","",CHAR(10)&amp;"Verifier: "&amp;Checks!$AE$192)&amp;IF(Checks!$T$192="","",CHAR(10)&amp;"PIC: "&amp;Checks!$T$192)</f>
        <v/>
      </c>
      <c r="H51" s="114" t="str">
        <f aca="false">IF(Checks!$AH$192="","",Checks!$AH$192)</f>
        <v>OPEN</v>
      </c>
    </row>
    <row r="52" customFormat="false" ht="114" hidden="false" customHeight="true" outlineLevel="0" collapsed="false">
      <c r="A52" s="113" t="str">
        <f aca="false">Checks!$A$193&amp;CHAR(10)&amp;IF(Checks!$I$193="","",Checks!$I$193&amp;": ")&amp;Checks!$J$193</f>
        <v>F06-T12-18
Seat Linen: Seat pillow (BS &amp; BC) - prepared</v>
      </c>
      <c r="B52" s="113" t="str">
        <f aca="false">Checks!$K$193&amp;IF(Checks!$O$193="","",IF(Checks!$K$193="","",CHAR(10))&amp;"Note: "&amp;Checks!$O$193)</f>
        <v>Available 100% (ticked in reference)
Note: Reference gives no uplift stn for this item: preparation checked at the meal uplift stn (KUL) - confirm with caterer.</v>
      </c>
      <c r="C52" s="113" t="str">
        <f aca="false">Checks!$N$193&amp;CHAR(10)&amp;IF(ISNUMBER(Checks!$R$193),TEXT(Checks!$R$193,"DD-MMM-YY HH:MM"),"")&amp;" "&amp;Checks!$P$193</f>
        <v>Required
15-Oct-26 11:20 KUL</v>
      </c>
      <c r="D52" s="113" t="str">
        <f aca="false">IF(Checks!$U$193="","",Checks!$U$193)&amp;IF(Checks!$AB$193="","",CHAR(10)&amp;"CA: "&amp;Checks!$AB$193)</f>
        <v/>
      </c>
      <c r="E52" s="113" t="str">
        <f aca="false">IF(Checks!$V$193="","",Checks!$V$193)&amp;IF(Checks!$AC$193="","",IF(Checks!$V$193="","",CHAR(10))&amp;"N/A just.: "&amp;Checks!$AC$193)&amp;IF(Checks!$W$193="","",CHAR(10)&amp;"Batch: "&amp;Checks!$W$193)&amp;IF(AND(Checks!$X$193="",Checks!$Y$193=""),"",CHAR(10)&amp;"Exp: "&amp;Checks!$X$193&amp;"  /  Act: "&amp;Checks!$Y$193)</f>
        <v/>
      </c>
      <c r="F52" s="113" t="str">
        <f aca="false">IF(Checks!$Z$193="","","Evidence: "&amp;Checks!$Z$193)&amp;IF(Checks!$AA$193="","",IF(Checks!$Z$193="","",CHAR(10))&amp;"CA: "&amp;Checks!$AA$193)</f>
        <v/>
      </c>
      <c r="G52" s="113" t="str">
        <f aca="false">IF(ISNUMBER(Checks!$AD$193),TEXT(Checks!$AD$193,"DD-MMM-YY HH:MM")&amp;" "&amp;Checks!$P$193,"")&amp;IF(Checks!$AE$193="","",CHAR(10)&amp;"Verifier: "&amp;Checks!$AE$193)&amp;IF(Checks!$T$193="","",CHAR(10)&amp;"PIC: "&amp;Checks!$T$193)</f>
        <v/>
      </c>
      <c r="H52" s="114" t="str">
        <f aca="false">IF(Checks!$AH$193="","",Checks!$AH$193)</f>
        <v>OPEN</v>
      </c>
    </row>
    <row r="53" customFormat="false" ht="114" hidden="false" customHeight="true" outlineLevel="0" collapsed="false">
      <c r="A53" s="113" t="str">
        <f aca="false">Checks!$A$194&amp;CHAR(10)&amp;IF(Checks!$I$194="","",Checks!$I$194&amp;": ")&amp;Checks!$J$194</f>
        <v>F06-T12-19
Seat Linen: Duvet (BS &amp; BC) - prepared</v>
      </c>
      <c r="B53" s="113" t="str">
        <f aca="false">Checks!$K$194&amp;IF(Checks!$O$194="","",IF(Checks!$K$194="","",CHAR(10))&amp;"Note: "&amp;Checks!$O$194)</f>
        <v>Available 100% (ticked in reference)
Note: Reference gives no uplift stn for this item: preparation checked at the meal uplift stn (KUL) - confirm with caterer.</v>
      </c>
      <c r="C53" s="113" t="str">
        <f aca="false">Checks!$N$194&amp;CHAR(10)&amp;IF(ISNUMBER(Checks!$R$194),TEXT(Checks!$R$194,"DD-MMM-YY HH:MM"),"")&amp;" "&amp;Checks!$P$194</f>
        <v>Required
15-Oct-26 11:20 KUL</v>
      </c>
      <c r="D53" s="113" t="str">
        <f aca="false">IF(Checks!$U$194="","",Checks!$U$194)&amp;IF(Checks!$AB$194="","",CHAR(10)&amp;"CA: "&amp;Checks!$AB$194)</f>
        <v/>
      </c>
      <c r="E53" s="113" t="str">
        <f aca="false">IF(Checks!$V$194="","",Checks!$V$194)&amp;IF(Checks!$AC$194="","",IF(Checks!$V$194="","",CHAR(10))&amp;"N/A just.: "&amp;Checks!$AC$194)&amp;IF(Checks!$W$194="","",CHAR(10)&amp;"Batch: "&amp;Checks!$W$194)&amp;IF(AND(Checks!$X$194="",Checks!$Y$194=""),"",CHAR(10)&amp;"Exp: "&amp;Checks!$X$194&amp;"  /  Act: "&amp;Checks!$Y$194)</f>
        <v/>
      </c>
      <c r="F53" s="113" t="str">
        <f aca="false">IF(Checks!$Z$194="","","Evidence: "&amp;Checks!$Z$194)&amp;IF(Checks!$AA$194="","",IF(Checks!$Z$194="","",CHAR(10))&amp;"CA: "&amp;Checks!$AA$194)</f>
        <v/>
      </c>
      <c r="G53" s="113" t="str">
        <f aca="false">IF(ISNUMBER(Checks!$AD$194),TEXT(Checks!$AD$194,"DD-MMM-YY HH:MM")&amp;" "&amp;Checks!$P$194,"")&amp;IF(Checks!$AE$194="","",CHAR(10)&amp;"Verifier: "&amp;Checks!$AE$194)&amp;IF(Checks!$T$194="","",CHAR(10)&amp;"PIC: "&amp;Checks!$T$194)</f>
        <v/>
      </c>
      <c r="H53" s="114" t="str">
        <f aca="false">IF(Checks!$AH$194="","",Checks!$AH$194)</f>
        <v>OPEN</v>
      </c>
    </row>
    <row r="54" customFormat="false" ht="114" hidden="false" customHeight="true" outlineLevel="0" collapsed="false">
      <c r="A54" s="113" t="str">
        <f aca="false">Checks!$A$195&amp;CHAR(10)&amp;IF(Checks!$I$195="","",Checks!$I$195&amp;": ")&amp;Checks!$J$195</f>
        <v>F06-T12-20
Seat Linen: Mattress (BS &amp; BC) - prepared</v>
      </c>
      <c r="B54" s="113" t="str">
        <f aca="false">Checks!$K$195&amp;IF(Checks!$O$195="","",IF(Checks!$K$195="","",CHAR(10))&amp;"Note: "&amp;Checks!$O$195)</f>
        <v>Available 100% (ticked in reference)
Note: Reference gives no uplift stn for this item: preparation checked at the meal uplift stn (KUL) - confirm with caterer.</v>
      </c>
      <c r="C54" s="113" t="str">
        <f aca="false">Checks!$N$195&amp;CHAR(10)&amp;IF(ISNUMBER(Checks!$R$195),TEXT(Checks!$R$195,"DD-MMM-YY HH:MM"),"")&amp;" "&amp;Checks!$P$195</f>
        <v>Required
15-Oct-26 11:20 KUL</v>
      </c>
      <c r="D54" s="113" t="str">
        <f aca="false">IF(Checks!$U$195="","",Checks!$U$195)&amp;IF(Checks!$AB$195="","",CHAR(10)&amp;"CA: "&amp;Checks!$AB$195)</f>
        <v/>
      </c>
      <c r="E54" s="113" t="str">
        <f aca="false">IF(Checks!$V$195="","",Checks!$V$195)&amp;IF(Checks!$AC$195="","",IF(Checks!$V$195="","",CHAR(10))&amp;"N/A just.: "&amp;Checks!$AC$195)&amp;IF(Checks!$W$195="","",CHAR(10)&amp;"Batch: "&amp;Checks!$W$195)&amp;IF(AND(Checks!$X$195="",Checks!$Y$195=""),"",CHAR(10)&amp;"Exp: "&amp;Checks!$X$195&amp;"  /  Act: "&amp;Checks!$Y$195)</f>
        <v/>
      </c>
      <c r="F54" s="113" t="str">
        <f aca="false">IF(Checks!$Z$195="","","Evidence: "&amp;Checks!$Z$195)&amp;IF(Checks!$AA$195="","",IF(Checks!$Z$195="","",CHAR(10))&amp;"CA: "&amp;Checks!$AA$195)</f>
        <v/>
      </c>
      <c r="G54" s="113" t="str">
        <f aca="false">IF(ISNUMBER(Checks!$AD$195),TEXT(Checks!$AD$195,"DD-MMM-YY HH:MM")&amp;" "&amp;Checks!$P$195,"")&amp;IF(Checks!$AE$195="","",CHAR(10)&amp;"Verifier: "&amp;Checks!$AE$195)&amp;IF(Checks!$T$195="","",CHAR(10)&amp;"PIC: "&amp;Checks!$T$195)</f>
        <v/>
      </c>
      <c r="H54" s="114" t="str">
        <f aca="false">IF(Checks!$AH$195="","",Checks!$AH$195)</f>
        <v>OPEN</v>
      </c>
    </row>
    <row r="55" customFormat="false" ht="114" hidden="false" customHeight="true" outlineLevel="0" collapsed="false">
      <c r="A55" s="113" t="str">
        <f aca="false">Checks!$A$196&amp;CHAR(10)&amp;IF(Checks!$I$196="","",Checks!$I$196&amp;": ")&amp;Checks!$J$196</f>
        <v>F06-T12-21
Signature Drinks: Signature drink &amp; garnish (BC) - prepared</v>
      </c>
      <c r="B55" s="113" t="str">
        <f aca="false">Checks!$K$196&amp;IF(Checks!$O$196="","",IF(Checks!$K$196="","",CHAR(10))&amp;"Note: "&amp;Checks!$O$196)</f>
        <v>Available (ticked in reference)
Note: Signature drinks &amp; garnish uplifted from KUL (note D79).</v>
      </c>
      <c r="C55" s="113" t="str">
        <f aca="false">Checks!$N$196&amp;CHAR(10)&amp;IF(ISNUMBER(Checks!$R$196),TEXT(Checks!$R$196,"DD-MMM-YY HH:MM"),"")&amp;" "&amp;Checks!$P$196</f>
        <v>Required
15-Oct-26 11:20 KUL</v>
      </c>
      <c r="D55" s="113" t="str">
        <f aca="false">IF(Checks!$U$196="","",Checks!$U$196)&amp;IF(Checks!$AB$196="","",CHAR(10)&amp;"CA: "&amp;Checks!$AB$196)</f>
        <v/>
      </c>
      <c r="E55" s="113" t="str">
        <f aca="false">IF(Checks!$V$196="","",Checks!$V$196)&amp;IF(Checks!$AC$196="","",IF(Checks!$V$196="","",CHAR(10))&amp;"N/A just.: "&amp;Checks!$AC$196)&amp;IF(Checks!$W$196="","",CHAR(10)&amp;"Batch: "&amp;Checks!$W$196)&amp;IF(AND(Checks!$X$196="",Checks!$Y$196=""),"",CHAR(10)&amp;"Exp: "&amp;Checks!$X$196&amp;"  /  Act: "&amp;Checks!$Y$196)</f>
        <v/>
      </c>
      <c r="F55" s="113" t="str">
        <f aca="false">IF(Checks!$Z$196="","","Evidence: "&amp;Checks!$Z$196)&amp;IF(Checks!$AA$196="","",IF(Checks!$Z$196="","",CHAR(10))&amp;"CA: "&amp;Checks!$AA$196)</f>
        <v/>
      </c>
      <c r="G55" s="113" t="str">
        <f aca="false">IF(ISNUMBER(Checks!$AD$196),TEXT(Checks!$AD$196,"DD-MMM-YY HH:MM")&amp;" "&amp;Checks!$P$196,"")&amp;IF(Checks!$AE$196="","",CHAR(10)&amp;"Verifier: "&amp;Checks!$AE$196)&amp;IF(Checks!$T$196="","",CHAR(10)&amp;"PIC: "&amp;Checks!$T$196)</f>
        <v/>
      </c>
      <c r="H55" s="114" t="str">
        <f aca="false">IF(Checks!$AH$196="","",Checks!$AH$196)</f>
        <v>OPEN</v>
      </c>
    </row>
    <row r="56" customFormat="false" ht="25.5" hidden="false" customHeight="true" outlineLevel="0" collapsed="false">
      <c r="A56" s="112"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2"/>
      <c r="C56" s="112"/>
      <c r="D56" s="112"/>
      <c r="E56" s="112"/>
      <c r="F56" s="112"/>
      <c r="G56" s="112"/>
      <c r="H56" s="112"/>
    </row>
    <row r="57" customFormat="false" ht="114" hidden="false" customHeight="true" outlineLevel="0" collapsed="false">
      <c r="A57" s="113" t="str">
        <f aca="false">Checks!$A$197&amp;CHAR(10)&amp;IF(Checks!$I$197="","",Checks!$I$197&amp;": ")&amp;Checks!$J$197</f>
        <v>F06-UPL-01
Meal: Meals physically uplifted on board - quantity vs menu checklist</v>
      </c>
      <c r="B57" s="113" t="str">
        <f aca="false">Checks!$K$197&amp;IF(Checks!$O$197="","",IF(Checks!$K$197="","",CHAR(10))&amp;"Note: "&amp;Checks!$O$197)</f>
        <v>Enter expected &amp; actual
Note: Confirm on board before departure; completion time must fall inside the uplift window.</v>
      </c>
      <c r="C57" s="113" t="str">
        <f aca="false">Checks!$N$197&amp;CHAR(10)&amp;IF(ISNUMBER(Checks!$R$197),TEXT(Checks!$R$197,"DD-MMM-YY HH:MM"),"")&amp;" "&amp;Checks!$P$197</f>
        <v>Required
15-Oct-26 23:20 KUL</v>
      </c>
      <c r="D57" s="113" t="str">
        <f aca="false">IF(Checks!$U$197="","",Checks!$U$197)&amp;IF(Checks!$AB$197="","",CHAR(10)&amp;"CA: "&amp;Checks!$AB$197)</f>
        <v/>
      </c>
      <c r="E57" s="113" t="str">
        <f aca="false">IF(Checks!$V$197="","",Checks!$V$197)&amp;IF(Checks!$AC$197="","",IF(Checks!$V$197="","",CHAR(10))&amp;"N/A just.: "&amp;Checks!$AC$197)&amp;IF(Checks!$W$197="","",CHAR(10)&amp;"Batch: "&amp;Checks!$W$197)&amp;IF(AND(Checks!$X$197="",Checks!$Y$197=""),"",CHAR(10)&amp;"Exp: "&amp;Checks!$X$197&amp;"  /  Act: "&amp;Checks!$Y$197)</f>
        <v/>
      </c>
      <c r="F57" s="113" t="str">
        <f aca="false">IF(Checks!$Z$197="","","Evidence: "&amp;Checks!$Z$197)&amp;IF(Checks!$AA$197="","",IF(Checks!$Z$197="","",CHAR(10))&amp;"CA: "&amp;Checks!$AA$197)</f>
        <v/>
      </c>
      <c r="G57" s="113" t="str">
        <f aca="false">IF(ISNUMBER(Checks!$AD$197),TEXT(Checks!$AD$197,"DD-MMM-YY HH:MM")&amp;" "&amp;Checks!$P$197,"")&amp;IF(Checks!$AE$197="","",CHAR(10)&amp;"Verifier: "&amp;Checks!$AE$197)&amp;IF(Checks!$T$197="","",CHAR(10)&amp;"PIC: "&amp;Checks!$T$197)</f>
        <v/>
      </c>
      <c r="H57" s="114" t="str">
        <f aca="false">IF(Checks!$AH$197="","",Checks!$AH$197)</f>
        <v>OPEN</v>
      </c>
    </row>
    <row r="58" customFormat="false" ht="114" hidden="false" customHeight="true" outlineLevel="0" collapsed="false">
      <c r="A58" s="113" t="str">
        <f aca="false">Checks!$A$198&amp;CHAR(10)&amp;IF(Checks!$I$198="","",Checks!$I$198&amp;": ")&amp;Checks!$J$198</f>
        <v>F06-UPL-02
Equipment: Equipment physically loaded at GLD positions - quantity &amp; positions</v>
      </c>
      <c r="B58" s="113" t="str">
        <f aca="false">Checks!$K$198&amp;IF(Checks!$O$198="","",IF(Checks!$K$198="","",CHAR(10))&amp;"Note: "&amp;Checks!$O$198)</f>
        <v>Enter expected &amp; actual
Note: Confirm on board before departure; completion time must fall inside the uplift window.</v>
      </c>
      <c r="C58" s="113" t="str">
        <f aca="false">Checks!$N$198&amp;CHAR(10)&amp;IF(ISNUMBER(Checks!$R$198),TEXT(Checks!$R$198,"DD-MMM-YY HH:MM"),"")&amp;" "&amp;Checks!$P$198</f>
        <v>Required
15-Oct-26 23:20 KUL</v>
      </c>
      <c r="D58" s="113" t="str">
        <f aca="false">IF(Checks!$U$198="","",Checks!$U$198)&amp;IF(Checks!$AB$198="","",CHAR(10)&amp;"CA: "&amp;Checks!$AB$198)</f>
        <v/>
      </c>
      <c r="E58" s="113" t="str">
        <f aca="false">IF(Checks!$V$198="","",Checks!$V$198)&amp;IF(Checks!$AC$198="","",IF(Checks!$V$198="","",CHAR(10))&amp;"N/A just.: "&amp;Checks!$AC$198)&amp;IF(Checks!$W$198="","",CHAR(10)&amp;"Batch: "&amp;Checks!$W$198)&amp;IF(AND(Checks!$X$198="",Checks!$Y$198=""),"",CHAR(10)&amp;"Exp: "&amp;Checks!$X$198&amp;"  /  Act: "&amp;Checks!$Y$198)</f>
        <v/>
      </c>
      <c r="F58" s="113" t="str">
        <f aca="false">IF(Checks!$Z$198="","","Evidence: "&amp;Checks!$Z$198)&amp;IF(Checks!$AA$198="","",IF(Checks!$Z$198="","",CHAR(10))&amp;"CA: "&amp;Checks!$AA$198)</f>
        <v/>
      </c>
      <c r="G58" s="113" t="str">
        <f aca="false">IF(ISNUMBER(Checks!$AD$198),TEXT(Checks!$AD$198,"DD-MMM-YY HH:MM")&amp;" "&amp;Checks!$P$198,"")&amp;IF(Checks!$AE$198="","",CHAR(10)&amp;"Verifier: "&amp;Checks!$AE$198)&amp;IF(Checks!$T$198="","",CHAR(10)&amp;"PIC: "&amp;Checks!$T$198)</f>
        <v/>
      </c>
      <c r="H58" s="114" t="str">
        <f aca="false">IF(Checks!$AH$198="","",Checks!$AH$198)</f>
        <v>OPEN</v>
      </c>
    </row>
    <row r="59" customFormat="false" ht="213" hidden="false" customHeight="true" outlineLevel="0" collapsed="false">
      <c r="A59" s="113" t="str">
        <f aca="false">Checks!$A$199&amp;CHAR(10)&amp;IF(Checks!$I$199="","",Checks!$I$199&amp;": ")&amp;Checks!$J$199</f>
        <v>F06-UPL-03
Amenities: Toiletry kits - on board</v>
      </c>
      <c r="B59" s="113" t="str">
        <f aca="false">SUBSTITUTE(Checks!$K$199&amp;IF(Checks!$O$199="","",IF(Checks!$K$199="","",CHAR(10))&amp;"Note: "&amp;Checks!$O$199),"AMENITIES!","Ref: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3" t="str">
        <f aca="false">Checks!$N$199&amp;CHAR(10)&amp;IF(ISNUMBER(Checks!$R$199),TEXT(Checks!$R$199,"DD-MMM-YY HH:MM"),"")&amp;" "&amp;Checks!$P$199</f>
        <v>Clarification required
15-Oct-26 23:20 KUL</v>
      </c>
      <c r="D59" s="113" t="str">
        <f aca="false">IF(Checks!$U$199="","",Checks!$U$199)&amp;IF(Checks!$AB$199="","",CHAR(10)&amp;"CA: "&amp;Checks!$AB$199)</f>
        <v/>
      </c>
      <c r="E59" s="113" t="str">
        <f aca="false">IF(Checks!$V$199="","",Checks!$V$199)&amp;IF(Checks!$AC$199="","",IF(Checks!$V$199="","",CHAR(10))&amp;"N/A just.: "&amp;Checks!$AC$199)&amp;IF(Checks!$W$199="","",CHAR(10)&amp;"Batch: "&amp;Checks!$W$199)&amp;IF(AND(Checks!$X$199="",Checks!$Y$199=""),"",CHAR(10)&amp;"Exp: "&amp;Checks!$X$199&amp;"  /  Act: "&amp;Checks!$Y$199)</f>
        <v/>
      </c>
      <c r="F59" s="113" t="str">
        <f aca="false">IF(Checks!$Z$199="","","Evidence: "&amp;Checks!$Z$199)&amp;IF(Checks!$AA$199="","",IF(Checks!$Z$199="","",CHAR(10))&amp;"CA: "&amp;Checks!$AA$199)</f>
        <v/>
      </c>
      <c r="G59" s="113" t="str">
        <f aca="false">IF(ISNUMBER(Checks!$AD$199),TEXT(Checks!$AD$199,"DD-MMM-YY HH:MM")&amp;" "&amp;Checks!$P$199,"")&amp;IF(Checks!$AE$199="","",CHAR(10)&amp;"Verifier: "&amp;Checks!$AE$199)&amp;IF(Checks!$T$199="","",CHAR(10)&amp;"PIC: "&amp;Checks!$T$199)</f>
        <v/>
      </c>
      <c r="H59" s="114" t="str">
        <f aca="false">IF(Checks!$AH$199="","",Checks!$AH$199)</f>
        <v>OPEN – CLARIFICATION</v>
      </c>
    </row>
    <row r="60" customFormat="false" ht="114" hidden="false" customHeight="true" outlineLevel="0" collapsed="false">
      <c r="A60" s="113" t="str">
        <f aca="false">Checks!$A$200&amp;CHAR(10)&amp;IF(Checks!$I$200="","",Checks!$I$200&amp;": ")&amp;Checks!$J$200</f>
        <v>F06-UPL-04
Amenities: Pajamas (BC) - on board</v>
      </c>
      <c r="B60" s="113" t="str">
        <f aca="false">Checks!$K$200&amp;IF(Checks!$O$200="","",IF(Checks!$K$200="","",CHAR(10))&amp;"Note: "&amp;Checks!$O$200)</f>
        <v>Available - BC red-eye only
Note: Red-eye departure 2320 local.</v>
      </c>
      <c r="C60" s="113" t="str">
        <f aca="false">Checks!$N$200&amp;CHAR(10)&amp;IF(ISNUMBER(Checks!$R$200),TEXT(Checks!$R$200,"DD-MMM-YY HH:MM"),"")&amp;" "&amp;Checks!$P$200</f>
        <v>Required
15-Oct-26 23:20 KUL</v>
      </c>
      <c r="D60" s="113" t="str">
        <f aca="false">IF(Checks!$U$200="","",Checks!$U$200)&amp;IF(Checks!$AB$200="","",CHAR(10)&amp;"CA: "&amp;Checks!$AB$200)</f>
        <v/>
      </c>
      <c r="E60" s="113" t="str">
        <f aca="false">IF(Checks!$V$200="","",Checks!$V$200)&amp;IF(Checks!$AC$200="","",IF(Checks!$V$200="","",CHAR(10))&amp;"N/A just.: "&amp;Checks!$AC$200)&amp;IF(Checks!$W$200="","",CHAR(10)&amp;"Batch: "&amp;Checks!$W$200)&amp;IF(AND(Checks!$X$200="",Checks!$Y$200=""),"",CHAR(10)&amp;"Exp: "&amp;Checks!$X$200&amp;"  /  Act: "&amp;Checks!$Y$200)</f>
        <v/>
      </c>
      <c r="F60" s="113" t="str">
        <f aca="false">IF(Checks!$Z$200="","","Evidence: "&amp;Checks!$Z$200)&amp;IF(Checks!$AA$200="","",IF(Checks!$Z$200="","",CHAR(10))&amp;"CA: "&amp;Checks!$AA$200)</f>
        <v/>
      </c>
      <c r="G60" s="113" t="str">
        <f aca="false">IF(ISNUMBER(Checks!$AD$200),TEXT(Checks!$AD$200,"DD-MMM-YY HH:MM")&amp;" "&amp;Checks!$P$200,"")&amp;IF(Checks!$AE$200="","",CHAR(10)&amp;"Verifier: "&amp;Checks!$AE$200)&amp;IF(Checks!$T$200="","",CHAR(10)&amp;"PIC: "&amp;Checks!$T$200)</f>
        <v/>
      </c>
      <c r="H60" s="114" t="str">
        <f aca="false">IF(Checks!$AH$200="","",Checks!$AH$200)</f>
        <v>OPEN</v>
      </c>
    </row>
    <row r="61" customFormat="false" ht="114" hidden="false" customHeight="true" outlineLevel="0" collapsed="false">
      <c r="A61" s="113" t="str">
        <f aca="false">Checks!$A$201&amp;CHAR(10)&amp;IF(Checks!$I$201="","",Checks!$I$201&amp;": ")&amp;Checks!$J$201</f>
        <v>F06-UPL-05
Amenities: Slippers (BS/BC) - on board</v>
      </c>
      <c r="B61" s="113" t="str">
        <f aca="false">Checks!$K$201&amp;IF(Checks!$O$201="","",IF(Checks!$K$201="","",CHAR(10))&amp;"Note: "&amp;Checks!$O$201)</f>
        <v>Available (ticked in reference)</v>
      </c>
      <c r="C61" s="113" t="str">
        <f aca="false">Checks!$N$201&amp;CHAR(10)&amp;IF(ISNUMBER(Checks!$R$201),TEXT(Checks!$R$201,"DD-MMM-YY HH:MM"),"")&amp;" "&amp;Checks!$P$201</f>
        <v>Required
15-Oct-26 23:20 KUL</v>
      </c>
      <c r="D61" s="113" t="str">
        <f aca="false">IF(Checks!$U$201="","",Checks!$U$201)&amp;IF(Checks!$AB$201="","",CHAR(10)&amp;"CA: "&amp;Checks!$AB$201)</f>
        <v/>
      </c>
      <c r="E61" s="113" t="str">
        <f aca="false">IF(Checks!$V$201="","",Checks!$V$201)&amp;IF(Checks!$AC$201="","",IF(Checks!$V$201="","",CHAR(10))&amp;"N/A just.: "&amp;Checks!$AC$201)&amp;IF(Checks!$W$201="","",CHAR(10)&amp;"Batch: "&amp;Checks!$W$201)&amp;IF(AND(Checks!$X$201="",Checks!$Y$201=""),"",CHAR(10)&amp;"Exp: "&amp;Checks!$X$201&amp;"  /  Act: "&amp;Checks!$Y$201)</f>
        <v/>
      </c>
      <c r="F61" s="113" t="str">
        <f aca="false">IF(Checks!$Z$201="","","Evidence: "&amp;Checks!$Z$201)&amp;IF(Checks!$AA$201="","",IF(Checks!$Z$201="","",CHAR(10))&amp;"CA: "&amp;Checks!$AA$201)</f>
        <v/>
      </c>
      <c r="G61" s="113" t="str">
        <f aca="false">IF(ISNUMBER(Checks!$AD$201),TEXT(Checks!$AD$201,"DD-MMM-YY HH:MM")&amp;" "&amp;Checks!$P$201,"")&amp;IF(Checks!$AE$201="","",CHAR(10)&amp;"Verifier: "&amp;Checks!$AE$201)&amp;IF(Checks!$T$201="","",CHAR(10)&amp;"PIC: "&amp;Checks!$T$201)</f>
        <v/>
      </c>
      <c r="H61" s="114" t="str">
        <f aca="false">IF(Checks!$AH$201="","",Checks!$AH$201)</f>
        <v>OPEN</v>
      </c>
    </row>
    <row r="62" customFormat="false" ht="114" hidden="false" customHeight="true" outlineLevel="0" collapsed="false">
      <c r="A62" s="113" t="str">
        <f aca="false">Checks!$A$202&amp;CHAR(10)&amp;IF(Checks!$I$202="","",Checks!$I$202&amp;": ")&amp;Checks!$J$202</f>
        <v>F06-UPL-06
F&amp;B Linen: Towel - on board</v>
      </c>
      <c r="B62" s="113" t="str">
        <f aca="false">Checks!$K$202&amp;IF(Checks!$O$202="","",IF(Checks!$K$202="","",CHAR(10))&amp;"Note: "&amp;Checks!$O$202)</f>
        <v>Available (ticked in reference)</v>
      </c>
      <c r="C62" s="113" t="str">
        <f aca="false">Checks!$N$202&amp;CHAR(10)&amp;IF(ISNUMBER(Checks!$R$202),TEXT(Checks!$R$202,"DD-MMM-YY HH:MM"),"")&amp;" "&amp;Checks!$P$202</f>
        <v>Required
15-Oct-26 23:20 KUL</v>
      </c>
      <c r="D62" s="113" t="str">
        <f aca="false">IF(Checks!$U$202="","",Checks!$U$202)&amp;IF(Checks!$AB$202="","",CHAR(10)&amp;"CA: "&amp;Checks!$AB$202)</f>
        <v/>
      </c>
      <c r="E62" s="113" t="str">
        <f aca="false">IF(Checks!$V$202="","",Checks!$V$202)&amp;IF(Checks!$AC$202="","",IF(Checks!$V$202="","",CHAR(10))&amp;"N/A just.: "&amp;Checks!$AC$202)&amp;IF(Checks!$W$202="","",CHAR(10)&amp;"Batch: "&amp;Checks!$W$202)&amp;IF(AND(Checks!$X$202="",Checks!$Y$202=""),"",CHAR(10)&amp;"Exp: "&amp;Checks!$X$202&amp;"  /  Act: "&amp;Checks!$Y$202)</f>
        <v/>
      </c>
      <c r="F62" s="113" t="str">
        <f aca="false">IF(Checks!$Z$202="","","Evidence: "&amp;Checks!$Z$202)&amp;IF(Checks!$AA$202="","",IF(Checks!$Z$202="","",CHAR(10))&amp;"CA: "&amp;Checks!$AA$202)</f>
        <v/>
      </c>
      <c r="G62" s="113" t="str">
        <f aca="false">IF(ISNUMBER(Checks!$AD$202),TEXT(Checks!$AD$202,"DD-MMM-YY HH:MM")&amp;" "&amp;Checks!$P$202,"")&amp;IF(Checks!$AE$202="","",CHAR(10)&amp;"Verifier: "&amp;Checks!$AE$202)&amp;IF(Checks!$T$202="","",CHAR(10)&amp;"PIC: "&amp;Checks!$T$202)</f>
        <v/>
      </c>
      <c r="H62" s="114" t="str">
        <f aca="false">IF(Checks!$AH$202="","",Checks!$AH$202)</f>
        <v>OPEN</v>
      </c>
    </row>
    <row r="63" customFormat="false" ht="114" hidden="false" customHeight="true" outlineLevel="0" collapsed="false">
      <c r="A63" s="113" t="str">
        <f aca="false">Checks!$A$203&amp;CHAR(10)&amp;IF(Checks!$I$203="","",Checks!$I$203&amp;": ")&amp;Checks!$J$203</f>
        <v>F06-UPL-07
F&amp;B Linen: Tray cloth - on board</v>
      </c>
      <c r="B63" s="113" t="str">
        <f aca="false">Checks!$K$203&amp;IF(Checks!$O$203="","",IF(Checks!$K$203="","",CHAR(10))&amp;"Note: "&amp;Checks!$O$203)</f>
        <v>Available (ticked in reference)</v>
      </c>
      <c r="C63" s="113" t="str">
        <f aca="false">Checks!$N$203&amp;CHAR(10)&amp;IF(ISNUMBER(Checks!$R$203),TEXT(Checks!$R$203,"DD-MMM-YY HH:MM"),"")&amp;" "&amp;Checks!$P$203</f>
        <v>Required
15-Oct-26 23:20 KUL</v>
      </c>
      <c r="D63" s="113" t="str">
        <f aca="false">IF(Checks!$U$203="","",Checks!$U$203)&amp;IF(Checks!$AB$203="","",CHAR(10)&amp;"CA: "&amp;Checks!$AB$203)</f>
        <v/>
      </c>
      <c r="E63" s="113" t="str">
        <f aca="false">IF(Checks!$V$203="","",Checks!$V$203)&amp;IF(Checks!$AC$203="","",IF(Checks!$V$203="","",CHAR(10))&amp;"N/A just.: "&amp;Checks!$AC$203)&amp;IF(Checks!$W$203="","",CHAR(10)&amp;"Batch: "&amp;Checks!$W$203)&amp;IF(AND(Checks!$X$203="",Checks!$Y$203=""),"",CHAR(10)&amp;"Exp: "&amp;Checks!$X$203&amp;"  /  Act: "&amp;Checks!$Y$203)</f>
        <v/>
      </c>
      <c r="F63" s="113" t="str">
        <f aca="false">IF(Checks!$Z$203="","","Evidence: "&amp;Checks!$Z$203)&amp;IF(Checks!$AA$203="","",IF(Checks!$Z$203="","",CHAR(10))&amp;"CA: "&amp;Checks!$AA$203)</f>
        <v/>
      </c>
      <c r="G63" s="113" t="str">
        <f aca="false">IF(ISNUMBER(Checks!$AD$203),TEXT(Checks!$AD$203,"DD-MMM-YY HH:MM")&amp;" "&amp;Checks!$P$203,"")&amp;IF(Checks!$AE$203="","",CHAR(10)&amp;"Verifier: "&amp;Checks!$AE$203)&amp;IF(Checks!$T$203="","",CHAR(10)&amp;"PIC: "&amp;Checks!$T$203)</f>
        <v/>
      </c>
      <c r="H63" s="114" t="str">
        <f aca="false">IF(Checks!$AH$203="","",Checks!$AH$203)</f>
        <v>OPEN</v>
      </c>
    </row>
    <row r="64" customFormat="false" ht="114" hidden="false" customHeight="true" outlineLevel="0" collapsed="false">
      <c r="A64" s="113" t="str">
        <f aca="false">Checks!$A$204&amp;CHAR(10)&amp;IF(Checks!$I$204="","",Checks!$I$204&amp;": ")&amp;Checks!$J$204</f>
        <v>F06-UPL-08
F&amp;B Linen: Napkin - on board</v>
      </c>
      <c r="B64" s="113" t="str">
        <f aca="false">Checks!$K$204&amp;IF(Checks!$O$204="","",IF(Checks!$K$204="","",CHAR(10))&amp;"Note: "&amp;Checks!$O$204)</f>
        <v>Available (ticked in reference)</v>
      </c>
      <c r="C64" s="113" t="str">
        <f aca="false">Checks!$N$204&amp;CHAR(10)&amp;IF(ISNUMBER(Checks!$R$204),TEXT(Checks!$R$204,"DD-MMM-YY HH:MM"),"")&amp;" "&amp;Checks!$P$204</f>
        <v>Required
15-Oct-26 23:20 KUL</v>
      </c>
      <c r="D64" s="113" t="str">
        <f aca="false">IF(Checks!$U$204="","",Checks!$U$204)&amp;IF(Checks!$AB$204="","",CHAR(10)&amp;"CA: "&amp;Checks!$AB$204)</f>
        <v/>
      </c>
      <c r="E64" s="113" t="str">
        <f aca="false">IF(Checks!$V$204="","",Checks!$V$204)&amp;IF(Checks!$AC$204="","",IF(Checks!$V$204="","",CHAR(10))&amp;"N/A just.: "&amp;Checks!$AC$204)&amp;IF(Checks!$W$204="","",CHAR(10)&amp;"Batch: "&amp;Checks!$W$204)&amp;IF(AND(Checks!$X$204="",Checks!$Y$204=""),"",CHAR(10)&amp;"Exp: "&amp;Checks!$X$204&amp;"  /  Act: "&amp;Checks!$Y$204)</f>
        <v/>
      </c>
      <c r="F64" s="113" t="str">
        <f aca="false">IF(Checks!$Z$204="","","Evidence: "&amp;Checks!$Z$204)&amp;IF(Checks!$AA$204="","",IF(Checks!$Z$204="","",CHAR(10))&amp;"CA: "&amp;Checks!$AA$204)</f>
        <v/>
      </c>
      <c r="G64" s="113" t="str">
        <f aca="false">IF(ISNUMBER(Checks!$AD$204),TEXT(Checks!$AD$204,"DD-MMM-YY HH:MM")&amp;" "&amp;Checks!$P$204,"")&amp;IF(Checks!$AE$204="","",CHAR(10)&amp;"Verifier: "&amp;Checks!$AE$204)&amp;IF(Checks!$T$204="","",CHAR(10)&amp;"PIC: "&amp;Checks!$T$204)</f>
        <v/>
      </c>
      <c r="H64" s="114" t="str">
        <f aca="false">IF(Checks!$AH$204="","",Checks!$AH$204)</f>
        <v>OPEN</v>
      </c>
    </row>
    <row r="65" customFormat="false" ht="114" hidden="false" customHeight="true" outlineLevel="0" collapsed="false">
      <c r="A65" s="113" t="str">
        <f aca="false">Checks!$A$205&amp;CHAR(10)&amp;IF(Checks!$I$205="","",Checks!$I$205&amp;": ")&amp;Checks!$J$205</f>
        <v>F06-UPL-09
F&amp;B Linen: Table cloth - on board</v>
      </c>
      <c r="B65" s="113" t="str">
        <f aca="false">Checks!$K$205&amp;IF(Checks!$O$205="","",IF(Checks!$K$205="","",CHAR(10))&amp;"Note: "&amp;Checks!$O$205)</f>
        <v>Available (ticked in reference)</v>
      </c>
      <c r="C65" s="113" t="str">
        <f aca="false">Checks!$N$205&amp;CHAR(10)&amp;IF(ISNUMBER(Checks!$R$205),TEXT(Checks!$R$205,"DD-MMM-YY HH:MM"),"")&amp;" "&amp;Checks!$P$205</f>
        <v>Required
15-Oct-26 23:20 KUL</v>
      </c>
      <c r="D65" s="113" t="str">
        <f aca="false">IF(Checks!$U$205="","",Checks!$U$205)&amp;IF(Checks!$AB$205="","",CHAR(10)&amp;"CA: "&amp;Checks!$AB$205)</f>
        <v/>
      </c>
      <c r="E65" s="113" t="str">
        <f aca="false">IF(Checks!$V$205="","",Checks!$V$205)&amp;IF(Checks!$AC$205="","",IF(Checks!$V$205="","",CHAR(10))&amp;"N/A just.: "&amp;Checks!$AC$205)&amp;IF(Checks!$W$205="","",CHAR(10)&amp;"Batch: "&amp;Checks!$W$205)&amp;IF(AND(Checks!$X$205="",Checks!$Y$205=""),"",CHAR(10)&amp;"Exp: "&amp;Checks!$X$205&amp;"  /  Act: "&amp;Checks!$Y$205)</f>
        <v/>
      </c>
      <c r="F65" s="113" t="str">
        <f aca="false">IF(Checks!$Z$205="","","Evidence: "&amp;Checks!$Z$205)&amp;IF(Checks!$AA$205="","",IF(Checks!$Z$205="","",CHAR(10))&amp;"CA: "&amp;Checks!$AA$205)</f>
        <v/>
      </c>
      <c r="G65" s="113" t="str">
        <f aca="false">IF(ISNUMBER(Checks!$AD$205),TEXT(Checks!$AD$205,"DD-MMM-YY HH:MM")&amp;" "&amp;Checks!$P$205,"")&amp;IF(Checks!$AE$205="","",CHAR(10)&amp;"Verifier: "&amp;Checks!$AE$205)&amp;IF(Checks!$T$205="","",CHAR(10)&amp;"PIC: "&amp;Checks!$T$205)</f>
        <v/>
      </c>
      <c r="H65" s="114" t="str">
        <f aca="false">IF(Checks!$AH$205="","",Checks!$AH$205)</f>
        <v>OPEN</v>
      </c>
    </row>
    <row r="66" customFormat="false" ht="114" hidden="false" customHeight="true" outlineLevel="0" collapsed="false">
      <c r="A66" s="113" t="str">
        <f aca="false">Checks!$A$206&amp;CHAR(10)&amp;IF(Checks!$I$206="","",Checks!$I$206&amp;": ")&amp;Checks!$J$206</f>
        <v>F06-UPL-10
F&amp;B Linen: Bread linen (using table cloth) - on board</v>
      </c>
      <c r="B66" s="113" t="str">
        <f aca="false">Checks!$K$206&amp;IF(Checks!$O$206="","",IF(Checks!$K$206="","",CHAR(10))&amp;"Note: "&amp;Checks!$O$206)</f>
        <v>Available (ticked in reference)</v>
      </c>
      <c r="C66" s="113" t="str">
        <f aca="false">Checks!$N$206&amp;CHAR(10)&amp;IF(ISNUMBER(Checks!$R$206),TEXT(Checks!$R$206,"DD-MMM-YY HH:MM"),"")&amp;" "&amp;Checks!$P$206</f>
        <v>Required
15-Oct-26 23:20 KUL</v>
      </c>
      <c r="D66" s="113" t="str">
        <f aca="false">IF(Checks!$U$206="","",Checks!$U$206)&amp;IF(Checks!$AB$206="","",CHAR(10)&amp;"CA: "&amp;Checks!$AB$206)</f>
        <v/>
      </c>
      <c r="E66" s="113" t="str">
        <f aca="false">IF(Checks!$V$206="","",Checks!$V$206)&amp;IF(Checks!$AC$206="","",IF(Checks!$V$206="","",CHAR(10))&amp;"N/A just.: "&amp;Checks!$AC$206)&amp;IF(Checks!$W$206="","",CHAR(10)&amp;"Batch: "&amp;Checks!$W$206)&amp;IF(AND(Checks!$X$206="",Checks!$Y$206=""),"",CHAR(10)&amp;"Exp: "&amp;Checks!$X$206&amp;"  /  Act: "&amp;Checks!$Y$206)</f>
        <v/>
      </c>
      <c r="F66" s="113" t="str">
        <f aca="false">IF(Checks!$Z$206="","","Evidence: "&amp;Checks!$Z$206)&amp;IF(Checks!$AA$206="","",IF(Checks!$Z$206="","",CHAR(10))&amp;"CA: "&amp;Checks!$AA$206)</f>
        <v/>
      </c>
      <c r="G66" s="113" t="str">
        <f aca="false">IF(ISNUMBER(Checks!$AD$206),TEXT(Checks!$AD$206,"DD-MMM-YY HH:MM")&amp;" "&amp;Checks!$P$206,"")&amp;IF(Checks!$AE$206="","",CHAR(10)&amp;"Verifier: "&amp;Checks!$AE$206)&amp;IF(Checks!$T$206="","",CHAR(10)&amp;"PIC: "&amp;Checks!$T$206)</f>
        <v/>
      </c>
      <c r="H66" s="114" t="str">
        <f aca="false">IF(Checks!$AH$206="","",Checks!$AH$206)</f>
        <v>OPEN</v>
      </c>
    </row>
    <row r="67" customFormat="false" ht="114" hidden="false" customHeight="true" outlineLevel="0" collapsed="false">
      <c r="A67" s="113" t="str">
        <f aca="false">Checks!$A$207&amp;CHAR(10)&amp;IF(Checks!$I$207="","",Checks!$I$207&amp;": ")&amp;Checks!$J$207</f>
        <v>F06-UPL-11
F&amp;B Linen: Trolley cloth - on board</v>
      </c>
      <c r="B67" s="113" t="str">
        <f aca="false">SUBSTITUTE(Checks!$K$207&amp;IF(Checks!$O$207="","",IF(Checks!$K$207="","",CHAR(10))&amp;"Note: "&amp;Checks!$O$207),"F&amp;B LINEN!","Ref: F&amp;B LINEN!")</f>
        <v>Wide body: Top/Middle &amp; Bottom
Note: Per note Ref: F&amp;B LINEN!B79:C80.</v>
      </c>
      <c r="C67" s="113" t="str">
        <f aca="false">Checks!$N$207&amp;CHAR(10)&amp;IF(ISNUMBER(Checks!$R$207),TEXT(Checks!$R$207,"DD-MMM-YY HH:MM"),"")&amp;" "&amp;Checks!$P$207</f>
        <v>Required
15-Oct-26 23:20 KUL</v>
      </c>
      <c r="D67" s="113" t="str">
        <f aca="false">IF(Checks!$U$207="","",Checks!$U$207)&amp;IF(Checks!$AB$207="","",CHAR(10)&amp;"CA: "&amp;Checks!$AB$207)</f>
        <v/>
      </c>
      <c r="E67" s="113" t="str">
        <f aca="false">IF(Checks!$V$207="","",Checks!$V$207)&amp;IF(Checks!$AC$207="","",IF(Checks!$V$207="","",CHAR(10))&amp;"N/A just.: "&amp;Checks!$AC$207)&amp;IF(Checks!$W$207="","",CHAR(10)&amp;"Batch: "&amp;Checks!$W$207)&amp;IF(AND(Checks!$X$207="",Checks!$Y$207=""),"",CHAR(10)&amp;"Exp: "&amp;Checks!$X$207&amp;"  /  Act: "&amp;Checks!$Y$207)</f>
        <v/>
      </c>
      <c r="F67" s="113" t="str">
        <f aca="false">IF(Checks!$Z$207="","","Evidence: "&amp;Checks!$Z$207)&amp;IF(Checks!$AA$207="","",IF(Checks!$Z$207="","",CHAR(10))&amp;"CA: "&amp;Checks!$AA$207)</f>
        <v/>
      </c>
      <c r="G67" s="113" t="str">
        <f aca="false">IF(ISNUMBER(Checks!$AD$207),TEXT(Checks!$AD$207,"DD-MMM-YY HH:MM")&amp;" "&amp;Checks!$P$207,"")&amp;IF(Checks!$AE$207="","",CHAR(10)&amp;"Verifier: "&amp;Checks!$AE$207)&amp;IF(Checks!$T$207="","",CHAR(10)&amp;"PIC: "&amp;Checks!$T$207)</f>
        <v/>
      </c>
      <c r="H67" s="114" t="str">
        <f aca="false">IF(Checks!$AH$207="","",Checks!$AH$207)</f>
        <v>OPEN</v>
      </c>
    </row>
    <row r="68" customFormat="false" ht="114" hidden="false" customHeight="true" outlineLevel="0" collapsed="false">
      <c r="A68" s="113" t="str">
        <f aca="false">Checks!$A$208&amp;CHAR(10)&amp;IF(Checks!$I$208="","",Checks!$I$208&amp;": ")&amp;Checks!$J$208</f>
        <v>F06-UPL-12
F&amp;B Linen: Linen bag - on board</v>
      </c>
      <c r="B68" s="113" t="str">
        <f aca="false">Checks!$K$208&amp;IF(Checks!$O$208="","",IF(Checks!$K$208="","",CHAR(10))&amp;"Note: "&amp;Checks!$O$208)</f>
        <v>Available (ticked in reference)</v>
      </c>
      <c r="C68" s="113" t="str">
        <f aca="false">Checks!$N$208&amp;CHAR(10)&amp;IF(ISNUMBER(Checks!$R$208),TEXT(Checks!$R$208,"DD-MMM-YY HH:MM"),"")&amp;" "&amp;Checks!$P$208</f>
        <v>Required
15-Oct-26 23:20 KUL</v>
      </c>
      <c r="D68" s="113" t="str">
        <f aca="false">IF(Checks!$U$208="","",Checks!$U$208)&amp;IF(Checks!$AB$208="","",CHAR(10)&amp;"CA: "&amp;Checks!$AB$208)</f>
        <v/>
      </c>
      <c r="E68" s="113" t="str">
        <f aca="false">IF(Checks!$V$208="","",Checks!$V$208)&amp;IF(Checks!$AC$208="","",IF(Checks!$V$208="","",CHAR(10))&amp;"N/A just.: "&amp;Checks!$AC$208)&amp;IF(Checks!$W$208="","",CHAR(10)&amp;"Batch: "&amp;Checks!$W$208)&amp;IF(AND(Checks!$X$208="",Checks!$Y$208=""),"",CHAR(10)&amp;"Exp: "&amp;Checks!$X$208&amp;"  /  Act: "&amp;Checks!$Y$208)</f>
        <v/>
      </c>
      <c r="F68" s="113" t="str">
        <f aca="false">IF(Checks!$Z$208="","","Evidence: "&amp;Checks!$Z$208)&amp;IF(Checks!$AA$208="","",IF(Checks!$Z$208="","",CHAR(10))&amp;"CA: "&amp;Checks!$AA$208)</f>
        <v/>
      </c>
      <c r="G68" s="113" t="str">
        <f aca="false">IF(ISNUMBER(Checks!$AD$208),TEXT(Checks!$AD$208,"DD-MMM-YY HH:MM")&amp;" "&amp;Checks!$P$208,"")&amp;IF(Checks!$AE$208="","",CHAR(10)&amp;"Verifier: "&amp;Checks!$AE$208)&amp;IF(Checks!$T$208="","",CHAR(10)&amp;"PIC: "&amp;Checks!$T$208)</f>
        <v/>
      </c>
      <c r="H68" s="114" t="str">
        <f aca="false">IF(Checks!$AH$208="","",Checks!$AH$208)</f>
        <v>OPEN</v>
      </c>
    </row>
    <row r="69" customFormat="false" ht="114" hidden="false" customHeight="true" outlineLevel="0" collapsed="false">
      <c r="A69" s="113" t="str">
        <f aca="false">Checks!$A$209&amp;CHAR(10)&amp;IF(Checks!$I$209="","",Checks!$I$209&amp;": ")&amp;Checks!$J$209</f>
        <v>F06-UPL-13
Seat Linen: Seat pillow (BS &amp; BC) - on board</v>
      </c>
      <c r="B69" s="113" t="str">
        <f aca="false">Checks!$K$209&amp;IF(Checks!$O$209="","",IF(Checks!$K$209="","",CHAR(10))&amp;"Note: "&amp;Checks!$O$209)</f>
        <v>Available 100% (ticked in reference)</v>
      </c>
      <c r="C69" s="113" t="str">
        <f aca="false">Checks!$N$209&amp;CHAR(10)&amp;IF(ISNUMBER(Checks!$R$209),TEXT(Checks!$R$209,"DD-MMM-YY HH:MM"),"")&amp;" "&amp;Checks!$P$209</f>
        <v>Required
15-Oct-26 23:20 KUL</v>
      </c>
      <c r="D69" s="113" t="str">
        <f aca="false">IF(Checks!$U$209="","",Checks!$U$209)&amp;IF(Checks!$AB$209="","",CHAR(10)&amp;"CA: "&amp;Checks!$AB$209)</f>
        <v/>
      </c>
      <c r="E69" s="113" t="str">
        <f aca="false">IF(Checks!$V$209="","",Checks!$V$209)&amp;IF(Checks!$AC$209="","",IF(Checks!$V$209="","",CHAR(10))&amp;"N/A just.: "&amp;Checks!$AC$209)&amp;IF(Checks!$W$209="","",CHAR(10)&amp;"Batch: "&amp;Checks!$W$209)&amp;IF(AND(Checks!$X$209="",Checks!$Y$209=""),"",CHAR(10)&amp;"Exp: "&amp;Checks!$X$209&amp;"  /  Act: "&amp;Checks!$Y$209)</f>
        <v/>
      </c>
      <c r="F69" s="113" t="str">
        <f aca="false">IF(Checks!$Z$209="","","Evidence: "&amp;Checks!$Z$209)&amp;IF(Checks!$AA$209="","",IF(Checks!$Z$209="","",CHAR(10))&amp;"CA: "&amp;Checks!$AA$209)</f>
        <v/>
      </c>
      <c r="G69" s="113" t="str">
        <f aca="false">IF(ISNUMBER(Checks!$AD$209),TEXT(Checks!$AD$209,"DD-MMM-YY HH:MM")&amp;" "&amp;Checks!$P$209,"")&amp;IF(Checks!$AE$209="","",CHAR(10)&amp;"Verifier: "&amp;Checks!$AE$209)&amp;IF(Checks!$T$209="","",CHAR(10)&amp;"PIC: "&amp;Checks!$T$209)</f>
        <v/>
      </c>
      <c r="H69" s="114" t="str">
        <f aca="false">IF(Checks!$AH$209="","",Checks!$AH$209)</f>
        <v>OPEN</v>
      </c>
    </row>
    <row r="70" customFormat="false" ht="114" hidden="false" customHeight="true" outlineLevel="0" collapsed="false">
      <c r="A70" s="113" t="str">
        <f aca="false">Checks!$A$210&amp;CHAR(10)&amp;IF(Checks!$I$210="","",Checks!$I$210&amp;": ")&amp;Checks!$J$210</f>
        <v>F06-UPL-14
Seat Linen: Duvet (BS &amp; BC) - on board</v>
      </c>
      <c r="B70" s="113" t="str">
        <f aca="false">Checks!$K$210&amp;IF(Checks!$O$210="","",IF(Checks!$K$210="","",CHAR(10))&amp;"Note: "&amp;Checks!$O$210)</f>
        <v>Available 100% (ticked in reference)</v>
      </c>
      <c r="C70" s="113" t="str">
        <f aca="false">Checks!$N$210&amp;CHAR(10)&amp;IF(ISNUMBER(Checks!$R$210),TEXT(Checks!$R$210,"DD-MMM-YY HH:MM"),"")&amp;" "&amp;Checks!$P$210</f>
        <v>Required
15-Oct-26 23:20 KUL</v>
      </c>
      <c r="D70" s="113" t="str">
        <f aca="false">IF(Checks!$U$210="","",Checks!$U$210)&amp;IF(Checks!$AB$210="","",CHAR(10)&amp;"CA: "&amp;Checks!$AB$210)</f>
        <v/>
      </c>
      <c r="E70" s="113" t="str">
        <f aca="false">IF(Checks!$V$210="","",Checks!$V$210)&amp;IF(Checks!$AC$210="","",IF(Checks!$V$210="","",CHAR(10))&amp;"N/A just.: "&amp;Checks!$AC$210)&amp;IF(Checks!$W$210="","",CHAR(10)&amp;"Batch: "&amp;Checks!$W$210)&amp;IF(AND(Checks!$X$210="",Checks!$Y$210=""),"",CHAR(10)&amp;"Exp: "&amp;Checks!$X$210&amp;"  /  Act: "&amp;Checks!$Y$210)</f>
        <v/>
      </c>
      <c r="F70" s="113" t="str">
        <f aca="false">IF(Checks!$Z$210="","","Evidence: "&amp;Checks!$Z$210)&amp;IF(Checks!$AA$210="","",IF(Checks!$Z$210="","",CHAR(10))&amp;"CA: "&amp;Checks!$AA$210)</f>
        <v/>
      </c>
      <c r="G70" s="113" t="str">
        <f aca="false">IF(ISNUMBER(Checks!$AD$210),TEXT(Checks!$AD$210,"DD-MMM-YY HH:MM")&amp;" "&amp;Checks!$P$210,"")&amp;IF(Checks!$AE$210="","",CHAR(10)&amp;"Verifier: "&amp;Checks!$AE$210)&amp;IF(Checks!$T$210="","",CHAR(10)&amp;"PIC: "&amp;Checks!$T$210)</f>
        <v/>
      </c>
      <c r="H70" s="114" t="str">
        <f aca="false">IF(Checks!$AH$210="","",Checks!$AH$210)</f>
        <v>OPEN</v>
      </c>
    </row>
    <row r="71" customFormat="false" ht="114" hidden="false" customHeight="true" outlineLevel="0" collapsed="false">
      <c r="A71" s="113" t="str">
        <f aca="false">Checks!$A$211&amp;CHAR(10)&amp;IF(Checks!$I$211="","",Checks!$I$211&amp;": ")&amp;Checks!$J$211</f>
        <v>F06-UPL-15
Seat Linen: Mattress (BS &amp; BC) - on board</v>
      </c>
      <c r="B71" s="113" t="str">
        <f aca="false">Checks!$K$211&amp;IF(Checks!$O$211="","",IF(Checks!$K$211="","",CHAR(10))&amp;"Note: "&amp;Checks!$O$211)</f>
        <v>Available 100% (ticked in reference)</v>
      </c>
      <c r="C71" s="113" t="str">
        <f aca="false">Checks!$N$211&amp;CHAR(10)&amp;IF(ISNUMBER(Checks!$R$211),TEXT(Checks!$R$211,"DD-MMM-YY HH:MM"),"")&amp;" "&amp;Checks!$P$211</f>
        <v>Required
15-Oct-26 23:20 KUL</v>
      </c>
      <c r="D71" s="113" t="str">
        <f aca="false">IF(Checks!$U$211="","",Checks!$U$211)&amp;IF(Checks!$AB$211="","",CHAR(10)&amp;"CA: "&amp;Checks!$AB$211)</f>
        <v/>
      </c>
      <c r="E71" s="113" t="str">
        <f aca="false">IF(Checks!$V$211="","",Checks!$V$211)&amp;IF(Checks!$AC$211="","",IF(Checks!$V$211="","",CHAR(10))&amp;"N/A just.: "&amp;Checks!$AC$211)&amp;IF(Checks!$W$211="","",CHAR(10)&amp;"Batch: "&amp;Checks!$W$211)&amp;IF(AND(Checks!$X$211="",Checks!$Y$211=""),"",CHAR(10)&amp;"Exp: "&amp;Checks!$X$211&amp;"  /  Act: "&amp;Checks!$Y$211)</f>
        <v/>
      </c>
      <c r="F71" s="113" t="str">
        <f aca="false">IF(Checks!$Z$211="","","Evidence: "&amp;Checks!$Z$211)&amp;IF(Checks!$AA$211="","",IF(Checks!$Z$211="","",CHAR(10))&amp;"CA: "&amp;Checks!$AA$211)</f>
        <v/>
      </c>
      <c r="G71" s="113" t="str">
        <f aca="false">IF(ISNUMBER(Checks!$AD$211),TEXT(Checks!$AD$211,"DD-MMM-YY HH:MM")&amp;" "&amp;Checks!$P$211,"")&amp;IF(Checks!$AE$211="","",CHAR(10)&amp;"Verifier: "&amp;Checks!$AE$211)&amp;IF(Checks!$T$211="","",CHAR(10)&amp;"PIC: "&amp;Checks!$T$211)</f>
        <v/>
      </c>
      <c r="H71" s="114" t="str">
        <f aca="false">IF(Checks!$AH$211="","",Checks!$AH$211)</f>
        <v>OPEN</v>
      </c>
    </row>
    <row r="72" customFormat="false" ht="114" hidden="false" customHeight="true" outlineLevel="0" collapsed="false">
      <c r="A72" s="113" t="str">
        <f aca="false">Checks!$A$212&amp;CHAR(10)&amp;IF(Checks!$I$212="","",Checks!$I$212&amp;": ")&amp;Checks!$J$212</f>
        <v>F06-UPL-16
Signature Drinks: Signature drink &amp; garnish (BC) - on board</v>
      </c>
      <c r="B72" s="113" t="str">
        <f aca="false">Checks!$K$212&amp;IF(Checks!$O$212="","",IF(Checks!$K$212="","",CHAR(10))&amp;"Note: "&amp;Checks!$O$212)</f>
        <v>Available (ticked in reference)
Note: Signature drinks &amp; garnish uplifted from KUL (note D79).</v>
      </c>
      <c r="C72" s="113" t="str">
        <f aca="false">Checks!$N$212&amp;CHAR(10)&amp;IF(ISNUMBER(Checks!$R$212),TEXT(Checks!$R$212,"DD-MMM-YY HH:MM"),"")&amp;" "&amp;Checks!$P$212</f>
        <v>Required
15-Oct-26 23:20 KUL</v>
      </c>
      <c r="D72" s="113" t="str">
        <f aca="false">IF(Checks!$U$212="","",Checks!$U$212)&amp;IF(Checks!$AB$212="","",CHAR(10)&amp;"CA: "&amp;Checks!$AB$212)</f>
        <v/>
      </c>
      <c r="E72" s="113" t="str">
        <f aca="false">IF(Checks!$V$212="","",Checks!$V$212)&amp;IF(Checks!$AC$212="","",IF(Checks!$V$212="","",CHAR(10))&amp;"N/A just.: "&amp;Checks!$AC$212)&amp;IF(Checks!$W$212="","",CHAR(10)&amp;"Batch: "&amp;Checks!$W$212)&amp;IF(AND(Checks!$X$212="",Checks!$Y$212=""),"",CHAR(10)&amp;"Exp: "&amp;Checks!$X$212&amp;"  /  Act: "&amp;Checks!$Y$212)</f>
        <v/>
      </c>
      <c r="F72" s="113" t="str">
        <f aca="false">IF(Checks!$Z$212="","","Evidence: "&amp;Checks!$Z$212)&amp;IF(Checks!$AA$212="","",IF(Checks!$Z$212="","",CHAR(10))&amp;"CA: "&amp;Checks!$AA$212)</f>
        <v/>
      </c>
      <c r="G72" s="113" t="str">
        <f aca="false">IF(ISNUMBER(Checks!$AD$212),TEXT(Checks!$AD$212,"DD-MMM-YY HH:MM")&amp;" "&amp;Checks!$P$212,"")&amp;IF(Checks!$AE$212="","",CHAR(10)&amp;"Verifier: "&amp;Checks!$AE$212)&amp;IF(Checks!$T$212="","",CHAR(10)&amp;"PIC: "&amp;Checks!$T$212)</f>
        <v/>
      </c>
      <c r="H72" s="114" t="str">
        <f aca="false">IF(Checks!$AH$212="","",Checks!$AH$212)</f>
        <v>OPEN</v>
      </c>
    </row>
    <row r="74" customFormat="false" ht="24" hidden="false" customHeight="true" outlineLevel="0" collapsed="false">
      <c r="A74" s="115" t="s">
        <v>1650</v>
      </c>
      <c r="B74" s="115"/>
      <c r="C74" s="115"/>
      <c r="D74" s="115"/>
      <c r="E74" s="115" t="s">
        <v>1651</v>
      </c>
      <c r="F74" s="115"/>
      <c r="G74" s="115"/>
      <c r="H74" s="115"/>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F07  "&amp;Flights!$F$11&amp;"  "&amp;TEXT(Flights!$D$11,"DD-MMM-YY")&amp;" ("&amp;Flights!$E$11&amp;")  "&amp;Flights!$G$11&amp;" → "&amp;Flights!$H$11&amp;"  |  Class "&amp;Flights!$K$11</f>
        <v>SKYTRAX 2026 CATERING READINESS CHECKLIST  |  F07  MH0003  09-Oct-26 (FRI)  LHR → KUL  |  Class BC</v>
      </c>
      <c r="B1" s="91"/>
      <c r="C1" s="91"/>
      <c r="D1" s="91"/>
      <c r="E1" s="91"/>
      <c r="F1" s="91"/>
      <c r="G1" s="91"/>
      <c r="H1" s="91"/>
    </row>
    <row r="2" customFormat="false" ht="12.75" hidden="false" customHeight="true" outlineLevel="0" collapsed="false">
      <c r="A2" s="92" t="s">
        <v>1605</v>
      </c>
      <c r="B2" s="93" t="str">
        <f aca="false">Flights!$F$11&amp;"   "&amp;TEXT(Flights!$D$11,"DD-MMM-YY")&amp;" ("&amp;Flights!$E$11&amp;")"</f>
        <v>MH0003   09-Oct-26 (FRI)</v>
      </c>
      <c r="C2" s="93"/>
      <c r="D2" s="93"/>
      <c r="E2" s="94" t="s">
        <v>1606</v>
      </c>
      <c r="F2" s="95" t="str">
        <f aca="false">Flights!$AT$11</f>
        <v>NOT READY – DOCUMENTS</v>
      </c>
      <c r="G2" s="95"/>
      <c r="H2" s="95"/>
    </row>
    <row r="3" customFormat="false" ht="24" hidden="false" customHeight="true" outlineLevel="0" collapsed="false">
      <c r="A3" s="92" t="s">
        <v>1607</v>
      </c>
      <c r="B3" s="93" t="str">
        <f aca="false">Flights!$G$11&amp;" → "&amp;Flights!$H$11&amp;"   Class "&amp;Flights!$K$11&amp;"   Seat "&amp;Flights!$O$11</f>
        <v>LHR → KUL   Class BC   Seat 2A</v>
      </c>
      <c r="C3" s="93"/>
      <c r="D3" s="93"/>
      <c r="E3" s="94" t="s">
        <v>68</v>
      </c>
      <c r="F3" s="94" t="s">
        <v>1608</v>
      </c>
      <c r="G3" s="94" t="s">
        <v>1609</v>
      </c>
      <c r="H3" s="94"/>
    </row>
    <row r="4" customFormat="false" ht="24" hidden="false" customHeight="true" outlineLevel="0" collapsed="false">
      <c r="A4" s="92" t="s">
        <v>1610</v>
      </c>
      <c r="B4" s="93" t="str">
        <f aca="false">IF(ISNUMBER(Flights!$I$11),TEXT(Flights!$I$11,"DD-MMM-YY HH:MM"),"")&amp;" "&amp;Flights!$G$11&amp;"  →  "&amp;IF(ISNUMBER(Flights!$J$11),TEXT(Flights!$J$11,"DD-MMM-YY HH:MM"),"")&amp;" "&amp;Flights!$H$11</f>
        <v>09-Oct-26 11:00 LHR  →  10-Oct-26 06:45 KUL</v>
      </c>
      <c r="C4" s="93"/>
      <c r="D4" s="93"/>
      <c r="E4" s="92" t="s">
        <v>1611</v>
      </c>
      <c r="F4" s="96" t="str">
        <f aca="false">IF(ISNUMBER(Flights!$AG$11),TEXT(Flights!$AG$11,"DD-MMM-YY HH:MM"),"")&amp;" "&amp;Flights!$V$11</f>
        <v>02-Oct-26 11:00 LHR</v>
      </c>
      <c r="G4" s="97" t="n">
        <f aca="false">Flights!$AJ$11</f>
        <v>0</v>
      </c>
      <c r="H4" s="97"/>
    </row>
    <row r="5" customFormat="false" ht="24" hidden="false" customHeight="true" outlineLevel="0" collapsed="false">
      <c r="A5" s="92" t="s">
        <v>1612</v>
      </c>
      <c r="B5" s="93" t="str">
        <f aca="false">Flights!$L$11&amp;" – "&amp;Flights!$M$11</f>
        <v>A350 – A350-900: A359 (9M-MAB..MAG, row 6) or A350 9M-MAH (row 7) - tail to confirm</v>
      </c>
      <c r="C5" s="93"/>
      <c r="D5" s="93"/>
      <c r="E5" s="92" t="s">
        <v>1613</v>
      </c>
      <c r="F5" s="96" t="str">
        <f aca="false">IF(ISNUMBER(Flights!$AH$11),TEXT(Flights!$AH$11,"DD-MMM-YY HH:MM"),"")&amp;" "&amp;Flights!$V$11</f>
        <v>08-Oct-26 11:00 LHR</v>
      </c>
      <c r="G5" s="97" t="n">
        <f aca="false">Flights!$AK$11</f>
        <v>0</v>
      </c>
      <c r="H5" s="97"/>
    </row>
    <row r="6" customFormat="false" ht="24" hidden="false" customHeight="true" outlineLevel="0" collapsed="false">
      <c r="A6" s="92" t="s">
        <v>1614</v>
      </c>
      <c r="B6" s="93" t="str">
        <f aca="false">IF(TRIM(Flights!$N$11)="","__________________",Flights!$N$11)</f>
        <v>__________________</v>
      </c>
      <c r="C6" s="93"/>
      <c r="D6" s="93"/>
      <c r="E6" s="92" t="s">
        <v>1615</v>
      </c>
      <c r="F6" s="96" t="str">
        <f aca="false">IF(ISNUMBER(Flights!$AI$11),TEXT(Flights!$AI$11,"DD-MMM-YY HH:MM"),"")&amp;" "&amp;Flights!$V$11&amp;IF(Flights!$AI$11=Flights!$AH$11,"  (= T-24H due)","")</f>
        <v>08-Oct-26 23:00 LHR</v>
      </c>
      <c r="G6" s="97" t="n">
        <f aca="false">Flights!$AL$11</f>
        <v>0</v>
      </c>
      <c r="H6" s="97"/>
    </row>
    <row r="7" customFormat="false" ht="24" hidden="false" customHeight="true" outlineLevel="0" collapsed="false">
      <c r="A7" s="92" t="s">
        <v>1616</v>
      </c>
      <c r="B7" s="93" t="str">
        <f aca="false">Flights!$T$11</f>
        <v>2.5 Meal (Meal)</v>
      </c>
      <c r="C7" s="93"/>
      <c r="D7" s="93"/>
      <c r="E7" s="92" t="s">
        <v>1617</v>
      </c>
      <c r="F7" s="96" t="str">
        <f aca="false">"STD "&amp;IF(ISNUMBER(Flights!$I$11),TEXT(Flights!$I$11,"DD-MMM-YY HH:MM"),"")&amp;" "&amp;Flights!$G$11&amp;" (dep stn)"</f>
        <v>STD 09-Oct-26 11:00 LHR (dep stn)</v>
      </c>
      <c r="G7" s="97" t="n">
        <f aca="false">Flights!$AM$11</f>
        <v>0</v>
      </c>
      <c r="H7" s="97"/>
    </row>
    <row r="8" customFormat="false" ht="12.75" hidden="false" customHeight="true" outlineLevel="0" collapsed="false">
      <c r="A8" s="92" t="s">
        <v>150</v>
      </c>
      <c r="B8" s="93" t="str">
        <f aca="false">Flights!$V$11&amp;"   (reference uplift stns: "&amp;Flights!$U$11&amp;")"</f>
        <v>LHR   (reference uplift stns: KUL/LHR)</v>
      </c>
      <c r="C8" s="93"/>
      <c r="D8" s="93"/>
      <c r="E8" s="92" t="s">
        <v>1618</v>
      </c>
      <c r="F8" s="98" t="s">
        <v>1619</v>
      </c>
      <c r="G8" s="97" t="n">
        <f aca="false">Flights!$AN$11</f>
        <v>0</v>
      </c>
      <c r="H8" s="97"/>
    </row>
    <row r="9" customFormat="false" ht="12.75" hidden="false" customHeight="true" outlineLevel="0" collapsed="false">
      <c r="A9" s="92" t="s">
        <v>1620</v>
      </c>
      <c r="B9" s="93" t="str">
        <f aca="false">TRIM(Flights!$P$11&amp;"  "&amp;Flights!$Q$11)</f>
        <v>-</v>
      </c>
      <c r="C9" s="93"/>
      <c r="D9" s="93"/>
      <c r="E9" s="92" t="s">
        <v>1621</v>
      </c>
      <c r="F9" s="99" t="n">
        <f aca="false">Flights!$AP$11</f>
        <v>0</v>
      </c>
      <c r="G9" s="99" t="n">
        <f aca="false">Flights!$AQ$11</f>
        <v>0</v>
      </c>
      <c r="H9" s="99" t="n">
        <f aca="false">Flights!$AU$11</f>
        <v>0</v>
      </c>
    </row>
    <row r="10" customFormat="false" ht="24" hidden="false" customHeight="true" outlineLevel="0" collapsed="false">
      <c r="A10" s="92" t="s">
        <v>1622</v>
      </c>
      <c r="B10" s="93" t="str">
        <f aca="false">IF(TRIM(Flights!$X$11)="","__________________",Flights!$X$11)</f>
        <v>__________________</v>
      </c>
      <c r="C10" s="93"/>
      <c r="D10" s="93"/>
      <c r="E10" s="92" t="s">
        <v>1623</v>
      </c>
      <c r="F10" s="99" t="n">
        <f aca="false">Flights!$AO$11</f>
        <v>48</v>
      </c>
      <c r="G10" s="99" t="n">
        <f aca="false">Flights!$AS$11</f>
        <v>3</v>
      </c>
      <c r="H10" s="99" t="n">
        <f aca="false">Flights!$AR$11</f>
        <v>2</v>
      </c>
    </row>
    <row r="11" customFormat="false" ht="21" hidden="false" customHeight="true" outlineLevel="0" collapsed="false">
      <c r="A11" s="92" t="s">
        <v>1624</v>
      </c>
      <c r="B11" s="93" t="str">
        <f aca="false">IF(TRIM(Flights!$Y$11)="","__________________",Flights!$Y$11)</f>
        <v>__________________</v>
      </c>
      <c r="C11" s="93"/>
      <c r="D11" s="93"/>
      <c r="E11" s="92" t="s">
        <v>1625</v>
      </c>
      <c r="F11" s="99" t="str">
        <f aca="false">Flights!$AV$11&amp;" / "&amp;Flights!$AW$11</f>
        <v>0 / 48</v>
      </c>
      <c r="G11" s="100" t="str">
        <f aca="false">IF(ISNUMBER(Settings!$B$6),TEXT(Settings!$B$6,"DD-MMM-YY HH:MM"),"")</f>
        <v>28-Sep-26 03:19</v>
      </c>
      <c r="H11" s="100"/>
    </row>
    <row r="12" customFormat="false" ht="34.5" hidden="false" customHeight="true" outlineLevel="0" collapsed="false">
      <c r="A12" s="101" t="s">
        <v>1626</v>
      </c>
      <c r="B12" s="101"/>
      <c r="C12" s="101"/>
      <c r="D12" s="101"/>
      <c r="E12" s="102" t="s">
        <v>1627</v>
      </c>
      <c r="F12" s="103" t="s">
        <v>1628</v>
      </c>
      <c r="G12" s="104" t="s">
        <v>89</v>
      </c>
      <c r="H12" s="105" t="s">
        <v>1629</v>
      </c>
    </row>
    <row r="13" customFormat="false" ht="45.75" hidden="false" customHeight="true" outlineLevel="0" collapsed="false">
      <c r="A13" s="117"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"&amp;IF(ISNUMBER(Flights!$AY$11),TEXT(Flights!$AY$11+IFERROR(INDEX(Settings!$C$13:$C$22,MATCH("KUL",Settings!$A$13:$A$22,0)),8)/24,"DD-MMM-YY HH:MM")&amp;" KUL","(not set)")&amp;"   |   Carrying flight KUL departure (loading confirmed by): "&amp;IF(ISNUMBER(Flights!$AY$11),TEXT(Flights!$AY$11+UpliftWindowH/24+IFERROR(INDEX(Settings!$C$13:$C$22,MATCH("KUL",Settings!$A$13:$A$22,0)),8)/24,"DD-MMM-YY HH:MM")&amp;" KUL","(not set)")&amp;IF(ISNUMBER(Flights!$AX$11),""," (estimated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08-Oct-26 22:25 KUL   |   Carrying flight KUL departure (loading confirmed by): 09-Oct-26 04:25 KUL (estimated – enter actual on Flights AX)</v>
      </c>
      <c r="B13" s="117"/>
      <c r="C13" s="117"/>
      <c r="D13" s="117"/>
      <c r="E13" s="117"/>
      <c r="F13" s="117"/>
      <c r="G13" s="117"/>
      <c r="H13" s="117"/>
    </row>
    <row r="14" customFormat="false" ht="13.5" hidden="false" customHeight="true" outlineLevel="0" collapsed="false">
      <c r="A14" s="94" t="s">
        <v>1630</v>
      </c>
      <c r="B14" s="94" t="s">
        <v>1631</v>
      </c>
      <c r="C14" s="94" t="s">
        <v>1632</v>
      </c>
      <c r="D14" s="94"/>
      <c r="E14" s="94" t="s">
        <v>1633</v>
      </c>
      <c r="F14" s="94" t="s">
        <v>1634</v>
      </c>
      <c r="G14" s="94"/>
      <c r="H14" s="94"/>
    </row>
    <row r="15" customFormat="false" ht="36" hidden="false" customHeight="true" outlineLevel="0" collapsed="false">
      <c r="A15" s="92" t="s">
        <v>1635</v>
      </c>
      <c r="B15" s="93" t="str">
        <f aca="false">IF(Documents!$F$11="","",Documents!$F$11)</f>
        <v/>
      </c>
      <c r="C15" s="98" t="str">
        <f aca="false">IF(Documents!$G$11="","",Documents!$G$11)&amp;IF(ISNUMBER(Documents!$H$11),"  "&amp;TEXT(Documents!$H$11,"DD-MMM-YY"),"")</f>
        <v/>
      </c>
      <c r="D15" s="98"/>
      <c r="E15" s="106" t="str">
        <f aca="false">IF(Documents!$J$11="OUTSTANDING","OUTSTANDING – attach before T-7D (due "&amp;IF(ISNUMBER(Flights!$AG$11),TEXT(Flights!$AG$11,"DD-MMM-YY HH:MM"),"")&amp;" "&amp;Flights!$V$11&amp;")",IF(Documents!$J$11="","Status not recorded",Documents!$J$11))</f>
        <v>OUTSTANDING – attach before T-7D (due 02-Oct-26 11:00 LHR)</v>
      </c>
      <c r="F15" s="107" t="str">
        <f aca="false">"Staple behind this sheet as page A1."&amp;IF(Documents!$I$11="",""," Location: "&amp;Documents!$I$11)</f>
        <v>Staple behind this sheet as page A1.</v>
      </c>
      <c r="G15" s="107"/>
      <c r="H15" s="107"/>
    </row>
    <row r="16" customFormat="false" ht="36" hidden="false" customHeight="true" outlineLevel="0" collapsed="false">
      <c r="A16" s="92" t="s">
        <v>1636</v>
      </c>
      <c r="B16" s="93" t="str">
        <f aca="false">IF(Documents!$K$11="","",Documents!$K$11)</f>
        <v/>
      </c>
      <c r="C16" s="98" t="str">
        <f aca="false">IF(Documents!$L$11="","",Documents!$L$11)&amp;IF(ISNUMBER(Documents!$M$11),"  "&amp;TEXT(Documents!$M$11,"DD-MMM-YY"),"")</f>
        <v/>
      </c>
      <c r="D16" s="98"/>
      <c r="E16" s="106" t="str">
        <f aca="false">IF(Documents!$O$11="OUTSTANDING","OUTSTANDING – attach before T-7D (due "&amp;IF(ISNUMBER(Flights!$AG$11),TEXT(Flights!$AG$11,"DD-MMM-YY HH:MM"),"")&amp;" "&amp;Flights!$V$11&amp;")",IF(Documents!$O$11="","Status not recorded",Documents!$O$11))</f>
        <v>OUTSTANDING – attach before T-7D (due 02-Oct-26 11:00 LHR)</v>
      </c>
      <c r="F16" s="107" t="str">
        <f aca="false">"Staple behind this sheet as page A2."&amp;IF(Documents!$N$11="",""," Location: "&amp;Documents!$N$11)</f>
        <v>Staple behind this sheet as page A2.</v>
      </c>
      <c r="G16" s="107"/>
      <c r="H16" s="107"/>
    </row>
    <row r="17" customFormat="false" ht="22.5" hidden="false" customHeight="true" outlineLevel="0" collapsed="false">
      <c r="A17" s="92" t="s">
        <v>1637</v>
      </c>
      <c r="B17" s="108" t="str">
        <f aca="false">IF(Documents!$Q$11="","",Documents!$Q$11)</f>
        <v>Not supplied with brief – obtain from caterer / MAGCS.</v>
      </c>
      <c r="C17" s="108"/>
      <c r="D17" s="108"/>
      <c r="E17" s="108"/>
      <c r="F17" s="108"/>
      <c r="G17" s="108"/>
      <c r="H17" s="108"/>
    </row>
    <row r="18" customFormat="false" ht="13.5" hidden="false" customHeight="true" outlineLevel="0" collapsed="false">
      <c r="A18" s="109" t="s">
        <v>1638</v>
      </c>
      <c r="B18" s="109"/>
      <c r="C18" s="109" t="s">
        <v>1639</v>
      </c>
      <c r="D18" s="109"/>
      <c r="E18" s="109"/>
      <c r="F18" s="109" t="s">
        <v>1640</v>
      </c>
      <c r="G18" s="109"/>
      <c r="H18" s="109"/>
    </row>
    <row r="19" customFormat="false" ht="18" hidden="false" customHeight="true" outlineLevel="0" collapsed="false">
      <c r="A19" s="93" t="str">
        <f aca="false">"Name: "&amp;IF(TRIM(Flights!$Y$11)="","__________________",Flights!$Y$11)</f>
        <v>Name: __________________</v>
      </c>
      <c r="B19" s="93"/>
      <c r="C19" s="93" t="str">
        <f aca="false">"Name: __________________"</f>
        <v>Name: __________________</v>
      </c>
      <c r="D19" s="93"/>
      <c r="E19" s="93"/>
      <c r="F19" s="93" t="str">
        <f aca="false">"Name: __________________"&amp;"   Station: "&amp;Flights!$V$11</f>
        <v>Name: __________________   Station: LHR</v>
      </c>
      <c r="G19" s="93"/>
      <c r="H19" s="93"/>
    </row>
    <row r="20" customFormat="false" ht="30" hidden="false" customHeight="true" outlineLevel="0" collapsed="false">
      <c r="A20" s="110" t="s">
        <v>1641</v>
      </c>
      <c r="B20" s="110"/>
      <c r="C20" s="110" t="s">
        <v>1641</v>
      </c>
      <c r="D20" s="110"/>
      <c r="E20" s="110"/>
      <c r="F20" s="110" t="s">
        <v>1641</v>
      </c>
      <c r="G20" s="110"/>
      <c r="H20" s="110"/>
    </row>
    <row r="21" customFormat="false" ht="13.5" hidden="false" customHeight="true" outlineLevel="0" collapsed="false">
      <c r="A21" s="111" t="s">
        <v>1642</v>
      </c>
      <c r="B21" s="111"/>
      <c r="C21" s="111"/>
      <c r="D21" s="111"/>
      <c r="E21" s="111"/>
      <c r="F21" s="111"/>
      <c r="G21" s="111"/>
      <c r="H21" s="111"/>
    </row>
    <row r="22" customFormat="false" ht="24" hidden="false" customHeight="true" outlineLevel="0" collapsed="false">
      <c r="A22" s="94" t="s">
        <v>1643</v>
      </c>
      <c r="B22" s="94" t="s">
        <v>1644</v>
      </c>
      <c r="C22" s="94" t="s">
        <v>1645</v>
      </c>
      <c r="D22" s="94" t="s">
        <v>1646</v>
      </c>
      <c r="E22" s="94" t="s">
        <v>1647</v>
      </c>
      <c r="F22" s="94" t="s">
        <v>1648</v>
      </c>
      <c r="G22" s="94" t="s">
        <v>1649</v>
      </c>
      <c r="H22" s="94" t="s">
        <v>121</v>
      </c>
    </row>
    <row r="23" customFormat="false" ht="25.5" hidden="false" customHeight="true" outlineLevel="0" collapsed="false">
      <c r="A23" s="112"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Checks!$A$213&amp;CHAR(10)&amp;IF(Checks!$I$213="","",Checks!$I$213&amp;": ")&amp;Checks!$J$213</f>
        <v>F07-T7-01
Meal: Meal sensory testing completed for this flight's menu cycle (assessed class)</v>
      </c>
      <c r="B24" s="113" t="str">
        <f aca="false">Checks!$K$213&amp;IF(Checks!$O$213="","",IF(Checks!$K$213="","",CHAR(10))&amp;"Note: "&amp;Checks!$O$213)</f>
        <v>Record panel result / score in Result</v>
      </c>
      <c r="C24" s="113" t="str">
        <f aca="false">Checks!$N$213&amp;CHAR(10)&amp;IF(ISNUMBER(Checks!$R$213),TEXT(Checks!$R$213,"DD-MMM-YY HH:MM"),"")&amp;" "&amp;Checks!$P$213</f>
        <v>Required
02-Oct-26 11:00 LHR</v>
      </c>
      <c r="D24" s="113" t="str">
        <f aca="false">IF(Checks!$U$213="","",Checks!$U$213)&amp;IF(Checks!$AB$213="","",CHAR(10)&amp;"CA: "&amp;Checks!$AB$213)</f>
        <v/>
      </c>
      <c r="E24" s="113" t="str">
        <f aca="false">IF(Checks!$V$213="","",Checks!$V$213)&amp;IF(Checks!$AC$213="","",IF(Checks!$V$213="","",CHAR(10))&amp;"N/A just.: "&amp;Checks!$AC$213)&amp;IF(Checks!$W$213="","",CHAR(10)&amp;"Batch: "&amp;Checks!$W$213)&amp;IF(AND(Checks!$X$213="",Checks!$Y$213=""),"",CHAR(10)&amp;"Exp: "&amp;Checks!$X$213&amp;"  /  Act: "&amp;Checks!$Y$213)</f>
        <v/>
      </c>
      <c r="F24" s="113" t="str">
        <f aca="false">IF(Checks!$Z$213="","","Evidence: "&amp;Checks!$Z$213)&amp;IF(Checks!$AA$213="","",IF(Checks!$Z$213="","",CHAR(10))&amp;"CA: "&amp;Checks!$AA$213)</f>
        <v/>
      </c>
      <c r="G24" s="113" t="str">
        <f aca="false">IF(ISNUMBER(Checks!$AD$213),TEXT(Checks!$AD$213,"DD-MMM-YY HH:MM")&amp;" "&amp;Checks!$P$213,"")&amp;IF(Checks!$AE$213="","",CHAR(10)&amp;"Verifier: "&amp;Checks!$AE$213)&amp;IF(Checks!$T$213="","",CHAR(10)&amp;"PIC: "&amp;Checks!$T$213)</f>
        <v/>
      </c>
      <c r="H24" s="114" t="str">
        <f aca="false">IF(Checks!$AH$213="","",Checks!$AH$213)</f>
        <v>OPEN</v>
      </c>
    </row>
    <row r="25" customFormat="false" ht="114" hidden="false" customHeight="true" outlineLevel="0" collapsed="false">
      <c r="A25" s="113" t="str">
        <f aca="false">Checks!$A$214&amp;CHAR(10)&amp;IF(Checks!$I$214="","",Checks!$I$214&amp;": ")&amp;Checks!$J$214</f>
        <v>F07-T7-02
Menu: Printed menu cards confirmed (content, cycle, language, quantity)</v>
      </c>
      <c r="B25" s="113" t="str">
        <f aca="false">Checks!$K$214&amp;IF(Checks!$O$214="","",IF(Checks!$K$214="","",CHAR(10))&amp;"Note: "&amp;Checks!$O$214)</f>
        <v>Menu card matches approved menu for this flight</v>
      </c>
      <c r="C25" s="113" t="str">
        <f aca="false">Checks!$N$214&amp;CHAR(10)&amp;IF(ISNUMBER(Checks!$R$214),TEXT(Checks!$R$214,"DD-MMM-YY HH:MM"),"")&amp;" "&amp;Checks!$P$214</f>
        <v>Required
02-Oct-26 11:00 LHR</v>
      </c>
      <c r="D25" s="113" t="str">
        <f aca="false">IF(Checks!$U$214="","",Checks!$U$214)&amp;IF(Checks!$AB$214="","",CHAR(10)&amp;"CA: "&amp;Checks!$AB$214)</f>
        <v/>
      </c>
      <c r="E25" s="113" t="str">
        <f aca="false">IF(Checks!$V$214="","",Checks!$V$214)&amp;IF(Checks!$AC$214="","",IF(Checks!$V$214="","",CHAR(10))&amp;"N/A just.: "&amp;Checks!$AC$214)&amp;IF(Checks!$W$214="","",CHAR(10)&amp;"Batch: "&amp;Checks!$W$214)&amp;IF(AND(Checks!$X$214="",Checks!$Y$214=""),"",CHAR(10)&amp;"Exp: "&amp;Checks!$X$214&amp;"  /  Act: "&amp;Checks!$Y$214)</f>
        <v/>
      </c>
      <c r="F25" s="113" t="str">
        <f aca="false">IF(Checks!$Z$214="","","Evidence: "&amp;Checks!$Z$214)&amp;IF(Checks!$AA$214="","",IF(Checks!$Z$214="","",CHAR(10))&amp;"CA: "&amp;Checks!$AA$214)</f>
        <v/>
      </c>
      <c r="G25" s="113" t="str">
        <f aca="false">IF(ISNUMBER(Checks!$AD$214),TEXT(Checks!$AD$214,"DD-MMM-YY HH:MM")&amp;" "&amp;Checks!$P$214,"")&amp;IF(Checks!$AE$214="","",CHAR(10)&amp;"Verifier: "&amp;Checks!$AE$214)&amp;IF(Checks!$T$214="","",CHAR(10)&amp;"PIC: "&amp;Checks!$T$214)</f>
        <v/>
      </c>
      <c r="H25" s="114" t="str">
        <f aca="false">IF(Checks!$AH$214="","",Checks!$AH$214)</f>
        <v>OPEN</v>
      </c>
    </row>
    <row r="26" customFormat="false" ht="114" hidden="false" customHeight="true" outlineLevel="0" collapsed="false">
      <c r="A26" s="113" t="str">
        <f aca="false">Checks!$A$215&amp;CHAR(10)&amp;IF(Checks!$I$215="","",Checks!$I$215&amp;": ")&amp;Checks!$J$215</f>
        <v>F07-T7-03
IFE: Digital menu in IFE confirmed (A339 only)</v>
      </c>
      <c r="B26" s="113" t="str">
        <f aca="false">Checks!$K$215&amp;IF(Checks!$O$215="","",IF(Checks!$K$215="","",CHAR(10))&amp;"Note: "&amp;Checks!$O$215)</f>
        <v>Applies when fleet = A339
Note: Digital IFE menu applies to A339 only (user brief). Applicability follows the Fleet cell on Flights.</v>
      </c>
      <c r="C26" s="113" t="str">
        <f aca="false">Checks!$N$215&amp;CHAR(10)&amp;IF(ISNUMBER(Checks!$R$215),TEXT(Checks!$R$215,"DD-MMM-YY HH:MM"),"")&amp;" "&amp;Checks!$P$215</f>
        <v>N/A – rule
02-Oct-26 11:00 LHR</v>
      </c>
      <c r="D26" s="113" t="str">
        <f aca="false">IF(Checks!$U$215="","",Checks!$U$215)&amp;IF(Checks!$AB$215="","",CHAR(10)&amp;"CA: "&amp;Checks!$AB$215)</f>
        <v/>
      </c>
      <c r="E26" s="113" t="str">
        <f aca="false">IF(Checks!$V$215="","",Checks!$V$215)&amp;IF(Checks!$AC$215="","",IF(Checks!$V$215="","",CHAR(10))&amp;"N/A just.: "&amp;Checks!$AC$215)&amp;IF(Checks!$W$215="","",CHAR(10)&amp;"Batch: "&amp;Checks!$W$215)&amp;IF(AND(Checks!$X$215="",Checks!$Y$215=""),"",CHAR(10)&amp;"Exp: "&amp;Checks!$X$215&amp;"  /  Act: "&amp;Checks!$Y$215)</f>
        <v/>
      </c>
      <c r="F26" s="113" t="str">
        <f aca="false">IF(Checks!$Z$215="","","Evidence: "&amp;Checks!$Z$215)&amp;IF(Checks!$AA$215="","",IF(Checks!$Z$215="","",CHAR(10))&amp;"CA: "&amp;Checks!$AA$215)</f>
        <v/>
      </c>
      <c r="G26" s="113" t="str">
        <f aca="false">IF(ISNUMBER(Checks!$AD$215),TEXT(Checks!$AD$215,"DD-MMM-YY HH:MM")&amp;" "&amp;Checks!$P$215,"")&amp;IF(Checks!$AE$215="","",CHAR(10)&amp;"Verifier: "&amp;Checks!$AE$215)&amp;IF(Checks!$T$215="","",CHAR(10)&amp;"PIC: "&amp;Checks!$T$215)</f>
        <v/>
      </c>
      <c r="H26" s="114" t="str">
        <f aca="false">IF(Checks!$AH$215="","",Checks!$AH$215)</f>
        <v>N/A – RULE</v>
      </c>
    </row>
    <row r="27" customFormat="false" ht="114" hidden="false" customHeight="true" outlineLevel="0" collapsed="false">
      <c r="A27" s="113" t="str">
        <f aca="false">Checks!$A$216&amp;CHAR(10)&amp;IF(Checks!$I$216="","",Checks!$I$216&amp;": ")&amp;Checks!$J$216</f>
        <v>F07-T7-04
Staffing: Experienced catering officer assigned to this flight</v>
      </c>
      <c r="B27" s="113" t="str">
        <f aca="false">Checks!$K$216&amp;IF(Checks!$O$216="","",IF(Checks!$K$216="","",CHAR(10))&amp;"Note: "&amp;Checks!$O$216)</f>
        <v>Record officer name in Result</v>
      </c>
      <c r="C27" s="113" t="str">
        <f aca="false">Checks!$N$216&amp;CHAR(10)&amp;IF(ISNUMBER(Checks!$R$216),TEXT(Checks!$R$216,"DD-MMM-YY HH:MM"),"")&amp;" "&amp;Checks!$P$216</f>
        <v>Required
02-Oct-26 11:00 LHR</v>
      </c>
      <c r="D27" s="113" t="str">
        <f aca="false">IF(Checks!$U$216="","",Checks!$U$216)&amp;IF(Checks!$AB$216="","",CHAR(10)&amp;"CA: "&amp;Checks!$AB$216)</f>
        <v/>
      </c>
      <c r="E27" s="113" t="str">
        <f aca="false">IF(Checks!$V$216="","",Checks!$V$216)&amp;IF(Checks!$AC$216="","",IF(Checks!$V$216="","",CHAR(10))&amp;"N/A just.: "&amp;Checks!$AC$216)&amp;IF(Checks!$W$216="","",CHAR(10)&amp;"Batch: "&amp;Checks!$W$216)&amp;IF(AND(Checks!$X$216="",Checks!$Y$216=""),"",CHAR(10)&amp;"Exp: "&amp;Checks!$X$216&amp;"  /  Act: "&amp;Checks!$Y$216)</f>
        <v/>
      </c>
      <c r="F27" s="113" t="str">
        <f aca="false">IF(Checks!$Z$216="","","Evidence: "&amp;Checks!$Z$216)&amp;IF(Checks!$AA$216="","",IF(Checks!$Z$216="","",CHAR(10))&amp;"CA: "&amp;Checks!$AA$216)</f>
        <v/>
      </c>
      <c r="G27" s="113" t="str">
        <f aca="false">IF(ISNUMBER(Checks!$AD$216),TEXT(Checks!$AD$216,"DD-MMM-YY HH:MM")&amp;" "&amp;Checks!$P$216,"")&amp;IF(Checks!$AE$216="","",CHAR(10)&amp;"Verifier: "&amp;Checks!$AE$216)&amp;IF(Checks!$T$216="","",CHAR(10)&amp;"PIC: "&amp;Checks!$T$216)</f>
        <v/>
      </c>
      <c r="H27" s="114" t="str">
        <f aca="false">IF(Checks!$AH$216="","",Checks!$AH$216)</f>
        <v>OPEN</v>
      </c>
    </row>
    <row r="28" customFormat="false" ht="114" hidden="false" customHeight="true" outlineLevel="0" collapsed="false">
      <c r="A28" s="113" t="str">
        <f aca="false">Checks!$A$217&amp;CHAR(10)&amp;IF(Checks!$I$217="","",Checks!$I$217&amp;": ")&amp;Checks!$J$217</f>
        <v>F07-T7-05
ISOP: All latest applicable ISOP revisions communicated to caterer</v>
      </c>
      <c r="B28" s="113" t="str">
        <f aca="false">Checks!$K$217&amp;IF(Checks!$O$217="","",IF(Checks!$K$217="","",CHAR(10))&amp;"Note: "&amp;Checks!$O$217)</f>
        <v>List revision numbers in Result (see ISOP register)</v>
      </c>
      <c r="C28" s="113" t="str">
        <f aca="false">Checks!$N$217&amp;CHAR(10)&amp;IF(ISNUMBER(Checks!$R$217),TEXT(Checks!$R$217,"DD-MMM-YY HH:MM"),"")&amp;" "&amp;Checks!$P$217</f>
        <v>Required
02-Oct-26 11:00 LHR</v>
      </c>
      <c r="D28" s="113" t="str">
        <f aca="false">IF(Checks!$U$217="","",Checks!$U$217)&amp;IF(Checks!$AB$217="","",CHAR(10)&amp;"CA: "&amp;Checks!$AB$217)</f>
        <v/>
      </c>
      <c r="E28" s="113" t="str">
        <f aca="false">IF(Checks!$V$217="","",Checks!$V$217)&amp;IF(Checks!$AC$217="","",IF(Checks!$V$217="","",CHAR(10))&amp;"N/A just.: "&amp;Checks!$AC$217)&amp;IF(Checks!$W$217="","",CHAR(10)&amp;"Batch: "&amp;Checks!$W$217)&amp;IF(AND(Checks!$X$217="",Checks!$Y$217=""),"",CHAR(10)&amp;"Exp: "&amp;Checks!$X$217&amp;"  /  Act: "&amp;Checks!$Y$217)</f>
        <v/>
      </c>
      <c r="F28" s="113" t="str">
        <f aca="false">IF(Checks!$Z$217="","","Evidence: "&amp;Checks!$Z$217)&amp;IF(Checks!$AA$217="","",IF(Checks!$Z$217="","",CHAR(10))&amp;"CA: "&amp;Checks!$AA$217)</f>
        <v/>
      </c>
      <c r="G28" s="113" t="str">
        <f aca="false">IF(ISNUMBER(Checks!$AD$217),TEXT(Checks!$AD$217,"DD-MMM-YY HH:MM")&amp;" "&amp;Checks!$P$217,"")&amp;IF(Checks!$AE$217="","",CHAR(10)&amp;"Verifier: "&amp;Checks!$AE$217)&amp;IF(Checks!$T$217="","",CHAR(10)&amp;"PIC: "&amp;Checks!$T$217)</f>
        <v/>
      </c>
      <c r="H28" s="114" t="str">
        <f aca="false">IF(Checks!$AH$217="","",Checks!$AH$217)</f>
        <v>OPEN</v>
      </c>
    </row>
    <row r="29" customFormat="false" ht="114" hidden="false" customHeight="true" outlineLevel="0" collapsed="false">
      <c r="A29" s="113" t="str">
        <f aca="false">Checks!$A$218&amp;CHAR(10)&amp;IF(Checks!$I$218="","",Checks!$I$218&amp;": ")&amp;Checks!$J$218</f>
        <v>F07-T7-06
ISOP: Caterer acknowledgement of ISOP revisions recorded</v>
      </c>
      <c r="B29" s="113" t="str">
        <f aca="false">Checks!$K$218&amp;IF(Checks!$O$218="","",IF(Checks!$K$218="","",CHAR(10))&amp;"Note: "&amp;Checks!$O$218)</f>
        <v>Record acknowledgement ref in Evidence</v>
      </c>
      <c r="C29" s="113" t="str">
        <f aca="false">Checks!$N$218&amp;CHAR(10)&amp;IF(ISNUMBER(Checks!$R$218),TEXT(Checks!$R$218,"DD-MMM-YY HH:MM"),"")&amp;" "&amp;Checks!$P$218</f>
        <v>Required
02-Oct-26 11:00 LHR</v>
      </c>
      <c r="D29" s="113" t="str">
        <f aca="false">IF(Checks!$U$218="","",Checks!$U$218)&amp;IF(Checks!$AB$218="","",CHAR(10)&amp;"CA: "&amp;Checks!$AB$218)</f>
        <v/>
      </c>
      <c r="E29" s="113" t="str">
        <f aca="false">IF(Checks!$V$218="","",Checks!$V$218)&amp;IF(Checks!$AC$218="","",IF(Checks!$V$218="","",CHAR(10))&amp;"N/A just.: "&amp;Checks!$AC$218)&amp;IF(Checks!$W$218="","",CHAR(10)&amp;"Batch: "&amp;Checks!$W$218)&amp;IF(AND(Checks!$X$218="",Checks!$Y$218=""),"",CHAR(10)&amp;"Exp: "&amp;Checks!$X$218&amp;"  /  Act: "&amp;Checks!$Y$218)</f>
        <v/>
      </c>
      <c r="F29" s="113" t="str">
        <f aca="false">IF(Checks!$Z$218="","","Evidence: "&amp;Checks!$Z$218)&amp;IF(Checks!$AA$218="","",IF(Checks!$Z$218="","",CHAR(10))&amp;"CA: "&amp;Checks!$AA$218)</f>
        <v/>
      </c>
      <c r="G29" s="113" t="str">
        <f aca="false">IF(ISNUMBER(Checks!$AD$218),TEXT(Checks!$AD$218,"DD-MMM-YY HH:MM")&amp;" "&amp;Checks!$P$218,"")&amp;IF(Checks!$AE$218="","",CHAR(10)&amp;"Verifier: "&amp;Checks!$AE$218)&amp;IF(Checks!$T$218="","",CHAR(10)&amp;"PIC: "&amp;Checks!$T$218)</f>
        <v/>
      </c>
      <c r="H29" s="114" t="str">
        <f aca="false">IF(Checks!$AH$218="","",Checks!$AH$218)</f>
        <v>OPEN</v>
      </c>
    </row>
    <row r="30" customFormat="false" ht="114" hidden="false" customHeight="true" outlineLevel="0" collapsed="false">
      <c r="A30" s="113" t="str">
        <f aca="false">Checks!$A$219&amp;CHAR(10)&amp;IF(Checks!$I$219="","",Checks!$I$219&amp;": ")&amp;Checks!$J$219</f>
        <v>F07-T7-07
Documents: Galley loading diagram (GLD) received, revision recorded &amp; attached</v>
      </c>
      <c r="B30" s="113" t="str">
        <f aca="false">Checks!$K$219&amp;IF(Checks!$O$219="","",IF(Checks!$K$219="","",CHAR(10))&amp;"Note: "&amp;Checks!$O$219)</f>
        <v>Documents sheet row complete</v>
      </c>
      <c r="C30" s="113" t="str">
        <f aca="false">Checks!$N$219&amp;CHAR(10)&amp;IF(ISNUMBER(Checks!$R$219),TEXT(Checks!$R$219,"DD-MMM-YY HH:MM"),"")&amp;" "&amp;Checks!$P$219</f>
        <v>Required
02-Oct-26 11:00 LHR</v>
      </c>
      <c r="D30" s="113" t="str">
        <f aca="false">IF(Checks!$U$219="","",Checks!$U$219)&amp;IF(Checks!$AB$219="","",CHAR(10)&amp;"CA: "&amp;Checks!$AB$219)</f>
        <v/>
      </c>
      <c r="E30" s="113" t="str">
        <f aca="false">IF(Checks!$V$219="","",Checks!$V$219)&amp;IF(Checks!$AC$219="","",IF(Checks!$V$219="","",CHAR(10))&amp;"N/A just.: "&amp;Checks!$AC$219)&amp;IF(Checks!$W$219="","",CHAR(10)&amp;"Batch: "&amp;Checks!$W$219)&amp;IF(AND(Checks!$X$219="",Checks!$Y$219=""),"",CHAR(10)&amp;"Exp: "&amp;Checks!$X$219&amp;"  /  Act: "&amp;Checks!$Y$219)</f>
        <v/>
      </c>
      <c r="F30" s="113" t="str">
        <f aca="false">IF(Checks!$Z$219="","","Evidence: "&amp;Checks!$Z$219)&amp;IF(Checks!$AA$219="","",IF(Checks!$Z$219="","",CHAR(10))&amp;"CA: "&amp;Checks!$AA$219)</f>
        <v/>
      </c>
      <c r="G30" s="113" t="str">
        <f aca="false">IF(ISNUMBER(Checks!$AD$219),TEXT(Checks!$AD$219,"DD-MMM-YY HH:MM")&amp;" "&amp;Checks!$P$219,"")&amp;IF(Checks!$AE$219="","",CHAR(10)&amp;"Verifier: "&amp;Checks!$AE$219)&amp;IF(Checks!$T$219="","",CHAR(10)&amp;"PIC: "&amp;Checks!$T$219)</f>
        <v/>
      </c>
      <c r="H30" s="114" t="str">
        <f aca="false">IF(Checks!$AH$219="","",Checks!$AH$219)</f>
        <v>OPEN</v>
      </c>
    </row>
    <row r="31" customFormat="false" ht="114" hidden="false" customHeight="true" outlineLevel="0" collapsed="false">
      <c r="A31" s="113" t="str">
        <f aca="false">Checks!$A$220&amp;CHAR(10)&amp;IF(Checks!$I$220="","",Checks!$I$220&amp;": ")&amp;Checks!$J$220</f>
        <v>F07-T7-08
Documents: Menu checklist received, revision recorded &amp; attached</v>
      </c>
      <c r="B31" s="113" t="str">
        <f aca="false">Checks!$K$220&amp;IF(Checks!$O$220="","",IF(Checks!$K$220="","",CHAR(10))&amp;"Note: "&amp;Checks!$O$220)</f>
        <v>Documents sheet row complete</v>
      </c>
      <c r="C31" s="113" t="str">
        <f aca="false">Checks!$N$220&amp;CHAR(10)&amp;IF(ISNUMBER(Checks!$R$220),TEXT(Checks!$R$220,"DD-MMM-YY HH:MM"),"")&amp;" "&amp;Checks!$P$220</f>
        <v>Required
02-Oct-26 11:00 LHR</v>
      </c>
      <c r="D31" s="113" t="str">
        <f aca="false">IF(Checks!$U$220="","",Checks!$U$220)&amp;IF(Checks!$AB$220="","",CHAR(10)&amp;"CA: "&amp;Checks!$AB$220)</f>
        <v/>
      </c>
      <c r="E31" s="113" t="str">
        <f aca="false">IF(Checks!$V$220="","",Checks!$V$220)&amp;IF(Checks!$AC$220="","",IF(Checks!$V$220="","",CHAR(10))&amp;"N/A just.: "&amp;Checks!$AC$220)&amp;IF(Checks!$W$220="","",CHAR(10)&amp;"Batch: "&amp;Checks!$W$220)&amp;IF(AND(Checks!$X$220="",Checks!$Y$220=""),"",CHAR(10)&amp;"Exp: "&amp;Checks!$X$220&amp;"  /  Act: "&amp;Checks!$Y$220)</f>
        <v/>
      </c>
      <c r="F31" s="113" t="str">
        <f aca="false">IF(Checks!$Z$220="","","Evidence: "&amp;Checks!$Z$220)&amp;IF(Checks!$AA$220="","",IF(Checks!$Z$220="","",CHAR(10))&amp;"CA: "&amp;Checks!$AA$220)</f>
        <v/>
      </c>
      <c r="G31" s="113" t="str">
        <f aca="false">IF(ISNUMBER(Checks!$AD$220),TEXT(Checks!$AD$220,"DD-MMM-YY HH:MM")&amp;" "&amp;Checks!$P$220,"")&amp;IF(Checks!$AE$220="","",CHAR(10)&amp;"Verifier: "&amp;Checks!$AE$220)&amp;IF(Checks!$T$220="","",CHAR(10)&amp;"PIC: "&amp;Checks!$T$220)</f>
        <v/>
      </c>
      <c r="H31" s="114" t="str">
        <f aca="false">IF(Checks!$AH$220="","",Checks!$AH$220)</f>
        <v>OPEN</v>
      </c>
    </row>
    <row r="32" customFormat="false" ht="114" hidden="false" customHeight="true" outlineLevel="0" collapsed="false">
      <c r="A32" s="113" t="str">
        <f aca="false">Checks!$A$221&amp;CHAR(10)&amp;IF(Checks!$I$221="","",Checks!$I$221&amp;": ")&amp;Checks!$J$221</f>
        <v>F07-T7-09
Uplift plan: Uplift plan confirmed with caterer vs STD Uplift Information</v>
      </c>
      <c r="B32" s="113" t="str">
        <f aca="false">Checks!$K$221&amp;IF(Checks!$O$221="","",IF(Checks!$K$221="","",CHAR(10))&amp;"Note: "&amp;Checks!$O$221)</f>
        <v>Service: 2.5 Meal (Meal); meal uplift stn LHR (ref lists KUL/LHR)</v>
      </c>
      <c r="C32" s="113" t="str">
        <f aca="false">Checks!$N$221&amp;CHAR(10)&amp;IF(ISNUMBER(Checks!$R$221),TEXT(Checks!$R$221,"DD-MMM-YY HH:MM"),"")&amp;" "&amp;Checks!$P$221</f>
        <v>Required
02-Oct-26 11:00 LHR</v>
      </c>
      <c r="D32" s="113" t="str">
        <f aca="false">IF(Checks!$U$221="","",Checks!$U$221)&amp;IF(Checks!$AB$221="","",CHAR(10)&amp;"CA: "&amp;Checks!$AB$221)</f>
        <v/>
      </c>
      <c r="E32" s="113" t="str">
        <f aca="false">IF(Checks!$V$221="","",Checks!$V$221)&amp;IF(Checks!$AC$221="","",IF(Checks!$V$221="","",CHAR(10))&amp;"N/A just.: "&amp;Checks!$AC$221)&amp;IF(Checks!$W$221="","",CHAR(10)&amp;"Batch: "&amp;Checks!$W$221)&amp;IF(AND(Checks!$X$221="",Checks!$Y$221=""),"",CHAR(10)&amp;"Exp: "&amp;Checks!$X$221&amp;"  /  Act: "&amp;Checks!$Y$221)</f>
        <v/>
      </c>
      <c r="F32" s="113" t="str">
        <f aca="false">IF(Checks!$Z$221="","","Evidence: "&amp;Checks!$Z$221)&amp;IF(Checks!$AA$221="","",IF(Checks!$Z$221="","",CHAR(10))&amp;"CA: "&amp;Checks!$AA$221)</f>
        <v/>
      </c>
      <c r="G32" s="113" t="str">
        <f aca="false">IF(ISNUMBER(Checks!$AD$221),TEXT(Checks!$AD$221,"DD-MMM-YY HH:MM")&amp;" "&amp;Checks!$P$221,"")&amp;IF(Checks!$AE$221="","",CHAR(10)&amp;"Verifier: "&amp;Checks!$AE$221)&amp;IF(Checks!$T$221="","",CHAR(10)&amp;"PIC: "&amp;Checks!$T$221)</f>
        <v/>
      </c>
      <c r="H32" s="114" t="str">
        <f aca="false">IF(Checks!$AH$221="","",Checks!$AH$221)</f>
        <v>OPEN</v>
      </c>
    </row>
    <row r="33" customFormat="false" ht="279" hidden="false" customHeight="true" outlineLevel="0" collapsed="false">
      <c r="A33" s="113" t="str">
        <f aca="false">Checks!$A$222&amp;CHAR(10)&amp;IF(Checks!$I$222="","",Checks!$I$222&amp;": ")&amp;Checks!$J$222</f>
        <v>F07-T7-10
Uplift plan: Inbound KUL-LHR flight carrying KUL-sourced items identified and its KUL departure (UTC) entered on Flights col AX</v>
      </c>
      <c r="B33" s="113" t="str">
        <f aca="false">Checks!$K$222&amp;IF(Checks!$O$222="","",IF(Checks!$K$222="","",CHAR(10))&amp;"Note: "&amp;Checks!$O$222)</f>
        <v>KUL-sourced items (Pajamas (BC), Slippers (BS/BC), Signature drink &amp; garnish (BC)) travel on the inbound KUL-LHR sector
Note: 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v>
      </c>
      <c r="C33" s="113" t="str">
        <f aca="false">Checks!$N$222&amp;CHAR(10)&amp;IF(ISNUMBER(Checks!$R$222),TEXT(Checks!$R$222,"DD-MMM-YY HH:MM"),"")&amp;" "&amp;Checks!$P$222</f>
        <v>Clarification required
02-Oct-26 18:00 KUL</v>
      </c>
      <c r="D33" s="113" t="str">
        <f aca="false">IF(Checks!$U$222="","",Checks!$U$222)&amp;IF(Checks!$AB$222="","",CHAR(10)&amp;"CA: "&amp;Checks!$AB$222)</f>
        <v/>
      </c>
      <c r="E33" s="113" t="str">
        <f aca="false">IF(Checks!$V$222="","",Checks!$V$222)&amp;IF(Checks!$AC$222="","",IF(Checks!$V$222="","",CHAR(10))&amp;"N/A just.: "&amp;Checks!$AC$222)&amp;IF(Checks!$W$222="","",CHAR(10)&amp;"Batch: "&amp;Checks!$W$222)&amp;IF(AND(Checks!$X$222="",Checks!$Y$222=""),"",CHAR(10)&amp;"Exp: "&amp;Checks!$X$222&amp;"  /  Act: "&amp;Checks!$Y$222)</f>
        <v/>
      </c>
      <c r="F33" s="113" t="str">
        <f aca="false">IF(Checks!$Z$222="","","Evidence: "&amp;Checks!$Z$222)&amp;IF(Checks!$AA$222="","",IF(Checks!$Z$222="","",CHAR(10))&amp;"CA: "&amp;Checks!$AA$222)</f>
        <v/>
      </c>
      <c r="G33" s="113" t="str">
        <f aca="false">IF(ISNUMBER(Checks!$AD$222),TEXT(Checks!$AD$222,"DD-MMM-YY HH:MM")&amp;" "&amp;Checks!$P$222,"")&amp;IF(Checks!$AE$222="","",CHAR(10)&amp;"Verifier: "&amp;Checks!$AE$222)&amp;IF(Checks!$T$222="","",CHAR(10)&amp;"PIC: "&amp;Checks!$T$222)</f>
        <v/>
      </c>
      <c r="H33" s="114" t="str">
        <f aca="false">IF(Checks!$AH$222="","",Checks!$AH$222)</f>
        <v>OPEN – CLARIFICATION</v>
      </c>
    </row>
    <row r="34" customFormat="false" ht="25.5" hidden="false" customHeight="true" outlineLevel="0" collapsed="false">
      <c r="A34" s="112"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Checks!$A$223&amp;CHAR(10)&amp;IF(Checks!$I$223="","",Checks!$I$223&amp;": ")&amp;Checks!$J$223</f>
        <v>F07-T24-01
Meal: Sensory test repeated on ACTUAL production batch for this flight</v>
      </c>
      <c r="B35" s="113" t="str">
        <f aca="false">Checks!$K$223&amp;IF(Checks!$O$223="","",IF(Checks!$K$223="","",CHAR(10))&amp;"Note: "&amp;Checks!$O$223)</f>
        <v>Batch ID, result, CA and acceptance mandatory</v>
      </c>
      <c r="C35" s="113" t="str">
        <f aca="false">Checks!$N$223&amp;CHAR(10)&amp;IF(ISNUMBER(Checks!$R$223),TEXT(Checks!$R$223,"DD-MMM-YY HH:MM"),"")&amp;" "&amp;Checks!$P$223</f>
        <v>Required
08-Oct-26 11:00 LHR</v>
      </c>
      <c r="D35" s="113" t="str">
        <f aca="false">IF(Checks!$U$223="","",Checks!$U$223)&amp;IF(Checks!$AB$223="","",CHAR(10)&amp;"CA: "&amp;Checks!$AB$223)</f>
        <v/>
      </c>
      <c r="E35" s="113" t="str">
        <f aca="false">IF(Checks!$V$223="","",Checks!$V$223)&amp;IF(Checks!$AC$223="","",IF(Checks!$V$223="","",CHAR(10))&amp;"N/A just.: "&amp;Checks!$AC$223)&amp;IF(Checks!$W$223="","",CHAR(10)&amp;"Batch: "&amp;Checks!$W$223)&amp;IF(AND(Checks!$X$223="",Checks!$Y$223=""),"",CHAR(10)&amp;"Exp: "&amp;Checks!$X$223&amp;"  /  Act: "&amp;Checks!$Y$223)</f>
        <v/>
      </c>
      <c r="F35" s="113" t="str">
        <f aca="false">IF(Checks!$Z$223="","","Evidence: "&amp;Checks!$Z$223)&amp;IF(Checks!$AA$223="","",IF(Checks!$Z$223="","",CHAR(10))&amp;"CA: "&amp;Checks!$AA$223)</f>
        <v/>
      </c>
      <c r="G35" s="113" t="str">
        <f aca="false">IF(ISNUMBER(Checks!$AD$223),TEXT(Checks!$AD$223,"DD-MMM-YY HH:MM")&amp;" "&amp;Checks!$P$223,"")&amp;IF(Checks!$AE$223="","",CHAR(10)&amp;"Verifier: "&amp;Checks!$AE$223)&amp;IF(Checks!$T$223="","",CHAR(10)&amp;"PIC: "&amp;Checks!$T$223)</f>
        <v/>
      </c>
      <c r="H35" s="114" t="str">
        <f aca="false">IF(Checks!$AH$223="","",Checks!$AH$223)</f>
        <v>OPEN</v>
      </c>
    </row>
    <row r="36" customFormat="false" ht="25.5" hidden="false" customHeight="true" outlineLevel="0" collapsed="false">
      <c r="A36" s="112"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2"/>
      <c r="C36" s="112"/>
      <c r="D36" s="112"/>
      <c r="E36" s="112"/>
      <c r="F36" s="112"/>
      <c r="G36" s="112"/>
      <c r="H36" s="112"/>
    </row>
    <row r="37" customFormat="false" ht="114" hidden="false" customHeight="true" outlineLevel="0" collapsed="false">
      <c r="A37" s="113" t="str">
        <f aca="false">Checks!$A$224&amp;CHAR(10)&amp;IF(Checks!$I$224="","",Checks!$I$224&amp;": ")&amp;Checks!$J$224</f>
        <v>F07-T12-01
Meal: Meal quality vs menu checklist</v>
      </c>
      <c r="B37" s="113" t="str">
        <f aca="false">Checks!$K$224&amp;IF(Checks!$O$224="","",IF(Checks!$K$224="","",CHAR(10))&amp;"Note: "&amp;Checks!$O$224)</f>
        <v>Note: Preparation check at caterer - does NOT confirm loading.</v>
      </c>
      <c r="C37" s="113" t="str">
        <f aca="false">Checks!$N$224&amp;CHAR(10)&amp;IF(ISNUMBER(Checks!$R$224),TEXT(Checks!$R$224,"DD-MMM-YY HH:MM"),"")&amp;" "&amp;Checks!$P$224</f>
        <v>Required
08-Oct-26 23:00 LHR</v>
      </c>
      <c r="D37" s="113" t="str">
        <f aca="false">IF(Checks!$U$224="","",Checks!$U$224)&amp;IF(Checks!$AB$224="","",CHAR(10)&amp;"CA: "&amp;Checks!$AB$224)</f>
        <v/>
      </c>
      <c r="E37" s="113" t="str">
        <f aca="false">IF(Checks!$V$224="","",Checks!$V$224)&amp;IF(Checks!$AC$224="","",IF(Checks!$V$224="","",CHAR(10))&amp;"N/A just.: "&amp;Checks!$AC$224)&amp;IF(Checks!$W$224="","",CHAR(10)&amp;"Batch: "&amp;Checks!$W$224)&amp;IF(AND(Checks!$X$224="",Checks!$Y$224=""),"",CHAR(10)&amp;"Exp: "&amp;Checks!$X$224&amp;"  /  Act: "&amp;Checks!$Y$224)</f>
        <v/>
      </c>
      <c r="F37" s="113" t="str">
        <f aca="false">IF(Checks!$Z$224="","","Evidence: "&amp;Checks!$Z$224)&amp;IF(Checks!$AA$224="","",IF(Checks!$Z$224="","",CHAR(10))&amp;"CA: "&amp;Checks!$AA$224)</f>
        <v/>
      </c>
      <c r="G37" s="113" t="str">
        <f aca="false">IF(ISNUMBER(Checks!$AD$224),TEXT(Checks!$AD$224,"DD-MMM-YY HH:MM")&amp;" "&amp;Checks!$P$224,"")&amp;IF(Checks!$AE$224="","",CHAR(10)&amp;"Verifier: "&amp;Checks!$AE$224)&amp;IF(Checks!$T$224="","",CHAR(10)&amp;"PIC: "&amp;Checks!$T$224)</f>
        <v/>
      </c>
      <c r="H37" s="114" t="str">
        <f aca="false">IF(Checks!$AH$224="","",Checks!$AH$224)</f>
        <v>OPEN</v>
      </c>
    </row>
    <row r="38" customFormat="false" ht="114" hidden="false" customHeight="true" outlineLevel="0" collapsed="false">
      <c r="A38" s="113" t="str">
        <f aca="false">Checks!$A$225&amp;CHAR(10)&amp;IF(Checks!$I$225="","",Checks!$I$225&amp;": ")&amp;Checks!$J$225</f>
        <v>F07-T12-02
Meal: Meal quantities vs menu checklist</v>
      </c>
      <c r="B38" s="113" t="str">
        <f aca="false">Checks!$K$225&amp;IF(Checks!$O$225="","",IF(Checks!$K$225="","",CHAR(10))&amp;"Note: "&amp;Checks!$O$225)</f>
        <v>Enter expected &amp; actual
Note: Preparation check at caterer - does NOT confirm loading.</v>
      </c>
      <c r="C38" s="113" t="str">
        <f aca="false">Checks!$N$225&amp;CHAR(10)&amp;IF(ISNUMBER(Checks!$R$225),TEXT(Checks!$R$225,"DD-MMM-YY HH:MM"),"")&amp;" "&amp;Checks!$P$225</f>
        <v>Required
08-Oct-26 23:00 LHR</v>
      </c>
      <c r="D38" s="113" t="str">
        <f aca="false">IF(Checks!$U$225="","",Checks!$U$225)&amp;IF(Checks!$AB$225="","",CHAR(10)&amp;"CA: "&amp;Checks!$AB$225)</f>
        <v/>
      </c>
      <c r="E38" s="113" t="str">
        <f aca="false">IF(Checks!$V$225="","",Checks!$V$225)&amp;IF(Checks!$AC$225="","",IF(Checks!$V$225="","",CHAR(10))&amp;"N/A just.: "&amp;Checks!$AC$225)&amp;IF(Checks!$W$225="","",CHAR(10)&amp;"Batch: "&amp;Checks!$W$225)&amp;IF(AND(Checks!$X$225="",Checks!$Y$225=""),"",CHAR(10)&amp;"Exp: "&amp;Checks!$X$225&amp;"  /  Act: "&amp;Checks!$Y$225)</f>
        <v/>
      </c>
      <c r="F38" s="113" t="str">
        <f aca="false">IF(Checks!$Z$225="","","Evidence: "&amp;Checks!$Z$225)&amp;IF(Checks!$AA$225="","",IF(Checks!$Z$225="","",CHAR(10))&amp;"CA: "&amp;Checks!$AA$225)</f>
        <v/>
      </c>
      <c r="G38" s="113" t="str">
        <f aca="false">IF(ISNUMBER(Checks!$AD$225),TEXT(Checks!$AD$225,"DD-MMM-YY HH:MM")&amp;" "&amp;Checks!$P$225,"")&amp;IF(Checks!$AE$225="","",CHAR(10)&amp;"Verifier: "&amp;Checks!$AE$225)&amp;IF(Checks!$T$225="","",CHAR(10)&amp;"PIC: "&amp;Checks!$T$225)</f>
        <v/>
      </c>
      <c r="H38" s="114" t="str">
        <f aca="false">IF(Checks!$AH$225="","",Checks!$AH$225)</f>
        <v>OPEN</v>
      </c>
    </row>
    <row r="39" customFormat="false" ht="114" hidden="false" customHeight="true" outlineLevel="0" collapsed="false">
      <c r="A39" s="113" t="str">
        <f aca="false">Checks!$A$226&amp;CHAR(10)&amp;IF(Checks!$I$226="","",Checks!$I$226&amp;": ")&amp;Checks!$J$226</f>
        <v>F07-T12-03
Equipment: Equipment cleanliness vs GLD</v>
      </c>
      <c r="B39" s="113" t="str">
        <f aca="false">Checks!$K$226&amp;IF(Checks!$O$226="","",IF(Checks!$K$226="","",CHAR(10))&amp;"Note: "&amp;Checks!$O$226)</f>
        <v>Note: Preparation check at caterer - does NOT confirm loading.</v>
      </c>
      <c r="C39" s="113" t="str">
        <f aca="false">Checks!$N$226&amp;CHAR(10)&amp;IF(ISNUMBER(Checks!$R$226),TEXT(Checks!$R$226,"DD-MMM-YY HH:MM"),"")&amp;" "&amp;Checks!$P$226</f>
        <v>Required
08-Oct-26 23:00 LHR</v>
      </c>
      <c r="D39" s="113" t="str">
        <f aca="false">IF(Checks!$U$226="","",Checks!$U$226)&amp;IF(Checks!$AB$226="","",CHAR(10)&amp;"CA: "&amp;Checks!$AB$226)</f>
        <v/>
      </c>
      <c r="E39" s="113" t="str">
        <f aca="false">IF(Checks!$V$226="","",Checks!$V$226)&amp;IF(Checks!$AC$226="","",IF(Checks!$V$226="","",CHAR(10))&amp;"N/A just.: "&amp;Checks!$AC$226)&amp;IF(Checks!$W$226="","",CHAR(10)&amp;"Batch: "&amp;Checks!$W$226)&amp;IF(AND(Checks!$X$226="",Checks!$Y$226=""),"",CHAR(10)&amp;"Exp: "&amp;Checks!$X$226&amp;"  /  Act: "&amp;Checks!$Y$226)</f>
        <v/>
      </c>
      <c r="F39" s="113" t="str">
        <f aca="false">IF(Checks!$Z$226="","","Evidence: "&amp;Checks!$Z$226)&amp;IF(Checks!$AA$226="","",IF(Checks!$Z$226="","",CHAR(10))&amp;"CA: "&amp;Checks!$AA$226)</f>
        <v/>
      </c>
      <c r="G39" s="113" t="str">
        <f aca="false">IF(ISNUMBER(Checks!$AD$226),TEXT(Checks!$AD$226,"DD-MMM-YY HH:MM")&amp;" "&amp;Checks!$P$226,"")&amp;IF(Checks!$AE$226="","",CHAR(10)&amp;"Verifier: "&amp;Checks!$AE$226)&amp;IF(Checks!$T$226="","",CHAR(10)&amp;"PIC: "&amp;Checks!$T$226)</f>
        <v/>
      </c>
      <c r="H39" s="114" t="str">
        <f aca="false">IF(Checks!$AH$226="","",Checks!$AH$226)</f>
        <v>OPEN</v>
      </c>
    </row>
    <row r="40" customFormat="false" ht="114" hidden="false" customHeight="true" outlineLevel="0" collapsed="false">
      <c r="A40" s="113" t="str">
        <f aca="false">Checks!$A$227&amp;CHAR(10)&amp;IF(Checks!$I$227="","",Checks!$I$227&amp;": ")&amp;Checks!$J$227</f>
        <v>F07-T12-04
Equipment: Equipment presentation vs GLD</v>
      </c>
      <c r="B40" s="113" t="str">
        <f aca="false">Checks!$K$227&amp;IF(Checks!$O$227="","",IF(Checks!$K$227="","",CHAR(10))&amp;"Note: "&amp;Checks!$O$227)</f>
        <v>Note: Preparation check at caterer - does NOT confirm loading.</v>
      </c>
      <c r="C40" s="113" t="str">
        <f aca="false">Checks!$N$227&amp;CHAR(10)&amp;IF(ISNUMBER(Checks!$R$227),TEXT(Checks!$R$227,"DD-MMM-YY HH:MM"),"")&amp;" "&amp;Checks!$P$227</f>
        <v>Required
08-Oct-26 23:00 LHR</v>
      </c>
      <c r="D40" s="113" t="str">
        <f aca="false">IF(Checks!$U$227="","",Checks!$U$227)&amp;IF(Checks!$AB$227="","",CHAR(10)&amp;"CA: "&amp;Checks!$AB$227)</f>
        <v/>
      </c>
      <c r="E40" s="113" t="str">
        <f aca="false">IF(Checks!$V$227="","",Checks!$V$227)&amp;IF(Checks!$AC$227="","",IF(Checks!$V$227="","",CHAR(10))&amp;"N/A just.: "&amp;Checks!$AC$227)&amp;IF(Checks!$W$227="","",CHAR(10)&amp;"Batch: "&amp;Checks!$W$227)&amp;IF(AND(Checks!$X$227="",Checks!$Y$227=""),"",CHAR(10)&amp;"Exp: "&amp;Checks!$X$227&amp;"  /  Act: "&amp;Checks!$Y$227)</f>
        <v/>
      </c>
      <c r="F40" s="113" t="str">
        <f aca="false">IF(Checks!$Z$227="","","Evidence: "&amp;Checks!$Z$227)&amp;IF(Checks!$AA$227="","",IF(Checks!$Z$227="","",CHAR(10))&amp;"CA: "&amp;Checks!$AA$227)</f>
        <v/>
      </c>
      <c r="G40" s="113" t="str">
        <f aca="false">IF(ISNUMBER(Checks!$AD$227),TEXT(Checks!$AD$227,"DD-MMM-YY HH:MM")&amp;" "&amp;Checks!$P$227,"")&amp;IF(Checks!$AE$227="","",CHAR(10)&amp;"Verifier: "&amp;Checks!$AE$227)&amp;IF(Checks!$T$227="","",CHAR(10)&amp;"PIC: "&amp;Checks!$T$227)</f>
        <v/>
      </c>
      <c r="H40" s="114" t="str">
        <f aca="false">IF(Checks!$AH$227="","",Checks!$AH$227)</f>
        <v>OPEN</v>
      </c>
    </row>
    <row r="41" customFormat="false" ht="114" hidden="false" customHeight="true" outlineLevel="0" collapsed="false">
      <c r="A41" s="113" t="str">
        <f aca="false">Checks!$A$228&amp;CHAR(10)&amp;IF(Checks!$I$228="","",Checks!$I$228&amp;": ")&amp;Checks!$J$228</f>
        <v>F07-T12-05
Equipment: Equipment serviceability vs GLD</v>
      </c>
      <c r="B41" s="113" t="str">
        <f aca="false">Checks!$K$228&amp;IF(Checks!$O$228="","",IF(Checks!$K$228="","",CHAR(10))&amp;"Note: "&amp;Checks!$O$228)</f>
        <v>Note: Preparation check at caterer - does NOT confirm loading.</v>
      </c>
      <c r="C41" s="113" t="str">
        <f aca="false">Checks!$N$228&amp;CHAR(10)&amp;IF(ISNUMBER(Checks!$R$228),TEXT(Checks!$R$228,"DD-MMM-YY HH:MM"),"")&amp;" "&amp;Checks!$P$228</f>
        <v>Required
08-Oct-26 23:00 LHR</v>
      </c>
      <c r="D41" s="113" t="str">
        <f aca="false">IF(Checks!$U$228="","",Checks!$U$228)&amp;IF(Checks!$AB$228="","",CHAR(10)&amp;"CA: "&amp;Checks!$AB$228)</f>
        <v/>
      </c>
      <c r="E41" s="113" t="str">
        <f aca="false">IF(Checks!$V$228="","",Checks!$V$228)&amp;IF(Checks!$AC$228="","",IF(Checks!$V$228="","",CHAR(10))&amp;"N/A just.: "&amp;Checks!$AC$228)&amp;IF(Checks!$W$228="","",CHAR(10)&amp;"Batch: "&amp;Checks!$W$228)&amp;IF(AND(Checks!$X$228="",Checks!$Y$228=""),"",CHAR(10)&amp;"Exp: "&amp;Checks!$X$228&amp;"  /  Act: "&amp;Checks!$Y$228)</f>
        <v/>
      </c>
      <c r="F41" s="113" t="str">
        <f aca="false">IF(Checks!$Z$228="","","Evidence: "&amp;Checks!$Z$228)&amp;IF(Checks!$AA$228="","",IF(Checks!$Z$228="","",CHAR(10))&amp;"CA: "&amp;Checks!$AA$228)</f>
        <v/>
      </c>
      <c r="G41" s="113" t="str">
        <f aca="false">IF(ISNUMBER(Checks!$AD$228),TEXT(Checks!$AD$228,"DD-MMM-YY HH:MM")&amp;" "&amp;Checks!$P$228,"")&amp;IF(Checks!$AE$228="","",CHAR(10)&amp;"Verifier: "&amp;Checks!$AE$228)&amp;IF(Checks!$T$228="","",CHAR(10)&amp;"PIC: "&amp;Checks!$T$228)</f>
        <v/>
      </c>
      <c r="H41" s="114" t="str">
        <f aca="false">IF(Checks!$AH$228="","",Checks!$AH$228)</f>
        <v>OPEN</v>
      </c>
    </row>
    <row r="42" customFormat="false" ht="322.5" hidden="false" customHeight="true" outlineLevel="0" collapsed="false">
      <c r="A42" s="113" t="str">
        <f aca="false">Checks!$A$229&amp;CHAR(10)&amp;IF(Checks!$I$229="","",Checks!$I$229&amp;": ")&amp;Checks!$J$229</f>
        <v>F07-T12-06
Equipment: Equipment quantities vs GLD</v>
      </c>
      <c r="B42" s="113" t="str">
        <f aca="false">SUBSTITUTE(Checks!$K$229&amp;IF(Checks!$O$229="","",IF(Checks!$K$229="","",CHAR(10))&amp;"Note: "&amp;Checks!$O$229),"AIRCRAFT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3" t="str">
        <f aca="false">Checks!$N$229&amp;CHAR(10)&amp;IF(ISNUMBER(Checks!$R$229),TEXT(Checks!$R$229,"DD-MMM-YY HH:MM"),"")&amp;" "&amp;Checks!$P$229</f>
        <v>Required
08-Oct-26 23:00 LHR</v>
      </c>
      <c r="D42" s="113" t="str">
        <f aca="false">IF(Checks!$U$229="","",Checks!$U$229)&amp;IF(Checks!$AB$229="","",CHAR(10)&amp;"CA: "&amp;Checks!$AB$229)</f>
        <v/>
      </c>
      <c r="E42" s="113" t="str">
        <f aca="false">IF(Checks!$V$229="","",Checks!$V$229)&amp;IF(Checks!$AC$229="","",IF(Checks!$V$229="","",CHAR(10))&amp;"N/A just.: "&amp;Checks!$AC$229)&amp;IF(Checks!$W$229="","",CHAR(10)&amp;"Batch: "&amp;Checks!$W$229)&amp;IF(AND(Checks!$X$229="",Checks!$Y$229=""),"",CHAR(10)&amp;"Exp: "&amp;Checks!$X$229&amp;"  /  Act: "&amp;Checks!$Y$229)</f>
        <v/>
      </c>
      <c r="F42" s="113" t="str">
        <f aca="false">IF(Checks!$Z$229="","","Evidence: "&amp;Checks!$Z$229)&amp;IF(Checks!$AA$229="","",IF(Checks!$Z$229="","",CHAR(10))&amp;"CA: "&amp;Checks!$AA$229)</f>
        <v/>
      </c>
      <c r="G42" s="113" t="str">
        <f aca="false">IF(ISNUMBER(Checks!$AD$229),TEXT(Checks!$AD$229,"DD-MMM-YY HH:MM")&amp;" "&amp;Checks!$P$229,"")&amp;IF(Checks!$AE$229="","",CHAR(10)&amp;"Verifier: "&amp;Checks!$AE$229)&amp;IF(Checks!$T$229="","",CHAR(10)&amp;"PIC: "&amp;Checks!$T$229)</f>
        <v/>
      </c>
      <c r="H42" s="114" t="str">
        <f aca="false">IF(Checks!$AH$229="","",Checks!$AH$229)</f>
        <v>OPEN</v>
      </c>
    </row>
    <row r="43" customFormat="false" ht="114" hidden="false" customHeight="true" outlineLevel="0" collapsed="false">
      <c r="A43" s="113" t="str">
        <f aca="false">Checks!$A$230&amp;CHAR(10)&amp;IF(Checks!$I$230="","",Checks!$I$230&amp;": ")&amp;Checks!$J$230</f>
        <v>F07-T12-07
Equipment: Loading positions planned vs GLD</v>
      </c>
      <c r="B43" s="113" t="str">
        <f aca="false">Checks!$K$230&amp;IF(Checks!$O$230="","",IF(Checks!$K$230="","",CHAR(10))&amp;"Note: "&amp;Checks!$O$230)</f>
        <v>Note: Preparation check at caterer - does NOT confirm loading.</v>
      </c>
      <c r="C43" s="113" t="str">
        <f aca="false">Checks!$N$230&amp;CHAR(10)&amp;IF(ISNUMBER(Checks!$R$230),TEXT(Checks!$R$230,"DD-MMM-YY HH:MM"),"")&amp;" "&amp;Checks!$P$230</f>
        <v>Required
08-Oct-26 23:00 LHR</v>
      </c>
      <c r="D43" s="113" t="str">
        <f aca="false">IF(Checks!$U$230="","",Checks!$U$230)&amp;IF(Checks!$AB$230="","",CHAR(10)&amp;"CA: "&amp;Checks!$AB$230)</f>
        <v/>
      </c>
      <c r="E43" s="113" t="str">
        <f aca="false">IF(Checks!$V$230="","",Checks!$V$230)&amp;IF(Checks!$AC$230="","",IF(Checks!$V$230="","",CHAR(10))&amp;"N/A just.: "&amp;Checks!$AC$230)&amp;IF(Checks!$W$230="","",CHAR(10)&amp;"Batch: "&amp;Checks!$W$230)&amp;IF(AND(Checks!$X$230="",Checks!$Y$230=""),"",CHAR(10)&amp;"Exp: "&amp;Checks!$X$230&amp;"  /  Act: "&amp;Checks!$Y$230)</f>
        <v/>
      </c>
      <c r="F43" s="113" t="str">
        <f aca="false">IF(Checks!$Z$230="","","Evidence: "&amp;Checks!$Z$230)&amp;IF(Checks!$AA$230="","",IF(Checks!$Z$230="","",CHAR(10))&amp;"CA: "&amp;Checks!$AA$230)</f>
        <v/>
      </c>
      <c r="G43" s="113" t="str">
        <f aca="false">IF(ISNUMBER(Checks!$AD$230),TEXT(Checks!$AD$230,"DD-MMM-YY HH:MM")&amp;" "&amp;Checks!$P$230,"")&amp;IF(Checks!$AE$230="","",CHAR(10)&amp;"Verifier: "&amp;Checks!$AE$230)&amp;IF(Checks!$T$230="","",CHAR(10)&amp;"PIC: "&amp;Checks!$T$230)</f>
        <v/>
      </c>
      <c r="H43" s="114" t="str">
        <f aca="false">IF(Checks!$AH$230="","",Checks!$AH$230)</f>
        <v>OPEN</v>
      </c>
    </row>
    <row r="44" customFormat="false" ht="114" hidden="false" customHeight="true" outlineLevel="0" collapsed="false">
      <c r="A44" s="113" t="str">
        <f aca="false">Checks!$A$231&amp;CHAR(10)&amp;IF(Checks!$I$231="","",Checks!$I$231&amp;": ")&amp;Checks!$J$231</f>
        <v>F07-T12-08
Amenities: Toiletry kits - prepared</v>
      </c>
      <c r="B44" s="113" t="str">
        <f aca="false">Checks!$K$231&amp;IF(Checks!$O$231="","",IF(Checks!$K$231="","",CHAR(10))&amp;"Note: "&amp;Checks!$O$231)</f>
        <v>Available (ticked in reference)</v>
      </c>
      <c r="C44" s="113" t="str">
        <f aca="false">Checks!$N$231&amp;CHAR(10)&amp;IF(ISNUMBER(Checks!$R$231),TEXT(Checks!$R$231,"DD-MMM-YY HH:MM"),"")&amp;" "&amp;Checks!$P$231</f>
        <v>Required
08-Oct-26 23:00 LHR</v>
      </c>
      <c r="D44" s="113" t="str">
        <f aca="false">IF(Checks!$U$231="","",Checks!$U$231)&amp;IF(Checks!$AB$231="","",CHAR(10)&amp;"CA: "&amp;Checks!$AB$231)</f>
        <v/>
      </c>
      <c r="E44" s="113" t="str">
        <f aca="false">IF(Checks!$V$231="","",Checks!$V$231)&amp;IF(Checks!$AC$231="","",IF(Checks!$V$231="","",CHAR(10))&amp;"N/A just.: "&amp;Checks!$AC$231)&amp;IF(Checks!$W$231="","",CHAR(10)&amp;"Batch: "&amp;Checks!$W$231)&amp;IF(AND(Checks!$X$231="",Checks!$Y$231=""),"",CHAR(10)&amp;"Exp: "&amp;Checks!$X$231&amp;"  /  Act: "&amp;Checks!$Y$231)</f>
        <v/>
      </c>
      <c r="F44" s="113" t="str">
        <f aca="false">IF(Checks!$Z$231="","","Evidence: "&amp;Checks!$Z$231)&amp;IF(Checks!$AA$231="","",IF(Checks!$Z$231="","",CHAR(10))&amp;"CA: "&amp;Checks!$AA$231)</f>
        <v/>
      </c>
      <c r="G44" s="113" t="str">
        <f aca="false">IF(ISNUMBER(Checks!$AD$231),TEXT(Checks!$AD$231,"DD-MMM-YY HH:MM")&amp;" "&amp;Checks!$P$231,"")&amp;IF(Checks!$AE$231="","",CHAR(10)&amp;"Verifier: "&amp;Checks!$AE$231)&amp;IF(Checks!$T$231="","",CHAR(10)&amp;"PIC: "&amp;Checks!$T$231)</f>
        <v/>
      </c>
      <c r="H44" s="114" t="str">
        <f aca="false">IF(Checks!$AH$231="","",Checks!$AH$231)</f>
        <v>OPEN</v>
      </c>
    </row>
    <row r="45" customFormat="false" ht="180" hidden="false" customHeight="true" outlineLevel="0" collapsed="false">
      <c r="A45" s="113" t="str">
        <f aca="false">Checks!$A$232&amp;CHAR(10)&amp;IF(Checks!$I$232="","",Checks!$I$232&amp;": ")&amp;Checks!$J$232</f>
        <v>F07-T12-09
Amenities: Pajamas (BC) - prepared</v>
      </c>
      <c r="B45" s="113"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45" s="113" t="str">
        <f aca="false">Checks!$N$232&amp;CHAR(10)&amp;IF(ISNUMBER(Checks!$R$232),TEXT(Checks!$R$232,"DD-MMM-YY HH:MM"),"")&amp;" "&amp;Checks!$P$232</f>
        <v>Clarification required
08-Oct-26 22:25 KUL</v>
      </c>
      <c r="D45" s="113" t="str">
        <f aca="false">IF(Checks!$U$232="","",Checks!$U$232)&amp;IF(Checks!$AB$232="","",CHAR(10)&amp;"CA: "&amp;Checks!$AB$232)</f>
        <v/>
      </c>
      <c r="E45" s="113" t="str">
        <f aca="false">IF(Checks!$V$232="","",Checks!$V$232)&amp;IF(Checks!$AC$232="","",IF(Checks!$V$232="","",CHAR(10))&amp;"N/A just.: "&amp;Checks!$AC$232)&amp;IF(Checks!$W$232="","",CHAR(10)&amp;"Batch: "&amp;Checks!$W$232)&amp;IF(AND(Checks!$X$232="",Checks!$Y$232=""),"",CHAR(10)&amp;"Exp: "&amp;Checks!$X$232&amp;"  /  Act: "&amp;Checks!$Y$232)</f>
        <v/>
      </c>
      <c r="F45" s="113" t="str">
        <f aca="false">IF(Checks!$Z$232="","","Evidence: "&amp;Checks!$Z$232)&amp;IF(Checks!$AA$232="","",IF(Checks!$Z$232="","",CHAR(10))&amp;"CA: "&amp;Checks!$AA$232)</f>
        <v/>
      </c>
      <c r="G45" s="113" t="str">
        <f aca="false">IF(ISNUMBER(Checks!$AD$232),TEXT(Checks!$AD$232,"DD-MMM-YY HH:MM")&amp;" "&amp;Checks!$P$232,"")&amp;IF(Checks!$AE$232="","",CHAR(10)&amp;"Verifier: "&amp;Checks!$AE$232)&amp;IF(Checks!$T$232="","",CHAR(10)&amp;"PIC: "&amp;Checks!$T$232)</f>
        <v/>
      </c>
      <c r="H45" s="114" t="str">
        <f aca="false">IF(Checks!$AH$232="","",Checks!$AH$232)</f>
        <v>OPEN – CLARIFICATION</v>
      </c>
    </row>
    <row r="46" customFormat="false" ht="114" hidden="false" customHeight="true" outlineLevel="0" collapsed="false">
      <c r="A46" s="113" t="str">
        <f aca="false">Checks!$A$233&amp;CHAR(10)&amp;IF(Checks!$I$233="","",Checks!$I$233&amp;": ")&amp;Checks!$J$233</f>
        <v>F07-T12-10
Amenities: Slippers (BS/BC) - prepared</v>
      </c>
      <c r="B46" s="113" t="str">
        <f aca="false">Checks!$K$233&amp;IF(Checks!$O$233="","",IF(Checks!$K$233="","",CHAR(10))&amp;"Note: "&amp;Checks!$O$233)</f>
        <v>Available (ticked in reference)
Note: Loaded at KUL on the inbound KUL-LHR flight: due = that flight's KUL departure (Flights AX) minus the uplift window.</v>
      </c>
      <c r="C46" s="113" t="str">
        <f aca="false">Checks!$N$233&amp;CHAR(10)&amp;IF(ISNUMBER(Checks!$R$233),TEXT(Checks!$R$233,"DD-MMM-YY HH:MM"),"")&amp;" "&amp;Checks!$P$233</f>
        <v>Required
08-Oct-26 22:25 KUL</v>
      </c>
      <c r="D46" s="113" t="str">
        <f aca="false">IF(Checks!$U$233="","",Checks!$U$233)&amp;IF(Checks!$AB$233="","",CHAR(10)&amp;"CA: "&amp;Checks!$AB$233)</f>
        <v/>
      </c>
      <c r="E46" s="113" t="str">
        <f aca="false">IF(Checks!$V$233="","",Checks!$V$233)&amp;IF(Checks!$AC$233="","",IF(Checks!$V$233="","",CHAR(10))&amp;"N/A just.: "&amp;Checks!$AC$233)&amp;IF(Checks!$W$233="","",CHAR(10)&amp;"Batch: "&amp;Checks!$W$233)&amp;IF(AND(Checks!$X$233="",Checks!$Y$233=""),"",CHAR(10)&amp;"Exp: "&amp;Checks!$X$233&amp;"  /  Act: "&amp;Checks!$Y$233)</f>
        <v/>
      </c>
      <c r="F46" s="113" t="str">
        <f aca="false">IF(Checks!$Z$233="","","Evidence: "&amp;Checks!$Z$233)&amp;IF(Checks!$AA$233="","",IF(Checks!$Z$233="","",CHAR(10))&amp;"CA: "&amp;Checks!$AA$233)</f>
        <v/>
      </c>
      <c r="G46" s="113" t="str">
        <f aca="false">IF(ISNUMBER(Checks!$AD$233),TEXT(Checks!$AD$233,"DD-MMM-YY HH:MM")&amp;" "&amp;Checks!$P$233,"")&amp;IF(Checks!$AE$233="","",CHAR(10)&amp;"Verifier: "&amp;Checks!$AE$233)&amp;IF(Checks!$T$233="","",CHAR(10)&amp;"PIC: "&amp;Checks!$T$233)</f>
        <v/>
      </c>
      <c r="H46" s="114" t="str">
        <f aca="false">IF(Checks!$AH$233="","",Checks!$AH$233)</f>
        <v>OPEN</v>
      </c>
    </row>
    <row r="47" customFormat="false" ht="114" hidden="false" customHeight="true" outlineLevel="0" collapsed="false">
      <c r="A47" s="113" t="str">
        <f aca="false">Checks!$A$234&amp;CHAR(10)&amp;IF(Checks!$I$234="","",Checks!$I$234&amp;": ")&amp;Checks!$J$234</f>
        <v>F07-T12-11
F&amp;B Linen: Towel - prepared</v>
      </c>
      <c r="B47" s="113" t="str">
        <f aca="false">Checks!$K$234&amp;IF(Checks!$O$234="","",IF(Checks!$K$234="","",CHAR(10))&amp;"Note: "&amp;Checks!$O$234)</f>
        <v>Available (ticked in reference)
Note: Reference gives no uplift stn for this item: preparation checked at the meal uplift stn (LHR) - confirm with caterer.</v>
      </c>
      <c r="C47" s="113" t="str">
        <f aca="false">Checks!$N$234&amp;CHAR(10)&amp;IF(ISNUMBER(Checks!$R$234),TEXT(Checks!$R$234,"DD-MMM-YY HH:MM"),"")&amp;" "&amp;Checks!$P$234</f>
        <v>Required
08-Oct-26 23:00 LHR</v>
      </c>
      <c r="D47" s="113" t="str">
        <f aca="false">IF(Checks!$U$234="","",Checks!$U$234)&amp;IF(Checks!$AB$234="","",CHAR(10)&amp;"CA: "&amp;Checks!$AB$234)</f>
        <v/>
      </c>
      <c r="E47" s="113" t="str">
        <f aca="false">IF(Checks!$V$234="","",Checks!$V$234)&amp;IF(Checks!$AC$234="","",IF(Checks!$V$234="","",CHAR(10))&amp;"N/A just.: "&amp;Checks!$AC$234)&amp;IF(Checks!$W$234="","",CHAR(10)&amp;"Batch: "&amp;Checks!$W$234)&amp;IF(AND(Checks!$X$234="",Checks!$Y$234=""),"",CHAR(10)&amp;"Exp: "&amp;Checks!$X$234&amp;"  /  Act: "&amp;Checks!$Y$234)</f>
        <v/>
      </c>
      <c r="F47" s="113" t="str">
        <f aca="false">IF(Checks!$Z$234="","","Evidence: "&amp;Checks!$Z$234)&amp;IF(Checks!$AA$234="","",IF(Checks!$Z$234="","",CHAR(10))&amp;"CA: "&amp;Checks!$AA$234)</f>
        <v/>
      </c>
      <c r="G47" s="113" t="str">
        <f aca="false">IF(ISNUMBER(Checks!$AD$234),TEXT(Checks!$AD$234,"DD-MMM-YY HH:MM")&amp;" "&amp;Checks!$P$234,"")&amp;IF(Checks!$AE$234="","",CHAR(10)&amp;"Verifier: "&amp;Checks!$AE$234)&amp;IF(Checks!$T$234="","",CHAR(10)&amp;"PIC: "&amp;Checks!$T$234)</f>
        <v/>
      </c>
      <c r="H47" s="114" t="str">
        <f aca="false">IF(Checks!$AH$234="","",Checks!$AH$234)</f>
        <v>OPEN</v>
      </c>
    </row>
    <row r="48" customFormat="false" ht="114" hidden="false" customHeight="true" outlineLevel="0" collapsed="false">
      <c r="A48" s="113" t="str">
        <f aca="false">Checks!$A$235&amp;CHAR(10)&amp;IF(Checks!$I$235="","",Checks!$I$235&amp;": ")&amp;Checks!$J$235</f>
        <v>F07-T12-12
F&amp;B Linen: Tray cloth - prepared</v>
      </c>
      <c r="B48" s="113" t="str">
        <f aca="false">Checks!$K$235&amp;IF(Checks!$O$235="","",IF(Checks!$K$235="","",CHAR(10))&amp;"Note: "&amp;Checks!$O$235)</f>
        <v>Available (ticked in reference)
Note: Reference gives no uplift stn for this item: preparation checked at the meal uplift stn (LHR) - confirm with caterer.</v>
      </c>
      <c r="C48" s="113" t="str">
        <f aca="false">Checks!$N$235&amp;CHAR(10)&amp;IF(ISNUMBER(Checks!$R$235),TEXT(Checks!$R$235,"DD-MMM-YY HH:MM"),"")&amp;" "&amp;Checks!$P$235</f>
        <v>Required
08-Oct-26 23:00 LHR</v>
      </c>
      <c r="D48" s="113" t="str">
        <f aca="false">IF(Checks!$U$235="","",Checks!$U$235)&amp;IF(Checks!$AB$235="","",CHAR(10)&amp;"CA: "&amp;Checks!$AB$235)</f>
        <v/>
      </c>
      <c r="E48" s="113" t="str">
        <f aca="false">IF(Checks!$V$235="","",Checks!$V$235)&amp;IF(Checks!$AC$235="","",IF(Checks!$V$235="","",CHAR(10))&amp;"N/A just.: "&amp;Checks!$AC$235)&amp;IF(Checks!$W$235="","",CHAR(10)&amp;"Batch: "&amp;Checks!$W$235)&amp;IF(AND(Checks!$X$235="",Checks!$Y$235=""),"",CHAR(10)&amp;"Exp: "&amp;Checks!$X$235&amp;"  /  Act: "&amp;Checks!$Y$235)</f>
        <v/>
      </c>
      <c r="F48" s="113" t="str">
        <f aca="false">IF(Checks!$Z$235="","","Evidence: "&amp;Checks!$Z$235)&amp;IF(Checks!$AA$235="","",IF(Checks!$Z$235="","",CHAR(10))&amp;"CA: "&amp;Checks!$AA$235)</f>
        <v/>
      </c>
      <c r="G48" s="113" t="str">
        <f aca="false">IF(ISNUMBER(Checks!$AD$235),TEXT(Checks!$AD$235,"DD-MMM-YY HH:MM")&amp;" "&amp;Checks!$P$235,"")&amp;IF(Checks!$AE$235="","",CHAR(10)&amp;"Verifier: "&amp;Checks!$AE$235)&amp;IF(Checks!$T$235="","",CHAR(10)&amp;"PIC: "&amp;Checks!$T$235)</f>
        <v/>
      </c>
      <c r="H48" s="114" t="str">
        <f aca="false">IF(Checks!$AH$235="","",Checks!$AH$235)</f>
        <v>OPEN</v>
      </c>
    </row>
    <row r="49" customFormat="false" ht="114" hidden="false" customHeight="true" outlineLevel="0" collapsed="false">
      <c r="A49" s="113" t="str">
        <f aca="false">Checks!$A$236&amp;CHAR(10)&amp;IF(Checks!$I$236="","",Checks!$I$236&amp;": ")&amp;Checks!$J$236</f>
        <v>F07-T12-13
F&amp;B Linen: Napkin - prepared</v>
      </c>
      <c r="B49" s="113" t="str">
        <f aca="false">Checks!$K$236&amp;IF(Checks!$O$236="","",IF(Checks!$K$236="","",CHAR(10))&amp;"Note: "&amp;Checks!$O$236)</f>
        <v>Available (ticked in reference)
Note: Reference gives no uplift stn for this item: preparation checked at the meal uplift stn (LHR) - confirm with caterer.</v>
      </c>
      <c r="C49" s="113" t="str">
        <f aca="false">Checks!$N$236&amp;CHAR(10)&amp;IF(ISNUMBER(Checks!$R$236),TEXT(Checks!$R$236,"DD-MMM-YY HH:MM"),"")&amp;" "&amp;Checks!$P$236</f>
        <v>Required
08-Oct-26 23:00 LHR</v>
      </c>
      <c r="D49" s="113" t="str">
        <f aca="false">IF(Checks!$U$236="","",Checks!$U$236)&amp;IF(Checks!$AB$236="","",CHAR(10)&amp;"CA: "&amp;Checks!$AB$236)</f>
        <v/>
      </c>
      <c r="E49" s="113" t="str">
        <f aca="false">IF(Checks!$V$236="","",Checks!$V$236)&amp;IF(Checks!$AC$236="","",IF(Checks!$V$236="","",CHAR(10))&amp;"N/A just.: "&amp;Checks!$AC$236)&amp;IF(Checks!$W$236="","",CHAR(10)&amp;"Batch: "&amp;Checks!$W$236)&amp;IF(AND(Checks!$X$236="",Checks!$Y$236=""),"",CHAR(10)&amp;"Exp: "&amp;Checks!$X$236&amp;"  /  Act: "&amp;Checks!$Y$236)</f>
        <v/>
      </c>
      <c r="F49" s="113" t="str">
        <f aca="false">IF(Checks!$Z$236="","","Evidence: "&amp;Checks!$Z$236)&amp;IF(Checks!$AA$236="","",IF(Checks!$Z$236="","",CHAR(10))&amp;"CA: "&amp;Checks!$AA$236)</f>
        <v/>
      </c>
      <c r="G49" s="113" t="str">
        <f aca="false">IF(ISNUMBER(Checks!$AD$236),TEXT(Checks!$AD$236,"DD-MMM-YY HH:MM")&amp;" "&amp;Checks!$P$236,"")&amp;IF(Checks!$AE$236="","",CHAR(10)&amp;"Verifier: "&amp;Checks!$AE$236)&amp;IF(Checks!$T$236="","",CHAR(10)&amp;"PIC: "&amp;Checks!$T$236)</f>
        <v/>
      </c>
      <c r="H49" s="114" t="str">
        <f aca="false">IF(Checks!$AH$236="","",Checks!$AH$236)</f>
        <v>OPEN</v>
      </c>
    </row>
    <row r="50" customFormat="false" ht="114" hidden="false" customHeight="true" outlineLevel="0" collapsed="false">
      <c r="A50" s="113" t="str">
        <f aca="false">Checks!$A$237&amp;CHAR(10)&amp;IF(Checks!$I$237="","",Checks!$I$237&amp;": ")&amp;Checks!$J$237</f>
        <v>F07-T12-14
F&amp;B Linen: Table cloth - prepared</v>
      </c>
      <c r="B50" s="113" t="str">
        <f aca="false">Checks!$K$237&amp;IF(Checks!$O$237="","",IF(Checks!$K$237="","",CHAR(10))&amp;"Note: "&amp;Checks!$O$237)</f>
        <v>Available (ticked in reference)
Note: Reference gives no uplift stn for this item: preparation checked at the meal uplift stn (LHR) - confirm with caterer.</v>
      </c>
      <c r="C50" s="113" t="str">
        <f aca="false">Checks!$N$237&amp;CHAR(10)&amp;IF(ISNUMBER(Checks!$R$237),TEXT(Checks!$R$237,"DD-MMM-YY HH:MM"),"")&amp;" "&amp;Checks!$P$237</f>
        <v>Required
08-Oct-26 23:00 LHR</v>
      </c>
      <c r="D50" s="113" t="str">
        <f aca="false">IF(Checks!$U$237="","",Checks!$U$237)&amp;IF(Checks!$AB$237="","",CHAR(10)&amp;"CA: "&amp;Checks!$AB$237)</f>
        <v/>
      </c>
      <c r="E50" s="113" t="str">
        <f aca="false">IF(Checks!$V$237="","",Checks!$V$237)&amp;IF(Checks!$AC$237="","",IF(Checks!$V$237="","",CHAR(10))&amp;"N/A just.: "&amp;Checks!$AC$237)&amp;IF(Checks!$W$237="","",CHAR(10)&amp;"Batch: "&amp;Checks!$W$237)&amp;IF(AND(Checks!$X$237="",Checks!$Y$237=""),"",CHAR(10)&amp;"Exp: "&amp;Checks!$X$237&amp;"  /  Act: "&amp;Checks!$Y$237)</f>
        <v/>
      </c>
      <c r="F50" s="113" t="str">
        <f aca="false">IF(Checks!$Z$237="","","Evidence: "&amp;Checks!$Z$237)&amp;IF(Checks!$AA$237="","",IF(Checks!$Z$237="","",CHAR(10))&amp;"CA: "&amp;Checks!$AA$237)</f>
        <v/>
      </c>
      <c r="G50" s="113" t="str">
        <f aca="false">IF(ISNUMBER(Checks!$AD$237),TEXT(Checks!$AD$237,"DD-MMM-YY HH:MM")&amp;" "&amp;Checks!$P$237,"")&amp;IF(Checks!$AE$237="","",CHAR(10)&amp;"Verifier: "&amp;Checks!$AE$237)&amp;IF(Checks!$T$237="","",CHAR(10)&amp;"PIC: "&amp;Checks!$T$237)</f>
        <v/>
      </c>
      <c r="H50" s="114" t="str">
        <f aca="false">IF(Checks!$AH$237="","",Checks!$AH$237)</f>
        <v>OPEN</v>
      </c>
    </row>
    <row r="51" customFormat="false" ht="114" hidden="false" customHeight="true" outlineLevel="0" collapsed="false">
      <c r="A51" s="113" t="str">
        <f aca="false">Checks!$A$238&amp;CHAR(10)&amp;IF(Checks!$I$238="","",Checks!$I$238&amp;": ")&amp;Checks!$J$238</f>
        <v>F07-T12-15
F&amp;B Linen: Bread linen (using table cloth) - prepared</v>
      </c>
      <c r="B51" s="113" t="str">
        <f aca="false">Checks!$K$238&amp;IF(Checks!$O$238="","",IF(Checks!$K$238="","",CHAR(10))&amp;"Note: "&amp;Checks!$O$238)</f>
        <v>Available (ticked in reference)
Note: Reference gives no uplift stn for this item: preparation checked at the meal uplift stn (LHR) - confirm with caterer.</v>
      </c>
      <c r="C51" s="113" t="str">
        <f aca="false">Checks!$N$238&amp;CHAR(10)&amp;IF(ISNUMBER(Checks!$R$238),TEXT(Checks!$R$238,"DD-MMM-YY HH:MM"),"")&amp;" "&amp;Checks!$P$238</f>
        <v>Required
08-Oct-26 23:00 LHR</v>
      </c>
      <c r="D51" s="113" t="str">
        <f aca="false">IF(Checks!$U$238="","",Checks!$U$238)&amp;IF(Checks!$AB$238="","",CHAR(10)&amp;"CA: "&amp;Checks!$AB$238)</f>
        <v/>
      </c>
      <c r="E51" s="113" t="str">
        <f aca="false">IF(Checks!$V$238="","",Checks!$V$238)&amp;IF(Checks!$AC$238="","",IF(Checks!$V$238="","",CHAR(10))&amp;"N/A just.: "&amp;Checks!$AC$238)&amp;IF(Checks!$W$238="","",CHAR(10)&amp;"Batch: "&amp;Checks!$W$238)&amp;IF(AND(Checks!$X$238="",Checks!$Y$238=""),"",CHAR(10)&amp;"Exp: "&amp;Checks!$X$238&amp;"  /  Act: "&amp;Checks!$Y$238)</f>
        <v/>
      </c>
      <c r="F51" s="113" t="str">
        <f aca="false">IF(Checks!$Z$238="","","Evidence: "&amp;Checks!$Z$238)&amp;IF(Checks!$AA$238="","",IF(Checks!$Z$238="","",CHAR(10))&amp;"CA: "&amp;Checks!$AA$238)</f>
        <v/>
      </c>
      <c r="G51" s="113" t="str">
        <f aca="false">IF(ISNUMBER(Checks!$AD$238),TEXT(Checks!$AD$238,"DD-MMM-YY HH:MM")&amp;" "&amp;Checks!$P$238,"")&amp;IF(Checks!$AE$238="","",CHAR(10)&amp;"Verifier: "&amp;Checks!$AE$238)&amp;IF(Checks!$T$238="","",CHAR(10)&amp;"PIC: "&amp;Checks!$T$238)</f>
        <v/>
      </c>
      <c r="H51" s="114" t="str">
        <f aca="false">IF(Checks!$AH$238="","",Checks!$AH$238)</f>
        <v>OPEN</v>
      </c>
    </row>
    <row r="52" customFormat="false" ht="124.5" hidden="false" customHeight="true" outlineLevel="0" collapsed="false">
      <c r="A52" s="113" t="str">
        <f aca="false">Checks!$A$239&amp;CHAR(10)&amp;IF(Checks!$I$239="","",Checks!$I$239&amp;": ")&amp;Checks!$J$239</f>
        <v>F07-T12-16
F&amp;B Linen: Trolley cloth - prepared</v>
      </c>
      <c r="B52" s="113" t="str">
        <f aca="false">SUBSTITUTE(Checks!$K$239&amp;IF(Checks!$O$239="","",IF(Checks!$K$239="","",CHAR(10))&amp;"Note: "&amp;Checks!$O$239),"F&amp;B LINEN!","Ref: F&amp;B LINEN!")</f>
        <v>Wide body: Top/Middle &amp; Bottom
Note: Per note Ref: F&amp;B LINEN!B79:C80. Reference gives no uplift stn for this item: preparation checked at the meal uplift stn (LHR) - confirm with caterer.</v>
      </c>
      <c r="C52" s="113" t="str">
        <f aca="false">Checks!$N$239&amp;CHAR(10)&amp;IF(ISNUMBER(Checks!$R$239),TEXT(Checks!$R$239,"DD-MMM-YY HH:MM"),"")&amp;" "&amp;Checks!$P$239</f>
        <v>Required
08-Oct-26 23:00 LHR</v>
      </c>
      <c r="D52" s="113" t="str">
        <f aca="false">IF(Checks!$U$239="","",Checks!$U$239)&amp;IF(Checks!$AB$239="","",CHAR(10)&amp;"CA: "&amp;Checks!$AB$239)</f>
        <v/>
      </c>
      <c r="E52" s="113" t="str">
        <f aca="false">IF(Checks!$V$239="","",Checks!$V$239)&amp;IF(Checks!$AC$239="","",IF(Checks!$V$239="","",CHAR(10))&amp;"N/A just.: "&amp;Checks!$AC$239)&amp;IF(Checks!$W$239="","",CHAR(10)&amp;"Batch: "&amp;Checks!$W$239)&amp;IF(AND(Checks!$X$239="",Checks!$Y$239=""),"",CHAR(10)&amp;"Exp: "&amp;Checks!$X$239&amp;"  /  Act: "&amp;Checks!$Y$239)</f>
        <v/>
      </c>
      <c r="F52" s="113" t="str">
        <f aca="false">IF(Checks!$Z$239="","","Evidence: "&amp;Checks!$Z$239)&amp;IF(Checks!$AA$239="","",IF(Checks!$Z$239="","",CHAR(10))&amp;"CA: "&amp;Checks!$AA$239)</f>
        <v/>
      </c>
      <c r="G52" s="113" t="str">
        <f aca="false">IF(ISNUMBER(Checks!$AD$239),TEXT(Checks!$AD$239,"DD-MMM-YY HH:MM")&amp;" "&amp;Checks!$P$239,"")&amp;IF(Checks!$AE$239="","",CHAR(10)&amp;"Verifier: "&amp;Checks!$AE$239)&amp;IF(Checks!$T$239="","",CHAR(10)&amp;"PIC: "&amp;Checks!$T$239)</f>
        <v/>
      </c>
      <c r="H52" s="114" t="str">
        <f aca="false">IF(Checks!$AH$239="","",Checks!$AH$239)</f>
        <v>OPEN</v>
      </c>
    </row>
    <row r="53" customFormat="false" ht="114" hidden="false" customHeight="true" outlineLevel="0" collapsed="false">
      <c r="A53" s="113" t="str">
        <f aca="false">Checks!$A$240&amp;CHAR(10)&amp;IF(Checks!$I$240="","",Checks!$I$240&amp;": ")&amp;Checks!$J$240</f>
        <v>F07-T12-17
F&amp;B Linen: Linen bag - prepared</v>
      </c>
      <c r="B53" s="113" t="str">
        <f aca="false">Checks!$K$240&amp;IF(Checks!$O$240="","",IF(Checks!$K$240="","",CHAR(10))&amp;"Note: "&amp;Checks!$O$240)</f>
        <v>Available (ticked in reference)
Note: Reference gives no uplift stn for this item: preparation checked at the meal uplift stn (LHR) - confirm with caterer.</v>
      </c>
      <c r="C53" s="113" t="str">
        <f aca="false">Checks!$N$240&amp;CHAR(10)&amp;IF(ISNUMBER(Checks!$R$240),TEXT(Checks!$R$240,"DD-MMM-YY HH:MM"),"")&amp;" "&amp;Checks!$P$240</f>
        <v>Required
08-Oct-26 23:00 LHR</v>
      </c>
      <c r="D53" s="113" t="str">
        <f aca="false">IF(Checks!$U$240="","",Checks!$U$240)&amp;IF(Checks!$AB$240="","",CHAR(10)&amp;"CA: "&amp;Checks!$AB$240)</f>
        <v/>
      </c>
      <c r="E53" s="113" t="str">
        <f aca="false">IF(Checks!$V$240="","",Checks!$V$240)&amp;IF(Checks!$AC$240="","",IF(Checks!$V$240="","",CHAR(10))&amp;"N/A just.: "&amp;Checks!$AC$240)&amp;IF(Checks!$W$240="","",CHAR(10)&amp;"Batch: "&amp;Checks!$W$240)&amp;IF(AND(Checks!$X$240="",Checks!$Y$240=""),"",CHAR(10)&amp;"Exp: "&amp;Checks!$X$240&amp;"  /  Act: "&amp;Checks!$Y$240)</f>
        <v/>
      </c>
      <c r="F53" s="113" t="str">
        <f aca="false">IF(Checks!$Z$240="","","Evidence: "&amp;Checks!$Z$240)&amp;IF(Checks!$AA$240="","",IF(Checks!$Z$240="","",CHAR(10))&amp;"CA: "&amp;Checks!$AA$240)</f>
        <v/>
      </c>
      <c r="G53" s="113" t="str">
        <f aca="false">IF(ISNUMBER(Checks!$AD$240),TEXT(Checks!$AD$240,"DD-MMM-YY HH:MM")&amp;" "&amp;Checks!$P$240,"")&amp;IF(Checks!$AE$240="","",CHAR(10)&amp;"Verifier: "&amp;Checks!$AE$240)&amp;IF(Checks!$T$240="","",CHAR(10)&amp;"PIC: "&amp;Checks!$T$240)</f>
        <v/>
      </c>
      <c r="H53" s="114" t="str">
        <f aca="false">IF(Checks!$AH$240="","",Checks!$AH$240)</f>
        <v>OPEN</v>
      </c>
    </row>
    <row r="54" customFormat="false" ht="114" hidden="false" customHeight="true" outlineLevel="0" collapsed="false">
      <c r="A54" s="113" t="str">
        <f aca="false">Checks!$A$241&amp;CHAR(10)&amp;IF(Checks!$I$241="","",Checks!$I$241&amp;": ")&amp;Checks!$J$241</f>
        <v>F07-T12-18
Seat Linen: Seat pillow (BS &amp; BC) - prepared</v>
      </c>
      <c r="B54" s="113" t="str">
        <f aca="false">Checks!$K$241&amp;IF(Checks!$O$241="","",IF(Checks!$K$241="","",CHAR(10))&amp;"Note: "&amp;Checks!$O$241)</f>
        <v>Available 100% (ticked in reference)
Note: Reference gives no uplift stn for this item: preparation checked at the meal uplift stn (LHR) - confirm with caterer.</v>
      </c>
      <c r="C54" s="113" t="str">
        <f aca="false">Checks!$N$241&amp;CHAR(10)&amp;IF(ISNUMBER(Checks!$R$241),TEXT(Checks!$R$241,"DD-MMM-YY HH:MM"),"")&amp;" "&amp;Checks!$P$241</f>
        <v>Required
08-Oct-26 23:00 LHR</v>
      </c>
      <c r="D54" s="113" t="str">
        <f aca="false">IF(Checks!$U$241="","",Checks!$U$241)&amp;IF(Checks!$AB$241="","",CHAR(10)&amp;"CA: "&amp;Checks!$AB$241)</f>
        <v/>
      </c>
      <c r="E54" s="113" t="str">
        <f aca="false">IF(Checks!$V$241="","",Checks!$V$241)&amp;IF(Checks!$AC$241="","",IF(Checks!$V$241="","",CHAR(10))&amp;"N/A just.: "&amp;Checks!$AC$241)&amp;IF(Checks!$W$241="","",CHAR(10)&amp;"Batch: "&amp;Checks!$W$241)&amp;IF(AND(Checks!$X$241="",Checks!$Y$241=""),"",CHAR(10)&amp;"Exp: "&amp;Checks!$X$241&amp;"  /  Act: "&amp;Checks!$Y$241)</f>
        <v/>
      </c>
      <c r="F54" s="113" t="str">
        <f aca="false">IF(Checks!$Z$241="","","Evidence: "&amp;Checks!$Z$241)&amp;IF(Checks!$AA$241="","",IF(Checks!$Z$241="","",CHAR(10))&amp;"CA: "&amp;Checks!$AA$241)</f>
        <v/>
      </c>
      <c r="G54" s="113" t="str">
        <f aca="false">IF(ISNUMBER(Checks!$AD$241),TEXT(Checks!$AD$241,"DD-MMM-YY HH:MM")&amp;" "&amp;Checks!$P$241,"")&amp;IF(Checks!$AE$241="","",CHAR(10)&amp;"Verifier: "&amp;Checks!$AE$241)&amp;IF(Checks!$T$241="","",CHAR(10)&amp;"PIC: "&amp;Checks!$T$241)</f>
        <v/>
      </c>
      <c r="H54" s="114" t="str">
        <f aca="false">IF(Checks!$AH$241="","",Checks!$AH$241)</f>
        <v>OPEN</v>
      </c>
    </row>
    <row r="55" customFormat="false" ht="114" hidden="false" customHeight="true" outlineLevel="0" collapsed="false">
      <c r="A55" s="113" t="str">
        <f aca="false">Checks!$A$242&amp;CHAR(10)&amp;IF(Checks!$I$242="","",Checks!$I$242&amp;": ")&amp;Checks!$J$242</f>
        <v>F07-T12-19
Seat Linen: Duvet (BS &amp; BC) - prepared</v>
      </c>
      <c r="B55" s="113" t="str">
        <f aca="false">Checks!$K$242&amp;IF(Checks!$O$242="","",IF(Checks!$K$242="","",CHAR(10))&amp;"Note: "&amp;Checks!$O$242)</f>
        <v>Available 100% (ticked in reference)
Note: Reference gives no uplift stn for this item: preparation checked at the meal uplift stn (LHR) - confirm with caterer.</v>
      </c>
      <c r="C55" s="113" t="str">
        <f aca="false">Checks!$N$242&amp;CHAR(10)&amp;IF(ISNUMBER(Checks!$R$242),TEXT(Checks!$R$242,"DD-MMM-YY HH:MM"),"")&amp;" "&amp;Checks!$P$242</f>
        <v>Required
08-Oct-26 23:00 LHR</v>
      </c>
      <c r="D55" s="113" t="str">
        <f aca="false">IF(Checks!$U$242="","",Checks!$U$242)&amp;IF(Checks!$AB$242="","",CHAR(10)&amp;"CA: "&amp;Checks!$AB$242)</f>
        <v/>
      </c>
      <c r="E55" s="113" t="str">
        <f aca="false">IF(Checks!$V$242="","",Checks!$V$242)&amp;IF(Checks!$AC$242="","",IF(Checks!$V$242="","",CHAR(10))&amp;"N/A just.: "&amp;Checks!$AC$242)&amp;IF(Checks!$W$242="","",CHAR(10)&amp;"Batch: "&amp;Checks!$W$242)&amp;IF(AND(Checks!$X$242="",Checks!$Y$242=""),"",CHAR(10)&amp;"Exp: "&amp;Checks!$X$242&amp;"  /  Act: "&amp;Checks!$Y$242)</f>
        <v/>
      </c>
      <c r="F55" s="113" t="str">
        <f aca="false">IF(Checks!$Z$242="","","Evidence: "&amp;Checks!$Z$242)&amp;IF(Checks!$AA$242="","",IF(Checks!$Z$242="","",CHAR(10))&amp;"CA: "&amp;Checks!$AA$242)</f>
        <v/>
      </c>
      <c r="G55" s="113" t="str">
        <f aca="false">IF(ISNUMBER(Checks!$AD$242),TEXT(Checks!$AD$242,"DD-MMM-YY HH:MM")&amp;" "&amp;Checks!$P$242,"")&amp;IF(Checks!$AE$242="","",CHAR(10)&amp;"Verifier: "&amp;Checks!$AE$242)&amp;IF(Checks!$T$242="","",CHAR(10)&amp;"PIC: "&amp;Checks!$T$242)</f>
        <v/>
      </c>
      <c r="H55" s="114" t="str">
        <f aca="false">IF(Checks!$AH$242="","",Checks!$AH$242)</f>
        <v>OPEN</v>
      </c>
    </row>
    <row r="56" customFormat="false" ht="114" hidden="false" customHeight="true" outlineLevel="0" collapsed="false">
      <c r="A56" s="113" t="str">
        <f aca="false">Checks!$A$243&amp;CHAR(10)&amp;IF(Checks!$I$243="","",Checks!$I$243&amp;": ")&amp;Checks!$J$243</f>
        <v>F07-T12-20
Seat Linen: Mattress (BS &amp; BC) - prepared</v>
      </c>
      <c r="B56" s="113" t="str">
        <f aca="false">Checks!$K$243&amp;IF(Checks!$O$243="","",IF(Checks!$K$243="","",CHAR(10))&amp;"Note: "&amp;Checks!$O$243)</f>
        <v>Available 100% (ticked in reference)
Note: Reference gives no uplift stn for this item: preparation checked at the meal uplift stn (LHR) - confirm with caterer.</v>
      </c>
      <c r="C56" s="113" t="str">
        <f aca="false">Checks!$N$243&amp;CHAR(10)&amp;IF(ISNUMBER(Checks!$R$243),TEXT(Checks!$R$243,"DD-MMM-YY HH:MM"),"")&amp;" "&amp;Checks!$P$243</f>
        <v>Required
08-Oct-26 23:00 LHR</v>
      </c>
      <c r="D56" s="113" t="str">
        <f aca="false">IF(Checks!$U$243="","",Checks!$U$243)&amp;IF(Checks!$AB$243="","",CHAR(10)&amp;"CA: "&amp;Checks!$AB$243)</f>
        <v/>
      </c>
      <c r="E56" s="113" t="str">
        <f aca="false">IF(Checks!$V$243="","",Checks!$V$243)&amp;IF(Checks!$AC$243="","",IF(Checks!$V$243="","",CHAR(10))&amp;"N/A just.: "&amp;Checks!$AC$243)&amp;IF(Checks!$W$243="","",CHAR(10)&amp;"Batch: "&amp;Checks!$W$243)&amp;IF(AND(Checks!$X$243="",Checks!$Y$243=""),"",CHAR(10)&amp;"Exp: "&amp;Checks!$X$243&amp;"  /  Act: "&amp;Checks!$Y$243)</f>
        <v/>
      </c>
      <c r="F56" s="113" t="str">
        <f aca="false">IF(Checks!$Z$243="","","Evidence: "&amp;Checks!$Z$243)&amp;IF(Checks!$AA$243="","",IF(Checks!$Z$243="","",CHAR(10))&amp;"CA: "&amp;Checks!$AA$243)</f>
        <v/>
      </c>
      <c r="G56" s="113" t="str">
        <f aca="false">IF(ISNUMBER(Checks!$AD$243),TEXT(Checks!$AD$243,"DD-MMM-YY HH:MM")&amp;" "&amp;Checks!$P$243,"")&amp;IF(Checks!$AE$243="","",CHAR(10)&amp;"Verifier: "&amp;Checks!$AE$243)&amp;IF(Checks!$T$243="","",CHAR(10)&amp;"PIC: "&amp;Checks!$T$243)</f>
        <v/>
      </c>
      <c r="H56" s="114" t="str">
        <f aca="false">IF(Checks!$AH$243="","",Checks!$AH$243)</f>
        <v>OPEN</v>
      </c>
    </row>
    <row r="57" customFormat="false" ht="147" hidden="false" customHeight="true" outlineLevel="0" collapsed="false">
      <c r="A57" s="113" t="str">
        <f aca="false">Checks!$A$244&amp;CHAR(10)&amp;IF(Checks!$I$244="","",Checks!$I$244&amp;": ")&amp;Checks!$J$244</f>
        <v>F07-T12-21
Signature Drinks: Signature drink &amp; garnish (BC) - prepared</v>
      </c>
      <c r="B57" s="113"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57" s="113" t="str">
        <f aca="false">Checks!$N$244&amp;CHAR(10)&amp;IF(ISNUMBER(Checks!$R$244),TEXT(Checks!$R$244,"DD-MMM-YY HH:MM"),"")&amp;" "&amp;Checks!$P$244</f>
        <v>Required
08-Oct-26 22:25 KUL</v>
      </c>
      <c r="D57" s="113" t="str">
        <f aca="false">IF(Checks!$U$244="","",Checks!$U$244)&amp;IF(Checks!$AB$244="","",CHAR(10)&amp;"CA: "&amp;Checks!$AB$244)</f>
        <v/>
      </c>
      <c r="E57" s="113" t="str">
        <f aca="false">IF(Checks!$V$244="","",Checks!$V$244)&amp;IF(Checks!$AC$244="","",IF(Checks!$V$244="","",CHAR(10))&amp;"N/A just.: "&amp;Checks!$AC$244)&amp;IF(Checks!$W$244="","",CHAR(10)&amp;"Batch: "&amp;Checks!$W$244)&amp;IF(AND(Checks!$X$244="",Checks!$Y$244=""),"",CHAR(10)&amp;"Exp: "&amp;Checks!$X$244&amp;"  /  Act: "&amp;Checks!$Y$244)</f>
        <v/>
      </c>
      <c r="F57" s="113" t="str">
        <f aca="false">IF(Checks!$Z$244="","","Evidence: "&amp;Checks!$Z$244)&amp;IF(Checks!$AA$244="","",IF(Checks!$Z$244="","",CHAR(10))&amp;"CA: "&amp;Checks!$AA$244)</f>
        <v/>
      </c>
      <c r="G57" s="113" t="str">
        <f aca="false">IF(ISNUMBER(Checks!$AD$244),TEXT(Checks!$AD$244,"DD-MMM-YY HH:MM")&amp;" "&amp;Checks!$P$244,"")&amp;IF(Checks!$AE$244="","",CHAR(10)&amp;"Verifier: "&amp;Checks!$AE$244)&amp;IF(Checks!$T$244="","",CHAR(10)&amp;"PIC: "&amp;Checks!$T$244)</f>
        <v/>
      </c>
      <c r="H57" s="114" t="str">
        <f aca="false">IF(Checks!$AH$244="","",Checks!$AH$244)</f>
        <v>OPEN</v>
      </c>
    </row>
    <row r="58" customFormat="false" ht="25.5" hidden="false" customHeight="true" outlineLevel="0" collapsed="false">
      <c r="A58" s="112"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2"/>
      <c r="C58" s="112"/>
      <c r="D58" s="112"/>
      <c r="E58" s="112"/>
      <c r="F58" s="112"/>
      <c r="G58" s="112"/>
      <c r="H58" s="112"/>
    </row>
    <row r="59" customFormat="false" ht="114" hidden="false" customHeight="true" outlineLevel="0" collapsed="false">
      <c r="A59" s="113" t="str">
        <f aca="false">Checks!$A$245&amp;CHAR(10)&amp;IF(Checks!$I$245="","",Checks!$I$245&amp;": ")&amp;Checks!$J$245</f>
        <v>F07-UPL-01
Meal: Meals physically uplifted on board - quantity vs menu checklist</v>
      </c>
      <c r="B59" s="113" t="str">
        <f aca="false">Checks!$K$245&amp;IF(Checks!$O$245="","",IF(Checks!$K$245="","",CHAR(10))&amp;"Note: "&amp;Checks!$O$245)</f>
        <v>Enter expected &amp; actual
Note: Confirm on board before departure; completion time must fall inside the uplift window.</v>
      </c>
      <c r="C59" s="113" t="str">
        <f aca="false">Checks!$N$245&amp;CHAR(10)&amp;IF(ISNUMBER(Checks!$R$245),TEXT(Checks!$R$245,"DD-MMM-YY HH:MM"),"")&amp;" "&amp;Checks!$P$245</f>
        <v>Required
09-Oct-26 11:00 LHR</v>
      </c>
      <c r="D59" s="113" t="str">
        <f aca="false">IF(Checks!$U$245="","",Checks!$U$245)&amp;IF(Checks!$AB$245="","",CHAR(10)&amp;"CA: "&amp;Checks!$AB$245)</f>
        <v/>
      </c>
      <c r="E59" s="113" t="str">
        <f aca="false">IF(Checks!$V$245="","",Checks!$V$245)&amp;IF(Checks!$AC$245="","",IF(Checks!$V$245="","",CHAR(10))&amp;"N/A just.: "&amp;Checks!$AC$245)&amp;IF(Checks!$W$245="","",CHAR(10)&amp;"Batch: "&amp;Checks!$W$245)&amp;IF(AND(Checks!$X$245="",Checks!$Y$245=""),"",CHAR(10)&amp;"Exp: "&amp;Checks!$X$245&amp;"  /  Act: "&amp;Checks!$Y$245)</f>
        <v/>
      </c>
      <c r="F59" s="113" t="str">
        <f aca="false">IF(Checks!$Z$245="","","Evidence: "&amp;Checks!$Z$245)&amp;IF(Checks!$AA$245="","",IF(Checks!$Z$245="","",CHAR(10))&amp;"CA: "&amp;Checks!$AA$245)</f>
        <v/>
      </c>
      <c r="G59" s="113" t="str">
        <f aca="false">IF(ISNUMBER(Checks!$AD$245),TEXT(Checks!$AD$245,"DD-MMM-YY HH:MM")&amp;" "&amp;Checks!$P$245,"")&amp;IF(Checks!$AE$245="","",CHAR(10)&amp;"Verifier: "&amp;Checks!$AE$245)&amp;IF(Checks!$T$245="","",CHAR(10)&amp;"PIC: "&amp;Checks!$T$245)</f>
        <v/>
      </c>
      <c r="H59" s="114" t="str">
        <f aca="false">IF(Checks!$AH$245="","",Checks!$AH$245)</f>
        <v>OPEN</v>
      </c>
    </row>
    <row r="60" customFormat="false" ht="114" hidden="false" customHeight="true" outlineLevel="0" collapsed="false">
      <c r="A60" s="113" t="str">
        <f aca="false">Checks!$A$246&amp;CHAR(10)&amp;IF(Checks!$I$246="","",Checks!$I$246&amp;": ")&amp;Checks!$J$246</f>
        <v>F07-UPL-02
Equipment: Equipment physically loaded at GLD positions - quantity &amp; positions</v>
      </c>
      <c r="B60" s="113" t="str">
        <f aca="false">Checks!$K$246&amp;IF(Checks!$O$246="","",IF(Checks!$K$246="","",CHAR(10))&amp;"Note: "&amp;Checks!$O$246)</f>
        <v>Enter expected &amp; actual
Note: Confirm on board before departure; completion time must fall inside the uplift window.</v>
      </c>
      <c r="C60" s="113" t="str">
        <f aca="false">Checks!$N$246&amp;CHAR(10)&amp;IF(ISNUMBER(Checks!$R$246),TEXT(Checks!$R$246,"DD-MMM-YY HH:MM"),"")&amp;" "&amp;Checks!$P$246</f>
        <v>Required
09-Oct-26 11:00 LHR</v>
      </c>
      <c r="D60" s="113" t="str">
        <f aca="false">IF(Checks!$U$246="","",Checks!$U$246)&amp;IF(Checks!$AB$246="","",CHAR(10)&amp;"CA: "&amp;Checks!$AB$246)</f>
        <v/>
      </c>
      <c r="E60" s="113" t="str">
        <f aca="false">IF(Checks!$V$246="","",Checks!$V$246)&amp;IF(Checks!$AC$246="","",IF(Checks!$V$246="","",CHAR(10))&amp;"N/A just.: "&amp;Checks!$AC$246)&amp;IF(Checks!$W$246="","",CHAR(10)&amp;"Batch: "&amp;Checks!$W$246)&amp;IF(AND(Checks!$X$246="",Checks!$Y$246=""),"",CHAR(10)&amp;"Exp: "&amp;Checks!$X$246&amp;"  /  Act: "&amp;Checks!$Y$246)</f>
        <v/>
      </c>
      <c r="F60" s="113" t="str">
        <f aca="false">IF(Checks!$Z$246="","","Evidence: "&amp;Checks!$Z$246)&amp;IF(Checks!$AA$246="","",IF(Checks!$Z$246="","",CHAR(10))&amp;"CA: "&amp;Checks!$AA$246)</f>
        <v/>
      </c>
      <c r="G60" s="113" t="str">
        <f aca="false">IF(ISNUMBER(Checks!$AD$246),TEXT(Checks!$AD$246,"DD-MMM-YY HH:MM")&amp;" "&amp;Checks!$P$246,"")&amp;IF(Checks!$AE$246="","",CHAR(10)&amp;"Verifier: "&amp;Checks!$AE$246)&amp;IF(Checks!$T$246="","",CHAR(10)&amp;"PIC: "&amp;Checks!$T$246)</f>
        <v/>
      </c>
      <c r="H60" s="114" t="str">
        <f aca="false">IF(Checks!$AH$246="","",Checks!$AH$246)</f>
        <v>OPEN</v>
      </c>
    </row>
    <row r="61" customFormat="false" ht="147" hidden="false" customHeight="true" outlineLevel="0" collapsed="false">
      <c r="A61" s="113" t="str">
        <f aca="false">Checks!$A$247&amp;CHAR(10)&amp;IF(Checks!$I$247="","",Checks!$I$247&amp;": ")&amp;Checks!$J$247</f>
        <v>F07-UPL-03
Uplift plan: KUL-sourced items physically loaded at KUL on the inbound KUL-LHR flight</v>
      </c>
      <c r="B61" s="113" t="str">
        <f aca="false">Checks!$K$247&amp;IF(Checks!$O$247="","",IF(Checks!$K$247="","",CHAR(10))&amp;"Note: "&amp;Checks!$O$247)</f>
        <v>Items: Pajamas (BC), Slippers (BS/BC), Signature drink &amp; garnish (BC). Quantities as per Requirements
Note: Confirmed at KUL inside the uplift window before the carrying flight's KUL departure (Flights AX).</v>
      </c>
      <c r="C61" s="113" t="str">
        <f aca="false">Checks!$N$247&amp;CHAR(10)&amp;IF(ISNUMBER(Checks!$R$247),TEXT(Checks!$R$247,"DD-MMM-YY HH:MM"),"")&amp;" "&amp;Checks!$P$247</f>
        <v>Required
09-Oct-26 04:25 KUL</v>
      </c>
      <c r="D61" s="113" t="str">
        <f aca="false">IF(Checks!$U$247="","",Checks!$U$247)&amp;IF(Checks!$AB$247="","",CHAR(10)&amp;"CA: "&amp;Checks!$AB$247)</f>
        <v/>
      </c>
      <c r="E61" s="113" t="str">
        <f aca="false">IF(Checks!$V$247="","",Checks!$V$247)&amp;IF(Checks!$AC$247="","",IF(Checks!$V$247="","",CHAR(10))&amp;"N/A just.: "&amp;Checks!$AC$247)&amp;IF(Checks!$W$247="","",CHAR(10)&amp;"Batch: "&amp;Checks!$W$247)&amp;IF(AND(Checks!$X$247="",Checks!$Y$247=""),"",CHAR(10)&amp;"Exp: "&amp;Checks!$X$247&amp;"  /  Act: "&amp;Checks!$Y$247)</f>
        <v/>
      </c>
      <c r="F61" s="113" t="str">
        <f aca="false">IF(Checks!$Z$247="","","Evidence: "&amp;Checks!$Z$247)&amp;IF(Checks!$AA$247="","",IF(Checks!$Z$247="","",CHAR(10))&amp;"CA: "&amp;Checks!$AA$247)</f>
        <v/>
      </c>
      <c r="G61" s="113" t="str">
        <f aca="false">IF(ISNUMBER(Checks!$AD$247),TEXT(Checks!$AD$247,"DD-MMM-YY HH:MM")&amp;" "&amp;Checks!$P$247,"")&amp;IF(Checks!$AE$247="","",CHAR(10)&amp;"Verifier: "&amp;Checks!$AE$247)&amp;IF(Checks!$T$247="","",CHAR(10)&amp;"PIC: "&amp;Checks!$T$247)</f>
        <v/>
      </c>
      <c r="H61" s="114" t="str">
        <f aca="false">IF(Checks!$AH$247="","",Checks!$AH$247)</f>
        <v>OPEN</v>
      </c>
    </row>
    <row r="62" customFormat="false" ht="114" hidden="false" customHeight="true" outlineLevel="0" collapsed="false">
      <c r="A62" s="113" t="str">
        <f aca="false">Checks!$A$248&amp;CHAR(10)&amp;IF(Checks!$I$248="","",Checks!$I$248&amp;": ")&amp;Checks!$J$248</f>
        <v>F07-UPL-04
Amenities: Toiletry kits - on board</v>
      </c>
      <c r="B62" s="113" t="str">
        <f aca="false">Checks!$K$248&amp;IF(Checks!$O$248="","",IF(Checks!$K$248="","",CHAR(10))&amp;"Note: "&amp;Checks!$O$248)</f>
        <v>Available (ticked in reference)</v>
      </c>
      <c r="C62" s="113" t="str">
        <f aca="false">Checks!$N$248&amp;CHAR(10)&amp;IF(ISNUMBER(Checks!$R$248),TEXT(Checks!$R$248,"DD-MMM-YY HH:MM"),"")&amp;" "&amp;Checks!$P$248</f>
        <v>Required
09-Oct-26 11:00 LHR</v>
      </c>
      <c r="D62" s="113" t="str">
        <f aca="false">IF(Checks!$U$248="","",Checks!$U$248)&amp;IF(Checks!$AB$248="","",CHAR(10)&amp;"CA: "&amp;Checks!$AB$248)</f>
        <v/>
      </c>
      <c r="E62" s="113" t="str">
        <f aca="false">IF(Checks!$V$248="","",Checks!$V$248)&amp;IF(Checks!$AC$248="","",IF(Checks!$V$248="","",CHAR(10))&amp;"N/A just.: "&amp;Checks!$AC$248)&amp;IF(Checks!$W$248="","",CHAR(10)&amp;"Batch: "&amp;Checks!$W$248)&amp;IF(AND(Checks!$X$248="",Checks!$Y$248=""),"",CHAR(10)&amp;"Exp: "&amp;Checks!$X$248&amp;"  /  Act: "&amp;Checks!$Y$248)</f>
        <v/>
      </c>
      <c r="F62" s="113" t="str">
        <f aca="false">IF(Checks!$Z$248="","","Evidence: "&amp;Checks!$Z$248)&amp;IF(Checks!$AA$248="","",IF(Checks!$Z$248="","",CHAR(10))&amp;"CA: "&amp;Checks!$AA$248)</f>
        <v/>
      </c>
      <c r="G62" s="113" t="str">
        <f aca="false">IF(ISNUMBER(Checks!$AD$248),TEXT(Checks!$AD$248,"DD-MMM-YY HH:MM")&amp;" "&amp;Checks!$P$248,"")&amp;IF(Checks!$AE$248="","",CHAR(10)&amp;"Verifier: "&amp;Checks!$AE$248)&amp;IF(Checks!$T$248="","",CHAR(10)&amp;"PIC: "&amp;Checks!$T$248)</f>
        <v/>
      </c>
      <c r="H62" s="114" t="str">
        <f aca="false">IF(Checks!$AH$248="","",Checks!$AH$248)</f>
        <v>OPEN</v>
      </c>
    </row>
    <row r="63" customFormat="false" ht="114" hidden="false" customHeight="true" outlineLevel="0" collapsed="false">
      <c r="A63" s="113" t="str">
        <f aca="false">Checks!$A$249&amp;CHAR(10)&amp;IF(Checks!$I$249="","",Checks!$I$249&amp;": ")&amp;Checks!$J$249</f>
        <v>F07-UPL-05
Amenities: Pajamas (BC) - on board</v>
      </c>
      <c r="B63" s="113" t="str">
        <f aca="false">Checks!$K$249&amp;IF(Checks!$O$249="","",IF(Checks!$K$249="","",CHAR(10))&amp;"Note: "&amp;Checks!$O$249)</f>
        <v>Available - BC red-eye only
Note: Reference limits BC pajamas to red-eye flights; STD 1100 local arriving 0645+1 - confirm whether this leg counts as red-eye.</v>
      </c>
      <c r="C63" s="113" t="str">
        <f aca="false">Checks!$N$249&amp;CHAR(10)&amp;IF(ISNUMBER(Checks!$R$249),TEXT(Checks!$R$249,"DD-MMM-YY HH:MM"),"")&amp;" "&amp;Checks!$P$249</f>
        <v>Clarification required
09-Oct-26 11:00 LHR</v>
      </c>
      <c r="D63" s="113" t="str">
        <f aca="false">IF(Checks!$U$249="","",Checks!$U$249)&amp;IF(Checks!$AB$249="","",CHAR(10)&amp;"CA: "&amp;Checks!$AB$249)</f>
        <v/>
      </c>
      <c r="E63" s="113" t="str">
        <f aca="false">IF(Checks!$V$249="","",Checks!$V$249)&amp;IF(Checks!$AC$249="","",IF(Checks!$V$249="","",CHAR(10))&amp;"N/A just.: "&amp;Checks!$AC$249)&amp;IF(Checks!$W$249="","",CHAR(10)&amp;"Batch: "&amp;Checks!$W$249)&amp;IF(AND(Checks!$X$249="",Checks!$Y$249=""),"",CHAR(10)&amp;"Exp: "&amp;Checks!$X$249&amp;"  /  Act: "&amp;Checks!$Y$249)</f>
        <v/>
      </c>
      <c r="F63" s="113" t="str">
        <f aca="false">IF(Checks!$Z$249="","","Evidence: "&amp;Checks!$Z$249)&amp;IF(Checks!$AA$249="","",IF(Checks!$Z$249="","",CHAR(10))&amp;"CA: "&amp;Checks!$AA$249)</f>
        <v/>
      </c>
      <c r="G63" s="113" t="str">
        <f aca="false">IF(ISNUMBER(Checks!$AD$249),TEXT(Checks!$AD$249,"DD-MMM-YY HH:MM")&amp;" "&amp;Checks!$P$249,"")&amp;IF(Checks!$AE$249="","",CHAR(10)&amp;"Verifier: "&amp;Checks!$AE$249)&amp;IF(Checks!$T$249="","",CHAR(10)&amp;"PIC: "&amp;Checks!$T$249)</f>
        <v/>
      </c>
      <c r="H63" s="114" t="str">
        <f aca="false">IF(Checks!$AH$249="","",Checks!$AH$249)</f>
        <v>OPEN – CLARIFICATION</v>
      </c>
    </row>
    <row r="64" customFormat="false" ht="114" hidden="false" customHeight="true" outlineLevel="0" collapsed="false">
      <c r="A64" s="113" t="str">
        <f aca="false">Checks!$A$250&amp;CHAR(10)&amp;IF(Checks!$I$250="","",Checks!$I$250&amp;": ")&amp;Checks!$J$250</f>
        <v>F07-UPL-06
Amenities: Slippers (BS/BC) - on board</v>
      </c>
      <c r="B64" s="113" t="str">
        <f aca="false">Checks!$K$250&amp;IF(Checks!$O$250="","",IF(Checks!$K$250="","",CHAR(10))&amp;"Note: "&amp;Checks!$O$250)</f>
        <v>Available (ticked in reference)</v>
      </c>
      <c r="C64" s="113" t="str">
        <f aca="false">Checks!$N$250&amp;CHAR(10)&amp;IF(ISNUMBER(Checks!$R$250),TEXT(Checks!$R$250,"DD-MMM-YY HH:MM"),"")&amp;" "&amp;Checks!$P$250</f>
        <v>Required
09-Oct-26 11:00 LHR</v>
      </c>
      <c r="D64" s="113" t="str">
        <f aca="false">IF(Checks!$U$250="","",Checks!$U$250)&amp;IF(Checks!$AB$250="","",CHAR(10)&amp;"CA: "&amp;Checks!$AB$250)</f>
        <v/>
      </c>
      <c r="E64" s="113" t="str">
        <f aca="false">IF(Checks!$V$250="","",Checks!$V$250)&amp;IF(Checks!$AC$250="","",IF(Checks!$V$250="","",CHAR(10))&amp;"N/A just.: "&amp;Checks!$AC$250)&amp;IF(Checks!$W$250="","",CHAR(10)&amp;"Batch: "&amp;Checks!$W$250)&amp;IF(AND(Checks!$X$250="",Checks!$Y$250=""),"",CHAR(10)&amp;"Exp: "&amp;Checks!$X$250&amp;"  /  Act: "&amp;Checks!$Y$250)</f>
        <v/>
      </c>
      <c r="F64" s="113" t="str">
        <f aca="false">IF(Checks!$Z$250="","","Evidence: "&amp;Checks!$Z$250)&amp;IF(Checks!$AA$250="","",IF(Checks!$Z$250="","",CHAR(10))&amp;"CA: "&amp;Checks!$AA$250)</f>
        <v/>
      </c>
      <c r="G64" s="113" t="str">
        <f aca="false">IF(ISNUMBER(Checks!$AD$250),TEXT(Checks!$AD$250,"DD-MMM-YY HH:MM")&amp;" "&amp;Checks!$P$250,"")&amp;IF(Checks!$AE$250="","",CHAR(10)&amp;"Verifier: "&amp;Checks!$AE$250)&amp;IF(Checks!$T$250="","",CHAR(10)&amp;"PIC: "&amp;Checks!$T$250)</f>
        <v/>
      </c>
      <c r="H64" s="114" t="str">
        <f aca="false">IF(Checks!$AH$250="","",Checks!$AH$250)</f>
        <v>OPEN</v>
      </c>
    </row>
    <row r="65" customFormat="false" ht="114" hidden="false" customHeight="true" outlineLevel="0" collapsed="false">
      <c r="A65" s="113" t="str">
        <f aca="false">Checks!$A$251&amp;CHAR(10)&amp;IF(Checks!$I$251="","",Checks!$I$251&amp;": ")&amp;Checks!$J$251</f>
        <v>F07-UPL-07
F&amp;B Linen: Towel - on board</v>
      </c>
      <c r="B65" s="113" t="str">
        <f aca="false">Checks!$K$251&amp;IF(Checks!$O$251="","",IF(Checks!$K$251="","",CHAR(10))&amp;"Note: "&amp;Checks!$O$251)</f>
        <v>Available (ticked in reference)</v>
      </c>
      <c r="C65" s="113" t="str">
        <f aca="false">Checks!$N$251&amp;CHAR(10)&amp;IF(ISNUMBER(Checks!$R$251),TEXT(Checks!$R$251,"DD-MMM-YY HH:MM"),"")&amp;" "&amp;Checks!$P$251</f>
        <v>Required
09-Oct-26 11:00 LHR</v>
      </c>
      <c r="D65" s="113" t="str">
        <f aca="false">IF(Checks!$U$251="","",Checks!$U$251)&amp;IF(Checks!$AB$251="","",CHAR(10)&amp;"CA: "&amp;Checks!$AB$251)</f>
        <v/>
      </c>
      <c r="E65" s="113" t="str">
        <f aca="false">IF(Checks!$V$251="","",Checks!$V$251)&amp;IF(Checks!$AC$251="","",IF(Checks!$V$251="","",CHAR(10))&amp;"N/A just.: "&amp;Checks!$AC$251)&amp;IF(Checks!$W$251="","",CHAR(10)&amp;"Batch: "&amp;Checks!$W$251)&amp;IF(AND(Checks!$X$251="",Checks!$Y$251=""),"",CHAR(10)&amp;"Exp: "&amp;Checks!$X$251&amp;"  /  Act: "&amp;Checks!$Y$251)</f>
        <v/>
      </c>
      <c r="F65" s="113" t="str">
        <f aca="false">IF(Checks!$Z$251="","","Evidence: "&amp;Checks!$Z$251)&amp;IF(Checks!$AA$251="","",IF(Checks!$Z$251="","",CHAR(10))&amp;"CA: "&amp;Checks!$AA$251)</f>
        <v/>
      </c>
      <c r="G65" s="113" t="str">
        <f aca="false">IF(ISNUMBER(Checks!$AD$251),TEXT(Checks!$AD$251,"DD-MMM-YY HH:MM")&amp;" "&amp;Checks!$P$251,"")&amp;IF(Checks!$AE$251="","",CHAR(10)&amp;"Verifier: "&amp;Checks!$AE$251)&amp;IF(Checks!$T$251="","",CHAR(10)&amp;"PIC: "&amp;Checks!$T$251)</f>
        <v/>
      </c>
      <c r="H65" s="114" t="str">
        <f aca="false">IF(Checks!$AH$251="","",Checks!$AH$251)</f>
        <v>OPEN</v>
      </c>
    </row>
    <row r="66" customFormat="false" ht="114" hidden="false" customHeight="true" outlineLevel="0" collapsed="false">
      <c r="A66" s="113" t="str">
        <f aca="false">Checks!$A$252&amp;CHAR(10)&amp;IF(Checks!$I$252="","",Checks!$I$252&amp;": ")&amp;Checks!$J$252</f>
        <v>F07-UPL-08
F&amp;B Linen: Tray cloth - on board</v>
      </c>
      <c r="B66" s="113" t="str">
        <f aca="false">Checks!$K$252&amp;IF(Checks!$O$252="","",IF(Checks!$K$252="","",CHAR(10))&amp;"Note: "&amp;Checks!$O$252)</f>
        <v>Available (ticked in reference)</v>
      </c>
      <c r="C66" s="113" t="str">
        <f aca="false">Checks!$N$252&amp;CHAR(10)&amp;IF(ISNUMBER(Checks!$R$252),TEXT(Checks!$R$252,"DD-MMM-YY HH:MM"),"")&amp;" "&amp;Checks!$P$252</f>
        <v>Required
09-Oct-26 11:00 LHR</v>
      </c>
      <c r="D66" s="113" t="str">
        <f aca="false">IF(Checks!$U$252="","",Checks!$U$252)&amp;IF(Checks!$AB$252="","",CHAR(10)&amp;"CA: "&amp;Checks!$AB$252)</f>
        <v/>
      </c>
      <c r="E66" s="113" t="str">
        <f aca="false">IF(Checks!$V$252="","",Checks!$V$252)&amp;IF(Checks!$AC$252="","",IF(Checks!$V$252="","",CHAR(10))&amp;"N/A just.: "&amp;Checks!$AC$252)&amp;IF(Checks!$W$252="","",CHAR(10)&amp;"Batch: "&amp;Checks!$W$252)&amp;IF(AND(Checks!$X$252="",Checks!$Y$252=""),"",CHAR(10)&amp;"Exp: "&amp;Checks!$X$252&amp;"  /  Act: "&amp;Checks!$Y$252)</f>
        <v/>
      </c>
      <c r="F66" s="113" t="str">
        <f aca="false">IF(Checks!$Z$252="","","Evidence: "&amp;Checks!$Z$252)&amp;IF(Checks!$AA$252="","",IF(Checks!$Z$252="","",CHAR(10))&amp;"CA: "&amp;Checks!$AA$252)</f>
        <v/>
      </c>
      <c r="G66" s="113" t="str">
        <f aca="false">IF(ISNUMBER(Checks!$AD$252),TEXT(Checks!$AD$252,"DD-MMM-YY HH:MM")&amp;" "&amp;Checks!$P$252,"")&amp;IF(Checks!$AE$252="","",CHAR(10)&amp;"Verifier: "&amp;Checks!$AE$252)&amp;IF(Checks!$T$252="","",CHAR(10)&amp;"PIC: "&amp;Checks!$T$252)</f>
        <v/>
      </c>
      <c r="H66" s="114" t="str">
        <f aca="false">IF(Checks!$AH$252="","",Checks!$AH$252)</f>
        <v>OPEN</v>
      </c>
    </row>
    <row r="67" customFormat="false" ht="114" hidden="false" customHeight="true" outlineLevel="0" collapsed="false">
      <c r="A67" s="113" t="str">
        <f aca="false">Checks!$A$253&amp;CHAR(10)&amp;IF(Checks!$I$253="","",Checks!$I$253&amp;": ")&amp;Checks!$J$253</f>
        <v>F07-UPL-09
F&amp;B Linen: Napkin - on board</v>
      </c>
      <c r="B67" s="113" t="str">
        <f aca="false">Checks!$K$253&amp;IF(Checks!$O$253="","",IF(Checks!$K$253="","",CHAR(10))&amp;"Note: "&amp;Checks!$O$253)</f>
        <v>Available (ticked in reference)</v>
      </c>
      <c r="C67" s="113" t="str">
        <f aca="false">Checks!$N$253&amp;CHAR(10)&amp;IF(ISNUMBER(Checks!$R$253),TEXT(Checks!$R$253,"DD-MMM-YY HH:MM"),"")&amp;" "&amp;Checks!$P$253</f>
        <v>Required
09-Oct-26 11:00 LHR</v>
      </c>
      <c r="D67" s="113" t="str">
        <f aca="false">IF(Checks!$U$253="","",Checks!$U$253)&amp;IF(Checks!$AB$253="","",CHAR(10)&amp;"CA: "&amp;Checks!$AB$253)</f>
        <v/>
      </c>
      <c r="E67" s="113" t="str">
        <f aca="false">IF(Checks!$V$253="","",Checks!$V$253)&amp;IF(Checks!$AC$253="","",IF(Checks!$V$253="","",CHAR(10))&amp;"N/A just.: "&amp;Checks!$AC$253)&amp;IF(Checks!$W$253="","",CHAR(10)&amp;"Batch: "&amp;Checks!$W$253)&amp;IF(AND(Checks!$X$253="",Checks!$Y$253=""),"",CHAR(10)&amp;"Exp: "&amp;Checks!$X$253&amp;"  /  Act: "&amp;Checks!$Y$253)</f>
        <v/>
      </c>
      <c r="F67" s="113" t="str">
        <f aca="false">IF(Checks!$Z$253="","","Evidence: "&amp;Checks!$Z$253)&amp;IF(Checks!$AA$253="","",IF(Checks!$Z$253="","",CHAR(10))&amp;"CA: "&amp;Checks!$AA$253)</f>
        <v/>
      </c>
      <c r="G67" s="113" t="str">
        <f aca="false">IF(ISNUMBER(Checks!$AD$253),TEXT(Checks!$AD$253,"DD-MMM-YY HH:MM")&amp;" "&amp;Checks!$P$253,"")&amp;IF(Checks!$AE$253="","",CHAR(10)&amp;"Verifier: "&amp;Checks!$AE$253)&amp;IF(Checks!$T$253="","",CHAR(10)&amp;"PIC: "&amp;Checks!$T$253)</f>
        <v/>
      </c>
      <c r="H67" s="114" t="str">
        <f aca="false">IF(Checks!$AH$253="","",Checks!$AH$253)</f>
        <v>OPEN</v>
      </c>
    </row>
    <row r="68" customFormat="false" ht="114" hidden="false" customHeight="true" outlineLevel="0" collapsed="false">
      <c r="A68" s="113" t="str">
        <f aca="false">Checks!$A$254&amp;CHAR(10)&amp;IF(Checks!$I$254="","",Checks!$I$254&amp;": ")&amp;Checks!$J$254</f>
        <v>F07-UPL-10
F&amp;B Linen: Table cloth - on board</v>
      </c>
      <c r="B68" s="113" t="str">
        <f aca="false">Checks!$K$254&amp;IF(Checks!$O$254="","",IF(Checks!$K$254="","",CHAR(10))&amp;"Note: "&amp;Checks!$O$254)</f>
        <v>Available (ticked in reference)</v>
      </c>
      <c r="C68" s="113" t="str">
        <f aca="false">Checks!$N$254&amp;CHAR(10)&amp;IF(ISNUMBER(Checks!$R$254),TEXT(Checks!$R$254,"DD-MMM-YY HH:MM"),"")&amp;" "&amp;Checks!$P$254</f>
        <v>Required
09-Oct-26 11:00 LHR</v>
      </c>
      <c r="D68" s="113" t="str">
        <f aca="false">IF(Checks!$U$254="","",Checks!$U$254)&amp;IF(Checks!$AB$254="","",CHAR(10)&amp;"CA: "&amp;Checks!$AB$254)</f>
        <v/>
      </c>
      <c r="E68" s="113" t="str">
        <f aca="false">IF(Checks!$V$254="","",Checks!$V$254)&amp;IF(Checks!$AC$254="","",IF(Checks!$V$254="","",CHAR(10))&amp;"N/A just.: "&amp;Checks!$AC$254)&amp;IF(Checks!$W$254="","",CHAR(10)&amp;"Batch: "&amp;Checks!$W$254)&amp;IF(AND(Checks!$X$254="",Checks!$Y$254=""),"",CHAR(10)&amp;"Exp: "&amp;Checks!$X$254&amp;"  /  Act: "&amp;Checks!$Y$254)</f>
        <v/>
      </c>
      <c r="F68" s="113" t="str">
        <f aca="false">IF(Checks!$Z$254="","","Evidence: "&amp;Checks!$Z$254)&amp;IF(Checks!$AA$254="","",IF(Checks!$Z$254="","",CHAR(10))&amp;"CA: "&amp;Checks!$AA$254)</f>
        <v/>
      </c>
      <c r="G68" s="113" t="str">
        <f aca="false">IF(ISNUMBER(Checks!$AD$254),TEXT(Checks!$AD$254,"DD-MMM-YY HH:MM")&amp;" "&amp;Checks!$P$254,"")&amp;IF(Checks!$AE$254="","",CHAR(10)&amp;"Verifier: "&amp;Checks!$AE$254)&amp;IF(Checks!$T$254="","",CHAR(10)&amp;"PIC: "&amp;Checks!$T$254)</f>
        <v/>
      </c>
      <c r="H68" s="114" t="str">
        <f aca="false">IF(Checks!$AH$254="","",Checks!$AH$254)</f>
        <v>OPEN</v>
      </c>
    </row>
    <row r="69" customFormat="false" ht="114" hidden="false" customHeight="true" outlineLevel="0" collapsed="false">
      <c r="A69" s="113" t="str">
        <f aca="false">Checks!$A$255&amp;CHAR(10)&amp;IF(Checks!$I$255="","",Checks!$I$255&amp;": ")&amp;Checks!$J$255</f>
        <v>F07-UPL-11
F&amp;B Linen: Bread linen (using table cloth) - on board</v>
      </c>
      <c r="B69" s="113" t="str">
        <f aca="false">Checks!$K$255&amp;IF(Checks!$O$255="","",IF(Checks!$K$255="","",CHAR(10))&amp;"Note: "&amp;Checks!$O$255)</f>
        <v>Available (ticked in reference)</v>
      </c>
      <c r="C69" s="113" t="str">
        <f aca="false">Checks!$N$255&amp;CHAR(10)&amp;IF(ISNUMBER(Checks!$R$255),TEXT(Checks!$R$255,"DD-MMM-YY HH:MM"),"")&amp;" "&amp;Checks!$P$255</f>
        <v>Required
09-Oct-26 11:00 LHR</v>
      </c>
      <c r="D69" s="113" t="str">
        <f aca="false">IF(Checks!$U$255="","",Checks!$U$255)&amp;IF(Checks!$AB$255="","",CHAR(10)&amp;"CA: "&amp;Checks!$AB$255)</f>
        <v/>
      </c>
      <c r="E69" s="113" t="str">
        <f aca="false">IF(Checks!$V$255="","",Checks!$V$255)&amp;IF(Checks!$AC$255="","",IF(Checks!$V$255="","",CHAR(10))&amp;"N/A just.: "&amp;Checks!$AC$255)&amp;IF(Checks!$W$255="","",CHAR(10)&amp;"Batch: "&amp;Checks!$W$255)&amp;IF(AND(Checks!$X$255="",Checks!$Y$255=""),"",CHAR(10)&amp;"Exp: "&amp;Checks!$X$255&amp;"  /  Act: "&amp;Checks!$Y$255)</f>
        <v/>
      </c>
      <c r="F69" s="113" t="str">
        <f aca="false">IF(Checks!$Z$255="","","Evidence: "&amp;Checks!$Z$255)&amp;IF(Checks!$AA$255="","",IF(Checks!$Z$255="","",CHAR(10))&amp;"CA: "&amp;Checks!$AA$255)</f>
        <v/>
      </c>
      <c r="G69" s="113" t="str">
        <f aca="false">IF(ISNUMBER(Checks!$AD$255),TEXT(Checks!$AD$255,"DD-MMM-YY HH:MM")&amp;" "&amp;Checks!$P$255,"")&amp;IF(Checks!$AE$255="","",CHAR(10)&amp;"Verifier: "&amp;Checks!$AE$255)&amp;IF(Checks!$T$255="","",CHAR(10)&amp;"PIC: "&amp;Checks!$T$255)</f>
        <v/>
      </c>
      <c r="H69" s="114" t="str">
        <f aca="false">IF(Checks!$AH$255="","",Checks!$AH$255)</f>
        <v>OPEN</v>
      </c>
    </row>
    <row r="70" customFormat="false" ht="114" hidden="false" customHeight="true" outlineLevel="0" collapsed="false">
      <c r="A70" s="113" t="str">
        <f aca="false">Checks!$A$256&amp;CHAR(10)&amp;IF(Checks!$I$256="","",Checks!$I$256&amp;": ")&amp;Checks!$J$256</f>
        <v>F07-UPL-12
F&amp;B Linen: Trolley cloth - on board</v>
      </c>
      <c r="B70" s="113" t="str">
        <f aca="false">SUBSTITUTE(Checks!$K$256&amp;IF(Checks!$O$256="","",IF(Checks!$K$256="","",CHAR(10))&amp;"Note: "&amp;Checks!$O$256),"F&amp;B LINEN!","Ref: F&amp;B LINEN!")</f>
        <v>Wide body: Top/Middle &amp; Bottom
Note: Per note Ref: F&amp;B LINEN!B79:C80.</v>
      </c>
      <c r="C70" s="113" t="str">
        <f aca="false">Checks!$N$256&amp;CHAR(10)&amp;IF(ISNUMBER(Checks!$R$256),TEXT(Checks!$R$256,"DD-MMM-YY HH:MM"),"")&amp;" "&amp;Checks!$P$256</f>
        <v>Required
09-Oct-26 11:00 LHR</v>
      </c>
      <c r="D70" s="113" t="str">
        <f aca="false">IF(Checks!$U$256="","",Checks!$U$256)&amp;IF(Checks!$AB$256="","",CHAR(10)&amp;"CA: "&amp;Checks!$AB$256)</f>
        <v/>
      </c>
      <c r="E70" s="113" t="str">
        <f aca="false">IF(Checks!$V$256="","",Checks!$V$256)&amp;IF(Checks!$AC$256="","",IF(Checks!$V$256="","",CHAR(10))&amp;"N/A just.: "&amp;Checks!$AC$256)&amp;IF(Checks!$W$256="","",CHAR(10)&amp;"Batch: "&amp;Checks!$W$256)&amp;IF(AND(Checks!$X$256="",Checks!$Y$256=""),"",CHAR(10)&amp;"Exp: "&amp;Checks!$X$256&amp;"  /  Act: "&amp;Checks!$Y$256)</f>
        <v/>
      </c>
      <c r="F70" s="113" t="str">
        <f aca="false">IF(Checks!$Z$256="","","Evidence: "&amp;Checks!$Z$256)&amp;IF(Checks!$AA$256="","",IF(Checks!$Z$256="","",CHAR(10))&amp;"CA: "&amp;Checks!$AA$256)</f>
        <v/>
      </c>
      <c r="G70" s="113" t="str">
        <f aca="false">IF(ISNUMBER(Checks!$AD$256),TEXT(Checks!$AD$256,"DD-MMM-YY HH:MM")&amp;" "&amp;Checks!$P$256,"")&amp;IF(Checks!$AE$256="","",CHAR(10)&amp;"Verifier: "&amp;Checks!$AE$256)&amp;IF(Checks!$T$256="","",CHAR(10)&amp;"PIC: "&amp;Checks!$T$256)</f>
        <v/>
      </c>
      <c r="H70" s="114" t="str">
        <f aca="false">IF(Checks!$AH$256="","",Checks!$AH$256)</f>
        <v>OPEN</v>
      </c>
    </row>
    <row r="71" customFormat="false" ht="114" hidden="false" customHeight="true" outlineLevel="0" collapsed="false">
      <c r="A71" s="113" t="str">
        <f aca="false">Checks!$A$257&amp;CHAR(10)&amp;IF(Checks!$I$257="","",Checks!$I$257&amp;": ")&amp;Checks!$J$257</f>
        <v>F07-UPL-13
F&amp;B Linen: Linen bag - on board</v>
      </c>
      <c r="B71" s="113" t="str">
        <f aca="false">Checks!$K$257&amp;IF(Checks!$O$257="","",IF(Checks!$K$257="","",CHAR(10))&amp;"Note: "&amp;Checks!$O$257)</f>
        <v>Available (ticked in reference)</v>
      </c>
      <c r="C71" s="113" t="str">
        <f aca="false">Checks!$N$257&amp;CHAR(10)&amp;IF(ISNUMBER(Checks!$R$257),TEXT(Checks!$R$257,"DD-MMM-YY HH:MM"),"")&amp;" "&amp;Checks!$P$257</f>
        <v>Required
09-Oct-26 11:00 LHR</v>
      </c>
      <c r="D71" s="113" t="str">
        <f aca="false">IF(Checks!$U$257="","",Checks!$U$257)&amp;IF(Checks!$AB$257="","",CHAR(10)&amp;"CA: "&amp;Checks!$AB$257)</f>
        <v/>
      </c>
      <c r="E71" s="113" t="str">
        <f aca="false">IF(Checks!$V$257="","",Checks!$V$257)&amp;IF(Checks!$AC$257="","",IF(Checks!$V$257="","",CHAR(10))&amp;"N/A just.: "&amp;Checks!$AC$257)&amp;IF(Checks!$W$257="","",CHAR(10)&amp;"Batch: "&amp;Checks!$W$257)&amp;IF(AND(Checks!$X$257="",Checks!$Y$257=""),"",CHAR(10)&amp;"Exp: "&amp;Checks!$X$257&amp;"  /  Act: "&amp;Checks!$Y$257)</f>
        <v/>
      </c>
      <c r="F71" s="113" t="str">
        <f aca="false">IF(Checks!$Z$257="","","Evidence: "&amp;Checks!$Z$257)&amp;IF(Checks!$AA$257="","",IF(Checks!$Z$257="","",CHAR(10))&amp;"CA: "&amp;Checks!$AA$257)</f>
        <v/>
      </c>
      <c r="G71" s="113" t="str">
        <f aca="false">IF(ISNUMBER(Checks!$AD$257),TEXT(Checks!$AD$257,"DD-MMM-YY HH:MM")&amp;" "&amp;Checks!$P$257,"")&amp;IF(Checks!$AE$257="","",CHAR(10)&amp;"Verifier: "&amp;Checks!$AE$257)&amp;IF(Checks!$T$257="","",CHAR(10)&amp;"PIC: "&amp;Checks!$T$257)</f>
        <v/>
      </c>
      <c r="H71" s="114" t="str">
        <f aca="false">IF(Checks!$AH$257="","",Checks!$AH$257)</f>
        <v>OPEN</v>
      </c>
    </row>
    <row r="72" customFormat="false" ht="114" hidden="false" customHeight="true" outlineLevel="0" collapsed="false">
      <c r="A72" s="113" t="str">
        <f aca="false">Checks!$A$258&amp;CHAR(10)&amp;IF(Checks!$I$258="","",Checks!$I$258&amp;": ")&amp;Checks!$J$258</f>
        <v>F07-UPL-14
Seat Linen: Seat pillow (BS &amp; BC) - on board</v>
      </c>
      <c r="B72" s="113" t="str">
        <f aca="false">Checks!$K$258&amp;IF(Checks!$O$258="","",IF(Checks!$K$258="","",CHAR(10))&amp;"Note: "&amp;Checks!$O$258)</f>
        <v>Available 100% (ticked in reference)</v>
      </c>
      <c r="C72" s="113" t="str">
        <f aca="false">Checks!$N$258&amp;CHAR(10)&amp;IF(ISNUMBER(Checks!$R$258),TEXT(Checks!$R$258,"DD-MMM-YY HH:MM"),"")&amp;" "&amp;Checks!$P$258</f>
        <v>Required
09-Oct-26 11:00 LHR</v>
      </c>
      <c r="D72" s="113" t="str">
        <f aca="false">IF(Checks!$U$258="","",Checks!$U$258)&amp;IF(Checks!$AB$258="","",CHAR(10)&amp;"CA: "&amp;Checks!$AB$258)</f>
        <v/>
      </c>
      <c r="E72" s="113" t="str">
        <f aca="false">IF(Checks!$V$258="","",Checks!$V$258)&amp;IF(Checks!$AC$258="","",IF(Checks!$V$258="","",CHAR(10))&amp;"N/A just.: "&amp;Checks!$AC$258)&amp;IF(Checks!$W$258="","",CHAR(10)&amp;"Batch: "&amp;Checks!$W$258)&amp;IF(AND(Checks!$X$258="",Checks!$Y$258=""),"",CHAR(10)&amp;"Exp: "&amp;Checks!$X$258&amp;"  /  Act: "&amp;Checks!$Y$258)</f>
        <v/>
      </c>
      <c r="F72" s="113" t="str">
        <f aca="false">IF(Checks!$Z$258="","","Evidence: "&amp;Checks!$Z$258)&amp;IF(Checks!$AA$258="","",IF(Checks!$Z$258="","",CHAR(10))&amp;"CA: "&amp;Checks!$AA$258)</f>
        <v/>
      </c>
      <c r="G72" s="113" t="str">
        <f aca="false">IF(ISNUMBER(Checks!$AD$258),TEXT(Checks!$AD$258,"DD-MMM-YY HH:MM")&amp;" "&amp;Checks!$P$258,"")&amp;IF(Checks!$AE$258="","",CHAR(10)&amp;"Verifier: "&amp;Checks!$AE$258)&amp;IF(Checks!$T$258="","",CHAR(10)&amp;"PIC: "&amp;Checks!$T$258)</f>
        <v/>
      </c>
      <c r="H72" s="114" t="str">
        <f aca="false">IF(Checks!$AH$258="","",Checks!$AH$258)</f>
        <v>OPEN</v>
      </c>
    </row>
    <row r="73" customFormat="false" ht="114" hidden="false" customHeight="true" outlineLevel="0" collapsed="false">
      <c r="A73" s="113" t="str">
        <f aca="false">Checks!$A$259&amp;CHAR(10)&amp;IF(Checks!$I$259="","",Checks!$I$259&amp;": ")&amp;Checks!$J$259</f>
        <v>F07-UPL-15
Seat Linen: Duvet (BS &amp; BC) - on board</v>
      </c>
      <c r="B73" s="113" t="str">
        <f aca="false">Checks!$K$259&amp;IF(Checks!$O$259="","",IF(Checks!$K$259="","",CHAR(10))&amp;"Note: "&amp;Checks!$O$259)</f>
        <v>Available 100% (ticked in reference)</v>
      </c>
      <c r="C73" s="113" t="str">
        <f aca="false">Checks!$N$259&amp;CHAR(10)&amp;IF(ISNUMBER(Checks!$R$259),TEXT(Checks!$R$259,"DD-MMM-YY HH:MM"),"")&amp;" "&amp;Checks!$P$259</f>
        <v>Required
09-Oct-26 11:00 LHR</v>
      </c>
      <c r="D73" s="113" t="str">
        <f aca="false">IF(Checks!$U$259="","",Checks!$U$259)&amp;IF(Checks!$AB$259="","",CHAR(10)&amp;"CA: "&amp;Checks!$AB$259)</f>
        <v/>
      </c>
      <c r="E73" s="113" t="str">
        <f aca="false">IF(Checks!$V$259="","",Checks!$V$259)&amp;IF(Checks!$AC$259="","",IF(Checks!$V$259="","",CHAR(10))&amp;"N/A just.: "&amp;Checks!$AC$259)&amp;IF(Checks!$W$259="","",CHAR(10)&amp;"Batch: "&amp;Checks!$W$259)&amp;IF(AND(Checks!$X$259="",Checks!$Y$259=""),"",CHAR(10)&amp;"Exp: "&amp;Checks!$X$259&amp;"  /  Act: "&amp;Checks!$Y$259)</f>
        <v/>
      </c>
      <c r="F73" s="113" t="str">
        <f aca="false">IF(Checks!$Z$259="","","Evidence: "&amp;Checks!$Z$259)&amp;IF(Checks!$AA$259="","",IF(Checks!$Z$259="","",CHAR(10))&amp;"CA: "&amp;Checks!$AA$259)</f>
        <v/>
      </c>
      <c r="G73" s="113" t="str">
        <f aca="false">IF(ISNUMBER(Checks!$AD$259),TEXT(Checks!$AD$259,"DD-MMM-YY HH:MM")&amp;" "&amp;Checks!$P$259,"")&amp;IF(Checks!$AE$259="","",CHAR(10)&amp;"Verifier: "&amp;Checks!$AE$259)&amp;IF(Checks!$T$259="","",CHAR(10)&amp;"PIC: "&amp;Checks!$T$259)</f>
        <v/>
      </c>
      <c r="H73" s="114" t="str">
        <f aca="false">IF(Checks!$AH$259="","",Checks!$AH$259)</f>
        <v>OPEN</v>
      </c>
    </row>
    <row r="74" customFormat="false" ht="114" hidden="false" customHeight="true" outlineLevel="0" collapsed="false">
      <c r="A74" s="113" t="str">
        <f aca="false">Checks!$A$260&amp;CHAR(10)&amp;IF(Checks!$I$260="","",Checks!$I$260&amp;": ")&amp;Checks!$J$260</f>
        <v>F07-UPL-16
Seat Linen: Mattress (BS &amp; BC) - on board</v>
      </c>
      <c r="B74" s="113" t="str">
        <f aca="false">Checks!$K$260&amp;IF(Checks!$O$260="","",IF(Checks!$K$260="","",CHAR(10))&amp;"Note: "&amp;Checks!$O$260)</f>
        <v>Available 100% (ticked in reference)</v>
      </c>
      <c r="C74" s="113" t="str">
        <f aca="false">Checks!$N$260&amp;CHAR(10)&amp;IF(ISNUMBER(Checks!$R$260),TEXT(Checks!$R$260,"DD-MMM-YY HH:MM"),"")&amp;" "&amp;Checks!$P$260</f>
        <v>Required
09-Oct-26 11:00 LHR</v>
      </c>
      <c r="D74" s="113" t="str">
        <f aca="false">IF(Checks!$U$260="","",Checks!$U$260)&amp;IF(Checks!$AB$260="","",CHAR(10)&amp;"CA: "&amp;Checks!$AB$260)</f>
        <v/>
      </c>
      <c r="E74" s="113" t="str">
        <f aca="false">IF(Checks!$V$260="","",Checks!$V$260)&amp;IF(Checks!$AC$260="","",IF(Checks!$V$260="","",CHAR(10))&amp;"N/A just.: "&amp;Checks!$AC$260)&amp;IF(Checks!$W$260="","",CHAR(10)&amp;"Batch: "&amp;Checks!$W$260)&amp;IF(AND(Checks!$X$260="",Checks!$Y$260=""),"",CHAR(10)&amp;"Exp: "&amp;Checks!$X$260&amp;"  /  Act: "&amp;Checks!$Y$260)</f>
        <v/>
      </c>
      <c r="F74" s="113" t="str">
        <f aca="false">IF(Checks!$Z$260="","","Evidence: "&amp;Checks!$Z$260)&amp;IF(Checks!$AA$260="","",IF(Checks!$Z$260="","",CHAR(10))&amp;"CA: "&amp;Checks!$AA$260)</f>
        <v/>
      </c>
      <c r="G74" s="113" t="str">
        <f aca="false">IF(ISNUMBER(Checks!$AD$260),TEXT(Checks!$AD$260,"DD-MMM-YY HH:MM")&amp;" "&amp;Checks!$P$260,"")&amp;IF(Checks!$AE$260="","",CHAR(10)&amp;"Verifier: "&amp;Checks!$AE$260)&amp;IF(Checks!$T$260="","",CHAR(10)&amp;"PIC: "&amp;Checks!$T$260)</f>
        <v/>
      </c>
      <c r="H74" s="114" t="str">
        <f aca="false">IF(Checks!$AH$260="","",Checks!$AH$260)</f>
        <v>OPEN</v>
      </c>
    </row>
    <row r="75" customFormat="false" ht="114" hidden="false" customHeight="true" outlineLevel="0" collapsed="false">
      <c r="A75" s="113" t="str">
        <f aca="false">Checks!$A$261&amp;CHAR(10)&amp;IF(Checks!$I$261="","",Checks!$I$261&amp;": ")&amp;Checks!$J$261</f>
        <v>F07-UPL-17
Signature Drinks: Signature drink &amp; garnish (BC) - on board</v>
      </c>
      <c r="B75" s="113" t="str">
        <f aca="false">Checks!$K$261&amp;IF(Checks!$O$261="","",IF(Checks!$K$261="","",CHAR(10))&amp;"Note: "&amp;Checks!$O$261)</f>
        <v>Available (ticked in reference)
Note: Signature drinks &amp; garnish uplifted from KUL (note D79).</v>
      </c>
      <c r="C75" s="113" t="str">
        <f aca="false">Checks!$N$261&amp;CHAR(10)&amp;IF(ISNUMBER(Checks!$R$261),TEXT(Checks!$R$261,"DD-MMM-YY HH:MM"),"")&amp;" "&amp;Checks!$P$261</f>
        <v>Required
09-Oct-26 11:00 LHR</v>
      </c>
      <c r="D75" s="113" t="str">
        <f aca="false">IF(Checks!$U$261="","",Checks!$U$261)&amp;IF(Checks!$AB$261="","",CHAR(10)&amp;"CA: "&amp;Checks!$AB$261)</f>
        <v/>
      </c>
      <c r="E75" s="113" t="str">
        <f aca="false">IF(Checks!$V$261="","",Checks!$V$261)&amp;IF(Checks!$AC$261="","",IF(Checks!$V$261="","",CHAR(10))&amp;"N/A just.: "&amp;Checks!$AC$261)&amp;IF(Checks!$W$261="","",CHAR(10)&amp;"Batch: "&amp;Checks!$W$261)&amp;IF(AND(Checks!$X$261="",Checks!$Y$261=""),"",CHAR(10)&amp;"Exp: "&amp;Checks!$X$261&amp;"  /  Act: "&amp;Checks!$Y$261)</f>
        <v/>
      </c>
      <c r="F75" s="113" t="str">
        <f aca="false">IF(Checks!$Z$261="","","Evidence: "&amp;Checks!$Z$261)&amp;IF(Checks!$AA$261="","",IF(Checks!$Z$261="","",CHAR(10))&amp;"CA: "&amp;Checks!$AA$261)</f>
        <v/>
      </c>
      <c r="G75" s="113" t="str">
        <f aca="false">IF(ISNUMBER(Checks!$AD$261),TEXT(Checks!$AD$261,"DD-MMM-YY HH:MM")&amp;" "&amp;Checks!$P$261,"")&amp;IF(Checks!$AE$261="","",CHAR(10)&amp;"Verifier: "&amp;Checks!$AE$261)&amp;IF(Checks!$T$261="","",CHAR(10)&amp;"PIC: "&amp;Checks!$T$261)</f>
        <v/>
      </c>
      <c r="H75" s="114" t="str">
        <f aca="false">IF(Checks!$AH$261="","",Checks!$AH$261)</f>
        <v>OPEN</v>
      </c>
    </row>
    <row r="77" customFormat="false" ht="24" hidden="false" customHeight="true" outlineLevel="0" collapsed="false">
      <c r="A77" s="115" t="s">
        <v>1650</v>
      </c>
      <c r="B77" s="115"/>
      <c r="C77" s="115"/>
      <c r="D77" s="115"/>
      <c r="E77" s="115" t="s">
        <v>1651</v>
      </c>
      <c r="F77" s="115"/>
      <c r="G77" s="115"/>
      <c r="H77" s="115"/>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row r="85" customFormat="false" ht="21.75" hidden="false" customHeight="true" outlineLevel="0" collapsed="false">
      <c r="A85" s="116"/>
      <c r="B85" s="116"/>
      <c r="C85" s="116"/>
      <c r="D85" s="116"/>
      <c r="E85" s="116"/>
      <c r="F85" s="116"/>
      <c r="G85" s="116"/>
      <c r="H85" s="116"/>
    </row>
    <row r="86" customFormat="false" ht="21.75" hidden="false" customHeight="true" outlineLevel="0" collapsed="false">
      <c r="A86" s="116"/>
      <c r="B86" s="116"/>
      <c r="C86" s="116"/>
      <c r="D86" s="116"/>
      <c r="E86" s="116"/>
      <c r="F86" s="116"/>
      <c r="G86" s="116"/>
      <c r="H86" s="116"/>
    </row>
    <row r="87" customFormat="false" ht="21.75" hidden="false" customHeight="true" outlineLevel="0" collapsed="false">
      <c r="A87" s="116"/>
      <c r="B87" s="116"/>
      <c r="C87" s="116"/>
      <c r="D87" s="116"/>
      <c r="E87" s="116"/>
      <c r="F87" s="116"/>
      <c r="G87" s="116"/>
      <c r="H87" s="116"/>
    </row>
  </sheetData>
  <sheetProtection sheet="true" formatCells="false" formatColumns="false" formatRows="false" sort="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75">
    <cfRule type="expression" priority="17" aboveAverage="0" equalAverage="0" bottom="0" percent="0" rank="0" text="" dxfId="34">
      <formula>LEFT($H24,3)="N/A"</formula>
    </cfRule>
  </conditionalFormatting>
  <conditionalFormatting sqref="D24:D7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5" manualBreakCount="15">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7" man="true" max="16383" min="0"/>
    <brk id="61" man="true" max="16383" min="0"/>
    <brk id="65" man="true" max="16383" min="0"/>
    <brk id="69" man="true" max="16383" min="0"/>
    <brk id="73"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F08  "&amp;Flights!$F$12&amp;"  "&amp;TEXT(Flights!$D$12,"DD-MMM-YY")&amp;" ("&amp;Flights!$E$12&amp;")  "&amp;Flights!$G$12&amp;" → "&amp;Flights!$H$12&amp;"  |  Class "&amp;Flights!$K$12</f>
        <v>SKYTRAX 2026 CATERING READINESS CHECKLIST  |  F08  MH0752  10-Oct-26 (SAT)  KUL → HAN  |  Class EY</v>
      </c>
      <c r="B1" s="91"/>
      <c r="C1" s="91"/>
      <c r="D1" s="91"/>
      <c r="E1" s="91"/>
      <c r="F1" s="91"/>
      <c r="G1" s="91"/>
      <c r="H1" s="91"/>
    </row>
    <row r="2" customFormat="false" ht="12.75" hidden="false" customHeight="true" outlineLevel="0" collapsed="false">
      <c r="A2" s="92" t="s">
        <v>1605</v>
      </c>
      <c r="B2" s="93" t="str">
        <f aca="false">Flights!$F$12&amp;"   "&amp;TEXT(Flights!$D$12,"DD-MMM-YY")&amp;" ("&amp;Flights!$E$12&amp;")"</f>
        <v>MH0752   10-Oct-26 (SAT)</v>
      </c>
      <c r="C2" s="93"/>
      <c r="D2" s="93"/>
      <c r="E2" s="94" t="s">
        <v>1606</v>
      </c>
      <c r="F2" s="95" t="str">
        <f aca="false">Flights!$AT$12</f>
        <v>NOT READY – DOCUMENTS</v>
      </c>
      <c r="G2" s="95"/>
      <c r="H2" s="95"/>
    </row>
    <row r="3" customFormat="false" ht="24" hidden="false" customHeight="true" outlineLevel="0" collapsed="false">
      <c r="A3" s="92" t="s">
        <v>1607</v>
      </c>
      <c r="B3" s="93" t="str">
        <f aca="false">Flights!$G$12&amp;" → "&amp;Flights!$H$12&amp;"   Class "&amp;Flights!$K$12&amp;"   Seat "&amp;Flights!$O$12</f>
        <v>KUL → HAN   Class EY   Seat 4A</v>
      </c>
      <c r="C3" s="93"/>
      <c r="D3" s="93"/>
      <c r="E3" s="94" t="s">
        <v>68</v>
      </c>
      <c r="F3" s="94" t="s">
        <v>1608</v>
      </c>
      <c r="G3" s="94" t="s">
        <v>1609</v>
      </c>
      <c r="H3" s="94"/>
    </row>
    <row r="4" customFormat="false" ht="24" hidden="false" customHeight="true" outlineLevel="0" collapsed="false">
      <c r="A4" s="92" t="s">
        <v>1610</v>
      </c>
      <c r="B4" s="93" t="str">
        <f aca="false">IF(ISNUMBER(Flights!$I$12),TEXT(Flights!$I$12,"DD-MMM-YY HH:MM"),"")&amp;" "&amp;Flights!$G$12&amp;"  →  "&amp;IF(ISNUMBER(Flights!$J$12),TEXT(Flights!$J$12,"DD-MMM-YY HH:MM"),"")&amp;" "&amp;Flights!$H$12</f>
        <v>10-Oct-26 09:35 KUL  →  10-Oct-26 12:15 HAN</v>
      </c>
      <c r="C4" s="93"/>
      <c r="D4" s="93"/>
      <c r="E4" s="92" t="s">
        <v>1611</v>
      </c>
      <c r="F4" s="96" t="str">
        <f aca="false">IF(ISNUMBER(Flights!$AG$12),TEXT(Flights!$AG$12,"DD-MMM-YY HH:MM"),"")&amp;" "&amp;Flights!$V$12</f>
        <v>03-Oct-26 09:35 KUL</v>
      </c>
      <c r="G4" s="97" t="n">
        <f aca="false">Flights!$AJ$12</f>
        <v>0</v>
      </c>
      <c r="H4" s="97"/>
    </row>
    <row r="5" customFormat="false" ht="24" hidden="false" customHeight="true" outlineLevel="0" collapsed="false">
      <c r="A5" s="92" t="s">
        <v>1612</v>
      </c>
      <c r="B5" s="93" t="str">
        <f aca="false">Flights!$L$12&amp;" – "&amp;Flights!$M$12</f>
        <v>B738MAX – B737-8 (B7M8)</v>
      </c>
      <c r="C5" s="93"/>
      <c r="D5" s="93"/>
      <c r="E5" s="92" t="s">
        <v>1613</v>
      </c>
      <c r="F5" s="96" t="str">
        <f aca="false">IF(ISNUMBER(Flights!$AH$12),TEXT(Flights!$AH$12,"DD-MMM-YY HH:MM"),"")&amp;" "&amp;Flights!$V$12</f>
        <v>09-Oct-26 09:35 KUL</v>
      </c>
      <c r="G5" s="97" t="n">
        <f aca="false">Flights!$AK$12</f>
        <v>0</v>
      </c>
      <c r="H5" s="97"/>
    </row>
    <row r="6" customFormat="false" ht="24" hidden="false" customHeight="true" outlineLevel="0" collapsed="false">
      <c r="A6" s="92" t="s">
        <v>1614</v>
      </c>
      <c r="B6" s="93" t="str">
        <f aca="false">IF(TRIM(Flights!$N$12)="","__________________",Flights!$N$12)</f>
        <v>__________________</v>
      </c>
      <c r="C6" s="93"/>
      <c r="D6" s="93"/>
      <c r="E6" s="92" t="s">
        <v>1615</v>
      </c>
      <c r="F6" s="96" t="str">
        <f aca="false">IF(ISNUMBER(Flights!$AI$12),TEXT(Flights!$AI$12,"DD-MMM-YY HH:MM"),"")&amp;" "&amp;Flights!$V$12&amp;IF(Flights!$AI$12=Flights!$AH$12,"  (= T-24H due)","")</f>
        <v>09-Oct-26 21:35 KUL</v>
      </c>
      <c r="G6" s="97" t="n">
        <f aca="false">Flights!$AL$12</f>
        <v>0</v>
      </c>
      <c r="H6" s="97"/>
    </row>
    <row r="7" customFormat="false" ht="24" hidden="false" customHeight="true" outlineLevel="0" collapsed="false">
      <c r="A7" s="92" t="s">
        <v>1616</v>
      </c>
      <c r="B7" s="93" t="str">
        <f aca="false">Flights!$T$12</f>
        <v>1 Meal (Meal)</v>
      </c>
      <c r="C7" s="93"/>
      <c r="D7" s="93"/>
      <c r="E7" s="92" t="s">
        <v>1617</v>
      </c>
      <c r="F7" s="96" t="str">
        <f aca="false">"STD "&amp;IF(ISNUMBER(Flights!$I$12),TEXT(Flights!$I$12,"DD-MMM-YY HH:MM"),"")&amp;" "&amp;Flights!$G$12&amp;" (dep stn)"</f>
        <v>STD 10-Oct-26 09:35 KUL (dep stn)</v>
      </c>
      <c r="G7" s="97" t="n">
        <f aca="false">Flights!$AM$12</f>
        <v>0</v>
      </c>
      <c r="H7" s="97"/>
    </row>
    <row r="8" customFormat="false" ht="12.75" hidden="false" customHeight="true" outlineLevel="0" collapsed="false">
      <c r="A8" s="92" t="s">
        <v>150</v>
      </c>
      <c r="B8" s="93" t="str">
        <f aca="false">Flights!$V$12&amp;"   (reference uplift stns: "&amp;Flights!$U$12&amp;")"</f>
        <v>KUL   (reference uplift stns: KUL/HAN)</v>
      </c>
      <c r="C8" s="93"/>
      <c r="D8" s="93"/>
      <c r="E8" s="92" t="s">
        <v>1618</v>
      </c>
      <c r="F8" s="98" t="s">
        <v>1619</v>
      </c>
      <c r="G8" s="97" t="n">
        <f aca="false">Flights!$AN$12</f>
        <v>0</v>
      </c>
      <c r="H8" s="97"/>
    </row>
    <row r="9" customFormat="false" ht="12.75" hidden="false" customHeight="true" outlineLevel="0" collapsed="false">
      <c r="A9" s="92" t="s">
        <v>1620</v>
      </c>
      <c r="B9" s="93" t="str">
        <f aca="false">TRIM(Flights!$P$12&amp;"  "&amp;Flights!$Q$12)</f>
        <v>2H 50M Overnight HAN</v>
      </c>
      <c r="C9" s="93"/>
      <c r="D9" s="93"/>
      <c r="E9" s="92" t="s">
        <v>1621</v>
      </c>
      <c r="F9" s="99" t="n">
        <f aca="false">Flights!$AP$12</f>
        <v>0</v>
      </c>
      <c r="G9" s="99" t="n">
        <f aca="false">Flights!$AQ$12</f>
        <v>0</v>
      </c>
      <c r="H9" s="99" t="n">
        <f aca="false">Flights!$AU$12</f>
        <v>0</v>
      </c>
    </row>
    <row r="10" customFormat="false" ht="24" hidden="false" customHeight="true" outlineLevel="0" collapsed="false">
      <c r="A10" s="92" t="s">
        <v>1622</v>
      </c>
      <c r="B10" s="93" t="str">
        <f aca="false">IF(TRIM(Flights!$X$12)="","__________________",Flights!$X$12)</f>
        <v>__________________</v>
      </c>
      <c r="C10" s="93"/>
      <c r="D10" s="93"/>
      <c r="E10" s="92" t="s">
        <v>1623</v>
      </c>
      <c r="F10" s="99" t="n">
        <f aca="false">Flights!$AO$12</f>
        <v>20</v>
      </c>
      <c r="G10" s="99" t="n">
        <f aca="false">Flights!$AS$12</f>
        <v>0</v>
      </c>
      <c r="H10" s="99" t="n">
        <f aca="false">Flights!$AR$12</f>
        <v>2</v>
      </c>
    </row>
    <row r="11" customFormat="false" ht="21" hidden="false" customHeight="true" outlineLevel="0" collapsed="false">
      <c r="A11" s="92" t="s">
        <v>1624</v>
      </c>
      <c r="B11" s="93" t="str">
        <f aca="false">IF(TRIM(Flights!$Y$12)="","__________________",Flights!$Y$12)</f>
        <v>__________________</v>
      </c>
      <c r="C11" s="93"/>
      <c r="D11" s="93"/>
      <c r="E11" s="92" t="s">
        <v>1625</v>
      </c>
      <c r="F11" s="99" t="str">
        <f aca="false">Flights!$AV$12&amp;" / "&amp;Flights!$AW$12</f>
        <v>0 / 20</v>
      </c>
      <c r="G11" s="100" t="str">
        <f aca="false">IF(ISNUMBER(Settings!$B$6),TEXT(Settings!$B$6,"DD-MMM-YY HH:MM"),"")</f>
        <v>28-Sep-26 03:19</v>
      </c>
      <c r="H11" s="100"/>
    </row>
    <row r="12" customFormat="false" ht="34.5" hidden="false" customHeight="true" outlineLevel="0" collapsed="false">
      <c r="A12" s="101" t="s">
        <v>1626</v>
      </c>
      <c r="B12" s="101"/>
      <c r="C12" s="101"/>
      <c r="D12" s="101"/>
      <c r="E12" s="102" t="s">
        <v>1627</v>
      </c>
      <c r="F12" s="103" t="s">
        <v>1628</v>
      </c>
      <c r="G12" s="104" t="s">
        <v>89</v>
      </c>
      <c r="H12" s="105" t="s">
        <v>1629</v>
      </c>
    </row>
    <row r="13" customFormat="false" ht="13.5" hidden="false" customHeight="true" outlineLevel="0" collapsed="false">
      <c r="A13" s="94" t="s">
        <v>1630</v>
      </c>
      <c r="B13" s="94" t="s">
        <v>1631</v>
      </c>
      <c r="C13" s="94" t="s">
        <v>1632</v>
      </c>
      <c r="D13" s="94"/>
      <c r="E13" s="94" t="s">
        <v>1633</v>
      </c>
      <c r="F13" s="94" t="s">
        <v>1634</v>
      </c>
      <c r="G13" s="94"/>
      <c r="H13" s="94"/>
    </row>
    <row r="14" customFormat="false" ht="36" hidden="false" customHeight="true" outlineLevel="0" collapsed="false">
      <c r="A14" s="92" t="s">
        <v>1635</v>
      </c>
      <c r="B14" s="93" t="str">
        <f aca="false">IF(Documents!$F$12="","",Documents!$F$12)</f>
        <v/>
      </c>
      <c r="C14" s="98" t="str">
        <f aca="false">IF(Documents!$G$12="","",Documents!$G$12)&amp;IF(ISNUMBER(Documents!$H$12),"  "&amp;TEXT(Documents!$H$12,"DD-MMM-YY"),"")</f>
        <v/>
      </c>
      <c r="D14" s="98"/>
      <c r="E14" s="106" t="str">
        <f aca="false">IF(Documents!$J$12="OUTSTANDING","OUTSTANDING – attach before T-7D (due "&amp;IF(ISNUMBER(Flights!$AG$12),TEXT(Flights!$AG$12,"DD-MMM-YY HH:MM"),"")&amp;" "&amp;Flights!$V$12&amp;")",IF(Documents!$J$12="","Status not recorded",Documents!$J$12))</f>
        <v>OUTSTANDING – attach before T-7D (due 03-Oct-26 09:35 KUL)</v>
      </c>
      <c r="F14" s="107" t="str">
        <f aca="false">"Staple behind this sheet as page A1."&amp;IF(Documents!$I$12="",""," Location: "&amp;Documents!$I$12)</f>
        <v>Staple behind this sheet as page A1.</v>
      </c>
      <c r="G14" s="107"/>
      <c r="H14" s="107"/>
    </row>
    <row r="15" customFormat="false" ht="36" hidden="false" customHeight="true" outlineLevel="0" collapsed="false">
      <c r="A15" s="92" t="s">
        <v>1636</v>
      </c>
      <c r="B15" s="93" t="str">
        <f aca="false">IF(Documents!$K$12="","",Documents!$K$12)</f>
        <v/>
      </c>
      <c r="C15" s="98" t="str">
        <f aca="false">IF(Documents!$L$12="","",Documents!$L$12)&amp;IF(ISNUMBER(Documents!$M$12),"  "&amp;TEXT(Documents!$M$12,"DD-MMM-YY"),"")</f>
        <v/>
      </c>
      <c r="D15" s="98"/>
      <c r="E15" s="106" t="str">
        <f aca="false">IF(Documents!$O$12="OUTSTANDING","OUTSTANDING – attach before T-7D (due "&amp;IF(ISNUMBER(Flights!$AG$12),TEXT(Flights!$AG$12,"DD-MMM-YY HH:MM"),"")&amp;" "&amp;Flights!$V$12&amp;")",IF(Documents!$O$12="","Status not recorded",Documents!$O$12))</f>
        <v>OUTSTANDING – attach before T-7D (due 03-Oct-26 09:35 KUL)</v>
      </c>
      <c r="F15" s="107" t="str">
        <f aca="false">"Staple behind this sheet as page A2."&amp;IF(Documents!$N$12="",""," Location: "&amp;Documents!$N$12)</f>
        <v>Staple behind this sheet as page A2.</v>
      </c>
      <c r="G15" s="107"/>
      <c r="H15" s="107"/>
    </row>
    <row r="16" customFormat="false" ht="22.5" hidden="false" customHeight="true" outlineLevel="0" collapsed="false">
      <c r="A16" s="92" t="s">
        <v>1637</v>
      </c>
      <c r="B16" s="108" t="str">
        <f aca="false">IF(Documents!$Q$12="","",Documents!$Q$12)</f>
        <v>Not supplied with brief – obtain from caterer / MAGCS.</v>
      </c>
      <c r="C16" s="108"/>
      <c r="D16" s="108"/>
      <c r="E16" s="108"/>
      <c r="F16" s="108"/>
      <c r="G16" s="108"/>
      <c r="H16" s="108"/>
    </row>
    <row r="17" customFormat="false" ht="13.5" hidden="false" customHeight="true" outlineLevel="0" collapsed="false">
      <c r="A17" s="109" t="s">
        <v>1638</v>
      </c>
      <c r="B17" s="109"/>
      <c r="C17" s="109" t="s">
        <v>1639</v>
      </c>
      <c r="D17" s="109"/>
      <c r="E17" s="109"/>
      <c r="F17" s="109" t="s">
        <v>1640</v>
      </c>
      <c r="G17" s="109"/>
      <c r="H17" s="109"/>
    </row>
    <row r="18" customFormat="false" ht="18" hidden="false" customHeight="true" outlineLevel="0" collapsed="false">
      <c r="A18" s="93" t="str">
        <f aca="false">"Name: "&amp;IF(TRIM(Flights!$Y$12)="","__________________",Flights!$Y$12)</f>
        <v>Name: __________________</v>
      </c>
      <c r="B18" s="93"/>
      <c r="C18" s="93" t="str">
        <f aca="false">"Name: __________________"</f>
        <v>Name: __________________</v>
      </c>
      <c r="D18" s="93"/>
      <c r="E18" s="93"/>
      <c r="F18" s="93" t="str">
        <f aca="false">"Name: __________________"&amp;"   Station: "&amp;Flights!$V$12</f>
        <v>Name: __________________   Station: KUL</v>
      </c>
      <c r="G18" s="93"/>
      <c r="H18" s="93"/>
    </row>
    <row r="19" customFormat="false" ht="30" hidden="false" customHeight="true" outlineLevel="0" collapsed="false">
      <c r="A19" s="110" t="s">
        <v>1641</v>
      </c>
      <c r="B19" s="110"/>
      <c r="C19" s="110" t="s">
        <v>1641</v>
      </c>
      <c r="D19" s="110"/>
      <c r="E19" s="110"/>
      <c r="F19" s="110" t="s">
        <v>1641</v>
      </c>
      <c r="G19" s="110"/>
      <c r="H19" s="110"/>
    </row>
    <row r="20" customFormat="false" ht="13.5" hidden="false" customHeight="true" outlineLevel="0" collapsed="false">
      <c r="A20" s="111" t="s">
        <v>1642</v>
      </c>
      <c r="B20" s="111"/>
      <c r="C20" s="111"/>
      <c r="D20" s="111"/>
      <c r="E20" s="111"/>
      <c r="F20" s="111"/>
      <c r="G20" s="111"/>
      <c r="H20" s="111"/>
    </row>
    <row r="21" customFormat="false" ht="24" hidden="false" customHeight="true" outlineLevel="0" collapsed="false">
      <c r="A21" s="94" t="s">
        <v>1643</v>
      </c>
      <c r="B21" s="94" t="s">
        <v>1644</v>
      </c>
      <c r="C21" s="94" t="s">
        <v>1645</v>
      </c>
      <c r="D21" s="94" t="s">
        <v>1646</v>
      </c>
      <c r="E21" s="94" t="s">
        <v>1647</v>
      </c>
      <c r="F21" s="94" t="s">
        <v>1648</v>
      </c>
      <c r="G21" s="94" t="s">
        <v>1649</v>
      </c>
      <c r="H21" s="94" t="s">
        <v>121</v>
      </c>
    </row>
    <row r="22" customFormat="false" ht="25.5" hidden="false" customHeight="true" outlineLevel="0" collapsed="false">
      <c r="A22" s="112"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Checks!$A$262&amp;CHAR(10)&amp;IF(Checks!$I$262="","",Checks!$I$262&amp;": ")&amp;Checks!$J$262</f>
        <v>F08-T7-01
Meal: Meal sensory testing completed for this flight's menu cycle (assessed class)</v>
      </c>
      <c r="B23" s="113" t="str">
        <f aca="false">Checks!$K$262&amp;IF(Checks!$O$262="","",IF(Checks!$K$262="","",CHAR(10))&amp;"Note: "&amp;Checks!$O$262)</f>
        <v>Record panel result / score in Result</v>
      </c>
      <c r="C23" s="113" t="str">
        <f aca="false">Checks!$N$262&amp;CHAR(10)&amp;IF(ISNUMBER(Checks!$R$262),TEXT(Checks!$R$262,"DD-MMM-YY HH:MM"),"")&amp;" "&amp;Checks!$P$262</f>
        <v>Required
03-Oct-26 09:35 KUL</v>
      </c>
      <c r="D23" s="113" t="str">
        <f aca="false">IF(Checks!$U$262="","",Checks!$U$262)&amp;IF(Checks!$AB$262="","",CHAR(10)&amp;"CA: "&amp;Checks!$AB$262)</f>
        <v/>
      </c>
      <c r="E23" s="113" t="str">
        <f aca="false">IF(Checks!$V$262="","",Checks!$V$262)&amp;IF(Checks!$AC$262="","",IF(Checks!$V$262="","",CHAR(10))&amp;"N/A just.: "&amp;Checks!$AC$262)&amp;IF(Checks!$W$262="","",CHAR(10)&amp;"Batch: "&amp;Checks!$W$262)&amp;IF(AND(Checks!$X$262="",Checks!$Y$262=""),"",CHAR(10)&amp;"Exp: "&amp;Checks!$X$262&amp;"  /  Act: "&amp;Checks!$Y$262)</f>
        <v/>
      </c>
      <c r="F23" s="113" t="str">
        <f aca="false">IF(Checks!$Z$262="","","Evidence: "&amp;Checks!$Z$262)&amp;IF(Checks!$AA$262="","",IF(Checks!$Z$262="","",CHAR(10))&amp;"CA: "&amp;Checks!$AA$262)</f>
        <v/>
      </c>
      <c r="G23" s="113" t="str">
        <f aca="false">IF(ISNUMBER(Checks!$AD$262),TEXT(Checks!$AD$262,"DD-MMM-YY HH:MM")&amp;" "&amp;Checks!$P$262,"")&amp;IF(Checks!$AE$262="","",CHAR(10)&amp;"Verifier: "&amp;Checks!$AE$262)&amp;IF(Checks!$T$262="","",CHAR(10)&amp;"PIC: "&amp;Checks!$T$262)</f>
        <v/>
      </c>
      <c r="H23" s="114" t="str">
        <f aca="false">IF(Checks!$AH$262="","",Checks!$AH$262)</f>
        <v>OPEN</v>
      </c>
    </row>
    <row r="24" customFormat="false" ht="114" hidden="false" customHeight="true" outlineLevel="0" collapsed="false">
      <c r="A24" s="113" t="str">
        <f aca="false">Checks!$A$263&amp;CHAR(10)&amp;IF(Checks!$I$263="","",Checks!$I$263&amp;": ")&amp;Checks!$J$263</f>
        <v>F08-T7-02
Menu: Printed menu cards confirmed (content, cycle, language, quantity)</v>
      </c>
      <c r="B24" s="113" t="str">
        <f aca="false">Checks!$K$263&amp;IF(Checks!$O$263="","",IF(Checks!$K$263="","",CHAR(10))&amp;"Note: "&amp;Checks!$O$263)</f>
        <v>Menu card matches approved menu for this flight</v>
      </c>
      <c r="C24" s="113" t="str">
        <f aca="false">Checks!$N$263&amp;CHAR(10)&amp;IF(ISNUMBER(Checks!$R$263),TEXT(Checks!$R$263,"DD-MMM-YY HH:MM"),"")&amp;" "&amp;Checks!$P$263</f>
        <v>Required
03-Oct-26 09:35 KUL</v>
      </c>
      <c r="D24" s="113" t="str">
        <f aca="false">IF(Checks!$U$263="","",Checks!$U$263)&amp;IF(Checks!$AB$263="","",CHAR(10)&amp;"CA: "&amp;Checks!$AB$263)</f>
        <v/>
      </c>
      <c r="E24" s="113" t="str">
        <f aca="false">IF(Checks!$V$263="","",Checks!$V$263)&amp;IF(Checks!$AC$263="","",IF(Checks!$V$263="","",CHAR(10))&amp;"N/A just.: "&amp;Checks!$AC$263)&amp;IF(Checks!$W$263="","",CHAR(10)&amp;"Batch: "&amp;Checks!$W$263)&amp;IF(AND(Checks!$X$263="",Checks!$Y$263=""),"",CHAR(10)&amp;"Exp: "&amp;Checks!$X$263&amp;"  /  Act: "&amp;Checks!$Y$263)</f>
        <v/>
      </c>
      <c r="F24" s="113" t="str">
        <f aca="false">IF(Checks!$Z$263="","","Evidence: "&amp;Checks!$Z$263)&amp;IF(Checks!$AA$263="","",IF(Checks!$Z$263="","",CHAR(10))&amp;"CA: "&amp;Checks!$AA$263)</f>
        <v/>
      </c>
      <c r="G24" s="113" t="str">
        <f aca="false">IF(ISNUMBER(Checks!$AD$263),TEXT(Checks!$AD$263,"DD-MMM-YY HH:MM")&amp;" "&amp;Checks!$P$263,"")&amp;IF(Checks!$AE$263="","",CHAR(10)&amp;"Verifier: "&amp;Checks!$AE$263)&amp;IF(Checks!$T$263="","",CHAR(10)&amp;"PIC: "&amp;Checks!$T$263)</f>
        <v/>
      </c>
      <c r="H24" s="114" t="str">
        <f aca="false">IF(Checks!$AH$263="","",Checks!$AH$263)</f>
        <v>OPEN</v>
      </c>
    </row>
    <row r="25" customFormat="false" ht="114" hidden="false" customHeight="true" outlineLevel="0" collapsed="false">
      <c r="A25" s="113" t="str">
        <f aca="false">Checks!$A$264&amp;CHAR(10)&amp;IF(Checks!$I$264="","",Checks!$I$264&amp;": ")&amp;Checks!$J$264</f>
        <v>F08-T7-03
IFE: Digital menu in IFE confirmed (A339 only)</v>
      </c>
      <c r="B25" s="113" t="str">
        <f aca="false">Checks!$K$264&amp;IF(Checks!$O$264="","",IF(Checks!$K$264="","",CHAR(10))&amp;"Note: "&amp;Checks!$O$264)</f>
        <v>Applies when fleet = A339
Note: Digital IFE menu applies to A339 only (user brief). Applicability follows the Fleet cell on Flights.</v>
      </c>
      <c r="C25" s="113" t="str">
        <f aca="false">Checks!$N$264&amp;CHAR(10)&amp;IF(ISNUMBER(Checks!$R$264),TEXT(Checks!$R$264,"DD-MMM-YY HH:MM"),"")&amp;" "&amp;Checks!$P$264</f>
        <v>N/A – rule
03-Oct-26 09:35 KUL</v>
      </c>
      <c r="D25" s="113" t="str">
        <f aca="false">IF(Checks!$U$264="","",Checks!$U$264)&amp;IF(Checks!$AB$264="","",CHAR(10)&amp;"CA: "&amp;Checks!$AB$264)</f>
        <v/>
      </c>
      <c r="E25" s="113" t="str">
        <f aca="false">IF(Checks!$V$264="","",Checks!$V$264)&amp;IF(Checks!$AC$264="","",IF(Checks!$V$264="","",CHAR(10))&amp;"N/A just.: "&amp;Checks!$AC$264)&amp;IF(Checks!$W$264="","",CHAR(10)&amp;"Batch: "&amp;Checks!$W$264)&amp;IF(AND(Checks!$X$264="",Checks!$Y$264=""),"",CHAR(10)&amp;"Exp: "&amp;Checks!$X$264&amp;"  /  Act: "&amp;Checks!$Y$264)</f>
        <v/>
      </c>
      <c r="F25" s="113" t="str">
        <f aca="false">IF(Checks!$Z$264="","","Evidence: "&amp;Checks!$Z$264)&amp;IF(Checks!$AA$264="","",IF(Checks!$Z$264="","",CHAR(10))&amp;"CA: "&amp;Checks!$AA$264)</f>
        <v/>
      </c>
      <c r="G25" s="113" t="str">
        <f aca="false">IF(ISNUMBER(Checks!$AD$264),TEXT(Checks!$AD$264,"DD-MMM-YY HH:MM")&amp;" "&amp;Checks!$P$264,"")&amp;IF(Checks!$AE$264="","",CHAR(10)&amp;"Verifier: "&amp;Checks!$AE$264)&amp;IF(Checks!$T$264="","",CHAR(10)&amp;"PIC: "&amp;Checks!$T$264)</f>
        <v/>
      </c>
      <c r="H25" s="114" t="str">
        <f aca="false">IF(Checks!$AH$264="","",Checks!$AH$264)</f>
        <v>N/A – RULE</v>
      </c>
    </row>
    <row r="26" customFormat="false" ht="114" hidden="false" customHeight="true" outlineLevel="0" collapsed="false">
      <c r="A26" s="113" t="str">
        <f aca="false">Checks!$A$265&amp;CHAR(10)&amp;IF(Checks!$I$265="","",Checks!$I$265&amp;": ")&amp;Checks!$J$265</f>
        <v>F08-T7-04
Staffing: Experienced catering officer assigned to this flight</v>
      </c>
      <c r="B26" s="113" t="str">
        <f aca="false">Checks!$K$265&amp;IF(Checks!$O$265="","",IF(Checks!$K$265="","",CHAR(10))&amp;"Note: "&amp;Checks!$O$265)</f>
        <v>Record officer name in Result</v>
      </c>
      <c r="C26" s="113" t="str">
        <f aca="false">Checks!$N$265&amp;CHAR(10)&amp;IF(ISNUMBER(Checks!$R$265),TEXT(Checks!$R$265,"DD-MMM-YY HH:MM"),"")&amp;" "&amp;Checks!$P$265</f>
        <v>Required
03-Oct-26 09:35 KUL</v>
      </c>
      <c r="D26" s="113" t="str">
        <f aca="false">IF(Checks!$U$265="","",Checks!$U$265)&amp;IF(Checks!$AB$265="","",CHAR(10)&amp;"CA: "&amp;Checks!$AB$265)</f>
        <v/>
      </c>
      <c r="E26" s="113" t="str">
        <f aca="false">IF(Checks!$V$265="","",Checks!$V$265)&amp;IF(Checks!$AC$265="","",IF(Checks!$V$265="","",CHAR(10))&amp;"N/A just.: "&amp;Checks!$AC$265)&amp;IF(Checks!$W$265="","",CHAR(10)&amp;"Batch: "&amp;Checks!$W$265)&amp;IF(AND(Checks!$X$265="",Checks!$Y$265=""),"",CHAR(10)&amp;"Exp: "&amp;Checks!$X$265&amp;"  /  Act: "&amp;Checks!$Y$265)</f>
        <v/>
      </c>
      <c r="F26" s="113" t="str">
        <f aca="false">IF(Checks!$Z$265="","","Evidence: "&amp;Checks!$Z$265)&amp;IF(Checks!$AA$265="","",IF(Checks!$Z$265="","",CHAR(10))&amp;"CA: "&amp;Checks!$AA$265)</f>
        <v/>
      </c>
      <c r="G26" s="113" t="str">
        <f aca="false">IF(ISNUMBER(Checks!$AD$265),TEXT(Checks!$AD$265,"DD-MMM-YY HH:MM")&amp;" "&amp;Checks!$P$265,"")&amp;IF(Checks!$AE$265="","",CHAR(10)&amp;"Verifier: "&amp;Checks!$AE$265)&amp;IF(Checks!$T$265="","",CHAR(10)&amp;"PIC: "&amp;Checks!$T$265)</f>
        <v/>
      </c>
      <c r="H26" s="114" t="str">
        <f aca="false">IF(Checks!$AH$265="","",Checks!$AH$265)</f>
        <v>OPEN</v>
      </c>
    </row>
    <row r="27" customFormat="false" ht="114" hidden="false" customHeight="true" outlineLevel="0" collapsed="false">
      <c r="A27" s="113" t="str">
        <f aca="false">Checks!$A$266&amp;CHAR(10)&amp;IF(Checks!$I$266="","",Checks!$I$266&amp;": ")&amp;Checks!$J$266</f>
        <v>F08-T7-05
ISOP: All latest applicable ISOP revisions communicated to caterer</v>
      </c>
      <c r="B27" s="113" t="str">
        <f aca="false">Checks!$K$266&amp;IF(Checks!$O$266="","",IF(Checks!$K$266="","",CHAR(10))&amp;"Note: "&amp;Checks!$O$266)</f>
        <v>List revision numbers in Result (see ISOP register)</v>
      </c>
      <c r="C27" s="113" t="str">
        <f aca="false">Checks!$N$266&amp;CHAR(10)&amp;IF(ISNUMBER(Checks!$R$266),TEXT(Checks!$R$266,"DD-MMM-YY HH:MM"),"")&amp;" "&amp;Checks!$P$266</f>
        <v>Required
03-Oct-26 09:35 KUL</v>
      </c>
      <c r="D27" s="113" t="str">
        <f aca="false">IF(Checks!$U$266="","",Checks!$U$266)&amp;IF(Checks!$AB$266="","",CHAR(10)&amp;"CA: "&amp;Checks!$AB$266)</f>
        <v/>
      </c>
      <c r="E27" s="113" t="str">
        <f aca="false">IF(Checks!$V$266="","",Checks!$V$266)&amp;IF(Checks!$AC$266="","",IF(Checks!$V$266="","",CHAR(10))&amp;"N/A just.: "&amp;Checks!$AC$266)&amp;IF(Checks!$W$266="","",CHAR(10)&amp;"Batch: "&amp;Checks!$W$266)&amp;IF(AND(Checks!$X$266="",Checks!$Y$266=""),"",CHAR(10)&amp;"Exp: "&amp;Checks!$X$266&amp;"  /  Act: "&amp;Checks!$Y$266)</f>
        <v/>
      </c>
      <c r="F27" s="113" t="str">
        <f aca="false">IF(Checks!$Z$266="","","Evidence: "&amp;Checks!$Z$266)&amp;IF(Checks!$AA$266="","",IF(Checks!$Z$266="","",CHAR(10))&amp;"CA: "&amp;Checks!$AA$266)</f>
        <v/>
      </c>
      <c r="G27" s="113" t="str">
        <f aca="false">IF(ISNUMBER(Checks!$AD$266),TEXT(Checks!$AD$266,"DD-MMM-YY HH:MM")&amp;" "&amp;Checks!$P$266,"")&amp;IF(Checks!$AE$266="","",CHAR(10)&amp;"Verifier: "&amp;Checks!$AE$266)&amp;IF(Checks!$T$266="","",CHAR(10)&amp;"PIC: "&amp;Checks!$T$266)</f>
        <v/>
      </c>
      <c r="H27" s="114" t="str">
        <f aca="false">IF(Checks!$AH$266="","",Checks!$AH$266)</f>
        <v>OPEN</v>
      </c>
    </row>
    <row r="28" customFormat="false" ht="114" hidden="false" customHeight="true" outlineLevel="0" collapsed="false">
      <c r="A28" s="113" t="str">
        <f aca="false">Checks!$A$267&amp;CHAR(10)&amp;IF(Checks!$I$267="","",Checks!$I$267&amp;": ")&amp;Checks!$J$267</f>
        <v>F08-T7-06
ISOP: Caterer acknowledgement of ISOP revisions recorded</v>
      </c>
      <c r="B28" s="113" t="str">
        <f aca="false">Checks!$K$267&amp;IF(Checks!$O$267="","",IF(Checks!$K$267="","",CHAR(10))&amp;"Note: "&amp;Checks!$O$267)</f>
        <v>Record acknowledgement ref in Evidence</v>
      </c>
      <c r="C28" s="113" t="str">
        <f aca="false">Checks!$N$267&amp;CHAR(10)&amp;IF(ISNUMBER(Checks!$R$267),TEXT(Checks!$R$267,"DD-MMM-YY HH:MM"),"")&amp;" "&amp;Checks!$P$267</f>
        <v>Required
03-Oct-26 09:35 KUL</v>
      </c>
      <c r="D28" s="113" t="str">
        <f aca="false">IF(Checks!$U$267="","",Checks!$U$267)&amp;IF(Checks!$AB$267="","",CHAR(10)&amp;"CA: "&amp;Checks!$AB$267)</f>
        <v/>
      </c>
      <c r="E28" s="113" t="str">
        <f aca="false">IF(Checks!$V$267="","",Checks!$V$267)&amp;IF(Checks!$AC$267="","",IF(Checks!$V$267="","",CHAR(10))&amp;"N/A just.: "&amp;Checks!$AC$267)&amp;IF(Checks!$W$267="","",CHAR(10)&amp;"Batch: "&amp;Checks!$W$267)&amp;IF(AND(Checks!$X$267="",Checks!$Y$267=""),"",CHAR(10)&amp;"Exp: "&amp;Checks!$X$267&amp;"  /  Act: "&amp;Checks!$Y$267)</f>
        <v/>
      </c>
      <c r="F28" s="113" t="str">
        <f aca="false">IF(Checks!$Z$267="","","Evidence: "&amp;Checks!$Z$267)&amp;IF(Checks!$AA$267="","",IF(Checks!$Z$267="","",CHAR(10))&amp;"CA: "&amp;Checks!$AA$267)</f>
        <v/>
      </c>
      <c r="G28" s="113" t="str">
        <f aca="false">IF(ISNUMBER(Checks!$AD$267),TEXT(Checks!$AD$267,"DD-MMM-YY HH:MM")&amp;" "&amp;Checks!$P$267,"")&amp;IF(Checks!$AE$267="","",CHAR(10)&amp;"Verifier: "&amp;Checks!$AE$267)&amp;IF(Checks!$T$267="","",CHAR(10)&amp;"PIC: "&amp;Checks!$T$267)</f>
        <v/>
      </c>
      <c r="H28" s="114" t="str">
        <f aca="false">IF(Checks!$AH$267="","",Checks!$AH$267)</f>
        <v>OPEN</v>
      </c>
    </row>
    <row r="29" customFormat="false" ht="114" hidden="false" customHeight="true" outlineLevel="0" collapsed="false">
      <c r="A29" s="113" t="str">
        <f aca="false">Checks!$A$268&amp;CHAR(10)&amp;IF(Checks!$I$268="","",Checks!$I$268&amp;": ")&amp;Checks!$J$268</f>
        <v>F08-T7-07
Documents: Galley loading diagram (GLD) received, revision recorded &amp; attached</v>
      </c>
      <c r="B29" s="113" t="str">
        <f aca="false">Checks!$K$268&amp;IF(Checks!$O$268="","",IF(Checks!$K$268="","",CHAR(10))&amp;"Note: "&amp;Checks!$O$268)</f>
        <v>Documents sheet row complete</v>
      </c>
      <c r="C29" s="113" t="str">
        <f aca="false">Checks!$N$268&amp;CHAR(10)&amp;IF(ISNUMBER(Checks!$R$268),TEXT(Checks!$R$268,"DD-MMM-YY HH:MM"),"")&amp;" "&amp;Checks!$P$268</f>
        <v>Required
03-Oct-26 09:35 KUL</v>
      </c>
      <c r="D29" s="113" t="str">
        <f aca="false">IF(Checks!$U$268="","",Checks!$U$268)&amp;IF(Checks!$AB$268="","",CHAR(10)&amp;"CA: "&amp;Checks!$AB$268)</f>
        <v/>
      </c>
      <c r="E29" s="113" t="str">
        <f aca="false">IF(Checks!$V$268="","",Checks!$V$268)&amp;IF(Checks!$AC$268="","",IF(Checks!$V$268="","",CHAR(10))&amp;"N/A just.: "&amp;Checks!$AC$268)&amp;IF(Checks!$W$268="","",CHAR(10)&amp;"Batch: "&amp;Checks!$W$268)&amp;IF(AND(Checks!$X$268="",Checks!$Y$268=""),"",CHAR(10)&amp;"Exp: "&amp;Checks!$X$268&amp;"  /  Act: "&amp;Checks!$Y$268)</f>
        <v/>
      </c>
      <c r="F29" s="113" t="str">
        <f aca="false">IF(Checks!$Z$268="","","Evidence: "&amp;Checks!$Z$268)&amp;IF(Checks!$AA$268="","",IF(Checks!$Z$268="","",CHAR(10))&amp;"CA: "&amp;Checks!$AA$268)</f>
        <v/>
      </c>
      <c r="G29" s="113" t="str">
        <f aca="false">IF(ISNUMBER(Checks!$AD$268),TEXT(Checks!$AD$268,"DD-MMM-YY HH:MM")&amp;" "&amp;Checks!$P$268,"")&amp;IF(Checks!$AE$268="","",CHAR(10)&amp;"Verifier: "&amp;Checks!$AE$268)&amp;IF(Checks!$T$268="","",CHAR(10)&amp;"PIC: "&amp;Checks!$T$268)</f>
        <v/>
      </c>
      <c r="H29" s="114" t="str">
        <f aca="false">IF(Checks!$AH$268="","",Checks!$AH$268)</f>
        <v>OPEN</v>
      </c>
    </row>
    <row r="30" customFormat="false" ht="114" hidden="false" customHeight="true" outlineLevel="0" collapsed="false">
      <c r="A30" s="113" t="str">
        <f aca="false">Checks!$A$269&amp;CHAR(10)&amp;IF(Checks!$I$269="","",Checks!$I$269&amp;": ")&amp;Checks!$J$269</f>
        <v>F08-T7-08
Documents: Menu checklist received, revision recorded &amp; attached</v>
      </c>
      <c r="B30" s="113" t="str">
        <f aca="false">Checks!$K$269&amp;IF(Checks!$O$269="","",IF(Checks!$K$269="","",CHAR(10))&amp;"Note: "&amp;Checks!$O$269)</f>
        <v>Documents sheet row complete</v>
      </c>
      <c r="C30" s="113" t="str">
        <f aca="false">Checks!$N$269&amp;CHAR(10)&amp;IF(ISNUMBER(Checks!$R$269),TEXT(Checks!$R$269,"DD-MMM-YY HH:MM"),"")&amp;" "&amp;Checks!$P$269</f>
        <v>Required
03-Oct-26 09:35 KUL</v>
      </c>
      <c r="D30" s="113" t="str">
        <f aca="false">IF(Checks!$U$269="","",Checks!$U$269)&amp;IF(Checks!$AB$269="","",CHAR(10)&amp;"CA: "&amp;Checks!$AB$269)</f>
        <v/>
      </c>
      <c r="E30" s="113" t="str">
        <f aca="false">IF(Checks!$V$269="","",Checks!$V$269)&amp;IF(Checks!$AC$269="","",IF(Checks!$V$269="","",CHAR(10))&amp;"N/A just.: "&amp;Checks!$AC$269)&amp;IF(Checks!$W$269="","",CHAR(10)&amp;"Batch: "&amp;Checks!$W$269)&amp;IF(AND(Checks!$X$269="",Checks!$Y$269=""),"",CHAR(10)&amp;"Exp: "&amp;Checks!$X$269&amp;"  /  Act: "&amp;Checks!$Y$269)</f>
        <v/>
      </c>
      <c r="F30" s="113" t="str">
        <f aca="false">IF(Checks!$Z$269="","","Evidence: "&amp;Checks!$Z$269)&amp;IF(Checks!$AA$269="","",IF(Checks!$Z$269="","",CHAR(10))&amp;"CA: "&amp;Checks!$AA$269)</f>
        <v/>
      </c>
      <c r="G30" s="113" t="str">
        <f aca="false">IF(ISNUMBER(Checks!$AD$269),TEXT(Checks!$AD$269,"DD-MMM-YY HH:MM")&amp;" "&amp;Checks!$P$269,"")&amp;IF(Checks!$AE$269="","",CHAR(10)&amp;"Verifier: "&amp;Checks!$AE$269)&amp;IF(Checks!$T$269="","",CHAR(10)&amp;"PIC: "&amp;Checks!$T$269)</f>
        <v/>
      </c>
      <c r="H30" s="114" t="str">
        <f aca="false">IF(Checks!$AH$269="","",Checks!$AH$269)</f>
        <v>OPEN</v>
      </c>
    </row>
    <row r="31" customFormat="false" ht="114" hidden="false" customHeight="true" outlineLevel="0" collapsed="false">
      <c r="A31" s="113" t="str">
        <f aca="false">Checks!$A$270&amp;CHAR(10)&amp;IF(Checks!$I$270="","",Checks!$I$270&amp;": ")&amp;Checks!$J$270</f>
        <v>F08-T7-09
Uplift plan: Uplift plan confirmed with caterer vs STD Uplift Information</v>
      </c>
      <c r="B31" s="113" t="str">
        <f aca="false">Checks!$K$270&amp;IF(Checks!$O$270="","",IF(Checks!$K$270="","",CHAR(10))&amp;"Note: "&amp;Checks!$O$270)</f>
        <v>Service: 1 Meal (Meal); meal uplift stn KUL (ref lists KUL/HAN)</v>
      </c>
      <c r="C31" s="113" t="str">
        <f aca="false">Checks!$N$270&amp;CHAR(10)&amp;IF(ISNUMBER(Checks!$R$270),TEXT(Checks!$R$270,"DD-MMM-YY HH:MM"),"")&amp;" "&amp;Checks!$P$270</f>
        <v>Required
03-Oct-26 09:35 KUL</v>
      </c>
      <c r="D31" s="113" t="str">
        <f aca="false">IF(Checks!$U$270="","",Checks!$U$270)&amp;IF(Checks!$AB$270="","",CHAR(10)&amp;"CA: "&amp;Checks!$AB$270)</f>
        <v/>
      </c>
      <c r="E31" s="113" t="str">
        <f aca="false">IF(Checks!$V$270="","",Checks!$V$270)&amp;IF(Checks!$AC$270="","",IF(Checks!$V$270="","",CHAR(10))&amp;"N/A just.: "&amp;Checks!$AC$270)&amp;IF(Checks!$W$270="","",CHAR(10)&amp;"Batch: "&amp;Checks!$W$270)&amp;IF(AND(Checks!$X$270="",Checks!$Y$270=""),"",CHAR(10)&amp;"Exp: "&amp;Checks!$X$270&amp;"  /  Act: "&amp;Checks!$Y$270)</f>
        <v/>
      </c>
      <c r="F31" s="113" t="str">
        <f aca="false">IF(Checks!$Z$270="","","Evidence: "&amp;Checks!$Z$270)&amp;IF(Checks!$AA$270="","",IF(Checks!$Z$270="","",CHAR(10))&amp;"CA: "&amp;Checks!$AA$270)</f>
        <v/>
      </c>
      <c r="G31" s="113" t="str">
        <f aca="false">IF(ISNUMBER(Checks!$AD$270),TEXT(Checks!$AD$270,"DD-MMM-YY HH:MM")&amp;" "&amp;Checks!$P$270,"")&amp;IF(Checks!$AE$270="","",CHAR(10)&amp;"Verifier: "&amp;Checks!$AE$270)&amp;IF(Checks!$T$270="","",CHAR(10)&amp;"PIC: "&amp;Checks!$T$270)</f>
        <v/>
      </c>
      <c r="H31" s="114" t="str">
        <f aca="false">IF(Checks!$AH$270="","",Checks!$AH$270)</f>
        <v>OPEN</v>
      </c>
    </row>
    <row r="32" customFormat="false" ht="25.5" hidden="false" customHeight="true" outlineLevel="0" collapsed="false">
      <c r="A32" s="112"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Checks!$A$271&amp;CHAR(10)&amp;IF(Checks!$I$271="","",Checks!$I$271&amp;": ")&amp;Checks!$J$271</f>
        <v>F08-T24-01
Meal: Sensory test repeated on ACTUAL production batch for this flight</v>
      </c>
      <c r="B33" s="113" t="str">
        <f aca="false">Checks!$K$271&amp;IF(Checks!$O$271="","",IF(Checks!$K$271="","",CHAR(10))&amp;"Note: "&amp;Checks!$O$271)</f>
        <v>Batch ID, result, CA and acceptance mandatory</v>
      </c>
      <c r="C33" s="113" t="str">
        <f aca="false">Checks!$N$271&amp;CHAR(10)&amp;IF(ISNUMBER(Checks!$R$271),TEXT(Checks!$R$271,"DD-MMM-YY HH:MM"),"")&amp;" "&amp;Checks!$P$271</f>
        <v>Required
09-Oct-26 09:35 KUL</v>
      </c>
      <c r="D33" s="113" t="str">
        <f aca="false">IF(Checks!$U$271="","",Checks!$U$271)&amp;IF(Checks!$AB$271="","",CHAR(10)&amp;"CA: "&amp;Checks!$AB$271)</f>
        <v/>
      </c>
      <c r="E33" s="113" t="str">
        <f aca="false">IF(Checks!$V$271="","",Checks!$V$271)&amp;IF(Checks!$AC$271="","",IF(Checks!$V$271="","",CHAR(10))&amp;"N/A just.: "&amp;Checks!$AC$271)&amp;IF(Checks!$W$271="","",CHAR(10)&amp;"Batch: "&amp;Checks!$W$271)&amp;IF(AND(Checks!$X$271="",Checks!$Y$271=""),"",CHAR(10)&amp;"Exp: "&amp;Checks!$X$271&amp;"  /  Act: "&amp;Checks!$Y$271)</f>
        <v/>
      </c>
      <c r="F33" s="113" t="str">
        <f aca="false">IF(Checks!$Z$271="","","Evidence: "&amp;Checks!$Z$271)&amp;IF(Checks!$AA$271="","",IF(Checks!$Z$271="","",CHAR(10))&amp;"CA: "&amp;Checks!$AA$271)</f>
        <v/>
      </c>
      <c r="G33" s="113" t="str">
        <f aca="false">IF(ISNUMBER(Checks!$AD$271),TEXT(Checks!$AD$271,"DD-MMM-YY HH:MM")&amp;" "&amp;Checks!$P$271,"")&amp;IF(Checks!$AE$271="","",CHAR(10)&amp;"Verifier: "&amp;Checks!$AE$271)&amp;IF(Checks!$T$271="","",CHAR(10)&amp;"PIC: "&amp;Checks!$T$271)</f>
        <v/>
      </c>
      <c r="H33" s="114" t="str">
        <f aca="false">IF(Checks!$AH$271="","",Checks!$AH$271)</f>
        <v>OPEN</v>
      </c>
    </row>
    <row r="34" customFormat="false" ht="25.5" hidden="false" customHeight="true" outlineLevel="0" collapsed="false">
      <c r="A34" s="112"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2"/>
      <c r="C34" s="112"/>
      <c r="D34" s="112"/>
      <c r="E34" s="112"/>
      <c r="F34" s="112"/>
      <c r="G34" s="112"/>
      <c r="H34" s="112"/>
    </row>
    <row r="35" customFormat="false" ht="114" hidden="false" customHeight="true" outlineLevel="0" collapsed="false">
      <c r="A35" s="113" t="str">
        <f aca="false">Checks!$A$272&amp;CHAR(10)&amp;IF(Checks!$I$272="","",Checks!$I$272&amp;": ")&amp;Checks!$J$272</f>
        <v>F08-T12-01
Meal: Meal quality vs menu checklist</v>
      </c>
      <c r="B35" s="113" t="str">
        <f aca="false">Checks!$K$272&amp;IF(Checks!$O$272="","",IF(Checks!$K$272="","",CHAR(10))&amp;"Note: "&amp;Checks!$O$272)</f>
        <v>Note: Preparation check at caterer - does NOT confirm loading.</v>
      </c>
      <c r="C35" s="113" t="str">
        <f aca="false">Checks!$N$272&amp;CHAR(10)&amp;IF(ISNUMBER(Checks!$R$272),TEXT(Checks!$R$272,"DD-MMM-YY HH:MM"),"")&amp;" "&amp;Checks!$P$272</f>
        <v>Required
09-Oct-26 21:35 KUL</v>
      </c>
      <c r="D35" s="113" t="str">
        <f aca="false">IF(Checks!$U$272="","",Checks!$U$272)&amp;IF(Checks!$AB$272="","",CHAR(10)&amp;"CA: "&amp;Checks!$AB$272)</f>
        <v/>
      </c>
      <c r="E35" s="113" t="str">
        <f aca="false">IF(Checks!$V$272="","",Checks!$V$272)&amp;IF(Checks!$AC$272="","",IF(Checks!$V$272="","",CHAR(10))&amp;"N/A just.: "&amp;Checks!$AC$272)&amp;IF(Checks!$W$272="","",CHAR(10)&amp;"Batch: "&amp;Checks!$W$272)&amp;IF(AND(Checks!$X$272="",Checks!$Y$272=""),"",CHAR(10)&amp;"Exp: "&amp;Checks!$X$272&amp;"  /  Act: "&amp;Checks!$Y$272)</f>
        <v/>
      </c>
      <c r="F35" s="113" t="str">
        <f aca="false">IF(Checks!$Z$272="","","Evidence: "&amp;Checks!$Z$272)&amp;IF(Checks!$AA$272="","",IF(Checks!$Z$272="","",CHAR(10))&amp;"CA: "&amp;Checks!$AA$272)</f>
        <v/>
      </c>
      <c r="G35" s="113" t="str">
        <f aca="false">IF(ISNUMBER(Checks!$AD$272),TEXT(Checks!$AD$272,"DD-MMM-YY HH:MM")&amp;" "&amp;Checks!$P$272,"")&amp;IF(Checks!$AE$272="","",CHAR(10)&amp;"Verifier: "&amp;Checks!$AE$272)&amp;IF(Checks!$T$272="","",CHAR(10)&amp;"PIC: "&amp;Checks!$T$272)</f>
        <v/>
      </c>
      <c r="H35" s="114" t="str">
        <f aca="false">IF(Checks!$AH$272="","",Checks!$AH$272)</f>
        <v>OPEN</v>
      </c>
    </row>
    <row r="36" customFormat="false" ht="114" hidden="false" customHeight="true" outlineLevel="0" collapsed="false">
      <c r="A36" s="113" t="str">
        <f aca="false">Checks!$A$273&amp;CHAR(10)&amp;IF(Checks!$I$273="","",Checks!$I$273&amp;": ")&amp;Checks!$J$273</f>
        <v>F08-T12-02
Meal: Meal quantities vs menu checklist</v>
      </c>
      <c r="B36" s="113" t="str">
        <f aca="false">Checks!$K$273&amp;IF(Checks!$O$273="","",IF(Checks!$K$273="","",CHAR(10))&amp;"Note: "&amp;Checks!$O$273)</f>
        <v>Enter expected &amp; actual
Note: Preparation check at caterer - does NOT confirm loading.</v>
      </c>
      <c r="C36" s="113" t="str">
        <f aca="false">Checks!$N$273&amp;CHAR(10)&amp;IF(ISNUMBER(Checks!$R$273),TEXT(Checks!$R$273,"DD-MMM-YY HH:MM"),"")&amp;" "&amp;Checks!$P$273</f>
        <v>Required
09-Oct-26 21:35 KUL</v>
      </c>
      <c r="D36" s="113" t="str">
        <f aca="false">IF(Checks!$U$273="","",Checks!$U$273)&amp;IF(Checks!$AB$273="","",CHAR(10)&amp;"CA: "&amp;Checks!$AB$273)</f>
        <v/>
      </c>
      <c r="E36" s="113" t="str">
        <f aca="false">IF(Checks!$V$273="","",Checks!$V$273)&amp;IF(Checks!$AC$273="","",IF(Checks!$V$273="","",CHAR(10))&amp;"N/A just.: "&amp;Checks!$AC$273)&amp;IF(Checks!$W$273="","",CHAR(10)&amp;"Batch: "&amp;Checks!$W$273)&amp;IF(AND(Checks!$X$273="",Checks!$Y$273=""),"",CHAR(10)&amp;"Exp: "&amp;Checks!$X$273&amp;"  /  Act: "&amp;Checks!$Y$273)</f>
        <v/>
      </c>
      <c r="F36" s="113" t="str">
        <f aca="false">IF(Checks!$Z$273="","","Evidence: "&amp;Checks!$Z$273)&amp;IF(Checks!$AA$273="","",IF(Checks!$Z$273="","",CHAR(10))&amp;"CA: "&amp;Checks!$AA$273)</f>
        <v/>
      </c>
      <c r="G36" s="113" t="str">
        <f aca="false">IF(ISNUMBER(Checks!$AD$273),TEXT(Checks!$AD$273,"DD-MMM-YY HH:MM")&amp;" "&amp;Checks!$P$273,"")&amp;IF(Checks!$AE$273="","",CHAR(10)&amp;"Verifier: "&amp;Checks!$AE$273)&amp;IF(Checks!$T$273="","",CHAR(10)&amp;"PIC: "&amp;Checks!$T$273)</f>
        <v/>
      </c>
      <c r="H36" s="114" t="str">
        <f aca="false">IF(Checks!$AH$273="","",Checks!$AH$273)</f>
        <v>OPEN</v>
      </c>
    </row>
    <row r="37" customFormat="false" ht="114" hidden="false" customHeight="true" outlineLevel="0" collapsed="false">
      <c r="A37" s="113" t="str">
        <f aca="false">Checks!$A$274&amp;CHAR(10)&amp;IF(Checks!$I$274="","",Checks!$I$274&amp;": ")&amp;Checks!$J$274</f>
        <v>F08-T12-03
Equipment: Equipment cleanliness vs GLD</v>
      </c>
      <c r="B37" s="113" t="str">
        <f aca="false">Checks!$K$274&amp;IF(Checks!$O$274="","",IF(Checks!$K$274="","",CHAR(10))&amp;"Note: "&amp;Checks!$O$274)</f>
        <v>Note: Preparation check at caterer - does NOT confirm loading.</v>
      </c>
      <c r="C37" s="113" t="str">
        <f aca="false">Checks!$N$274&amp;CHAR(10)&amp;IF(ISNUMBER(Checks!$R$274),TEXT(Checks!$R$274,"DD-MMM-YY HH:MM"),"")&amp;" "&amp;Checks!$P$274</f>
        <v>Required
09-Oct-26 21:35 KUL</v>
      </c>
      <c r="D37" s="113" t="str">
        <f aca="false">IF(Checks!$U$274="","",Checks!$U$274)&amp;IF(Checks!$AB$274="","",CHAR(10)&amp;"CA: "&amp;Checks!$AB$274)</f>
        <v/>
      </c>
      <c r="E37" s="113" t="str">
        <f aca="false">IF(Checks!$V$274="","",Checks!$V$274)&amp;IF(Checks!$AC$274="","",IF(Checks!$V$274="","",CHAR(10))&amp;"N/A just.: "&amp;Checks!$AC$274)&amp;IF(Checks!$W$274="","",CHAR(10)&amp;"Batch: "&amp;Checks!$W$274)&amp;IF(AND(Checks!$X$274="",Checks!$Y$274=""),"",CHAR(10)&amp;"Exp: "&amp;Checks!$X$274&amp;"  /  Act: "&amp;Checks!$Y$274)</f>
        <v/>
      </c>
      <c r="F37" s="113" t="str">
        <f aca="false">IF(Checks!$Z$274="","","Evidence: "&amp;Checks!$Z$274)&amp;IF(Checks!$AA$274="","",IF(Checks!$Z$274="","",CHAR(10))&amp;"CA: "&amp;Checks!$AA$274)</f>
        <v/>
      </c>
      <c r="G37" s="113" t="str">
        <f aca="false">IF(ISNUMBER(Checks!$AD$274),TEXT(Checks!$AD$274,"DD-MMM-YY HH:MM")&amp;" "&amp;Checks!$P$274,"")&amp;IF(Checks!$AE$274="","",CHAR(10)&amp;"Verifier: "&amp;Checks!$AE$274)&amp;IF(Checks!$T$274="","",CHAR(10)&amp;"PIC: "&amp;Checks!$T$274)</f>
        <v/>
      </c>
      <c r="H37" s="114" t="str">
        <f aca="false">IF(Checks!$AH$274="","",Checks!$AH$274)</f>
        <v>OPEN</v>
      </c>
    </row>
    <row r="38" customFormat="false" ht="114" hidden="false" customHeight="true" outlineLevel="0" collapsed="false">
      <c r="A38" s="113" t="str">
        <f aca="false">Checks!$A$275&amp;CHAR(10)&amp;IF(Checks!$I$275="","",Checks!$I$275&amp;": ")&amp;Checks!$J$275</f>
        <v>F08-T12-04
Equipment: Equipment presentation vs GLD</v>
      </c>
      <c r="B38" s="113" t="str">
        <f aca="false">Checks!$K$275&amp;IF(Checks!$O$275="","",IF(Checks!$K$275="","",CHAR(10))&amp;"Note: "&amp;Checks!$O$275)</f>
        <v>Note: Preparation check at caterer - does NOT confirm loading.</v>
      </c>
      <c r="C38" s="113" t="str">
        <f aca="false">Checks!$N$275&amp;CHAR(10)&amp;IF(ISNUMBER(Checks!$R$275),TEXT(Checks!$R$275,"DD-MMM-YY HH:MM"),"")&amp;" "&amp;Checks!$P$275</f>
        <v>Required
09-Oct-26 21:35 KUL</v>
      </c>
      <c r="D38" s="113" t="str">
        <f aca="false">IF(Checks!$U$275="","",Checks!$U$275)&amp;IF(Checks!$AB$275="","",CHAR(10)&amp;"CA: "&amp;Checks!$AB$275)</f>
        <v/>
      </c>
      <c r="E38" s="113" t="str">
        <f aca="false">IF(Checks!$V$275="","",Checks!$V$275)&amp;IF(Checks!$AC$275="","",IF(Checks!$V$275="","",CHAR(10))&amp;"N/A just.: "&amp;Checks!$AC$275)&amp;IF(Checks!$W$275="","",CHAR(10)&amp;"Batch: "&amp;Checks!$W$275)&amp;IF(AND(Checks!$X$275="",Checks!$Y$275=""),"",CHAR(10)&amp;"Exp: "&amp;Checks!$X$275&amp;"  /  Act: "&amp;Checks!$Y$275)</f>
        <v/>
      </c>
      <c r="F38" s="113" t="str">
        <f aca="false">IF(Checks!$Z$275="","","Evidence: "&amp;Checks!$Z$275)&amp;IF(Checks!$AA$275="","",IF(Checks!$Z$275="","",CHAR(10))&amp;"CA: "&amp;Checks!$AA$275)</f>
        <v/>
      </c>
      <c r="G38" s="113" t="str">
        <f aca="false">IF(ISNUMBER(Checks!$AD$275),TEXT(Checks!$AD$275,"DD-MMM-YY HH:MM")&amp;" "&amp;Checks!$P$275,"")&amp;IF(Checks!$AE$275="","",CHAR(10)&amp;"Verifier: "&amp;Checks!$AE$275)&amp;IF(Checks!$T$275="","",CHAR(10)&amp;"PIC: "&amp;Checks!$T$275)</f>
        <v/>
      </c>
      <c r="H38" s="114" t="str">
        <f aca="false">IF(Checks!$AH$275="","",Checks!$AH$275)</f>
        <v>OPEN</v>
      </c>
    </row>
    <row r="39" customFormat="false" ht="114" hidden="false" customHeight="true" outlineLevel="0" collapsed="false">
      <c r="A39" s="113" t="str">
        <f aca="false">Checks!$A$276&amp;CHAR(10)&amp;IF(Checks!$I$276="","",Checks!$I$276&amp;": ")&amp;Checks!$J$276</f>
        <v>F08-T12-05
Equipment: Equipment serviceability vs GLD</v>
      </c>
      <c r="B39" s="113" t="str">
        <f aca="false">Checks!$K$276&amp;IF(Checks!$O$276="","",IF(Checks!$K$276="","",CHAR(10))&amp;"Note: "&amp;Checks!$O$276)</f>
        <v>Note: Preparation check at caterer - does NOT confirm loading.</v>
      </c>
      <c r="C39" s="113" t="str">
        <f aca="false">Checks!$N$276&amp;CHAR(10)&amp;IF(ISNUMBER(Checks!$R$276),TEXT(Checks!$R$276,"DD-MMM-YY HH:MM"),"")&amp;" "&amp;Checks!$P$276</f>
        <v>Required
09-Oct-26 21:35 KUL</v>
      </c>
      <c r="D39" s="113" t="str">
        <f aca="false">IF(Checks!$U$276="","",Checks!$U$276)&amp;IF(Checks!$AB$276="","",CHAR(10)&amp;"CA: "&amp;Checks!$AB$276)</f>
        <v/>
      </c>
      <c r="E39" s="113" t="str">
        <f aca="false">IF(Checks!$V$276="","",Checks!$V$276)&amp;IF(Checks!$AC$276="","",IF(Checks!$V$276="","",CHAR(10))&amp;"N/A just.: "&amp;Checks!$AC$276)&amp;IF(Checks!$W$276="","",CHAR(10)&amp;"Batch: "&amp;Checks!$W$276)&amp;IF(AND(Checks!$X$276="",Checks!$Y$276=""),"",CHAR(10)&amp;"Exp: "&amp;Checks!$X$276&amp;"  /  Act: "&amp;Checks!$Y$276)</f>
        <v/>
      </c>
      <c r="F39" s="113" t="str">
        <f aca="false">IF(Checks!$Z$276="","","Evidence: "&amp;Checks!$Z$276)&amp;IF(Checks!$AA$276="","",IF(Checks!$Z$276="","",CHAR(10))&amp;"CA: "&amp;Checks!$AA$276)</f>
        <v/>
      </c>
      <c r="G39" s="113" t="str">
        <f aca="false">IF(ISNUMBER(Checks!$AD$276),TEXT(Checks!$AD$276,"DD-MMM-YY HH:MM")&amp;" "&amp;Checks!$P$276,"")&amp;IF(Checks!$AE$276="","",CHAR(10)&amp;"Verifier: "&amp;Checks!$AE$276)&amp;IF(Checks!$T$276="","",CHAR(10)&amp;"PIC: "&amp;Checks!$T$276)</f>
        <v/>
      </c>
      <c r="H39" s="114" t="str">
        <f aca="false">IF(Checks!$AH$276="","",Checks!$AH$276)</f>
        <v>OPEN</v>
      </c>
    </row>
    <row r="40" customFormat="false" ht="190.5" hidden="false" customHeight="true" outlineLevel="0" collapsed="false">
      <c r="A40" s="113" t="str">
        <f aca="false">Checks!$A$277&amp;CHAR(10)&amp;IF(Checks!$I$277="","",Checks!$I$277&amp;": ")&amp;Checks!$J$277</f>
        <v>F08-T12-06
Equipment: Equipment quantities vs GLD</v>
      </c>
      <c r="B40" s="113" t="str">
        <f aca="false">SUBSTITUTE(Checks!$K$277&amp;IF(Checks!$O$277="","",IF(Checks!$K$277="","",CHAR(10))&amp;"Note: "&amp;Checks!$O$277),"AIRCRAFT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Checks!$N$277&amp;CHAR(10)&amp;IF(ISNUMBER(Checks!$R$277),TEXT(Checks!$R$277,"DD-MMM-YY HH:MM"),"")&amp;" "&amp;Checks!$P$277</f>
        <v>Required
09-Oct-26 21:35 KUL</v>
      </c>
      <c r="D40" s="113" t="str">
        <f aca="false">IF(Checks!$U$277="","",Checks!$U$277)&amp;IF(Checks!$AB$277="","",CHAR(10)&amp;"CA: "&amp;Checks!$AB$277)</f>
        <v/>
      </c>
      <c r="E40" s="113" t="str">
        <f aca="false">IF(Checks!$V$277="","",Checks!$V$277)&amp;IF(Checks!$AC$277="","",IF(Checks!$V$277="","",CHAR(10))&amp;"N/A just.: "&amp;Checks!$AC$277)&amp;IF(Checks!$W$277="","",CHAR(10)&amp;"Batch: "&amp;Checks!$W$277)&amp;IF(AND(Checks!$X$277="",Checks!$Y$277=""),"",CHAR(10)&amp;"Exp: "&amp;Checks!$X$277&amp;"  /  Act: "&amp;Checks!$Y$277)</f>
        <v/>
      </c>
      <c r="F40" s="113" t="str">
        <f aca="false">IF(Checks!$Z$277="","","Evidence: "&amp;Checks!$Z$277)&amp;IF(Checks!$AA$277="","",IF(Checks!$Z$277="","",CHAR(10))&amp;"CA: "&amp;Checks!$AA$277)</f>
        <v/>
      </c>
      <c r="G40" s="113" t="str">
        <f aca="false">IF(ISNUMBER(Checks!$AD$277),TEXT(Checks!$AD$277,"DD-MMM-YY HH:MM")&amp;" "&amp;Checks!$P$277,"")&amp;IF(Checks!$AE$277="","",CHAR(10)&amp;"Verifier: "&amp;Checks!$AE$277)&amp;IF(Checks!$T$277="","",CHAR(10)&amp;"PIC: "&amp;Checks!$T$277)</f>
        <v/>
      </c>
      <c r="H40" s="114" t="str">
        <f aca="false">IF(Checks!$AH$277="","",Checks!$AH$277)</f>
        <v>OPEN</v>
      </c>
    </row>
    <row r="41" customFormat="false" ht="114" hidden="false" customHeight="true" outlineLevel="0" collapsed="false">
      <c r="A41" s="113" t="str">
        <f aca="false">Checks!$A$278&amp;CHAR(10)&amp;IF(Checks!$I$278="","",Checks!$I$278&amp;": ")&amp;Checks!$J$278</f>
        <v>F08-T12-07
Equipment: Loading positions planned vs GLD</v>
      </c>
      <c r="B41" s="113" t="str">
        <f aca="false">Checks!$K$278&amp;IF(Checks!$O$278="","",IF(Checks!$K$278="","",CHAR(10))&amp;"Note: "&amp;Checks!$O$278)</f>
        <v>Note: Preparation check at caterer - does NOT confirm loading.</v>
      </c>
      <c r="C41" s="113" t="str">
        <f aca="false">Checks!$N$278&amp;CHAR(10)&amp;IF(ISNUMBER(Checks!$R$278),TEXT(Checks!$R$278,"DD-MMM-YY HH:MM"),"")&amp;" "&amp;Checks!$P$278</f>
        <v>Required
09-Oct-26 21:35 KUL</v>
      </c>
      <c r="D41" s="113" t="str">
        <f aca="false">IF(Checks!$U$278="","",Checks!$U$278)&amp;IF(Checks!$AB$278="","",CHAR(10)&amp;"CA: "&amp;Checks!$AB$278)</f>
        <v/>
      </c>
      <c r="E41" s="113" t="str">
        <f aca="false">IF(Checks!$V$278="","",Checks!$V$278)&amp;IF(Checks!$AC$278="","",IF(Checks!$V$278="","",CHAR(10))&amp;"N/A just.: "&amp;Checks!$AC$278)&amp;IF(Checks!$W$278="","",CHAR(10)&amp;"Batch: "&amp;Checks!$W$278)&amp;IF(AND(Checks!$X$278="",Checks!$Y$278=""),"",CHAR(10)&amp;"Exp: "&amp;Checks!$X$278&amp;"  /  Act: "&amp;Checks!$Y$278)</f>
        <v/>
      </c>
      <c r="F41" s="113" t="str">
        <f aca="false">IF(Checks!$Z$278="","","Evidence: "&amp;Checks!$Z$278)&amp;IF(Checks!$AA$278="","",IF(Checks!$Z$278="","",CHAR(10))&amp;"CA: "&amp;Checks!$AA$278)</f>
        <v/>
      </c>
      <c r="G41" s="113" t="str">
        <f aca="false">IF(ISNUMBER(Checks!$AD$278),TEXT(Checks!$AD$278,"DD-MMM-YY HH:MM")&amp;" "&amp;Checks!$P$278,"")&amp;IF(Checks!$AE$278="","",CHAR(10)&amp;"Verifier: "&amp;Checks!$AE$278)&amp;IF(Checks!$T$278="","",CHAR(10)&amp;"PIC: "&amp;Checks!$T$278)</f>
        <v/>
      </c>
      <c r="H41" s="114" t="str">
        <f aca="false">IF(Checks!$AH$278="","",Checks!$AH$278)</f>
        <v>OPEN</v>
      </c>
    </row>
    <row r="42" customFormat="false" ht="114" hidden="false" customHeight="true" outlineLevel="0" collapsed="false">
      <c r="A42" s="113" t="str">
        <f aca="false">Checks!$A$279&amp;CHAR(10)&amp;IF(Checks!$I$279="","",Checks!$I$279&amp;": ")&amp;Checks!$J$279</f>
        <v>F08-T12-08
Seat Linen: Seat pillow (EY) - prepared</v>
      </c>
      <c r="B42" s="113" t="str">
        <f aca="false">Checks!$K$279&amp;IF(Checks!$O$279="","",IF(Checks!$K$279="","",CHAR(10))&amp;"Note: "&amp;Checks!$O$279)</f>
        <v>Available 100% (ticked in reference)
Note: Reference gives no uplift stn for this item: preparation checked at the meal uplift stn (KUL) - confirm with caterer.</v>
      </c>
      <c r="C42" s="113" t="str">
        <f aca="false">Checks!$N$279&amp;CHAR(10)&amp;IF(ISNUMBER(Checks!$R$279),TEXT(Checks!$R$279,"DD-MMM-YY HH:MM"),"")&amp;" "&amp;Checks!$P$279</f>
        <v>Required
09-Oct-26 21:35 KUL</v>
      </c>
      <c r="D42" s="113" t="str">
        <f aca="false">IF(Checks!$U$279="","",Checks!$U$279)&amp;IF(Checks!$AB$279="","",CHAR(10)&amp;"CA: "&amp;Checks!$AB$279)</f>
        <v/>
      </c>
      <c r="E42" s="113" t="str">
        <f aca="false">IF(Checks!$V$279="","",Checks!$V$279)&amp;IF(Checks!$AC$279="","",IF(Checks!$V$279="","",CHAR(10))&amp;"N/A just.: "&amp;Checks!$AC$279)&amp;IF(Checks!$W$279="","",CHAR(10)&amp;"Batch: "&amp;Checks!$W$279)&amp;IF(AND(Checks!$X$279="",Checks!$Y$279=""),"",CHAR(10)&amp;"Exp: "&amp;Checks!$X$279&amp;"  /  Act: "&amp;Checks!$Y$279)</f>
        <v/>
      </c>
      <c r="F42" s="113" t="str">
        <f aca="false">IF(Checks!$Z$279="","","Evidence: "&amp;Checks!$Z$279)&amp;IF(Checks!$AA$279="","",IF(Checks!$Z$279="","",CHAR(10))&amp;"CA: "&amp;Checks!$AA$279)</f>
        <v/>
      </c>
      <c r="G42" s="113" t="str">
        <f aca="false">IF(ISNUMBER(Checks!$AD$279),TEXT(Checks!$AD$279,"DD-MMM-YY HH:MM")&amp;" "&amp;Checks!$P$279,"")&amp;IF(Checks!$AE$279="","",CHAR(10)&amp;"Verifier: "&amp;Checks!$AE$279)&amp;IF(Checks!$T$279="","",CHAR(10)&amp;"PIC: "&amp;Checks!$T$279)</f>
        <v/>
      </c>
      <c r="H42" s="114" t="str">
        <f aca="false">IF(Checks!$AH$279="","",Checks!$AH$279)</f>
        <v>OPEN</v>
      </c>
    </row>
    <row r="43" customFormat="false" ht="25.5" hidden="false" customHeight="true" outlineLevel="0" collapsed="false">
      <c r="A43" s="112"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2"/>
      <c r="C43" s="112"/>
      <c r="D43" s="112"/>
      <c r="E43" s="112"/>
      <c r="F43" s="112"/>
      <c r="G43" s="112"/>
      <c r="H43" s="112"/>
    </row>
    <row r="44" customFormat="false" ht="114" hidden="false" customHeight="true" outlineLevel="0" collapsed="false">
      <c r="A44" s="113" t="str">
        <f aca="false">Checks!$A$280&amp;CHAR(10)&amp;IF(Checks!$I$280="","",Checks!$I$280&amp;": ")&amp;Checks!$J$280</f>
        <v>F08-UPL-01
Meal: Meals physically uplifted on board - quantity vs menu checklist</v>
      </c>
      <c r="B44" s="113" t="str">
        <f aca="false">Checks!$K$280&amp;IF(Checks!$O$280="","",IF(Checks!$K$280="","",CHAR(10))&amp;"Note: "&amp;Checks!$O$280)</f>
        <v>Enter expected &amp; actual
Note: Confirm on board before departure; completion time must fall inside the uplift window.</v>
      </c>
      <c r="C44" s="113" t="str">
        <f aca="false">Checks!$N$280&amp;CHAR(10)&amp;IF(ISNUMBER(Checks!$R$280),TEXT(Checks!$R$280,"DD-MMM-YY HH:MM"),"")&amp;" "&amp;Checks!$P$280</f>
        <v>Required
10-Oct-26 09:35 KUL</v>
      </c>
      <c r="D44" s="113" t="str">
        <f aca="false">IF(Checks!$U$280="","",Checks!$U$280)&amp;IF(Checks!$AB$280="","",CHAR(10)&amp;"CA: "&amp;Checks!$AB$280)</f>
        <v/>
      </c>
      <c r="E44" s="113" t="str">
        <f aca="false">IF(Checks!$V$280="","",Checks!$V$280)&amp;IF(Checks!$AC$280="","",IF(Checks!$V$280="","",CHAR(10))&amp;"N/A just.: "&amp;Checks!$AC$280)&amp;IF(Checks!$W$280="","",CHAR(10)&amp;"Batch: "&amp;Checks!$W$280)&amp;IF(AND(Checks!$X$280="",Checks!$Y$280=""),"",CHAR(10)&amp;"Exp: "&amp;Checks!$X$280&amp;"  /  Act: "&amp;Checks!$Y$280)</f>
        <v/>
      </c>
      <c r="F44" s="113" t="str">
        <f aca="false">IF(Checks!$Z$280="","","Evidence: "&amp;Checks!$Z$280)&amp;IF(Checks!$AA$280="","",IF(Checks!$Z$280="","",CHAR(10))&amp;"CA: "&amp;Checks!$AA$280)</f>
        <v/>
      </c>
      <c r="G44" s="113" t="str">
        <f aca="false">IF(ISNUMBER(Checks!$AD$280),TEXT(Checks!$AD$280,"DD-MMM-YY HH:MM")&amp;" "&amp;Checks!$P$280,"")&amp;IF(Checks!$AE$280="","",CHAR(10)&amp;"Verifier: "&amp;Checks!$AE$280)&amp;IF(Checks!$T$280="","",CHAR(10)&amp;"PIC: "&amp;Checks!$T$280)</f>
        <v/>
      </c>
      <c r="H44" s="114" t="str">
        <f aca="false">IF(Checks!$AH$280="","",Checks!$AH$280)</f>
        <v>OPEN</v>
      </c>
    </row>
    <row r="45" customFormat="false" ht="114" hidden="false" customHeight="true" outlineLevel="0" collapsed="false">
      <c r="A45" s="113" t="str">
        <f aca="false">Checks!$A$281&amp;CHAR(10)&amp;IF(Checks!$I$281="","",Checks!$I$281&amp;": ")&amp;Checks!$J$281</f>
        <v>F08-UPL-02
Equipment: Equipment physically loaded at GLD positions - quantity &amp; positions</v>
      </c>
      <c r="B45" s="113" t="str">
        <f aca="false">Checks!$K$281&amp;IF(Checks!$O$281="","",IF(Checks!$K$281="","",CHAR(10))&amp;"Note: "&amp;Checks!$O$281)</f>
        <v>Enter expected &amp; actual
Note: Confirm on board before departure; completion time must fall inside the uplift window.</v>
      </c>
      <c r="C45" s="113" t="str">
        <f aca="false">Checks!$N$281&amp;CHAR(10)&amp;IF(ISNUMBER(Checks!$R$281),TEXT(Checks!$R$281,"DD-MMM-YY HH:MM"),"")&amp;" "&amp;Checks!$P$281</f>
        <v>Required
10-Oct-26 09:35 KUL</v>
      </c>
      <c r="D45" s="113" t="str">
        <f aca="false">IF(Checks!$U$281="","",Checks!$U$281)&amp;IF(Checks!$AB$281="","",CHAR(10)&amp;"CA: "&amp;Checks!$AB$281)</f>
        <v/>
      </c>
      <c r="E45" s="113" t="str">
        <f aca="false">IF(Checks!$V$281="","",Checks!$V$281)&amp;IF(Checks!$AC$281="","",IF(Checks!$V$281="","",CHAR(10))&amp;"N/A just.: "&amp;Checks!$AC$281)&amp;IF(Checks!$W$281="","",CHAR(10)&amp;"Batch: "&amp;Checks!$W$281)&amp;IF(AND(Checks!$X$281="",Checks!$Y$281=""),"",CHAR(10)&amp;"Exp: "&amp;Checks!$X$281&amp;"  /  Act: "&amp;Checks!$Y$281)</f>
        <v/>
      </c>
      <c r="F45" s="113" t="str">
        <f aca="false">IF(Checks!$Z$281="","","Evidence: "&amp;Checks!$Z$281)&amp;IF(Checks!$AA$281="","",IF(Checks!$Z$281="","",CHAR(10))&amp;"CA: "&amp;Checks!$AA$281)</f>
        <v/>
      </c>
      <c r="G45" s="113" t="str">
        <f aca="false">IF(ISNUMBER(Checks!$AD$281),TEXT(Checks!$AD$281,"DD-MMM-YY HH:MM")&amp;" "&amp;Checks!$P$281,"")&amp;IF(Checks!$AE$281="","",CHAR(10)&amp;"Verifier: "&amp;Checks!$AE$281)&amp;IF(Checks!$T$281="","",CHAR(10)&amp;"PIC: "&amp;Checks!$T$281)</f>
        <v/>
      </c>
      <c r="H45" s="114" t="str">
        <f aca="false">IF(Checks!$AH$281="","",Checks!$AH$281)</f>
        <v>OPEN</v>
      </c>
    </row>
    <row r="46" customFormat="false" ht="114" hidden="false" customHeight="true" outlineLevel="0" collapsed="false">
      <c r="A46" s="113" t="str">
        <f aca="false">Checks!$A$282&amp;CHAR(10)&amp;IF(Checks!$I$282="","",Checks!$I$282&amp;": ")&amp;Checks!$J$282</f>
        <v>F08-UPL-03
Seat Linen: Seat pillow (EY) - on board</v>
      </c>
      <c r="B46" s="113" t="str">
        <f aca="false">Checks!$K$282&amp;IF(Checks!$O$282="","",IF(Checks!$K$282="","",CHAR(10))&amp;"Note: "&amp;Checks!$O$282)</f>
        <v>Available 100% (ticked in reference)</v>
      </c>
      <c r="C46" s="113" t="str">
        <f aca="false">Checks!$N$282&amp;CHAR(10)&amp;IF(ISNUMBER(Checks!$R$282),TEXT(Checks!$R$282,"DD-MMM-YY HH:MM"),"")&amp;" "&amp;Checks!$P$282</f>
        <v>Required
10-Oct-26 09:35 KUL</v>
      </c>
      <c r="D46" s="113" t="str">
        <f aca="false">IF(Checks!$U$282="","",Checks!$U$282)&amp;IF(Checks!$AB$282="","",CHAR(10)&amp;"CA: "&amp;Checks!$AB$282)</f>
        <v/>
      </c>
      <c r="E46" s="113" t="str">
        <f aca="false">IF(Checks!$V$282="","",Checks!$V$282)&amp;IF(Checks!$AC$282="","",IF(Checks!$V$282="","",CHAR(10))&amp;"N/A just.: "&amp;Checks!$AC$282)&amp;IF(Checks!$W$282="","",CHAR(10)&amp;"Batch: "&amp;Checks!$W$282)&amp;IF(AND(Checks!$X$282="",Checks!$Y$282=""),"",CHAR(10)&amp;"Exp: "&amp;Checks!$X$282&amp;"  /  Act: "&amp;Checks!$Y$282)</f>
        <v/>
      </c>
      <c r="F46" s="113" t="str">
        <f aca="false">IF(Checks!$Z$282="","","Evidence: "&amp;Checks!$Z$282)&amp;IF(Checks!$AA$282="","",IF(Checks!$Z$282="","",CHAR(10))&amp;"CA: "&amp;Checks!$AA$282)</f>
        <v/>
      </c>
      <c r="G46" s="113" t="str">
        <f aca="false">IF(ISNUMBER(Checks!$AD$282),TEXT(Checks!$AD$282,"DD-MMM-YY HH:MM")&amp;" "&amp;Checks!$P$282,"")&amp;IF(Checks!$AE$282="","",CHAR(10)&amp;"Verifier: "&amp;Checks!$AE$282)&amp;IF(Checks!$T$282="","",CHAR(10)&amp;"PIC: "&amp;Checks!$T$282)</f>
        <v/>
      </c>
      <c r="H46" s="114" t="str">
        <f aca="false">IF(Checks!$AH$282="","",Checks!$AH$282)</f>
        <v>OPEN</v>
      </c>
    </row>
    <row r="48" customFormat="false" ht="24" hidden="false" customHeight="true" outlineLevel="0" collapsed="false">
      <c r="A48" s="115" t="s">
        <v>1650</v>
      </c>
      <c r="B48" s="115"/>
      <c r="C48" s="115"/>
      <c r="D48" s="115"/>
      <c r="E48" s="115" t="s">
        <v>1651</v>
      </c>
      <c r="F48" s="115"/>
      <c r="G48" s="115"/>
      <c r="H48" s="115"/>
    </row>
    <row r="49" customFormat="false" ht="21.75" hidden="false" customHeight="true" outlineLevel="0" collapsed="false">
      <c r="A49" s="116"/>
      <c r="B49" s="116"/>
      <c r="C49" s="116"/>
      <c r="D49" s="116"/>
      <c r="E49" s="116"/>
      <c r="F49" s="116"/>
      <c r="G49" s="116"/>
      <c r="H49" s="116"/>
    </row>
    <row r="50" customFormat="false" ht="21.75" hidden="false" customHeight="true" outlineLevel="0" collapsed="false">
      <c r="A50" s="116"/>
      <c r="B50" s="116"/>
      <c r="C50" s="116"/>
      <c r="D50" s="116"/>
      <c r="E50" s="116"/>
      <c r="F50" s="116"/>
      <c r="G50" s="116"/>
      <c r="H50" s="116"/>
    </row>
    <row r="51" customFormat="false" ht="21.75" hidden="false" customHeight="true" outlineLevel="0" collapsed="false">
      <c r="A51" s="116"/>
      <c r="B51" s="116"/>
      <c r="C51" s="116"/>
      <c r="D51" s="116"/>
      <c r="E51" s="116"/>
      <c r="F51" s="116"/>
      <c r="G51" s="116"/>
      <c r="H51" s="116"/>
    </row>
    <row r="52" customFormat="false" ht="21.75" hidden="false" customHeight="true" outlineLevel="0" collapsed="false">
      <c r="A52" s="116"/>
      <c r="B52" s="116"/>
      <c r="C52" s="116"/>
      <c r="D52" s="116"/>
      <c r="E52" s="116"/>
      <c r="F52" s="116"/>
      <c r="G52" s="116"/>
      <c r="H52" s="116"/>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F09  "&amp;Flights!$F$13&amp;"  "&amp;TEXT(Flights!$D$13,"DD-MMM-YY")&amp;" ("&amp;Flights!$E$13&amp;")  "&amp;Flights!$G$13&amp;" → "&amp;Flights!$H$13&amp;"  |  Class "&amp;Flights!$K$13</f>
        <v>SKYTRAX 2026 CATERING READINESS CHECKLIST  |  F09  MH0753  11-Oct-26 (SUN)  HAN → KUL  |  Class BC</v>
      </c>
      <c r="B1" s="91"/>
      <c r="C1" s="91"/>
      <c r="D1" s="91"/>
      <c r="E1" s="91"/>
      <c r="F1" s="91"/>
      <c r="G1" s="91"/>
      <c r="H1" s="91"/>
    </row>
    <row r="2" customFormat="false" ht="12.75" hidden="false" customHeight="true" outlineLevel="0" collapsed="false">
      <c r="A2" s="92" t="s">
        <v>1605</v>
      </c>
      <c r="B2" s="93" t="str">
        <f aca="false">Flights!$F$13&amp;"   "&amp;TEXT(Flights!$D$13,"DD-MMM-YY")&amp;" ("&amp;Flights!$E$13&amp;")"</f>
        <v>MH0753   11-Oct-26 (SUN)</v>
      </c>
      <c r="C2" s="93"/>
      <c r="D2" s="93"/>
      <c r="E2" s="94" t="s">
        <v>1606</v>
      </c>
      <c r="F2" s="95" t="str">
        <f aca="false">Flights!$AT$13</f>
        <v>NOT READY – DOCUMENTS</v>
      </c>
      <c r="G2" s="95"/>
      <c r="H2" s="95"/>
    </row>
    <row r="3" customFormat="false" ht="24" hidden="false" customHeight="true" outlineLevel="0" collapsed="false">
      <c r="A3" s="92" t="s">
        <v>1607</v>
      </c>
      <c r="B3" s="93" t="str">
        <f aca="false">Flights!$G$13&amp;" → "&amp;Flights!$H$13&amp;"   Class "&amp;Flights!$K$13&amp;"   Seat "&amp;Flights!$O$13</f>
        <v>HAN → KUL   Class BC   Seat 1F</v>
      </c>
      <c r="C3" s="93"/>
      <c r="D3" s="93"/>
      <c r="E3" s="94" t="s">
        <v>68</v>
      </c>
      <c r="F3" s="94" t="s">
        <v>1608</v>
      </c>
      <c r="G3" s="94" t="s">
        <v>1609</v>
      </c>
      <c r="H3" s="94"/>
    </row>
    <row r="4" customFormat="false" ht="24" hidden="false" customHeight="true" outlineLevel="0" collapsed="false">
      <c r="A4" s="92" t="s">
        <v>1610</v>
      </c>
      <c r="B4" s="93" t="str">
        <f aca="false">IF(ISNUMBER(Flights!$I$13),TEXT(Flights!$I$13,"DD-MMM-YY HH:MM"),"")&amp;" "&amp;Flights!$G$13&amp;"  →  "&amp;IF(ISNUMBER(Flights!$J$13),TEXT(Flights!$J$13,"DD-MMM-YY HH:MM"),"")&amp;" "&amp;Flights!$H$13</f>
        <v>11-Oct-26 13:05 HAN  →  11-Oct-26 17:30 KUL</v>
      </c>
      <c r="C4" s="93"/>
      <c r="D4" s="93"/>
      <c r="E4" s="92" t="s">
        <v>1611</v>
      </c>
      <c r="F4" s="96" t="str">
        <f aca="false">IF(ISNUMBER(Flights!$AG$13),TEXT(Flights!$AG$13,"DD-MMM-YY HH:MM"),"")&amp;" "&amp;Flights!$V$13</f>
        <v>04-Oct-26 13:05 HAN</v>
      </c>
      <c r="G4" s="97" t="n">
        <f aca="false">Flights!$AJ$13</f>
        <v>0</v>
      </c>
      <c r="H4" s="97"/>
    </row>
    <row r="5" customFormat="false" ht="24" hidden="false" customHeight="true" outlineLevel="0" collapsed="false">
      <c r="A5" s="92" t="s">
        <v>1612</v>
      </c>
      <c r="B5" s="93" t="str">
        <f aca="false">Flights!$L$13&amp;" – "&amp;Flights!$M$13</f>
        <v>B738MAX – B737-8 (B7M8)</v>
      </c>
      <c r="C5" s="93"/>
      <c r="D5" s="93"/>
      <c r="E5" s="92" t="s">
        <v>1613</v>
      </c>
      <c r="F5" s="96" t="str">
        <f aca="false">IF(ISNUMBER(Flights!$AH$13),TEXT(Flights!$AH$13,"DD-MMM-YY HH:MM"),"")&amp;" "&amp;Flights!$V$13</f>
        <v>10-Oct-26 13:05 HAN</v>
      </c>
      <c r="G5" s="97" t="n">
        <f aca="false">Flights!$AK$13</f>
        <v>0</v>
      </c>
      <c r="H5" s="97"/>
    </row>
    <row r="6" customFormat="false" ht="24" hidden="false" customHeight="true" outlineLevel="0" collapsed="false">
      <c r="A6" s="92" t="s">
        <v>1614</v>
      </c>
      <c r="B6" s="93" t="str">
        <f aca="false">IF(TRIM(Flights!$N$13)="","__________________",Flights!$N$13)</f>
        <v>__________________</v>
      </c>
      <c r="C6" s="93"/>
      <c r="D6" s="93"/>
      <c r="E6" s="92" t="s">
        <v>1615</v>
      </c>
      <c r="F6" s="96" t="str">
        <f aca="false">IF(ISNUMBER(Flights!$AI$13),TEXT(Flights!$AI$13,"DD-MMM-YY HH:MM"),"")&amp;" "&amp;Flights!$V$13&amp;IF(Flights!$AI$13=Flights!$AH$13,"  (= T-24H due)","")</f>
        <v>11-Oct-26 01:05 HAN</v>
      </c>
      <c r="G6" s="97" t="n">
        <f aca="false">Flights!$AL$13</f>
        <v>0</v>
      </c>
      <c r="H6" s="97"/>
    </row>
    <row r="7" customFormat="false" ht="24" hidden="false" customHeight="true" outlineLevel="0" collapsed="false">
      <c r="A7" s="92" t="s">
        <v>1616</v>
      </c>
      <c r="B7" s="93" t="str">
        <f aca="false">Flights!$T$13</f>
        <v>1 Meal (Meal)</v>
      </c>
      <c r="C7" s="93"/>
      <c r="D7" s="93"/>
      <c r="E7" s="92" t="s">
        <v>1617</v>
      </c>
      <c r="F7" s="96" t="str">
        <f aca="false">"STD "&amp;IF(ISNUMBER(Flights!$I$13),TEXT(Flights!$I$13,"DD-MMM-YY HH:MM"),"")&amp;" "&amp;Flights!$G$13&amp;" (dep stn)"</f>
        <v>STD 11-Oct-26 13:05 HAN (dep stn)</v>
      </c>
      <c r="G7" s="97" t="n">
        <f aca="false">Flights!$AM$13</f>
        <v>0</v>
      </c>
      <c r="H7" s="97"/>
    </row>
    <row r="8" customFormat="false" ht="12.75" hidden="false" customHeight="true" outlineLevel="0" collapsed="false">
      <c r="A8" s="92" t="s">
        <v>150</v>
      </c>
      <c r="B8" s="93" t="str">
        <f aca="false">Flights!$V$13&amp;"   (reference uplift stns: "&amp;Flights!$U$13&amp;")"</f>
        <v>HAN   (reference uplift stns: KUL/HAN)</v>
      </c>
      <c r="C8" s="93"/>
      <c r="D8" s="93"/>
      <c r="E8" s="92" t="s">
        <v>1618</v>
      </c>
      <c r="F8" s="98" t="s">
        <v>1619</v>
      </c>
      <c r="G8" s="97" t="n">
        <f aca="false">Flights!$AN$13</f>
        <v>0</v>
      </c>
      <c r="H8" s="97"/>
    </row>
    <row r="9" customFormat="false" ht="12.75" hidden="false" customHeight="true" outlineLevel="0" collapsed="false">
      <c r="A9" s="92" t="s">
        <v>1620</v>
      </c>
      <c r="B9" s="93" t="str">
        <f aca="false">TRIM(Flights!$P$13&amp;"  "&amp;Flights!$Q$13)</f>
        <v>- Overnight KUL</v>
      </c>
      <c r="C9" s="93"/>
      <c r="D9" s="93"/>
      <c r="E9" s="92" t="s">
        <v>1621</v>
      </c>
      <c r="F9" s="99" t="n">
        <f aca="false">Flights!$AP$13</f>
        <v>0</v>
      </c>
      <c r="G9" s="99" t="n">
        <f aca="false">Flights!$AQ$13</f>
        <v>0</v>
      </c>
      <c r="H9" s="99" t="n">
        <f aca="false">Flights!$AU$13</f>
        <v>0</v>
      </c>
    </row>
    <row r="10" customFormat="false" ht="24" hidden="false" customHeight="true" outlineLevel="0" collapsed="false">
      <c r="A10" s="92" t="s">
        <v>1622</v>
      </c>
      <c r="B10" s="93" t="str">
        <f aca="false">IF(TRIM(Flights!$X$13)="","__________________",Flights!$X$13)</f>
        <v>__________________</v>
      </c>
      <c r="C10" s="93"/>
      <c r="D10" s="93"/>
      <c r="E10" s="92" t="s">
        <v>1623</v>
      </c>
      <c r="F10" s="99" t="n">
        <f aca="false">Flights!$AO$13</f>
        <v>38</v>
      </c>
      <c r="G10" s="99" t="n">
        <f aca="false">Flights!$AS$13</f>
        <v>4</v>
      </c>
      <c r="H10" s="99" t="n">
        <f aca="false">Flights!$AR$13</f>
        <v>2</v>
      </c>
    </row>
    <row r="11" customFormat="false" ht="21" hidden="false" customHeight="true" outlineLevel="0" collapsed="false">
      <c r="A11" s="92" t="s">
        <v>1624</v>
      </c>
      <c r="B11" s="93" t="str">
        <f aca="false">IF(TRIM(Flights!$Y$13)="","__________________",Flights!$Y$13)</f>
        <v>__________________</v>
      </c>
      <c r="C11" s="93"/>
      <c r="D11" s="93"/>
      <c r="E11" s="92" t="s">
        <v>1625</v>
      </c>
      <c r="F11" s="99" t="str">
        <f aca="false">Flights!$AV$13&amp;" / "&amp;Flights!$AW$13</f>
        <v>0 / 38</v>
      </c>
      <c r="G11" s="100" t="str">
        <f aca="false">IF(ISNUMBER(Settings!$B$6),TEXT(Settings!$B$6,"DD-MMM-YY HH:MM"),"")</f>
        <v>28-Sep-26 03:19</v>
      </c>
      <c r="H11" s="100"/>
    </row>
    <row r="12" customFormat="false" ht="34.5" hidden="false" customHeight="true" outlineLevel="0" collapsed="false">
      <c r="A12" s="101" t="s">
        <v>1626</v>
      </c>
      <c r="B12" s="101"/>
      <c r="C12" s="101"/>
      <c r="D12" s="101"/>
      <c r="E12" s="102" t="s">
        <v>1627</v>
      </c>
      <c r="F12" s="103" t="s">
        <v>1628</v>
      </c>
      <c r="G12" s="104" t="s">
        <v>89</v>
      </c>
      <c r="H12" s="105" t="s">
        <v>1629</v>
      </c>
    </row>
    <row r="13" customFormat="false" ht="13.5" hidden="false" customHeight="true" outlineLevel="0" collapsed="false">
      <c r="A13" s="94" t="s">
        <v>1630</v>
      </c>
      <c r="B13" s="94" t="s">
        <v>1631</v>
      </c>
      <c r="C13" s="94" t="s">
        <v>1632</v>
      </c>
      <c r="D13" s="94"/>
      <c r="E13" s="94" t="s">
        <v>1633</v>
      </c>
      <c r="F13" s="94" t="s">
        <v>1634</v>
      </c>
      <c r="G13" s="94"/>
      <c r="H13" s="94"/>
    </row>
    <row r="14" customFormat="false" ht="36" hidden="false" customHeight="true" outlineLevel="0" collapsed="false">
      <c r="A14" s="92" t="s">
        <v>1635</v>
      </c>
      <c r="B14" s="93" t="str">
        <f aca="false">IF(Documents!$F$13="","",Documents!$F$13)</f>
        <v/>
      </c>
      <c r="C14" s="98" t="str">
        <f aca="false">IF(Documents!$G$13="","",Documents!$G$13)&amp;IF(ISNUMBER(Documents!$H$13),"  "&amp;TEXT(Documents!$H$13,"DD-MMM-YY"),"")</f>
        <v/>
      </c>
      <c r="D14" s="98"/>
      <c r="E14" s="106" t="str">
        <f aca="false">IF(Documents!$J$13="OUTSTANDING","OUTSTANDING – attach before T-7D (due "&amp;IF(ISNUMBER(Flights!$AG$13),TEXT(Flights!$AG$13,"DD-MMM-YY HH:MM"),"")&amp;" "&amp;Flights!$V$13&amp;")",IF(Documents!$J$13="","Status not recorded",Documents!$J$13))</f>
        <v>OUTSTANDING – attach before T-7D (due 04-Oct-26 13:05 HAN)</v>
      </c>
      <c r="F14" s="107" t="str">
        <f aca="false">"Staple behind this sheet as page A1."&amp;IF(Documents!$I$13="",""," Location: "&amp;Documents!$I$13)</f>
        <v>Staple behind this sheet as page A1.</v>
      </c>
      <c r="G14" s="107"/>
      <c r="H14" s="107"/>
    </row>
    <row r="15" customFormat="false" ht="36" hidden="false" customHeight="true" outlineLevel="0" collapsed="false">
      <c r="A15" s="92" t="s">
        <v>1636</v>
      </c>
      <c r="B15" s="93" t="str">
        <f aca="false">IF(Documents!$K$13="","",Documents!$K$13)</f>
        <v/>
      </c>
      <c r="C15" s="98" t="str">
        <f aca="false">IF(Documents!$L$13="","",Documents!$L$13)&amp;IF(ISNUMBER(Documents!$M$13),"  "&amp;TEXT(Documents!$M$13,"DD-MMM-YY"),"")</f>
        <v/>
      </c>
      <c r="D15" s="98"/>
      <c r="E15" s="106" t="str">
        <f aca="false">IF(Documents!$O$13="OUTSTANDING","OUTSTANDING – attach before T-7D (due "&amp;IF(ISNUMBER(Flights!$AG$13),TEXT(Flights!$AG$13,"DD-MMM-YY HH:MM"),"")&amp;" "&amp;Flights!$V$13&amp;")",IF(Documents!$O$13="","Status not recorded",Documents!$O$13))</f>
        <v>OUTSTANDING – attach before T-7D (due 04-Oct-26 13:05 HAN)</v>
      </c>
      <c r="F15" s="107" t="str">
        <f aca="false">"Staple behind this sheet as page A2."&amp;IF(Documents!$N$13="",""," Location: "&amp;Documents!$N$13)</f>
        <v>Staple behind this sheet as page A2.</v>
      </c>
      <c r="G15" s="107"/>
      <c r="H15" s="107"/>
    </row>
    <row r="16" customFormat="false" ht="22.5" hidden="false" customHeight="true" outlineLevel="0" collapsed="false">
      <c r="A16" s="92" t="s">
        <v>1637</v>
      </c>
      <c r="B16" s="108" t="str">
        <f aca="false">IF(Documents!$Q$13="","",Documents!$Q$13)</f>
        <v>Not supplied with brief – obtain from caterer / MAGCS.</v>
      </c>
      <c r="C16" s="108"/>
      <c r="D16" s="108"/>
      <c r="E16" s="108"/>
      <c r="F16" s="108"/>
      <c r="G16" s="108"/>
      <c r="H16" s="108"/>
    </row>
    <row r="17" customFormat="false" ht="13.5" hidden="false" customHeight="true" outlineLevel="0" collapsed="false">
      <c r="A17" s="109" t="s">
        <v>1638</v>
      </c>
      <c r="B17" s="109"/>
      <c r="C17" s="109" t="s">
        <v>1639</v>
      </c>
      <c r="D17" s="109"/>
      <c r="E17" s="109"/>
      <c r="F17" s="109" t="s">
        <v>1640</v>
      </c>
      <c r="G17" s="109"/>
      <c r="H17" s="109"/>
    </row>
    <row r="18" customFormat="false" ht="18" hidden="false" customHeight="true" outlineLevel="0" collapsed="false">
      <c r="A18" s="93" t="str">
        <f aca="false">"Name: "&amp;IF(TRIM(Flights!$Y$13)="","__________________",Flights!$Y$13)</f>
        <v>Name: __________________</v>
      </c>
      <c r="B18" s="93"/>
      <c r="C18" s="93" t="str">
        <f aca="false">"Name: __________________"</f>
        <v>Name: __________________</v>
      </c>
      <c r="D18" s="93"/>
      <c r="E18" s="93"/>
      <c r="F18" s="93" t="str">
        <f aca="false">"Name: __________________"&amp;"   Station: "&amp;Flights!$V$13</f>
        <v>Name: __________________   Station: HAN</v>
      </c>
      <c r="G18" s="93"/>
      <c r="H18" s="93"/>
    </row>
    <row r="19" customFormat="false" ht="30" hidden="false" customHeight="true" outlineLevel="0" collapsed="false">
      <c r="A19" s="110" t="s">
        <v>1641</v>
      </c>
      <c r="B19" s="110"/>
      <c r="C19" s="110" t="s">
        <v>1641</v>
      </c>
      <c r="D19" s="110"/>
      <c r="E19" s="110"/>
      <c r="F19" s="110" t="s">
        <v>1641</v>
      </c>
      <c r="G19" s="110"/>
      <c r="H19" s="110"/>
    </row>
    <row r="20" customFormat="false" ht="13.5" hidden="false" customHeight="true" outlineLevel="0" collapsed="false">
      <c r="A20" s="111" t="s">
        <v>1642</v>
      </c>
      <c r="B20" s="111"/>
      <c r="C20" s="111"/>
      <c r="D20" s="111"/>
      <c r="E20" s="111"/>
      <c r="F20" s="111"/>
      <c r="G20" s="111"/>
      <c r="H20" s="111"/>
    </row>
    <row r="21" customFormat="false" ht="24" hidden="false" customHeight="true" outlineLevel="0" collapsed="false">
      <c r="A21" s="94" t="s">
        <v>1643</v>
      </c>
      <c r="B21" s="94" t="s">
        <v>1644</v>
      </c>
      <c r="C21" s="94" t="s">
        <v>1645</v>
      </c>
      <c r="D21" s="94" t="s">
        <v>1646</v>
      </c>
      <c r="E21" s="94" t="s">
        <v>1647</v>
      </c>
      <c r="F21" s="94" t="s">
        <v>1648</v>
      </c>
      <c r="G21" s="94" t="s">
        <v>1649</v>
      </c>
      <c r="H21" s="94" t="s">
        <v>121</v>
      </c>
    </row>
    <row r="22" customFormat="false" ht="25.5" hidden="false" customHeight="true" outlineLevel="0" collapsed="false">
      <c r="A22" s="112"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Checks!$A$283&amp;CHAR(10)&amp;IF(Checks!$I$283="","",Checks!$I$283&amp;": ")&amp;Checks!$J$283</f>
        <v>F09-T7-01
Meal: Meal sensory testing completed for this flight's menu cycle (assessed class)</v>
      </c>
      <c r="B23" s="113" t="str">
        <f aca="false">Checks!$K$283&amp;IF(Checks!$O$283="","",IF(Checks!$K$283="","",CHAR(10))&amp;"Note: "&amp;Checks!$O$283)</f>
        <v>Record panel result / score in Result</v>
      </c>
      <c r="C23" s="113" t="str">
        <f aca="false">Checks!$N$283&amp;CHAR(10)&amp;IF(ISNUMBER(Checks!$R$283),TEXT(Checks!$R$283,"DD-MMM-YY HH:MM"),"")&amp;" "&amp;Checks!$P$283</f>
        <v>Required
04-Oct-26 13:05 HAN</v>
      </c>
      <c r="D23" s="113" t="str">
        <f aca="false">IF(Checks!$U$283="","",Checks!$U$283)&amp;IF(Checks!$AB$283="","",CHAR(10)&amp;"CA: "&amp;Checks!$AB$283)</f>
        <v/>
      </c>
      <c r="E23" s="113" t="str">
        <f aca="false">IF(Checks!$V$283="","",Checks!$V$283)&amp;IF(Checks!$AC$283="","",IF(Checks!$V$283="","",CHAR(10))&amp;"N/A just.: "&amp;Checks!$AC$283)&amp;IF(Checks!$W$283="","",CHAR(10)&amp;"Batch: "&amp;Checks!$W$283)&amp;IF(AND(Checks!$X$283="",Checks!$Y$283=""),"",CHAR(10)&amp;"Exp: "&amp;Checks!$X$283&amp;"  /  Act: "&amp;Checks!$Y$283)</f>
        <v/>
      </c>
      <c r="F23" s="113" t="str">
        <f aca="false">IF(Checks!$Z$283="","","Evidence: "&amp;Checks!$Z$283)&amp;IF(Checks!$AA$283="","",IF(Checks!$Z$283="","",CHAR(10))&amp;"CA: "&amp;Checks!$AA$283)</f>
        <v/>
      </c>
      <c r="G23" s="113" t="str">
        <f aca="false">IF(ISNUMBER(Checks!$AD$283),TEXT(Checks!$AD$283,"DD-MMM-YY HH:MM")&amp;" "&amp;Checks!$P$283,"")&amp;IF(Checks!$AE$283="","",CHAR(10)&amp;"Verifier: "&amp;Checks!$AE$283)&amp;IF(Checks!$T$283="","",CHAR(10)&amp;"PIC: "&amp;Checks!$T$283)</f>
        <v/>
      </c>
      <c r="H23" s="114" t="str">
        <f aca="false">IF(Checks!$AH$283="","",Checks!$AH$283)</f>
        <v>OPEN</v>
      </c>
    </row>
    <row r="24" customFormat="false" ht="114" hidden="false" customHeight="true" outlineLevel="0" collapsed="false">
      <c r="A24" s="113" t="str">
        <f aca="false">Checks!$A$284&amp;CHAR(10)&amp;IF(Checks!$I$284="","",Checks!$I$284&amp;": ")&amp;Checks!$J$284</f>
        <v>F09-T7-02
Menu: Printed menu cards confirmed (content, cycle, language, quantity)</v>
      </c>
      <c r="B24" s="113" t="str">
        <f aca="false">Checks!$K$284&amp;IF(Checks!$O$284="","",IF(Checks!$K$284="","",CHAR(10))&amp;"Note: "&amp;Checks!$O$284)</f>
        <v>Menu card matches approved menu for this flight</v>
      </c>
      <c r="C24" s="113" t="str">
        <f aca="false">Checks!$N$284&amp;CHAR(10)&amp;IF(ISNUMBER(Checks!$R$284),TEXT(Checks!$R$284,"DD-MMM-YY HH:MM"),"")&amp;" "&amp;Checks!$P$284</f>
        <v>Required
04-Oct-26 13:05 HAN</v>
      </c>
      <c r="D24" s="113" t="str">
        <f aca="false">IF(Checks!$U$284="","",Checks!$U$284)&amp;IF(Checks!$AB$284="","",CHAR(10)&amp;"CA: "&amp;Checks!$AB$284)</f>
        <v/>
      </c>
      <c r="E24" s="113" t="str">
        <f aca="false">IF(Checks!$V$284="","",Checks!$V$284)&amp;IF(Checks!$AC$284="","",IF(Checks!$V$284="","",CHAR(10))&amp;"N/A just.: "&amp;Checks!$AC$284)&amp;IF(Checks!$W$284="","",CHAR(10)&amp;"Batch: "&amp;Checks!$W$284)&amp;IF(AND(Checks!$X$284="",Checks!$Y$284=""),"",CHAR(10)&amp;"Exp: "&amp;Checks!$X$284&amp;"  /  Act: "&amp;Checks!$Y$284)</f>
        <v/>
      </c>
      <c r="F24" s="113" t="str">
        <f aca="false">IF(Checks!$Z$284="","","Evidence: "&amp;Checks!$Z$284)&amp;IF(Checks!$AA$284="","",IF(Checks!$Z$284="","",CHAR(10))&amp;"CA: "&amp;Checks!$AA$284)</f>
        <v/>
      </c>
      <c r="G24" s="113" t="str">
        <f aca="false">IF(ISNUMBER(Checks!$AD$284),TEXT(Checks!$AD$284,"DD-MMM-YY HH:MM")&amp;" "&amp;Checks!$P$284,"")&amp;IF(Checks!$AE$284="","",CHAR(10)&amp;"Verifier: "&amp;Checks!$AE$284)&amp;IF(Checks!$T$284="","",CHAR(10)&amp;"PIC: "&amp;Checks!$T$284)</f>
        <v/>
      </c>
      <c r="H24" s="114" t="str">
        <f aca="false">IF(Checks!$AH$284="","",Checks!$AH$284)</f>
        <v>OPEN</v>
      </c>
    </row>
    <row r="25" customFormat="false" ht="114" hidden="false" customHeight="true" outlineLevel="0" collapsed="false">
      <c r="A25" s="113" t="str">
        <f aca="false">Checks!$A$285&amp;CHAR(10)&amp;IF(Checks!$I$285="","",Checks!$I$285&amp;": ")&amp;Checks!$J$285</f>
        <v>F09-T7-03
IFE: Digital menu in IFE confirmed (A339 only)</v>
      </c>
      <c r="B25" s="113" t="str">
        <f aca="false">Checks!$K$285&amp;IF(Checks!$O$285="","",IF(Checks!$K$285="","",CHAR(10))&amp;"Note: "&amp;Checks!$O$285)</f>
        <v>Applies when fleet = A339
Note: Digital IFE menu applies to A339 only (user brief). Applicability follows the Fleet cell on Flights.</v>
      </c>
      <c r="C25" s="113" t="str">
        <f aca="false">Checks!$N$285&amp;CHAR(10)&amp;IF(ISNUMBER(Checks!$R$285),TEXT(Checks!$R$285,"DD-MMM-YY HH:MM"),"")&amp;" "&amp;Checks!$P$285</f>
        <v>N/A – rule
04-Oct-26 13:05 HAN</v>
      </c>
      <c r="D25" s="113" t="str">
        <f aca="false">IF(Checks!$U$285="","",Checks!$U$285)&amp;IF(Checks!$AB$285="","",CHAR(10)&amp;"CA: "&amp;Checks!$AB$285)</f>
        <v/>
      </c>
      <c r="E25" s="113" t="str">
        <f aca="false">IF(Checks!$V$285="","",Checks!$V$285)&amp;IF(Checks!$AC$285="","",IF(Checks!$V$285="","",CHAR(10))&amp;"N/A just.: "&amp;Checks!$AC$285)&amp;IF(Checks!$W$285="","",CHAR(10)&amp;"Batch: "&amp;Checks!$W$285)&amp;IF(AND(Checks!$X$285="",Checks!$Y$285=""),"",CHAR(10)&amp;"Exp: "&amp;Checks!$X$285&amp;"  /  Act: "&amp;Checks!$Y$285)</f>
        <v/>
      </c>
      <c r="F25" s="113" t="str">
        <f aca="false">IF(Checks!$Z$285="","","Evidence: "&amp;Checks!$Z$285)&amp;IF(Checks!$AA$285="","",IF(Checks!$Z$285="","",CHAR(10))&amp;"CA: "&amp;Checks!$AA$285)</f>
        <v/>
      </c>
      <c r="G25" s="113" t="str">
        <f aca="false">IF(ISNUMBER(Checks!$AD$285),TEXT(Checks!$AD$285,"DD-MMM-YY HH:MM")&amp;" "&amp;Checks!$P$285,"")&amp;IF(Checks!$AE$285="","",CHAR(10)&amp;"Verifier: "&amp;Checks!$AE$285)&amp;IF(Checks!$T$285="","",CHAR(10)&amp;"PIC: "&amp;Checks!$T$285)</f>
        <v/>
      </c>
      <c r="H25" s="114" t="str">
        <f aca="false">IF(Checks!$AH$285="","",Checks!$AH$285)</f>
        <v>N/A – RULE</v>
      </c>
    </row>
    <row r="26" customFormat="false" ht="114" hidden="false" customHeight="true" outlineLevel="0" collapsed="false">
      <c r="A26" s="113" t="str">
        <f aca="false">Checks!$A$286&amp;CHAR(10)&amp;IF(Checks!$I$286="","",Checks!$I$286&amp;": ")&amp;Checks!$J$286</f>
        <v>F09-T7-04
Staffing: Experienced catering officer assigned to this flight</v>
      </c>
      <c r="B26" s="113" t="str">
        <f aca="false">Checks!$K$286&amp;IF(Checks!$O$286="","",IF(Checks!$K$286="","",CHAR(10))&amp;"Note: "&amp;Checks!$O$286)</f>
        <v>Record officer name in Result</v>
      </c>
      <c r="C26" s="113" t="str">
        <f aca="false">Checks!$N$286&amp;CHAR(10)&amp;IF(ISNUMBER(Checks!$R$286),TEXT(Checks!$R$286,"DD-MMM-YY HH:MM"),"")&amp;" "&amp;Checks!$P$286</f>
        <v>Required
04-Oct-26 13:05 HAN</v>
      </c>
      <c r="D26" s="113" t="str">
        <f aca="false">IF(Checks!$U$286="","",Checks!$U$286)&amp;IF(Checks!$AB$286="","",CHAR(10)&amp;"CA: "&amp;Checks!$AB$286)</f>
        <v/>
      </c>
      <c r="E26" s="113" t="str">
        <f aca="false">IF(Checks!$V$286="","",Checks!$V$286)&amp;IF(Checks!$AC$286="","",IF(Checks!$V$286="","",CHAR(10))&amp;"N/A just.: "&amp;Checks!$AC$286)&amp;IF(Checks!$W$286="","",CHAR(10)&amp;"Batch: "&amp;Checks!$W$286)&amp;IF(AND(Checks!$X$286="",Checks!$Y$286=""),"",CHAR(10)&amp;"Exp: "&amp;Checks!$X$286&amp;"  /  Act: "&amp;Checks!$Y$286)</f>
        <v/>
      </c>
      <c r="F26" s="113" t="str">
        <f aca="false">IF(Checks!$Z$286="","","Evidence: "&amp;Checks!$Z$286)&amp;IF(Checks!$AA$286="","",IF(Checks!$Z$286="","",CHAR(10))&amp;"CA: "&amp;Checks!$AA$286)</f>
        <v/>
      </c>
      <c r="G26" s="113" t="str">
        <f aca="false">IF(ISNUMBER(Checks!$AD$286),TEXT(Checks!$AD$286,"DD-MMM-YY HH:MM")&amp;" "&amp;Checks!$P$286,"")&amp;IF(Checks!$AE$286="","",CHAR(10)&amp;"Verifier: "&amp;Checks!$AE$286)&amp;IF(Checks!$T$286="","",CHAR(10)&amp;"PIC: "&amp;Checks!$T$286)</f>
        <v/>
      </c>
      <c r="H26" s="114" t="str">
        <f aca="false">IF(Checks!$AH$286="","",Checks!$AH$286)</f>
        <v>OPEN</v>
      </c>
    </row>
    <row r="27" customFormat="false" ht="114" hidden="false" customHeight="true" outlineLevel="0" collapsed="false">
      <c r="A27" s="113" t="str">
        <f aca="false">Checks!$A$287&amp;CHAR(10)&amp;IF(Checks!$I$287="","",Checks!$I$287&amp;": ")&amp;Checks!$J$287</f>
        <v>F09-T7-05
ISOP: All latest applicable ISOP revisions communicated to caterer</v>
      </c>
      <c r="B27" s="113" t="str">
        <f aca="false">Checks!$K$287&amp;IF(Checks!$O$287="","",IF(Checks!$K$287="","",CHAR(10))&amp;"Note: "&amp;Checks!$O$287)</f>
        <v>List revision numbers in Result (see ISOP register)</v>
      </c>
      <c r="C27" s="113" t="str">
        <f aca="false">Checks!$N$287&amp;CHAR(10)&amp;IF(ISNUMBER(Checks!$R$287),TEXT(Checks!$R$287,"DD-MMM-YY HH:MM"),"")&amp;" "&amp;Checks!$P$287</f>
        <v>Required
04-Oct-26 13:05 HAN</v>
      </c>
      <c r="D27" s="113" t="str">
        <f aca="false">IF(Checks!$U$287="","",Checks!$U$287)&amp;IF(Checks!$AB$287="","",CHAR(10)&amp;"CA: "&amp;Checks!$AB$287)</f>
        <v/>
      </c>
      <c r="E27" s="113" t="str">
        <f aca="false">IF(Checks!$V$287="","",Checks!$V$287)&amp;IF(Checks!$AC$287="","",IF(Checks!$V$287="","",CHAR(10))&amp;"N/A just.: "&amp;Checks!$AC$287)&amp;IF(Checks!$W$287="","",CHAR(10)&amp;"Batch: "&amp;Checks!$W$287)&amp;IF(AND(Checks!$X$287="",Checks!$Y$287=""),"",CHAR(10)&amp;"Exp: "&amp;Checks!$X$287&amp;"  /  Act: "&amp;Checks!$Y$287)</f>
        <v/>
      </c>
      <c r="F27" s="113" t="str">
        <f aca="false">IF(Checks!$Z$287="","","Evidence: "&amp;Checks!$Z$287)&amp;IF(Checks!$AA$287="","",IF(Checks!$Z$287="","",CHAR(10))&amp;"CA: "&amp;Checks!$AA$287)</f>
        <v/>
      </c>
      <c r="G27" s="113" t="str">
        <f aca="false">IF(ISNUMBER(Checks!$AD$287),TEXT(Checks!$AD$287,"DD-MMM-YY HH:MM")&amp;" "&amp;Checks!$P$287,"")&amp;IF(Checks!$AE$287="","",CHAR(10)&amp;"Verifier: "&amp;Checks!$AE$287)&amp;IF(Checks!$T$287="","",CHAR(10)&amp;"PIC: "&amp;Checks!$T$287)</f>
        <v/>
      </c>
      <c r="H27" s="114" t="str">
        <f aca="false">IF(Checks!$AH$287="","",Checks!$AH$287)</f>
        <v>OPEN</v>
      </c>
    </row>
    <row r="28" customFormat="false" ht="114" hidden="false" customHeight="true" outlineLevel="0" collapsed="false">
      <c r="A28" s="113" t="str">
        <f aca="false">Checks!$A$288&amp;CHAR(10)&amp;IF(Checks!$I$288="","",Checks!$I$288&amp;": ")&amp;Checks!$J$288</f>
        <v>F09-T7-06
ISOP: Caterer acknowledgement of ISOP revisions recorded</v>
      </c>
      <c r="B28" s="113" t="str">
        <f aca="false">Checks!$K$288&amp;IF(Checks!$O$288="","",IF(Checks!$K$288="","",CHAR(10))&amp;"Note: "&amp;Checks!$O$288)</f>
        <v>Record acknowledgement ref in Evidence</v>
      </c>
      <c r="C28" s="113" t="str">
        <f aca="false">Checks!$N$288&amp;CHAR(10)&amp;IF(ISNUMBER(Checks!$R$288),TEXT(Checks!$R$288,"DD-MMM-YY HH:MM"),"")&amp;" "&amp;Checks!$P$288</f>
        <v>Required
04-Oct-26 13:05 HAN</v>
      </c>
      <c r="D28" s="113" t="str">
        <f aca="false">IF(Checks!$U$288="","",Checks!$U$288)&amp;IF(Checks!$AB$288="","",CHAR(10)&amp;"CA: "&amp;Checks!$AB$288)</f>
        <v/>
      </c>
      <c r="E28" s="113" t="str">
        <f aca="false">IF(Checks!$V$288="","",Checks!$V$288)&amp;IF(Checks!$AC$288="","",IF(Checks!$V$288="","",CHAR(10))&amp;"N/A just.: "&amp;Checks!$AC$288)&amp;IF(Checks!$W$288="","",CHAR(10)&amp;"Batch: "&amp;Checks!$W$288)&amp;IF(AND(Checks!$X$288="",Checks!$Y$288=""),"",CHAR(10)&amp;"Exp: "&amp;Checks!$X$288&amp;"  /  Act: "&amp;Checks!$Y$288)</f>
        <v/>
      </c>
      <c r="F28" s="113" t="str">
        <f aca="false">IF(Checks!$Z$288="","","Evidence: "&amp;Checks!$Z$288)&amp;IF(Checks!$AA$288="","",IF(Checks!$Z$288="","",CHAR(10))&amp;"CA: "&amp;Checks!$AA$288)</f>
        <v/>
      </c>
      <c r="G28" s="113" t="str">
        <f aca="false">IF(ISNUMBER(Checks!$AD$288),TEXT(Checks!$AD$288,"DD-MMM-YY HH:MM")&amp;" "&amp;Checks!$P$288,"")&amp;IF(Checks!$AE$288="","",CHAR(10)&amp;"Verifier: "&amp;Checks!$AE$288)&amp;IF(Checks!$T$288="","",CHAR(10)&amp;"PIC: "&amp;Checks!$T$288)</f>
        <v/>
      </c>
      <c r="H28" s="114" t="str">
        <f aca="false">IF(Checks!$AH$288="","",Checks!$AH$288)</f>
        <v>OPEN</v>
      </c>
    </row>
    <row r="29" customFormat="false" ht="114" hidden="false" customHeight="true" outlineLevel="0" collapsed="false">
      <c r="A29" s="113" t="str">
        <f aca="false">Checks!$A$289&amp;CHAR(10)&amp;IF(Checks!$I$289="","",Checks!$I$289&amp;": ")&amp;Checks!$J$289</f>
        <v>F09-T7-07
Documents: Galley loading diagram (GLD) received, revision recorded &amp; attached</v>
      </c>
      <c r="B29" s="113" t="str">
        <f aca="false">Checks!$K$289&amp;IF(Checks!$O$289="","",IF(Checks!$K$289="","",CHAR(10))&amp;"Note: "&amp;Checks!$O$289)</f>
        <v>Documents sheet row complete</v>
      </c>
      <c r="C29" s="113" t="str">
        <f aca="false">Checks!$N$289&amp;CHAR(10)&amp;IF(ISNUMBER(Checks!$R$289),TEXT(Checks!$R$289,"DD-MMM-YY HH:MM"),"")&amp;" "&amp;Checks!$P$289</f>
        <v>Required
04-Oct-26 13:05 HAN</v>
      </c>
      <c r="D29" s="113" t="str">
        <f aca="false">IF(Checks!$U$289="","",Checks!$U$289)&amp;IF(Checks!$AB$289="","",CHAR(10)&amp;"CA: "&amp;Checks!$AB$289)</f>
        <v/>
      </c>
      <c r="E29" s="113" t="str">
        <f aca="false">IF(Checks!$V$289="","",Checks!$V$289)&amp;IF(Checks!$AC$289="","",IF(Checks!$V$289="","",CHAR(10))&amp;"N/A just.: "&amp;Checks!$AC$289)&amp;IF(Checks!$W$289="","",CHAR(10)&amp;"Batch: "&amp;Checks!$W$289)&amp;IF(AND(Checks!$X$289="",Checks!$Y$289=""),"",CHAR(10)&amp;"Exp: "&amp;Checks!$X$289&amp;"  /  Act: "&amp;Checks!$Y$289)</f>
        <v/>
      </c>
      <c r="F29" s="113" t="str">
        <f aca="false">IF(Checks!$Z$289="","","Evidence: "&amp;Checks!$Z$289)&amp;IF(Checks!$AA$289="","",IF(Checks!$Z$289="","",CHAR(10))&amp;"CA: "&amp;Checks!$AA$289)</f>
        <v/>
      </c>
      <c r="G29" s="113" t="str">
        <f aca="false">IF(ISNUMBER(Checks!$AD$289),TEXT(Checks!$AD$289,"DD-MMM-YY HH:MM")&amp;" "&amp;Checks!$P$289,"")&amp;IF(Checks!$AE$289="","",CHAR(10)&amp;"Verifier: "&amp;Checks!$AE$289)&amp;IF(Checks!$T$289="","",CHAR(10)&amp;"PIC: "&amp;Checks!$T$289)</f>
        <v/>
      </c>
      <c r="H29" s="114" t="str">
        <f aca="false">IF(Checks!$AH$289="","",Checks!$AH$289)</f>
        <v>OPEN</v>
      </c>
    </row>
    <row r="30" customFormat="false" ht="114" hidden="false" customHeight="true" outlineLevel="0" collapsed="false">
      <c r="A30" s="113" t="str">
        <f aca="false">Checks!$A$290&amp;CHAR(10)&amp;IF(Checks!$I$290="","",Checks!$I$290&amp;": ")&amp;Checks!$J$290</f>
        <v>F09-T7-08
Documents: Menu checklist received, revision recorded &amp; attached</v>
      </c>
      <c r="B30" s="113" t="str">
        <f aca="false">Checks!$K$290&amp;IF(Checks!$O$290="","",IF(Checks!$K$290="","",CHAR(10))&amp;"Note: "&amp;Checks!$O$290)</f>
        <v>Documents sheet row complete</v>
      </c>
      <c r="C30" s="113" t="str">
        <f aca="false">Checks!$N$290&amp;CHAR(10)&amp;IF(ISNUMBER(Checks!$R$290),TEXT(Checks!$R$290,"DD-MMM-YY HH:MM"),"")&amp;" "&amp;Checks!$P$290</f>
        <v>Required
04-Oct-26 13:05 HAN</v>
      </c>
      <c r="D30" s="113" t="str">
        <f aca="false">IF(Checks!$U$290="","",Checks!$U$290)&amp;IF(Checks!$AB$290="","",CHAR(10)&amp;"CA: "&amp;Checks!$AB$290)</f>
        <v/>
      </c>
      <c r="E30" s="113" t="str">
        <f aca="false">IF(Checks!$V$290="","",Checks!$V$290)&amp;IF(Checks!$AC$290="","",IF(Checks!$V$290="","",CHAR(10))&amp;"N/A just.: "&amp;Checks!$AC$290)&amp;IF(Checks!$W$290="","",CHAR(10)&amp;"Batch: "&amp;Checks!$W$290)&amp;IF(AND(Checks!$X$290="",Checks!$Y$290=""),"",CHAR(10)&amp;"Exp: "&amp;Checks!$X$290&amp;"  /  Act: "&amp;Checks!$Y$290)</f>
        <v/>
      </c>
      <c r="F30" s="113" t="str">
        <f aca="false">IF(Checks!$Z$290="","","Evidence: "&amp;Checks!$Z$290)&amp;IF(Checks!$AA$290="","",IF(Checks!$Z$290="","",CHAR(10))&amp;"CA: "&amp;Checks!$AA$290)</f>
        <v/>
      </c>
      <c r="G30" s="113" t="str">
        <f aca="false">IF(ISNUMBER(Checks!$AD$290),TEXT(Checks!$AD$290,"DD-MMM-YY HH:MM")&amp;" "&amp;Checks!$P$290,"")&amp;IF(Checks!$AE$290="","",CHAR(10)&amp;"Verifier: "&amp;Checks!$AE$290)&amp;IF(Checks!$T$290="","",CHAR(10)&amp;"PIC: "&amp;Checks!$T$290)</f>
        <v/>
      </c>
      <c r="H30" s="114" t="str">
        <f aca="false">IF(Checks!$AH$290="","",Checks!$AH$290)</f>
        <v>OPEN</v>
      </c>
    </row>
    <row r="31" customFormat="false" ht="114" hidden="false" customHeight="true" outlineLevel="0" collapsed="false">
      <c r="A31" s="113" t="str">
        <f aca="false">Checks!$A$291&amp;CHAR(10)&amp;IF(Checks!$I$291="","",Checks!$I$291&amp;": ")&amp;Checks!$J$291</f>
        <v>F09-T7-09
Uplift plan: Uplift plan confirmed with caterer vs STD Uplift Information</v>
      </c>
      <c r="B31" s="113" t="str">
        <f aca="false">Checks!$K$291&amp;IF(Checks!$O$291="","",IF(Checks!$K$291="","",CHAR(10))&amp;"Note: "&amp;Checks!$O$291)</f>
        <v>Service: 1 Meal (Meal); meal uplift stn HAN (ref lists KUL/HAN)</v>
      </c>
      <c r="C31" s="113" t="str">
        <f aca="false">Checks!$N$291&amp;CHAR(10)&amp;IF(ISNUMBER(Checks!$R$291),TEXT(Checks!$R$291,"DD-MMM-YY HH:MM"),"")&amp;" "&amp;Checks!$P$291</f>
        <v>Required
04-Oct-26 13:05 HAN</v>
      </c>
      <c r="D31" s="113" t="str">
        <f aca="false">IF(Checks!$U$291="","",Checks!$U$291)&amp;IF(Checks!$AB$291="","",CHAR(10)&amp;"CA: "&amp;Checks!$AB$291)</f>
        <v/>
      </c>
      <c r="E31" s="113" t="str">
        <f aca="false">IF(Checks!$V$291="","",Checks!$V$291)&amp;IF(Checks!$AC$291="","",IF(Checks!$V$291="","",CHAR(10))&amp;"N/A just.: "&amp;Checks!$AC$291)&amp;IF(Checks!$W$291="","",CHAR(10)&amp;"Batch: "&amp;Checks!$W$291)&amp;IF(AND(Checks!$X$291="",Checks!$Y$291=""),"",CHAR(10)&amp;"Exp: "&amp;Checks!$X$291&amp;"  /  Act: "&amp;Checks!$Y$291)</f>
        <v/>
      </c>
      <c r="F31" s="113" t="str">
        <f aca="false">IF(Checks!$Z$291="","","Evidence: "&amp;Checks!$Z$291)&amp;IF(Checks!$AA$291="","",IF(Checks!$Z$291="","",CHAR(10))&amp;"CA: "&amp;Checks!$AA$291)</f>
        <v/>
      </c>
      <c r="G31" s="113" t="str">
        <f aca="false">IF(ISNUMBER(Checks!$AD$291),TEXT(Checks!$AD$291,"DD-MMM-YY HH:MM")&amp;" "&amp;Checks!$P$291,"")&amp;IF(Checks!$AE$291="","",CHAR(10)&amp;"Verifier: "&amp;Checks!$AE$291)&amp;IF(Checks!$T$291="","",CHAR(10)&amp;"PIC: "&amp;Checks!$T$291)</f>
        <v/>
      </c>
      <c r="H31" s="114" t="str">
        <f aca="false">IF(Checks!$AH$291="","",Checks!$AH$291)</f>
        <v>OPEN</v>
      </c>
    </row>
    <row r="32" customFormat="false" ht="25.5" hidden="false" customHeight="true" outlineLevel="0" collapsed="false">
      <c r="A32" s="112"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Checks!$A$292&amp;CHAR(10)&amp;IF(Checks!$I$292="","",Checks!$I$292&amp;": ")&amp;Checks!$J$292</f>
        <v>F09-T24-01
Meal: Sensory test repeated on ACTUAL production batch for this flight</v>
      </c>
      <c r="B33" s="113" t="str">
        <f aca="false">Checks!$K$292&amp;IF(Checks!$O$292="","",IF(Checks!$K$292="","",CHAR(10))&amp;"Note: "&amp;Checks!$O$292)</f>
        <v>Batch ID, result, CA and acceptance mandatory</v>
      </c>
      <c r="C33" s="113" t="str">
        <f aca="false">Checks!$N$292&amp;CHAR(10)&amp;IF(ISNUMBER(Checks!$R$292),TEXT(Checks!$R$292,"DD-MMM-YY HH:MM"),"")&amp;" "&amp;Checks!$P$292</f>
        <v>Required
10-Oct-26 13:05 HAN</v>
      </c>
      <c r="D33" s="113" t="str">
        <f aca="false">IF(Checks!$U$292="","",Checks!$U$292)&amp;IF(Checks!$AB$292="","",CHAR(10)&amp;"CA: "&amp;Checks!$AB$292)</f>
        <v/>
      </c>
      <c r="E33" s="113" t="str">
        <f aca="false">IF(Checks!$V$292="","",Checks!$V$292)&amp;IF(Checks!$AC$292="","",IF(Checks!$V$292="","",CHAR(10))&amp;"N/A just.: "&amp;Checks!$AC$292)&amp;IF(Checks!$W$292="","",CHAR(10)&amp;"Batch: "&amp;Checks!$W$292)&amp;IF(AND(Checks!$X$292="",Checks!$Y$292=""),"",CHAR(10)&amp;"Exp: "&amp;Checks!$X$292&amp;"  /  Act: "&amp;Checks!$Y$292)</f>
        <v/>
      </c>
      <c r="F33" s="113" t="str">
        <f aca="false">IF(Checks!$Z$292="","","Evidence: "&amp;Checks!$Z$292)&amp;IF(Checks!$AA$292="","",IF(Checks!$Z$292="","",CHAR(10))&amp;"CA: "&amp;Checks!$AA$292)</f>
        <v/>
      </c>
      <c r="G33" s="113" t="str">
        <f aca="false">IF(ISNUMBER(Checks!$AD$292),TEXT(Checks!$AD$292,"DD-MMM-YY HH:MM")&amp;" "&amp;Checks!$P$292,"")&amp;IF(Checks!$AE$292="","",CHAR(10)&amp;"Verifier: "&amp;Checks!$AE$292)&amp;IF(Checks!$T$292="","",CHAR(10)&amp;"PIC: "&amp;Checks!$T$292)</f>
        <v/>
      </c>
      <c r="H33" s="114" t="str">
        <f aca="false">IF(Checks!$AH$292="","",Checks!$AH$292)</f>
        <v>OPEN</v>
      </c>
    </row>
    <row r="34" customFormat="false" ht="25.5" hidden="false" customHeight="true" outlineLevel="0" collapsed="false">
      <c r="A34" s="112"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2"/>
      <c r="C34" s="112"/>
      <c r="D34" s="112"/>
      <c r="E34" s="112"/>
      <c r="F34" s="112"/>
      <c r="G34" s="112"/>
      <c r="H34" s="112"/>
    </row>
    <row r="35" customFormat="false" ht="114" hidden="false" customHeight="true" outlineLevel="0" collapsed="false">
      <c r="A35" s="113" t="str">
        <f aca="false">Checks!$A$293&amp;CHAR(10)&amp;IF(Checks!$I$293="","",Checks!$I$293&amp;": ")&amp;Checks!$J$293</f>
        <v>F09-T12-01
Meal: Meal quality vs menu checklist</v>
      </c>
      <c r="B35" s="113" t="str">
        <f aca="false">Checks!$K$293&amp;IF(Checks!$O$293="","",IF(Checks!$K$293="","",CHAR(10))&amp;"Note: "&amp;Checks!$O$293)</f>
        <v>Note: Preparation check at caterer - does NOT confirm loading.</v>
      </c>
      <c r="C35" s="113" t="str">
        <f aca="false">Checks!$N$293&amp;CHAR(10)&amp;IF(ISNUMBER(Checks!$R$293),TEXT(Checks!$R$293,"DD-MMM-YY HH:MM"),"")&amp;" "&amp;Checks!$P$293</f>
        <v>Required
11-Oct-26 01:05 HAN</v>
      </c>
      <c r="D35" s="113" t="str">
        <f aca="false">IF(Checks!$U$293="","",Checks!$U$293)&amp;IF(Checks!$AB$293="","",CHAR(10)&amp;"CA: "&amp;Checks!$AB$293)</f>
        <v/>
      </c>
      <c r="E35" s="113" t="str">
        <f aca="false">IF(Checks!$V$293="","",Checks!$V$293)&amp;IF(Checks!$AC$293="","",IF(Checks!$V$293="","",CHAR(10))&amp;"N/A just.: "&amp;Checks!$AC$293)&amp;IF(Checks!$W$293="","",CHAR(10)&amp;"Batch: "&amp;Checks!$W$293)&amp;IF(AND(Checks!$X$293="",Checks!$Y$293=""),"",CHAR(10)&amp;"Exp: "&amp;Checks!$X$293&amp;"  /  Act: "&amp;Checks!$Y$293)</f>
        <v/>
      </c>
      <c r="F35" s="113" t="str">
        <f aca="false">IF(Checks!$Z$293="","","Evidence: "&amp;Checks!$Z$293)&amp;IF(Checks!$AA$293="","",IF(Checks!$Z$293="","",CHAR(10))&amp;"CA: "&amp;Checks!$AA$293)</f>
        <v/>
      </c>
      <c r="G35" s="113" t="str">
        <f aca="false">IF(ISNUMBER(Checks!$AD$293),TEXT(Checks!$AD$293,"DD-MMM-YY HH:MM")&amp;" "&amp;Checks!$P$293,"")&amp;IF(Checks!$AE$293="","",CHAR(10)&amp;"Verifier: "&amp;Checks!$AE$293)&amp;IF(Checks!$T$293="","",CHAR(10)&amp;"PIC: "&amp;Checks!$T$293)</f>
        <v/>
      </c>
      <c r="H35" s="114" t="str">
        <f aca="false">IF(Checks!$AH$293="","",Checks!$AH$293)</f>
        <v>OPEN</v>
      </c>
    </row>
    <row r="36" customFormat="false" ht="114" hidden="false" customHeight="true" outlineLevel="0" collapsed="false">
      <c r="A36" s="113" t="str">
        <f aca="false">Checks!$A$294&amp;CHAR(10)&amp;IF(Checks!$I$294="","",Checks!$I$294&amp;": ")&amp;Checks!$J$294</f>
        <v>F09-T12-02
Meal: Meal quantities vs menu checklist</v>
      </c>
      <c r="B36" s="113" t="str">
        <f aca="false">Checks!$K$294&amp;IF(Checks!$O$294="","",IF(Checks!$K$294="","",CHAR(10))&amp;"Note: "&amp;Checks!$O$294)</f>
        <v>Enter expected &amp; actual
Note: Preparation check at caterer - does NOT confirm loading.</v>
      </c>
      <c r="C36" s="113" t="str">
        <f aca="false">Checks!$N$294&amp;CHAR(10)&amp;IF(ISNUMBER(Checks!$R$294),TEXT(Checks!$R$294,"DD-MMM-YY HH:MM"),"")&amp;" "&amp;Checks!$P$294</f>
        <v>Required
11-Oct-26 01:05 HAN</v>
      </c>
      <c r="D36" s="113" t="str">
        <f aca="false">IF(Checks!$U$294="","",Checks!$U$294)&amp;IF(Checks!$AB$294="","",CHAR(10)&amp;"CA: "&amp;Checks!$AB$294)</f>
        <v/>
      </c>
      <c r="E36" s="113" t="str">
        <f aca="false">IF(Checks!$V$294="","",Checks!$V$294)&amp;IF(Checks!$AC$294="","",IF(Checks!$V$294="","",CHAR(10))&amp;"N/A just.: "&amp;Checks!$AC$294)&amp;IF(Checks!$W$294="","",CHAR(10)&amp;"Batch: "&amp;Checks!$W$294)&amp;IF(AND(Checks!$X$294="",Checks!$Y$294=""),"",CHAR(10)&amp;"Exp: "&amp;Checks!$X$294&amp;"  /  Act: "&amp;Checks!$Y$294)</f>
        <v/>
      </c>
      <c r="F36" s="113" t="str">
        <f aca="false">IF(Checks!$Z$294="","","Evidence: "&amp;Checks!$Z$294)&amp;IF(Checks!$AA$294="","",IF(Checks!$Z$294="","",CHAR(10))&amp;"CA: "&amp;Checks!$AA$294)</f>
        <v/>
      </c>
      <c r="G36" s="113" t="str">
        <f aca="false">IF(ISNUMBER(Checks!$AD$294),TEXT(Checks!$AD$294,"DD-MMM-YY HH:MM")&amp;" "&amp;Checks!$P$294,"")&amp;IF(Checks!$AE$294="","",CHAR(10)&amp;"Verifier: "&amp;Checks!$AE$294)&amp;IF(Checks!$T$294="","",CHAR(10)&amp;"PIC: "&amp;Checks!$T$294)</f>
        <v/>
      </c>
      <c r="H36" s="114" t="str">
        <f aca="false">IF(Checks!$AH$294="","",Checks!$AH$294)</f>
        <v>OPEN</v>
      </c>
    </row>
    <row r="37" customFormat="false" ht="114" hidden="false" customHeight="true" outlineLevel="0" collapsed="false">
      <c r="A37" s="113" t="str">
        <f aca="false">Checks!$A$295&amp;CHAR(10)&amp;IF(Checks!$I$295="","",Checks!$I$295&amp;": ")&amp;Checks!$J$295</f>
        <v>F09-T12-03
Equipment: Equipment cleanliness vs GLD</v>
      </c>
      <c r="B37" s="113" t="str">
        <f aca="false">Checks!$K$295&amp;IF(Checks!$O$295="","",IF(Checks!$K$295="","",CHAR(10))&amp;"Note: "&amp;Checks!$O$295)</f>
        <v>Note: Preparation check at caterer - does NOT confirm loading.</v>
      </c>
      <c r="C37" s="113" t="str">
        <f aca="false">Checks!$N$295&amp;CHAR(10)&amp;IF(ISNUMBER(Checks!$R$295),TEXT(Checks!$R$295,"DD-MMM-YY HH:MM"),"")&amp;" "&amp;Checks!$P$295</f>
        <v>Required
11-Oct-26 01:05 HAN</v>
      </c>
      <c r="D37" s="113" t="str">
        <f aca="false">IF(Checks!$U$295="","",Checks!$U$295)&amp;IF(Checks!$AB$295="","",CHAR(10)&amp;"CA: "&amp;Checks!$AB$295)</f>
        <v/>
      </c>
      <c r="E37" s="113" t="str">
        <f aca="false">IF(Checks!$V$295="","",Checks!$V$295)&amp;IF(Checks!$AC$295="","",IF(Checks!$V$295="","",CHAR(10))&amp;"N/A just.: "&amp;Checks!$AC$295)&amp;IF(Checks!$W$295="","",CHAR(10)&amp;"Batch: "&amp;Checks!$W$295)&amp;IF(AND(Checks!$X$295="",Checks!$Y$295=""),"",CHAR(10)&amp;"Exp: "&amp;Checks!$X$295&amp;"  /  Act: "&amp;Checks!$Y$295)</f>
        <v/>
      </c>
      <c r="F37" s="113" t="str">
        <f aca="false">IF(Checks!$Z$295="","","Evidence: "&amp;Checks!$Z$295)&amp;IF(Checks!$AA$295="","",IF(Checks!$Z$295="","",CHAR(10))&amp;"CA: "&amp;Checks!$AA$295)</f>
        <v/>
      </c>
      <c r="G37" s="113" t="str">
        <f aca="false">IF(ISNUMBER(Checks!$AD$295),TEXT(Checks!$AD$295,"DD-MMM-YY HH:MM")&amp;" "&amp;Checks!$P$295,"")&amp;IF(Checks!$AE$295="","",CHAR(10)&amp;"Verifier: "&amp;Checks!$AE$295)&amp;IF(Checks!$T$295="","",CHAR(10)&amp;"PIC: "&amp;Checks!$T$295)</f>
        <v/>
      </c>
      <c r="H37" s="114" t="str">
        <f aca="false">IF(Checks!$AH$295="","",Checks!$AH$295)</f>
        <v>OPEN</v>
      </c>
    </row>
    <row r="38" customFormat="false" ht="114" hidden="false" customHeight="true" outlineLevel="0" collapsed="false">
      <c r="A38" s="113" t="str">
        <f aca="false">Checks!$A$296&amp;CHAR(10)&amp;IF(Checks!$I$296="","",Checks!$I$296&amp;": ")&amp;Checks!$J$296</f>
        <v>F09-T12-04
Equipment: Equipment presentation vs GLD</v>
      </c>
      <c r="B38" s="113" t="str">
        <f aca="false">Checks!$K$296&amp;IF(Checks!$O$296="","",IF(Checks!$K$296="","",CHAR(10))&amp;"Note: "&amp;Checks!$O$296)</f>
        <v>Note: Preparation check at caterer - does NOT confirm loading.</v>
      </c>
      <c r="C38" s="113" t="str">
        <f aca="false">Checks!$N$296&amp;CHAR(10)&amp;IF(ISNUMBER(Checks!$R$296),TEXT(Checks!$R$296,"DD-MMM-YY HH:MM"),"")&amp;" "&amp;Checks!$P$296</f>
        <v>Required
11-Oct-26 01:05 HAN</v>
      </c>
      <c r="D38" s="113" t="str">
        <f aca="false">IF(Checks!$U$296="","",Checks!$U$296)&amp;IF(Checks!$AB$296="","",CHAR(10)&amp;"CA: "&amp;Checks!$AB$296)</f>
        <v/>
      </c>
      <c r="E38" s="113" t="str">
        <f aca="false">IF(Checks!$V$296="","",Checks!$V$296)&amp;IF(Checks!$AC$296="","",IF(Checks!$V$296="","",CHAR(10))&amp;"N/A just.: "&amp;Checks!$AC$296)&amp;IF(Checks!$W$296="","",CHAR(10)&amp;"Batch: "&amp;Checks!$W$296)&amp;IF(AND(Checks!$X$296="",Checks!$Y$296=""),"",CHAR(10)&amp;"Exp: "&amp;Checks!$X$296&amp;"  /  Act: "&amp;Checks!$Y$296)</f>
        <v/>
      </c>
      <c r="F38" s="113" t="str">
        <f aca="false">IF(Checks!$Z$296="","","Evidence: "&amp;Checks!$Z$296)&amp;IF(Checks!$AA$296="","",IF(Checks!$Z$296="","",CHAR(10))&amp;"CA: "&amp;Checks!$AA$296)</f>
        <v/>
      </c>
      <c r="G38" s="113" t="str">
        <f aca="false">IF(ISNUMBER(Checks!$AD$296),TEXT(Checks!$AD$296,"DD-MMM-YY HH:MM")&amp;" "&amp;Checks!$P$296,"")&amp;IF(Checks!$AE$296="","",CHAR(10)&amp;"Verifier: "&amp;Checks!$AE$296)&amp;IF(Checks!$T$296="","",CHAR(10)&amp;"PIC: "&amp;Checks!$T$296)</f>
        <v/>
      </c>
      <c r="H38" s="114" t="str">
        <f aca="false">IF(Checks!$AH$296="","",Checks!$AH$296)</f>
        <v>OPEN</v>
      </c>
    </row>
    <row r="39" customFormat="false" ht="114" hidden="false" customHeight="true" outlineLevel="0" collapsed="false">
      <c r="A39" s="113" t="str">
        <f aca="false">Checks!$A$297&amp;CHAR(10)&amp;IF(Checks!$I$297="","",Checks!$I$297&amp;": ")&amp;Checks!$J$297</f>
        <v>F09-T12-05
Equipment: Equipment serviceability vs GLD</v>
      </c>
      <c r="B39" s="113" t="str">
        <f aca="false">Checks!$K$297&amp;IF(Checks!$O$297="","",IF(Checks!$K$297="","",CHAR(10))&amp;"Note: "&amp;Checks!$O$297)</f>
        <v>Note: Preparation check at caterer - does NOT confirm loading.</v>
      </c>
      <c r="C39" s="113" t="str">
        <f aca="false">Checks!$N$297&amp;CHAR(10)&amp;IF(ISNUMBER(Checks!$R$297),TEXT(Checks!$R$297,"DD-MMM-YY HH:MM"),"")&amp;" "&amp;Checks!$P$297</f>
        <v>Required
11-Oct-26 01:05 HAN</v>
      </c>
      <c r="D39" s="113" t="str">
        <f aca="false">IF(Checks!$U$297="","",Checks!$U$297)&amp;IF(Checks!$AB$297="","",CHAR(10)&amp;"CA: "&amp;Checks!$AB$297)</f>
        <v/>
      </c>
      <c r="E39" s="113" t="str">
        <f aca="false">IF(Checks!$V$297="","",Checks!$V$297)&amp;IF(Checks!$AC$297="","",IF(Checks!$V$297="","",CHAR(10))&amp;"N/A just.: "&amp;Checks!$AC$297)&amp;IF(Checks!$W$297="","",CHAR(10)&amp;"Batch: "&amp;Checks!$W$297)&amp;IF(AND(Checks!$X$297="",Checks!$Y$297=""),"",CHAR(10)&amp;"Exp: "&amp;Checks!$X$297&amp;"  /  Act: "&amp;Checks!$Y$297)</f>
        <v/>
      </c>
      <c r="F39" s="113" t="str">
        <f aca="false">IF(Checks!$Z$297="","","Evidence: "&amp;Checks!$Z$297)&amp;IF(Checks!$AA$297="","",IF(Checks!$Z$297="","",CHAR(10))&amp;"CA: "&amp;Checks!$AA$297)</f>
        <v/>
      </c>
      <c r="G39" s="113" t="str">
        <f aca="false">IF(ISNUMBER(Checks!$AD$297),TEXT(Checks!$AD$297,"DD-MMM-YY HH:MM")&amp;" "&amp;Checks!$P$297,"")&amp;IF(Checks!$AE$297="","",CHAR(10)&amp;"Verifier: "&amp;Checks!$AE$297)&amp;IF(Checks!$T$297="","",CHAR(10)&amp;"PIC: "&amp;Checks!$T$297)</f>
        <v/>
      </c>
      <c r="H39" s="114" t="str">
        <f aca="false">IF(Checks!$AH$297="","",Checks!$AH$297)</f>
        <v>OPEN</v>
      </c>
    </row>
    <row r="40" customFormat="false" ht="190.5" hidden="false" customHeight="true" outlineLevel="0" collapsed="false">
      <c r="A40" s="113" t="str">
        <f aca="false">Checks!$A$298&amp;CHAR(10)&amp;IF(Checks!$I$298="","",Checks!$I$298&amp;": ")&amp;Checks!$J$298</f>
        <v>F09-T12-06
Equipment: Equipment quantities vs GLD</v>
      </c>
      <c r="B40" s="113" t="str">
        <f aca="false">SUBSTITUTE(Checks!$K$298&amp;IF(Checks!$O$298="","",IF(Checks!$K$298="","",CHAR(10))&amp;"Note: "&amp;Checks!$O$298),"AIRCRAFT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Checks!$N$298&amp;CHAR(10)&amp;IF(ISNUMBER(Checks!$R$298),TEXT(Checks!$R$298,"DD-MMM-YY HH:MM"),"")&amp;" "&amp;Checks!$P$298</f>
        <v>Required
11-Oct-26 01:05 HAN</v>
      </c>
      <c r="D40" s="113" t="str">
        <f aca="false">IF(Checks!$U$298="","",Checks!$U$298)&amp;IF(Checks!$AB$298="","",CHAR(10)&amp;"CA: "&amp;Checks!$AB$298)</f>
        <v/>
      </c>
      <c r="E40" s="113" t="str">
        <f aca="false">IF(Checks!$V$298="","",Checks!$V$298)&amp;IF(Checks!$AC$298="","",IF(Checks!$V$298="","",CHAR(10))&amp;"N/A just.: "&amp;Checks!$AC$298)&amp;IF(Checks!$W$298="","",CHAR(10)&amp;"Batch: "&amp;Checks!$W$298)&amp;IF(AND(Checks!$X$298="",Checks!$Y$298=""),"",CHAR(10)&amp;"Exp: "&amp;Checks!$X$298&amp;"  /  Act: "&amp;Checks!$Y$298)</f>
        <v/>
      </c>
      <c r="F40" s="113" t="str">
        <f aca="false">IF(Checks!$Z$298="","","Evidence: "&amp;Checks!$Z$298)&amp;IF(Checks!$AA$298="","",IF(Checks!$Z$298="","",CHAR(10))&amp;"CA: "&amp;Checks!$AA$298)</f>
        <v/>
      </c>
      <c r="G40" s="113" t="str">
        <f aca="false">IF(ISNUMBER(Checks!$AD$298),TEXT(Checks!$AD$298,"DD-MMM-YY HH:MM")&amp;" "&amp;Checks!$P$298,"")&amp;IF(Checks!$AE$298="","",CHAR(10)&amp;"Verifier: "&amp;Checks!$AE$298)&amp;IF(Checks!$T$298="","",CHAR(10)&amp;"PIC: "&amp;Checks!$T$298)</f>
        <v/>
      </c>
      <c r="H40" s="114" t="str">
        <f aca="false">IF(Checks!$AH$298="","",Checks!$AH$298)</f>
        <v>OPEN</v>
      </c>
    </row>
    <row r="41" customFormat="false" ht="114" hidden="false" customHeight="true" outlineLevel="0" collapsed="false">
      <c r="A41" s="113" t="str">
        <f aca="false">Checks!$A$299&amp;CHAR(10)&amp;IF(Checks!$I$299="","",Checks!$I$299&amp;": ")&amp;Checks!$J$299</f>
        <v>F09-T12-07
Equipment: Loading positions planned vs GLD</v>
      </c>
      <c r="B41" s="113" t="str">
        <f aca="false">Checks!$K$299&amp;IF(Checks!$O$299="","",IF(Checks!$K$299="","",CHAR(10))&amp;"Note: "&amp;Checks!$O$299)</f>
        <v>Note: Preparation check at caterer - does NOT confirm loading.</v>
      </c>
      <c r="C41" s="113" t="str">
        <f aca="false">Checks!$N$299&amp;CHAR(10)&amp;IF(ISNUMBER(Checks!$R$299),TEXT(Checks!$R$299,"DD-MMM-YY HH:MM"),"")&amp;" "&amp;Checks!$P$299</f>
        <v>Required
11-Oct-26 01:05 HAN</v>
      </c>
      <c r="D41" s="113" t="str">
        <f aca="false">IF(Checks!$U$299="","",Checks!$U$299)&amp;IF(Checks!$AB$299="","",CHAR(10)&amp;"CA: "&amp;Checks!$AB$299)</f>
        <v/>
      </c>
      <c r="E41" s="113" t="str">
        <f aca="false">IF(Checks!$V$299="","",Checks!$V$299)&amp;IF(Checks!$AC$299="","",IF(Checks!$V$299="","",CHAR(10))&amp;"N/A just.: "&amp;Checks!$AC$299)&amp;IF(Checks!$W$299="","",CHAR(10)&amp;"Batch: "&amp;Checks!$W$299)&amp;IF(AND(Checks!$X$299="",Checks!$Y$299=""),"",CHAR(10)&amp;"Exp: "&amp;Checks!$X$299&amp;"  /  Act: "&amp;Checks!$Y$299)</f>
        <v/>
      </c>
      <c r="F41" s="113" t="str">
        <f aca="false">IF(Checks!$Z$299="","","Evidence: "&amp;Checks!$Z$299)&amp;IF(Checks!$AA$299="","",IF(Checks!$Z$299="","",CHAR(10))&amp;"CA: "&amp;Checks!$AA$299)</f>
        <v/>
      </c>
      <c r="G41" s="113" t="str">
        <f aca="false">IF(ISNUMBER(Checks!$AD$299),TEXT(Checks!$AD$299,"DD-MMM-YY HH:MM")&amp;" "&amp;Checks!$P$299,"")&amp;IF(Checks!$AE$299="","",CHAR(10)&amp;"Verifier: "&amp;Checks!$AE$299)&amp;IF(Checks!$T$299="","",CHAR(10)&amp;"PIC: "&amp;Checks!$T$299)</f>
        <v/>
      </c>
      <c r="H41" s="114" t="str">
        <f aca="false">IF(Checks!$AH$299="","",Checks!$AH$299)</f>
        <v>OPEN</v>
      </c>
    </row>
    <row r="42" customFormat="false" ht="168.75" hidden="false" customHeight="true" outlineLevel="0" collapsed="false">
      <c r="A42" s="113" t="str">
        <f aca="false">Checks!$A$300&amp;CHAR(10)&amp;IF(Checks!$I$300="","",Checks!$I$300&amp;": ")&amp;Checks!$J$300</f>
        <v>F09-T12-08
Amenities: Disposable slippers in DAM cart (BC, on request) - prepared</v>
      </c>
      <c r="B42" s="113"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2" s="113" t="str">
        <f aca="false">Checks!$N$300&amp;CHAR(10)&amp;IF(ISNUMBER(Checks!$R$300),TEXT(Checks!$R$300,"DD-MMM-YY HH:MM"),"")&amp;" "&amp;Checks!$P$300</f>
        <v>Required
11-Oct-26 01:05 HAN</v>
      </c>
      <c r="D42" s="113" t="str">
        <f aca="false">IF(Checks!$U$300="","",Checks!$U$300)&amp;IF(Checks!$AB$300="","",CHAR(10)&amp;"CA: "&amp;Checks!$AB$300)</f>
        <v/>
      </c>
      <c r="E42" s="113" t="str">
        <f aca="false">IF(Checks!$V$300="","",Checks!$V$300)&amp;IF(Checks!$AC$300="","",IF(Checks!$V$300="","",CHAR(10))&amp;"N/A just.: "&amp;Checks!$AC$300)&amp;IF(Checks!$W$300="","",CHAR(10)&amp;"Batch: "&amp;Checks!$W$300)&amp;IF(AND(Checks!$X$300="",Checks!$Y$300=""),"",CHAR(10)&amp;"Exp: "&amp;Checks!$X$300&amp;"  /  Act: "&amp;Checks!$Y$300)</f>
        <v/>
      </c>
      <c r="F42" s="113" t="str">
        <f aca="false">IF(Checks!$Z$300="","","Evidence: "&amp;Checks!$Z$300)&amp;IF(Checks!$AA$300="","",IF(Checks!$Z$300="","",CHAR(10))&amp;"CA: "&amp;Checks!$AA$300)</f>
        <v/>
      </c>
      <c r="G42" s="113" t="str">
        <f aca="false">IF(ISNUMBER(Checks!$AD$300),TEXT(Checks!$AD$300,"DD-MMM-YY HH:MM")&amp;" "&amp;Checks!$P$300,"")&amp;IF(Checks!$AE$300="","",CHAR(10)&amp;"Verifier: "&amp;Checks!$AE$300)&amp;IF(Checks!$T$300="","",CHAR(10)&amp;"PIC: "&amp;Checks!$T$300)</f>
        <v/>
      </c>
      <c r="H42" s="114" t="str">
        <f aca="false">IF(Checks!$AH$300="","",Checks!$AH$300)</f>
        <v>OPEN</v>
      </c>
    </row>
    <row r="43" customFormat="false" ht="114" hidden="false" customHeight="true" outlineLevel="0" collapsed="false">
      <c r="A43" s="113" t="str">
        <f aca="false">Checks!$A$301&amp;CHAR(10)&amp;IF(Checks!$I$301="","",Checks!$I$301&amp;": ")&amp;Checks!$J$301</f>
        <v>F09-T12-09
F&amp;B Linen: Towel - prepared</v>
      </c>
      <c r="B43" s="113" t="str">
        <f aca="false">Checks!$K$301&amp;IF(Checks!$O$301="","",IF(Checks!$K$301="","",CHAR(10))&amp;"Note: "&amp;Checks!$O$301)</f>
        <v>Available (ticked in reference)
Note: Reference gives no uplift stn for this item: preparation checked at the meal uplift stn (HAN) - confirm with caterer.</v>
      </c>
      <c r="C43" s="113" t="str">
        <f aca="false">Checks!$N$301&amp;CHAR(10)&amp;IF(ISNUMBER(Checks!$R$301),TEXT(Checks!$R$301,"DD-MMM-YY HH:MM"),"")&amp;" "&amp;Checks!$P$301</f>
        <v>Required
11-Oct-26 01:05 HAN</v>
      </c>
      <c r="D43" s="113" t="str">
        <f aca="false">IF(Checks!$U$301="","",Checks!$U$301)&amp;IF(Checks!$AB$301="","",CHAR(10)&amp;"CA: "&amp;Checks!$AB$301)</f>
        <v/>
      </c>
      <c r="E43" s="113" t="str">
        <f aca="false">IF(Checks!$V$301="","",Checks!$V$301)&amp;IF(Checks!$AC$301="","",IF(Checks!$V$301="","",CHAR(10))&amp;"N/A just.: "&amp;Checks!$AC$301)&amp;IF(Checks!$W$301="","",CHAR(10)&amp;"Batch: "&amp;Checks!$W$301)&amp;IF(AND(Checks!$X$301="",Checks!$Y$301=""),"",CHAR(10)&amp;"Exp: "&amp;Checks!$X$301&amp;"  /  Act: "&amp;Checks!$Y$301)</f>
        <v/>
      </c>
      <c r="F43" s="113" t="str">
        <f aca="false">IF(Checks!$Z$301="","","Evidence: "&amp;Checks!$Z$301)&amp;IF(Checks!$AA$301="","",IF(Checks!$Z$301="","",CHAR(10))&amp;"CA: "&amp;Checks!$AA$301)</f>
        <v/>
      </c>
      <c r="G43" s="113" t="str">
        <f aca="false">IF(ISNUMBER(Checks!$AD$301),TEXT(Checks!$AD$301,"DD-MMM-YY HH:MM")&amp;" "&amp;Checks!$P$301,"")&amp;IF(Checks!$AE$301="","",CHAR(10)&amp;"Verifier: "&amp;Checks!$AE$301)&amp;IF(Checks!$T$301="","",CHAR(10)&amp;"PIC: "&amp;Checks!$T$301)</f>
        <v/>
      </c>
      <c r="H43" s="114" t="str">
        <f aca="false">IF(Checks!$AH$301="","",Checks!$AH$301)</f>
        <v>OPEN</v>
      </c>
    </row>
    <row r="44" customFormat="false" ht="114" hidden="false" customHeight="true" outlineLevel="0" collapsed="false">
      <c r="A44" s="113" t="str">
        <f aca="false">Checks!$A$302&amp;CHAR(10)&amp;IF(Checks!$I$302="","",Checks!$I$302&amp;": ")&amp;Checks!$J$302</f>
        <v>F09-T12-10
F&amp;B Linen: Tray cloth - prepared</v>
      </c>
      <c r="B44" s="113" t="str">
        <f aca="false">Checks!$K$302&amp;IF(Checks!$O$302="","",IF(Checks!$K$302="","",CHAR(10))&amp;"Note: "&amp;Checks!$O$302)</f>
        <v>Available (ticked in reference)
Note: Reference gives no uplift stn for this item: preparation checked at the meal uplift stn (HAN) - confirm with caterer.</v>
      </c>
      <c r="C44" s="113" t="str">
        <f aca="false">Checks!$N$302&amp;CHAR(10)&amp;IF(ISNUMBER(Checks!$R$302),TEXT(Checks!$R$302,"DD-MMM-YY HH:MM"),"")&amp;" "&amp;Checks!$P$302</f>
        <v>Required
11-Oct-26 01:05 HAN</v>
      </c>
      <c r="D44" s="113" t="str">
        <f aca="false">IF(Checks!$U$302="","",Checks!$U$302)&amp;IF(Checks!$AB$302="","",CHAR(10)&amp;"CA: "&amp;Checks!$AB$302)</f>
        <v/>
      </c>
      <c r="E44" s="113" t="str">
        <f aca="false">IF(Checks!$V$302="","",Checks!$V$302)&amp;IF(Checks!$AC$302="","",IF(Checks!$V$302="","",CHAR(10))&amp;"N/A just.: "&amp;Checks!$AC$302)&amp;IF(Checks!$W$302="","",CHAR(10)&amp;"Batch: "&amp;Checks!$W$302)&amp;IF(AND(Checks!$X$302="",Checks!$Y$302=""),"",CHAR(10)&amp;"Exp: "&amp;Checks!$X$302&amp;"  /  Act: "&amp;Checks!$Y$302)</f>
        <v/>
      </c>
      <c r="F44" s="113" t="str">
        <f aca="false">IF(Checks!$Z$302="","","Evidence: "&amp;Checks!$Z$302)&amp;IF(Checks!$AA$302="","",IF(Checks!$Z$302="","",CHAR(10))&amp;"CA: "&amp;Checks!$AA$302)</f>
        <v/>
      </c>
      <c r="G44" s="113" t="str">
        <f aca="false">IF(ISNUMBER(Checks!$AD$302),TEXT(Checks!$AD$302,"DD-MMM-YY HH:MM")&amp;" "&amp;Checks!$P$302,"")&amp;IF(Checks!$AE$302="","",CHAR(10)&amp;"Verifier: "&amp;Checks!$AE$302)&amp;IF(Checks!$T$302="","",CHAR(10)&amp;"PIC: "&amp;Checks!$T$302)</f>
        <v/>
      </c>
      <c r="H44" s="114" t="str">
        <f aca="false">IF(Checks!$AH$302="","",Checks!$AH$302)</f>
        <v>OPEN</v>
      </c>
    </row>
    <row r="45" customFormat="false" ht="114" hidden="false" customHeight="true" outlineLevel="0" collapsed="false">
      <c r="A45" s="113" t="str">
        <f aca="false">Checks!$A$303&amp;CHAR(10)&amp;IF(Checks!$I$303="","",Checks!$I$303&amp;": ")&amp;Checks!$J$303</f>
        <v>F09-T12-11
F&amp;B Linen: Napkin - prepared</v>
      </c>
      <c r="B45" s="113" t="str">
        <f aca="false">Checks!$K$303&amp;IF(Checks!$O$303="","",IF(Checks!$K$303="","",CHAR(10))&amp;"Note: "&amp;Checks!$O$303)</f>
        <v>Available (ticked in reference)
Note: Reference gives no uplift stn for this item: preparation checked at the meal uplift stn (HAN) - confirm with caterer.</v>
      </c>
      <c r="C45" s="113" t="str">
        <f aca="false">Checks!$N$303&amp;CHAR(10)&amp;IF(ISNUMBER(Checks!$R$303),TEXT(Checks!$R$303,"DD-MMM-YY HH:MM"),"")&amp;" "&amp;Checks!$P$303</f>
        <v>Required
11-Oct-26 01:05 HAN</v>
      </c>
      <c r="D45" s="113" t="str">
        <f aca="false">IF(Checks!$U$303="","",Checks!$U$303)&amp;IF(Checks!$AB$303="","",CHAR(10)&amp;"CA: "&amp;Checks!$AB$303)</f>
        <v/>
      </c>
      <c r="E45" s="113" t="str">
        <f aca="false">IF(Checks!$V$303="","",Checks!$V$303)&amp;IF(Checks!$AC$303="","",IF(Checks!$V$303="","",CHAR(10))&amp;"N/A just.: "&amp;Checks!$AC$303)&amp;IF(Checks!$W$303="","",CHAR(10)&amp;"Batch: "&amp;Checks!$W$303)&amp;IF(AND(Checks!$X$303="",Checks!$Y$303=""),"",CHAR(10)&amp;"Exp: "&amp;Checks!$X$303&amp;"  /  Act: "&amp;Checks!$Y$303)</f>
        <v/>
      </c>
      <c r="F45" s="113" t="str">
        <f aca="false">IF(Checks!$Z$303="","","Evidence: "&amp;Checks!$Z$303)&amp;IF(Checks!$AA$303="","",IF(Checks!$Z$303="","",CHAR(10))&amp;"CA: "&amp;Checks!$AA$303)</f>
        <v/>
      </c>
      <c r="G45" s="113" t="str">
        <f aca="false">IF(ISNUMBER(Checks!$AD$303),TEXT(Checks!$AD$303,"DD-MMM-YY HH:MM")&amp;" "&amp;Checks!$P$303,"")&amp;IF(Checks!$AE$303="","",CHAR(10)&amp;"Verifier: "&amp;Checks!$AE$303)&amp;IF(Checks!$T$303="","",CHAR(10)&amp;"PIC: "&amp;Checks!$T$303)</f>
        <v/>
      </c>
      <c r="H45" s="114" t="str">
        <f aca="false">IF(Checks!$AH$303="","",Checks!$AH$303)</f>
        <v>OPEN</v>
      </c>
    </row>
    <row r="46" customFormat="false" ht="279" hidden="false" customHeight="true" outlineLevel="0" collapsed="false">
      <c r="A46" s="113" t="str">
        <f aca="false">Checks!$A$304&amp;CHAR(10)&amp;IF(Checks!$I$304="","",Checks!$I$304&amp;": ")&amp;Checks!$J$304</f>
        <v>F09-T12-12
F&amp;B Linen: Table cloth - prepared</v>
      </c>
      <c r="B46" s="113" t="str">
        <f aca="false">SUBSTITUTE(Checks!$K$304&amp;IF(Checks!$O$304="","",IF(Checks!$K$304="","",CHAR(10))&amp;"Note: "&amp;Checks!$O$304),"F&amp;B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13" t="str">
        <f aca="false">Checks!$N$304&amp;CHAR(10)&amp;IF(ISNUMBER(Checks!$R$304),TEXT(Checks!$R$304,"DD-MMM-YY HH:MM"),"")&amp;" "&amp;Checks!$P$304</f>
        <v>Clarification required
11-Oct-26 01:05 HAN</v>
      </c>
      <c r="D46" s="113" t="str">
        <f aca="false">IF(Checks!$U$304="","",Checks!$U$304)&amp;IF(Checks!$AB$304="","",CHAR(10)&amp;"CA: "&amp;Checks!$AB$304)</f>
        <v/>
      </c>
      <c r="E46" s="113" t="str">
        <f aca="false">IF(Checks!$V$304="","",Checks!$V$304)&amp;IF(Checks!$AC$304="","",IF(Checks!$V$304="","",CHAR(10))&amp;"N/A just.: "&amp;Checks!$AC$304)&amp;IF(Checks!$W$304="","",CHAR(10)&amp;"Batch: "&amp;Checks!$W$304)&amp;IF(AND(Checks!$X$304="",Checks!$Y$304=""),"",CHAR(10)&amp;"Exp: "&amp;Checks!$X$304&amp;"  /  Act: "&amp;Checks!$Y$304)</f>
        <v/>
      </c>
      <c r="F46" s="113" t="str">
        <f aca="false">IF(Checks!$Z$304="","","Evidence: "&amp;Checks!$Z$304)&amp;IF(Checks!$AA$304="","",IF(Checks!$Z$304="","",CHAR(10))&amp;"CA: "&amp;Checks!$AA$304)</f>
        <v/>
      </c>
      <c r="G46" s="113" t="str">
        <f aca="false">IF(ISNUMBER(Checks!$AD$304),TEXT(Checks!$AD$304,"DD-MMM-YY HH:MM")&amp;" "&amp;Checks!$P$304,"")&amp;IF(Checks!$AE$304="","",CHAR(10)&amp;"Verifier: "&amp;Checks!$AE$304)&amp;IF(Checks!$T$304="","",CHAR(10)&amp;"PIC: "&amp;Checks!$T$304)</f>
        <v/>
      </c>
      <c r="H46" s="114" t="str">
        <f aca="false">IF(Checks!$AH$304="","",Checks!$AH$304)</f>
        <v>OPEN – CLARIFICATION</v>
      </c>
    </row>
    <row r="47" customFormat="false" ht="279" hidden="false" customHeight="true" outlineLevel="0" collapsed="false">
      <c r="A47" s="113" t="str">
        <f aca="false">Checks!$A$305&amp;CHAR(10)&amp;IF(Checks!$I$305="","",Checks!$I$305&amp;": ")&amp;Checks!$J$305</f>
        <v>F09-T12-13
F&amp;B Linen: Bread linen (using table cloth) - prepared</v>
      </c>
      <c r="B47" s="113" t="str">
        <f aca="false">SUBSTITUTE(Checks!$K$305&amp;IF(Checks!$O$305="","",IF(Checks!$K$305="","",CHAR(10))&amp;"Note: "&amp;Checks!$O$305),"F&amp;B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13" t="str">
        <f aca="false">Checks!$N$305&amp;CHAR(10)&amp;IF(ISNUMBER(Checks!$R$305),TEXT(Checks!$R$305,"DD-MMM-YY HH:MM"),"")&amp;" "&amp;Checks!$P$305</f>
        <v>Clarification required
11-Oct-26 01:05 HAN</v>
      </c>
      <c r="D47" s="113" t="str">
        <f aca="false">IF(Checks!$U$305="","",Checks!$U$305)&amp;IF(Checks!$AB$305="","",CHAR(10)&amp;"CA: "&amp;Checks!$AB$305)</f>
        <v/>
      </c>
      <c r="E47" s="113" t="str">
        <f aca="false">IF(Checks!$V$305="","",Checks!$V$305)&amp;IF(Checks!$AC$305="","",IF(Checks!$V$305="","",CHAR(10))&amp;"N/A just.: "&amp;Checks!$AC$305)&amp;IF(Checks!$W$305="","",CHAR(10)&amp;"Batch: "&amp;Checks!$W$305)&amp;IF(AND(Checks!$X$305="",Checks!$Y$305=""),"",CHAR(10)&amp;"Exp: "&amp;Checks!$X$305&amp;"  /  Act: "&amp;Checks!$Y$305)</f>
        <v/>
      </c>
      <c r="F47" s="113" t="str">
        <f aca="false">IF(Checks!$Z$305="","","Evidence: "&amp;Checks!$Z$305)&amp;IF(Checks!$AA$305="","",IF(Checks!$Z$305="","",CHAR(10))&amp;"CA: "&amp;Checks!$AA$305)</f>
        <v/>
      </c>
      <c r="G47" s="113" t="str">
        <f aca="false">IF(ISNUMBER(Checks!$AD$305),TEXT(Checks!$AD$305,"DD-MMM-YY HH:MM")&amp;" "&amp;Checks!$P$305,"")&amp;IF(Checks!$AE$305="","",CHAR(10)&amp;"Verifier: "&amp;Checks!$AE$305)&amp;IF(Checks!$T$305="","",CHAR(10)&amp;"PIC: "&amp;Checks!$T$305)</f>
        <v/>
      </c>
      <c r="H47" s="114" t="str">
        <f aca="false">IF(Checks!$AH$305="","",Checks!$AH$305)</f>
        <v>OPEN – CLARIFICATION</v>
      </c>
    </row>
    <row r="48" customFormat="false" ht="124.5" hidden="false" customHeight="true" outlineLevel="0" collapsed="false">
      <c r="A48" s="113" t="str">
        <f aca="false">Checks!$A$306&amp;CHAR(10)&amp;IF(Checks!$I$306="","",Checks!$I$306&amp;": ")&amp;Checks!$J$306</f>
        <v>F09-T12-14
F&amp;B Linen: Trolley cloth - prepared</v>
      </c>
      <c r="B48" s="113" t="str">
        <f aca="false">SUBSTITUTE(Checks!$K$306&amp;IF(Checks!$O$306="","",IF(Checks!$K$306="","",CHAR(10))&amp;"Note: "&amp;Checks!$O$306),"F&amp;B LINEN!","Ref: F&amp;B LINEN!")</f>
        <v>Narrow body: Top only
Note: Per note Ref: F&amp;B LINEN!B79:C80. Reference gives no uplift stn for this item: preparation checked at the meal uplift stn (HAN) - confirm with caterer.</v>
      </c>
      <c r="C48" s="113" t="str">
        <f aca="false">Checks!$N$306&amp;CHAR(10)&amp;IF(ISNUMBER(Checks!$R$306),TEXT(Checks!$R$306,"DD-MMM-YY HH:MM"),"")&amp;" "&amp;Checks!$P$306</f>
        <v>Required
11-Oct-26 01:05 HAN</v>
      </c>
      <c r="D48" s="113" t="str">
        <f aca="false">IF(Checks!$U$306="","",Checks!$U$306)&amp;IF(Checks!$AB$306="","",CHAR(10)&amp;"CA: "&amp;Checks!$AB$306)</f>
        <v/>
      </c>
      <c r="E48" s="113" t="str">
        <f aca="false">IF(Checks!$V$306="","",Checks!$V$306)&amp;IF(Checks!$AC$306="","",IF(Checks!$V$306="","",CHAR(10))&amp;"N/A just.: "&amp;Checks!$AC$306)&amp;IF(Checks!$W$306="","",CHAR(10)&amp;"Batch: "&amp;Checks!$W$306)&amp;IF(AND(Checks!$X$306="",Checks!$Y$306=""),"",CHAR(10)&amp;"Exp: "&amp;Checks!$X$306&amp;"  /  Act: "&amp;Checks!$Y$306)</f>
        <v/>
      </c>
      <c r="F48" s="113" t="str">
        <f aca="false">IF(Checks!$Z$306="","","Evidence: "&amp;Checks!$Z$306)&amp;IF(Checks!$AA$306="","",IF(Checks!$Z$306="","",CHAR(10))&amp;"CA: "&amp;Checks!$AA$306)</f>
        <v/>
      </c>
      <c r="G48" s="113" t="str">
        <f aca="false">IF(ISNUMBER(Checks!$AD$306),TEXT(Checks!$AD$306,"DD-MMM-YY HH:MM")&amp;" "&amp;Checks!$P$306,"")&amp;IF(Checks!$AE$306="","",CHAR(10)&amp;"Verifier: "&amp;Checks!$AE$306)&amp;IF(Checks!$T$306="","",CHAR(10)&amp;"PIC: "&amp;Checks!$T$306)</f>
        <v/>
      </c>
      <c r="H48" s="114" t="str">
        <f aca="false">IF(Checks!$AH$306="","",Checks!$AH$306)</f>
        <v>OPEN</v>
      </c>
    </row>
    <row r="49" customFormat="false" ht="114" hidden="false" customHeight="true" outlineLevel="0" collapsed="false">
      <c r="A49" s="113" t="str">
        <f aca="false">Checks!$A$307&amp;CHAR(10)&amp;IF(Checks!$I$307="","",Checks!$I$307&amp;": ")&amp;Checks!$J$307</f>
        <v>F09-T12-15
F&amp;B Linen: Linen bag - prepared</v>
      </c>
      <c r="B49" s="113" t="str">
        <f aca="false">Checks!$K$307&amp;IF(Checks!$O$307="","",IF(Checks!$K$307="","",CHAR(10))&amp;"Note: "&amp;Checks!$O$307)</f>
        <v>Available (ticked in reference)
Note: Reference gives no uplift stn for this item: preparation checked at the meal uplift stn (HAN) - confirm with caterer.</v>
      </c>
      <c r="C49" s="113" t="str">
        <f aca="false">Checks!$N$307&amp;CHAR(10)&amp;IF(ISNUMBER(Checks!$R$307),TEXT(Checks!$R$307,"DD-MMM-YY HH:MM"),"")&amp;" "&amp;Checks!$P$307</f>
        <v>Required
11-Oct-26 01:05 HAN</v>
      </c>
      <c r="D49" s="113" t="str">
        <f aca="false">IF(Checks!$U$307="","",Checks!$U$307)&amp;IF(Checks!$AB$307="","",CHAR(10)&amp;"CA: "&amp;Checks!$AB$307)</f>
        <v/>
      </c>
      <c r="E49" s="113" t="str">
        <f aca="false">IF(Checks!$V$307="","",Checks!$V$307)&amp;IF(Checks!$AC$307="","",IF(Checks!$V$307="","",CHAR(10))&amp;"N/A just.: "&amp;Checks!$AC$307)&amp;IF(Checks!$W$307="","",CHAR(10)&amp;"Batch: "&amp;Checks!$W$307)&amp;IF(AND(Checks!$X$307="",Checks!$Y$307=""),"",CHAR(10)&amp;"Exp: "&amp;Checks!$X$307&amp;"  /  Act: "&amp;Checks!$Y$307)</f>
        <v/>
      </c>
      <c r="F49" s="113" t="str">
        <f aca="false">IF(Checks!$Z$307="","","Evidence: "&amp;Checks!$Z$307)&amp;IF(Checks!$AA$307="","",IF(Checks!$Z$307="","",CHAR(10))&amp;"CA: "&amp;Checks!$AA$307)</f>
        <v/>
      </c>
      <c r="G49" s="113" t="str">
        <f aca="false">IF(ISNUMBER(Checks!$AD$307),TEXT(Checks!$AD$307,"DD-MMM-YY HH:MM")&amp;" "&amp;Checks!$P$307,"")&amp;IF(Checks!$AE$307="","",CHAR(10)&amp;"Verifier: "&amp;Checks!$AE$307)&amp;IF(Checks!$T$307="","",CHAR(10)&amp;"PIC: "&amp;Checks!$T$307)</f>
        <v/>
      </c>
      <c r="H49" s="114" t="str">
        <f aca="false">IF(Checks!$AH$307="","",Checks!$AH$307)</f>
        <v>OPEN</v>
      </c>
    </row>
    <row r="50" customFormat="false" ht="114" hidden="false" customHeight="true" outlineLevel="0" collapsed="false">
      <c r="A50" s="113" t="str">
        <f aca="false">Checks!$A$308&amp;CHAR(10)&amp;IF(Checks!$I$308="","",Checks!$I$308&amp;": ")&amp;Checks!$J$308</f>
        <v>F09-T12-16
Seat Linen: Seat pillow (BS &amp; BC) - prepared</v>
      </c>
      <c r="B50" s="113" t="str">
        <f aca="false">Checks!$K$308&amp;IF(Checks!$O$308="","",IF(Checks!$K$308="","",CHAR(10))&amp;"Note: "&amp;Checks!$O$308)</f>
        <v>Available 100% (ticked in reference)
Note: Reference gives no uplift stn for this item: preparation checked at the meal uplift stn (HAN) - confirm with caterer.</v>
      </c>
      <c r="C50" s="113" t="str">
        <f aca="false">Checks!$N$308&amp;CHAR(10)&amp;IF(ISNUMBER(Checks!$R$308),TEXT(Checks!$R$308,"DD-MMM-YY HH:MM"),"")&amp;" "&amp;Checks!$P$308</f>
        <v>Required
11-Oct-26 01:05 HAN</v>
      </c>
      <c r="D50" s="113" t="str">
        <f aca="false">IF(Checks!$U$308="","",Checks!$U$308)&amp;IF(Checks!$AB$308="","",CHAR(10)&amp;"CA: "&amp;Checks!$AB$308)</f>
        <v/>
      </c>
      <c r="E50" s="113" t="str">
        <f aca="false">IF(Checks!$V$308="","",Checks!$V$308)&amp;IF(Checks!$AC$308="","",IF(Checks!$V$308="","",CHAR(10))&amp;"N/A just.: "&amp;Checks!$AC$308)&amp;IF(Checks!$W$308="","",CHAR(10)&amp;"Batch: "&amp;Checks!$W$308)&amp;IF(AND(Checks!$X$308="",Checks!$Y$308=""),"",CHAR(10)&amp;"Exp: "&amp;Checks!$X$308&amp;"  /  Act: "&amp;Checks!$Y$308)</f>
        <v/>
      </c>
      <c r="F50" s="113" t="str">
        <f aca="false">IF(Checks!$Z$308="","","Evidence: "&amp;Checks!$Z$308)&amp;IF(Checks!$AA$308="","",IF(Checks!$Z$308="","",CHAR(10))&amp;"CA: "&amp;Checks!$AA$308)</f>
        <v/>
      </c>
      <c r="G50" s="113" t="str">
        <f aca="false">IF(ISNUMBER(Checks!$AD$308),TEXT(Checks!$AD$308,"DD-MMM-YY HH:MM")&amp;" "&amp;Checks!$P$308,"")&amp;IF(Checks!$AE$308="","",CHAR(10)&amp;"Verifier: "&amp;Checks!$AE$308)&amp;IF(Checks!$T$308="","",CHAR(10)&amp;"PIC: "&amp;Checks!$T$308)</f>
        <v/>
      </c>
      <c r="H50" s="114" t="str">
        <f aca="false">IF(Checks!$AH$308="","",Checks!$AH$308)</f>
        <v>OPEN</v>
      </c>
    </row>
    <row r="51" customFormat="false" ht="114" hidden="false" customHeight="true" outlineLevel="0" collapsed="false">
      <c r="A51" s="113" t="str">
        <f aca="false">Checks!$A$309&amp;CHAR(10)&amp;IF(Checks!$I$309="","",Checks!$I$309&amp;": ")&amp;Checks!$J$309</f>
        <v>F09-T12-17
Seat Linen: Blanket (BS &amp; BC) - prepared</v>
      </c>
      <c r="B51" s="113" t="str">
        <f aca="false">Checks!$K$309&amp;IF(Checks!$O$309="","",IF(Checks!$K$309="","",CHAR(10))&amp;"Note: "&amp;Checks!$O$309)</f>
        <v>Available 100% (ticked in reference)
Note: Reference gives no uplift stn for this item: preparation checked at the meal uplift stn (HAN) - confirm with caterer.</v>
      </c>
      <c r="C51" s="113" t="str">
        <f aca="false">Checks!$N$309&amp;CHAR(10)&amp;IF(ISNUMBER(Checks!$R$309),TEXT(Checks!$R$309,"DD-MMM-YY HH:MM"),"")&amp;" "&amp;Checks!$P$309</f>
        <v>Required
11-Oct-26 01:05 HAN</v>
      </c>
      <c r="D51" s="113" t="str">
        <f aca="false">IF(Checks!$U$309="","",Checks!$U$309)&amp;IF(Checks!$AB$309="","",CHAR(10)&amp;"CA: "&amp;Checks!$AB$309)</f>
        <v/>
      </c>
      <c r="E51" s="113" t="str">
        <f aca="false">IF(Checks!$V$309="","",Checks!$V$309)&amp;IF(Checks!$AC$309="","",IF(Checks!$V$309="","",CHAR(10))&amp;"N/A just.: "&amp;Checks!$AC$309)&amp;IF(Checks!$W$309="","",CHAR(10)&amp;"Batch: "&amp;Checks!$W$309)&amp;IF(AND(Checks!$X$309="",Checks!$Y$309=""),"",CHAR(10)&amp;"Exp: "&amp;Checks!$X$309&amp;"  /  Act: "&amp;Checks!$Y$309)</f>
        <v/>
      </c>
      <c r="F51" s="113" t="str">
        <f aca="false">IF(Checks!$Z$309="","","Evidence: "&amp;Checks!$Z$309)&amp;IF(Checks!$AA$309="","",IF(Checks!$Z$309="","",CHAR(10))&amp;"CA: "&amp;Checks!$AA$309)</f>
        <v/>
      </c>
      <c r="G51" s="113" t="str">
        <f aca="false">IF(ISNUMBER(Checks!$AD$309),TEXT(Checks!$AD$309,"DD-MMM-YY HH:MM")&amp;" "&amp;Checks!$P$309,"")&amp;IF(Checks!$AE$309="","",CHAR(10)&amp;"Verifier: "&amp;Checks!$AE$309)&amp;IF(Checks!$T$309="","",CHAR(10)&amp;"PIC: "&amp;Checks!$T$309)</f>
        <v/>
      </c>
      <c r="H51" s="114" t="str">
        <f aca="false">IF(Checks!$AH$309="","",Checks!$AH$309)</f>
        <v>OPEN</v>
      </c>
    </row>
    <row r="52" customFormat="false" ht="25.5" hidden="false" customHeight="true" outlineLevel="0" collapsed="false">
      <c r="A52" s="112"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2"/>
      <c r="C52" s="112"/>
      <c r="D52" s="112"/>
      <c r="E52" s="112"/>
      <c r="F52" s="112"/>
      <c r="G52" s="112"/>
      <c r="H52" s="112"/>
    </row>
    <row r="53" customFormat="false" ht="114" hidden="false" customHeight="true" outlineLevel="0" collapsed="false">
      <c r="A53" s="113" t="str">
        <f aca="false">Checks!$A$310&amp;CHAR(10)&amp;IF(Checks!$I$310="","",Checks!$I$310&amp;": ")&amp;Checks!$J$310</f>
        <v>F09-UPL-01
Meal: Meals physically uplifted on board - quantity vs menu checklist</v>
      </c>
      <c r="B53" s="113" t="str">
        <f aca="false">Checks!$K$310&amp;IF(Checks!$O$310="","",IF(Checks!$K$310="","",CHAR(10))&amp;"Note: "&amp;Checks!$O$310)</f>
        <v>Enter expected &amp; actual
Note: Confirm on board before departure; completion time must fall inside the uplift window.</v>
      </c>
      <c r="C53" s="113" t="str">
        <f aca="false">Checks!$N$310&amp;CHAR(10)&amp;IF(ISNUMBER(Checks!$R$310),TEXT(Checks!$R$310,"DD-MMM-YY HH:MM"),"")&amp;" "&amp;Checks!$P$310</f>
        <v>Required
11-Oct-26 13:05 HAN</v>
      </c>
      <c r="D53" s="113" t="str">
        <f aca="false">IF(Checks!$U$310="","",Checks!$U$310)&amp;IF(Checks!$AB$310="","",CHAR(10)&amp;"CA: "&amp;Checks!$AB$310)</f>
        <v/>
      </c>
      <c r="E53" s="113" t="str">
        <f aca="false">IF(Checks!$V$310="","",Checks!$V$310)&amp;IF(Checks!$AC$310="","",IF(Checks!$V$310="","",CHAR(10))&amp;"N/A just.: "&amp;Checks!$AC$310)&amp;IF(Checks!$W$310="","",CHAR(10)&amp;"Batch: "&amp;Checks!$W$310)&amp;IF(AND(Checks!$X$310="",Checks!$Y$310=""),"",CHAR(10)&amp;"Exp: "&amp;Checks!$X$310&amp;"  /  Act: "&amp;Checks!$Y$310)</f>
        <v/>
      </c>
      <c r="F53" s="113" t="str">
        <f aca="false">IF(Checks!$Z$310="","","Evidence: "&amp;Checks!$Z$310)&amp;IF(Checks!$AA$310="","",IF(Checks!$Z$310="","",CHAR(10))&amp;"CA: "&amp;Checks!$AA$310)</f>
        <v/>
      </c>
      <c r="G53" s="113" t="str">
        <f aca="false">IF(ISNUMBER(Checks!$AD$310),TEXT(Checks!$AD$310,"DD-MMM-YY HH:MM")&amp;" "&amp;Checks!$P$310,"")&amp;IF(Checks!$AE$310="","",CHAR(10)&amp;"Verifier: "&amp;Checks!$AE$310)&amp;IF(Checks!$T$310="","",CHAR(10)&amp;"PIC: "&amp;Checks!$T$310)</f>
        <v/>
      </c>
      <c r="H53" s="114" t="str">
        <f aca="false">IF(Checks!$AH$310="","",Checks!$AH$310)</f>
        <v>OPEN</v>
      </c>
    </row>
    <row r="54" customFormat="false" ht="114" hidden="false" customHeight="true" outlineLevel="0" collapsed="false">
      <c r="A54" s="113" t="str">
        <f aca="false">Checks!$A$311&amp;CHAR(10)&amp;IF(Checks!$I$311="","",Checks!$I$311&amp;": ")&amp;Checks!$J$311</f>
        <v>F09-UPL-02
Equipment: Equipment physically loaded at GLD positions - quantity &amp; positions</v>
      </c>
      <c r="B54" s="113" t="str">
        <f aca="false">Checks!$K$311&amp;IF(Checks!$O$311="","",IF(Checks!$K$311="","",CHAR(10))&amp;"Note: "&amp;Checks!$O$311)</f>
        <v>Enter expected &amp; actual
Note: Confirm on board before departure; completion time must fall inside the uplift window.</v>
      </c>
      <c r="C54" s="113" t="str">
        <f aca="false">Checks!$N$311&amp;CHAR(10)&amp;IF(ISNUMBER(Checks!$R$311),TEXT(Checks!$R$311,"DD-MMM-YY HH:MM"),"")&amp;" "&amp;Checks!$P$311</f>
        <v>Required
11-Oct-26 13:05 HAN</v>
      </c>
      <c r="D54" s="113" t="str">
        <f aca="false">IF(Checks!$U$311="","",Checks!$U$311)&amp;IF(Checks!$AB$311="","",CHAR(10)&amp;"CA: "&amp;Checks!$AB$311)</f>
        <v/>
      </c>
      <c r="E54" s="113" t="str">
        <f aca="false">IF(Checks!$V$311="","",Checks!$V$311)&amp;IF(Checks!$AC$311="","",IF(Checks!$V$311="","",CHAR(10))&amp;"N/A just.: "&amp;Checks!$AC$311)&amp;IF(Checks!$W$311="","",CHAR(10)&amp;"Batch: "&amp;Checks!$W$311)&amp;IF(AND(Checks!$X$311="",Checks!$Y$311=""),"",CHAR(10)&amp;"Exp: "&amp;Checks!$X$311&amp;"  /  Act: "&amp;Checks!$Y$311)</f>
        <v/>
      </c>
      <c r="F54" s="113" t="str">
        <f aca="false">IF(Checks!$Z$311="","","Evidence: "&amp;Checks!$Z$311)&amp;IF(Checks!$AA$311="","",IF(Checks!$Z$311="","",CHAR(10))&amp;"CA: "&amp;Checks!$AA$311)</f>
        <v/>
      </c>
      <c r="G54" s="113" t="str">
        <f aca="false">IF(ISNUMBER(Checks!$AD$311),TEXT(Checks!$AD$311,"DD-MMM-YY HH:MM")&amp;" "&amp;Checks!$P$311,"")&amp;IF(Checks!$AE$311="","",CHAR(10)&amp;"Verifier: "&amp;Checks!$AE$311)&amp;IF(Checks!$T$311="","",CHAR(10)&amp;"PIC: "&amp;Checks!$T$311)</f>
        <v/>
      </c>
      <c r="H54" s="114" t="str">
        <f aca="false">IF(Checks!$AH$311="","",Checks!$AH$311)</f>
        <v>OPEN</v>
      </c>
    </row>
    <row r="55" customFormat="false" ht="114" hidden="false" customHeight="true" outlineLevel="0" collapsed="false">
      <c r="A55" s="113" t="str">
        <f aca="false">Checks!$A$312&amp;CHAR(10)&amp;IF(Checks!$I$312="","",Checks!$I$312&amp;": ")&amp;Checks!$J$312</f>
        <v>F09-UPL-03
Amenities: Disposable slippers in DAM cart (BC, on request) - on board</v>
      </c>
      <c r="B55" s="113" t="str">
        <f aca="false">Checks!$K$312&amp;IF(Checks!$O$312="","",IF(Checks!$K$312="","",CHAR(10))&amp;"Note: "&amp;Checks!$O$312)</f>
        <v>Available in DAM cart on request basis
Note: Sector has no BC slippers; note C83: disposable slipper available in DAM cart (on request basis).</v>
      </c>
      <c r="C55" s="113" t="str">
        <f aca="false">Checks!$N$312&amp;CHAR(10)&amp;IF(ISNUMBER(Checks!$R$312),TEXT(Checks!$R$312,"DD-MMM-YY HH:MM"),"")&amp;" "&amp;Checks!$P$312</f>
        <v>Required
11-Oct-26 13:05 HAN</v>
      </c>
      <c r="D55" s="113" t="str">
        <f aca="false">IF(Checks!$U$312="","",Checks!$U$312)&amp;IF(Checks!$AB$312="","",CHAR(10)&amp;"CA: "&amp;Checks!$AB$312)</f>
        <v/>
      </c>
      <c r="E55" s="113" t="str">
        <f aca="false">IF(Checks!$V$312="","",Checks!$V$312)&amp;IF(Checks!$AC$312="","",IF(Checks!$V$312="","",CHAR(10))&amp;"N/A just.: "&amp;Checks!$AC$312)&amp;IF(Checks!$W$312="","",CHAR(10)&amp;"Batch: "&amp;Checks!$W$312)&amp;IF(AND(Checks!$X$312="",Checks!$Y$312=""),"",CHAR(10)&amp;"Exp: "&amp;Checks!$X$312&amp;"  /  Act: "&amp;Checks!$Y$312)</f>
        <v/>
      </c>
      <c r="F55" s="113" t="str">
        <f aca="false">IF(Checks!$Z$312="","","Evidence: "&amp;Checks!$Z$312)&amp;IF(Checks!$AA$312="","",IF(Checks!$Z$312="","",CHAR(10))&amp;"CA: "&amp;Checks!$AA$312)</f>
        <v/>
      </c>
      <c r="G55" s="113" t="str">
        <f aca="false">IF(ISNUMBER(Checks!$AD$312),TEXT(Checks!$AD$312,"DD-MMM-YY HH:MM")&amp;" "&amp;Checks!$P$312,"")&amp;IF(Checks!$AE$312="","",CHAR(10)&amp;"Verifier: "&amp;Checks!$AE$312)&amp;IF(Checks!$T$312="","",CHAR(10)&amp;"PIC: "&amp;Checks!$T$312)</f>
        <v/>
      </c>
      <c r="H55" s="114" t="str">
        <f aca="false">IF(Checks!$AH$312="","",Checks!$AH$312)</f>
        <v>OPEN</v>
      </c>
    </row>
    <row r="56" customFormat="false" ht="114" hidden="false" customHeight="true" outlineLevel="0" collapsed="false">
      <c r="A56" s="113" t="str">
        <f aca="false">Checks!$A$313&amp;CHAR(10)&amp;IF(Checks!$I$313="","",Checks!$I$313&amp;": ")&amp;Checks!$J$313</f>
        <v>F09-UPL-04
F&amp;B Linen: Towel - on board</v>
      </c>
      <c r="B56" s="113" t="str">
        <f aca="false">Checks!$K$313&amp;IF(Checks!$O$313="","",IF(Checks!$K$313="","",CHAR(10))&amp;"Note: "&amp;Checks!$O$313)</f>
        <v>Available (ticked in reference)</v>
      </c>
      <c r="C56" s="113" t="str">
        <f aca="false">Checks!$N$313&amp;CHAR(10)&amp;IF(ISNUMBER(Checks!$R$313),TEXT(Checks!$R$313,"DD-MMM-YY HH:MM"),"")&amp;" "&amp;Checks!$P$313</f>
        <v>Required
11-Oct-26 13:05 HAN</v>
      </c>
      <c r="D56" s="113" t="str">
        <f aca="false">IF(Checks!$U$313="","",Checks!$U$313)&amp;IF(Checks!$AB$313="","",CHAR(10)&amp;"CA: "&amp;Checks!$AB$313)</f>
        <v/>
      </c>
      <c r="E56" s="113" t="str">
        <f aca="false">IF(Checks!$V$313="","",Checks!$V$313)&amp;IF(Checks!$AC$313="","",IF(Checks!$V$313="","",CHAR(10))&amp;"N/A just.: "&amp;Checks!$AC$313)&amp;IF(Checks!$W$313="","",CHAR(10)&amp;"Batch: "&amp;Checks!$W$313)&amp;IF(AND(Checks!$X$313="",Checks!$Y$313=""),"",CHAR(10)&amp;"Exp: "&amp;Checks!$X$313&amp;"  /  Act: "&amp;Checks!$Y$313)</f>
        <v/>
      </c>
      <c r="F56" s="113" t="str">
        <f aca="false">IF(Checks!$Z$313="","","Evidence: "&amp;Checks!$Z$313)&amp;IF(Checks!$AA$313="","",IF(Checks!$Z$313="","",CHAR(10))&amp;"CA: "&amp;Checks!$AA$313)</f>
        <v/>
      </c>
      <c r="G56" s="113" t="str">
        <f aca="false">IF(ISNUMBER(Checks!$AD$313),TEXT(Checks!$AD$313,"DD-MMM-YY HH:MM")&amp;" "&amp;Checks!$P$313,"")&amp;IF(Checks!$AE$313="","",CHAR(10)&amp;"Verifier: "&amp;Checks!$AE$313)&amp;IF(Checks!$T$313="","",CHAR(10)&amp;"PIC: "&amp;Checks!$T$313)</f>
        <v/>
      </c>
      <c r="H56" s="114" t="str">
        <f aca="false">IF(Checks!$AH$313="","",Checks!$AH$313)</f>
        <v>OPEN</v>
      </c>
    </row>
    <row r="57" customFormat="false" ht="114" hidden="false" customHeight="true" outlineLevel="0" collapsed="false">
      <c r="A57" s="113" t="str">
        <f aca="false">Checks!$A$314&amp;CHAR(10)&amp;IF(Checks!$I$314="","",Checks!$I$314&amp;": ")&amp;Checks!$J$314</f>
        <v>F09-UPL-05
F&amp;B Linen: Tray cloth - on board</v>
      </c>
      <c r="B57" s="113" t="str">
        <f aca="false">Checks!$K$314&amp;IF(Checks!$O$314="","",IF(Checks!$K$314="","",CHAR(10))&amp;"Note: "&amp;Checks!$O$314)</f>
        <v>Available (ticked in reference)</v>
      </c>
      <c r="C57" s="113" t="str">
        <f aca="false">Checks!$N$314&amp;CHAR(10)&amp;IF(ISNUMBER(Checks!$R$314),TEXT(Checks!$R$314,"DD-MMM-YY HH:MM"),"")&amp;" "&amp;Checks!$P$314</f>
        <v>Required
11-Oct-26 13:05 HAN</v>
      </c>
      <c r="D57" s="113" t="str">
        <f aca="false">IF(Checks!$U$314="","",Checks!$U$314)&amp;IF(Checks!$AB$314="","",CHAR(10)&amp;"CA: "&amp;Checks!$AB$314)</f>
        <v/>
      </c>
      <c r="E57" s="113" t="str">
        <f aca="false">IF(Checks!$V$314="","",Checks!$V$314)&amp;IF(Checks!$AC$314="","",IF(Checks!$V$314="","",CHAR(10))&amp;"N/A just.: "&amp;Checks!$AC$314)&amp;IF(Checks!$W$314="","",CHAR(10)&amp;"Batch: "&amp;Checks!$W$314)&amp;IF(AND(Checks!$X$314="",Checks!$Y$314=""),"",CHAR(10)&amp;"Exp: "&amp;Checks!$X$314&amp;"  /  Act: "&amp;Checks!$Y$314)</f>
        <v/>
      </c>
      <c r="F57" s="113" t="str">
        <f aca="false">IF(Checks!$Z$314="","","Evidence: "&amp;Checks!$Z$314)&amp;IF(Checks!$AA$314="","",IF(Checks!$Z$314="","",CHAR(10))&amp;"CA: "&amp;Checks!$AA$314)</f>
        <v/>
      </c>
      <c r="G57" s="113" t="str">
        <f aca="false">IF(ISNUMBER(Checks!$AD$314),TEXT(Checks!$AD$314,"DD-MMM-YY HH:MM")&amp;" "&amp;Checks!$P$314,"")&amp;IF(Checks!$AE$314="","",CHAR(10)&amp;"Verifier: "&amp;Checks!$AE$314)&amp;IF(Checks!$T$314="","",CHAR(10)&amp;"PIC: "&amp;Checks!$T$314)</f>
        <v/>
      </c>
      <c r="H57" s="114" t="str">
        <f aca="false">IF(Checks!$AH$314="","",Checks!$AH$314)</f>
        <v>OPEN</v>
      </c>
    </row>
    <row r="58" customFormat="false" ht="114" hidden="false" customHeight="true" outlineLevel="0" collapsed="false">
      <c r="A58" s="113" t="str">
        <f aca="false">Checks!$A$315&amp;CHAR(10)&amp;IF(Checks!$I$315="","",Checks!$I$315&amp;": ")&amp;Checks!$J$315</f>
        <v>F09-UPL-06
F&amp;B Linen: Napkin - on board</v>
      </c>
      <c r="B58" s="113" t="str">
        <f aca="false">Checks!$K$315&amp;IF(Checks!$O$315="","",IF(Checks!$K$315="","",CHAR(10))&amp;"Note: "&amp;Checks!$O$315)</f>
        <v>Available (ticked in reference)</v>
      </c>
      <c r="C58" s="113" t="str">
        <f aca="false">Checks!$N$315&amp;CHAR(10)&amp;IF(ISNUMBER(Checks!$R$315),TEXT(Checks!$R$315,"DD-MMM-YY HH:MM"),"")&amp;" "&amp;Checks!$P$315</f>
        <v>Required
11-Oct-26 13:05 HAN</v>
      </c>
      <c r="D58" s="113" t="str">
        <f aca="false">IF(Checks!$U$315="","",Checks!$U$315)&amp;IF(Checks!$AB$315="","",CHAR(10)&amp;"CA: "&amp;Checks!$AB$315)</f>
        <v/>
      </c>
      <c r="E58" s="113" t="str">
        <f aca="false">IF(Checks!$V$315="","",Checks!$V$315)&amp;IF(Checks!$AC$315="","",IF(Checks!$V$315="","",CHAR(10))&amp;"N/A just.: "&amp;Checks!$AC$315)&amp;IF(Checks!$W$315="","",CHAR(10)&amp;"Batch: "&amp;Checks!$W$315)&amp;IF(AND(Checks!$X$315="",Checks!$Y$315=""),"",CHAR(10)&amp;"Exp: "&amp;Checks!$X$315&amp;"  /  Act: "&amp;Checks!$Y$315)</f>
        <v/>
      </c>
      <c r="F58" s="113" t="str">
        <f aca="false">IF(Checks!$Z$315="","","Evidence: "&amp;Checks!$Z$315)&amp;IF(Checks!$AA$315="","",IF(Checks!$Z$315="","",CHAR(10))&amp;"CA: "&amp;Checks!$AA$315)</f>
        <v/>
      </c>
      <c r="G58" s="113" t="str">
        <f aca="false">IF(ISNUMBER(Checks!$AD$315),TEXT(Checks!$AD$315,"DD-MMM-YY HH:MM")&amp;" "&amp;Checks!$P$315,"")&amp;IF(Checks!$AE$315="","",CHAR(10)&amp;"Verifier: "&amp;Checks!$AE$315)&amp;IF(Checks!$T$315="","",CHAR(10)&amp;"PIC: "&amp;Checks!$T$315)</f>
        <v/>
      </c>
      <c r="H58" s="114" t="str">
        <f aca="false">IF(Checks!$AH$315="","",Checks!$AH$315)</f>
        <v>OPEN</v>
      </c>
    </row>
    <row r="59" customFormat="false" ht="201.75" hidden="false" customHeight="true" outlineLevel="0" collapsed="false">
      <c r="A59" s="113" t="str">
        <f aca="false">Checks!$A$316&amp;CHAR(10)&amp;IF(Checks!$I$316="","",Checks!$I$316&amp;": ")&amp;Checks!$J$316</f>
        <v>F09-UPL-07
F&amp;B Linen: Table cloth - on board</v>
      </c>
      <c r="B59" s="113" t="str">
        <f aca="false">SUBSTITUTE(Checks!$K$316&amp;IF(Checks!$O$316="","",IF(Checks!$K$316="","",CHAR(10))&amp;"Note: "&amp;Checks!$O$316),"F&amp;B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v>
      </c>
      <c r="C59" s="113" t="str">
        <f aca="false">Checks!$N$316&amp;CHAR(10)&amp;IF(ISNUMBER(Checks!$R$316),TEXT(Checks!$R$316,"DD-MMM-YY HH:MM"),"")&amp;" "&amp;Checks!$P$316</f>
        <v>Clarification required
11-Oct-26 13:05 HAN</v>
      </c>
      <c r="D59" s="113" t="str">
        <f aca="false">IF(Checks!$U$316="","",Checks!$U$316)&amp;IF(Checks!$AB$316="","",CHAR(10)&amp;"CA: "&amp;Checks!$AB$316)</f>
        <v/>
      </c>
      <c r="E59" s="113" t="str">
        <f aca="false">IF(Checks!$V$316="","",Checks!$V$316)&amp;IF(Checks!$AC$316="","",IF(Checks!$V$316="","",CHAR(10))&amp;"N/A just.: "&amp;Checks!$AC$316)&amp;IF(Checks!$W$316="","",CHAR(10)&amp;"Batch: "&amp;Checks!$W$316)&amp;IF(AND(Checks!$X$316="",Checks!$Y$316=""),"",CHAR(10)&amp;"Exp: "&amp;Checks!$X$316&amp;"  /  Act: "&amp;Checks!$Y$316)</f>
        <v/>
      </c>
      <c r="F59" s="113" t="str">
        <f aca="false">IF(Checks!$Z$316="","","Evidence: "&amp;Checks!$Z$316)&amp;IF(Checks!$AA$316="","",IF(Checks!$Z$316="","",CHAR(10))&amp;"CA: "&amp;Checks!$AA$316)</f>
        <v/>
      </c>
      <c r="G59" s="113" t="str">
        <f aca="false">IF(ISNUMBER(Checks!$AD$316),TEXT(Checks!$AD$316,"DD-MMM-YY HH:MM")&amp;" "&amp;Checks!$P$316,"")&amp;IF(Checks!$AE$316="","",CHAR(10)&amp;"Verifier: "&amp;Checks!$AE$316)&amp;IF(Checks!$T$316="","",CHAR(10)&amp;"PIC: "&amp;Checks!$T$316)</f>
        <v/>
      </c>
      <c r="H59" s="114" t="str">
        <f aca="false">IF(Checks!$AH$316="","",Checks!$AH$316)</f>
        <v>OPEN – CLARIFICATION</v>
      </c>
    </row>
    <row r="60" customFormat="false" ht="201.75" hidden="false" customHeight="true" outlineLevel="0" collapsed="false">
      <c r="A60" s="113" t="str">
        <f aca="false">Checks!$A$317&amp;CHAR(10)&amp;IF(Checks!$I$317="","",Checks!$I$317&amp;": ")&amp;Checks!$J$317</f>
        <v>F09-UPL-08
F&amp;B Linen: Bread linen (using table cloth) - on board</v>
      </c>
      <c r="B60" s="113" t="str">
        <f aca="false">SUBSTITUTE(Checks!$K$317&amp;IF(Checks!$O$317="","",IF(Checks!$K$317="","",CHAR(10))&amp;"Note: "&amp;Checks!$O$317),"F&amp;B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v>
      </c>
      <c r="C60" s="113" t="str">
        <f aca="false">Checks!$N$317&amp;CHAR(10)&amp;IF(ISNUMBER(Checks!$R$317),TEXT(Checks!$R$317,"DD-MMM-YY HH:MM"),"")&amp;" "&amp;Checks!$P$317</f>
        <v>Clarification required
11-Oct-26 13:05 HAN</v>
      </c>
      <c r="D60" s="113" t="str">
        <f aca="false">IF(Checks!$U$317="","",Checks!$U$317)&amp;IF(Checks!$AB$317="","",CHAR(10)&amp;"CA: "&amp;Checks!$AB$317)</f>
        <v/>
      </c>
      <c r="E60" s="113" t="str">
        <f aca="false">IF(Checks!$V$317="","",Checks!$V$317)&amp;IF(Checks!$AC$317="","",IF(Checks!$V$317="","",CHAR(10))&amp;"N/A just.: "&amp;Checks!$AC$317)&amp;IF(Checks!$W$317="","",CHAR(10)&amp;"Batch: "&amp;Checks!$W$317)&amp;IF(AND(Checks!$X$317="",Checks!$Y$317=""),"",CHAR(10)&amp;"Exp: "&amp;Checks!$X$317&amp;"  /  Act: "&amp;Checks!$Y$317)</f>
        <v/>
      </c>
      <c r="F60" s="113" t="str">
        <f aca="false">IF(Checks!$Z$317="","","Evidence: "&amp;Checks!$Z$317)&amp;IF(Checks!$AA$317="","",IF(Checks!$Z$317="","",CHAR(10))&amp;"CA: "&amp;Checks!$AA$317)</f>
        <v/>
      </c>
      <c r="G60" s="113" t="str">
        <f aca="false">IF(ISNUMBER(Checks!$AD$317),TEXT(Checks!$AD$317,"DD-MMM-YY HH:MM")&amp;" "&amp;Checks!$P$317,"")&amp;IF(Checks!$AE$317="","",CHAR(10)&amp;"Verifier: "&amp;Checks!$AE$317)&amp;IF(Checks!$T$317="","",CHAR(10)&amp;"PIC: "&amp;Checks!$T$317)</f>
        <v/>
      </c>
      <c r="H60" s="114" t="str">
        <f aca="false">IF(Checks!$AH$317="","",Checks!$AH$317)</f>
        <v>OPEN – CLARIFICATION</v>
      </c>
    </row>
    <row r="61" customFormat="false" ht="114" hidden="false" customHeight="true" outlineLevel="0" collapsed="false">
      <c r="A61" s="113" t="str">
        <f aca="false">Checks!$A$318&amp;CHAR(10)&amp;IF(Checks!$I$318="","",Checks!$I$318&amp;": ")&amp;Checks!$J$318</f>
        <v>F09-UPL-09
F&amp;B Linen: Trolley cloth - on board</v>
      </c>
      <c r="B61" s="113" t="str">
        <f aca="false">SUBSTITUTE(Checks!$K$318&amp;IF(Checks!$O$318="","",IF(Checks!$K$318="","",CHAR(10))&amp;"Note: "&amp;Checks!$O$318),"F&amp;B LINEN!","Ref: F&amp;B LINEN!")</f>
        <v>Narrow body: Top only
Note: Per note Ref: F&amp;B LINEN!B79:C80.</v>
      </c>
      <c r="C61" s="113" t="str">
        <f aca="false">Checks!$N$318&amp;CHAR(10)&amp;IF(ISNUMBER(Checks!$R$318),TEXT(Checks!$R$318,"DD-MMM-YY HH:MM"),"")&amp;" "&amp;Checks!$P$318</f>
        <v>Required
11-Oct-26 13:05 HAN</v>
      </c>
      <c r="D61" s="113" t="str">
        <f aca="false">IF(Checks!$U$318="","",Checks!$U$318)&amp;IF(Checks!$AB$318="","",CHAR(10)&amp;"CA: "&amp;Checks!$AB$318)</f>
        <v/>
      </c>
      <c r="E61" s="113" t="str">
        <f aca="false">IF(Checks!$V$318="","",Checks!$V$318)&amp;IF(Checks!$AC$318="","",IF(Checks!$V$318="","",CHAR(10))&amp;"N/A just.: "&amp;Checks!$AC$318)&amp;IF(Checks!$W$318="","",CHAR(10)&amp;"Batch: "&amp;Checks!$W$318)&amp;IF(AND(Checks!$X$318="",Checks!$Y$318=""),"",CHAR(10)&amp;"Exp: "&amp;Checks!$X$318&amp;"  /  Act: "&amp;Checks!$Y$318)</f>
        <v/>
      </c>
      <c r="F61" s="113" t="str">
        <f aca="false">IF(Checks!$Z$318="","","Evidence: "&amp;Checks!$Z$318)&amp;IF(Checks!$AA$318="","",IF(Checks!$Z$318="","",CHAR(10))&amp;"CA: "&amp;Checks!$AA$318)</f>
        <v/>
      </c>
      <c r="G61" s="113" t="str">
        <f aca="false">IF(ISNUMBER(Checks!$AD$318),TEXT(Checks!$AD$318,"DD-MMM-YY HH:MM")&amp;" "&amp;Checks!$P$318,"")&amp;IF(Checks!$AE$318="","",CHAR(10)&amp;"Verifier: "&amp;Checks!$AE$318)&amp;IF(Checks!$T$318="","",CHAR(10)&amp;"PIC: "&amp;Checks!$T$318)</f>
        <v/>
      </c>
      <c r="H61" s="114" t="str">
        <f aca="false">IF(Checks!$AH$318="","",Checks!$AH$318)</f>
        <v>OPEN</v>
      </c>
    </row>
    <row r="62" customFormat="false" ht="114" hidden="false" customHeight="true" outlineLevel="0" collapsed="false">
      <c r="A62" s="113" t="str">
        <f aca="false">Checks!$A$319&amp;CHAR(10)&amp;IF(Checks!$I$319="","",Checks!$I$319&amp;": ")&amp;Checks!$J$319</f>
        <v>F09-UPL-10
F&amp;B Linen: Linen bag - on board</v>
      </c>
      <c r="B62" s="113" t="str">
        <f aca="false">Checks!$K$319&amp;IF(Checks!$O$319="","",IF(Checks!$K$319="","",CHAR(10))&amp;"Note: "&amp;Checks!$O$319)</f>
        <v>Available (ticked in reference)</v>
      </c>
      <c r="C62" s="113" t="str">
        <f aca="false">Checks!$N$319&amp;CHAR(10)&amp;IF(ISNUMBER(Checks!$R$319),TEXT(Checks!$R$319,"DD-MMM-YY HH:MM"),"")&amp;" "&amp;Checks!$P$319</f>
        <v>Required
11-Oct-26 13:05 HAN</v>
      </c>
      <c r="D62" s="113" t="str">
        <f aca="false">IF(Checks!$U$319="","",Checks!$U$319)&amp;IF(Checks!$AB$319="","",CHAR(10)&amp;"CA: "&amp;Checks!$AB$319)</f>
        <v/>
      </c>
      <c r="E62" s="113" t="str">
        <f aca="false">IF(Checks!$V$319="","",Checks!$V$319)&amp;IF(Checks!$AC$319="","",IF(Checks!$V$319="","",CHAR(10))&amp;"N/A just.: "&amp;Checks!$AC$319)&amp;IF(Checks!$W$319="","",CHAR(10)&amp;"Batch: "&amp;Checks!$W$319)&amp;IF(AND(Checks!$X$319="",Checks!$Y$319=""),"",CHAR(10)&amp;"Exp: "&amp;Checks!$X$319&amp;"  /  Act: "&amp;Checks!$Y$319)</f>
        <v/>
      </c>
      <c r="F62" s="113" t="str">
        <f aca="false">IF(Checks!$Z$319="","","Evidence: "&amp;Checks!$Z$319)&amp;IF(Checks!$AA$319="","",IF(Checks!$Z$319="","",CHAR(10))&amp;"CA: "&amp;Checks!$AA$319)</f>
        <v/>
      </c>
      <c r="G62" s="113" t="str">
        <f aca="false">IF(ISNUMBER(Checks!$AD$319),TEXT(Checks!$AD$319,"DD-MMM-YY HH:MM")&amp;" "&amp;Checks!$P$319,"")&amp;IF(Checks!$AE$319="","",CHAR(10)&amp;"Verifier: "&amp;Checks!$AE$319)&amp;IF(Checks!$T$319="","",CHAR(10)&amp;"PIC: "&amp;Checks!$T$319)</f>
        <v/>
      </c>
      <c r="H62" s="114" t="str">
        <f aca="false">IF(Checks!$AH$319="","",Checks!$AH$319)</f>
        <v>OPEN</v>
      </c>
    </row>
    <row r="63" customFormat="false" ht="114" hidden="false" customHeight="true" outlineLevel="0" collapsed="false">
      <c r="A63" s="113" t="str">
        <f aca="false">Checks!$A$320&amp;CHAR(10)&amp;IF(Checks!$I$320="","",Checks!$I$320&amp;": ")&amp;Checks!$J$320</f>
        <v>F09-UPL-11
Seat Linen: Seat pillow (BS &amp; BC) - on board</v>
      </c>
      <c r="B63" s="113" t="str">
        <f aca="false">Checks!$K$320&amp;IF(Checks!$O$320="","",IF(Checks!$K$320="","",CHAR(10))&amp;"Note: "&amp;Checks!$O$320)</f>
        <v>Available 100% (ticked in reference)</v>
      </c>
      <c r="C63" s="113" t="str">
        <f aca="false">Checks!$N$320&amp;CHAR(10)&amp;IF(ISNUMBER(Checks!$R$320),TEXT(Checks!$R$320,"DD-MMM-YY HH:MM"),"")&amp;" "&amp;Checks!$P$320</f>
        <v>Required
11-Oct-26 13:05 HAN</v>
      </c>
      <c r="D63" s="113" t="str">
        <f aca="false">IF(Checks!$U$320="","",Checks!$U$320)&amp;IF(Checks!$AB$320="","",CHAR(10)&amp;"CA: "&amp;Checks!$AB$320)</f>
        <v/>
      </c>
      <c r="E63" s="113" t="str">
        <f aca="false">IF(Checks!$V$320="","",Checks!$V$320)&amp;IF(Checks!$AC$320="","",IF(Checks!$V$320="","",CHAR(10))&amp;"N/A just.: "&amp;Checks!$AC$320)&amp;IF(Checks!$W$320="","",CHAR(10)&amp;"Batch: "&amp;Checks!$W$320)&amp;IF(AND(Checks!$X$320="",Checks!$Y$320=""),"",CHAR(10)&amp;"Exp: "&amp;Checks!$X$320&amp;"  /  Act: "&amp;Checks!$Y$320)</f>
        <v/>
      </c>
      <c r="F63" s="113" t="str">
        <f aca="false">IF(Checks!$Z$320="","","Evidence: "&amp;Checks!$Z$320)&amp;IF(Checks!$AA$320="","",IF(Checks!$Z$320="","",CHAR(10))&amp;"CA: "&amp;Checks!$AA$320)</f>
        <v/>
      </c>
      <c r="G63" s="113" t="str">
        <f aca="false">IF(ISNUMBER(Checks!$AD$320),TEXT(Checks!$AD$320,"DD-MMM-YY HH:MM")&amp;" "&amp;Checks!$P$320,"")&amp;IF(Checks!$AE$320="","",CHAR(10)&amp;"Verifier: "&amp;Checks!$AE$320)&amp;IF(Checks!$T$320="","",CHAR(10)&amp;"PIC: "&amp;Checks!$T$320)</f>
        <v/>
      </c>
      <c r="H63" s="114" t="str">
        <f aca="false">IF(Checks!$AH$320="","",Checks!$AH$320)</f>
        <v>OPEN</v>
      </c>
    </row>
    <row r="64" customFormat="false" ht="114" hidden="false" customHeight="true" outlineLevel="0" collapsed="false">
      <c r="A64" s="113" t="str">
        <f aca="false">Checks!$A$321&amp;CHAR(10)&amp;IF(Checks!$I$321="","",Checks!$I$321&amp;": ")&amp;Checks!$J$321</f>
        <v>F09-UPL-12
Seat Linen: Blanket (BS &amp; BC) - on board</v>
      </c>
      <c r="B64" s="113" t="str">
        <f aca="false">Checks!$K$321&amp;IF(Checks!$O$321="","",IF(Checks!$K$321="","",CHAR(10))&amp;"Note: "&amp;Checks!$O$321)</f>
        <v>Available 100% (ticked in reference)</v>
      </c>
      <c r="C64" s="113" t="str">
        <f aca="false">Checks!$N$321&amp;CHAR(10)&amp;IF(ISNUMBER(Checks!$R$321),TEXT(Checks!$R$321,"DD-MMM-YY HH:MM"),"")&amp;" "&amp;Checks!$P$321</f>
        <v>Required
11-Oct-26 13:05 HAN</v>
      </c>
      <c r="D64" s="113" t="str">
        <f aca="false">IF(Checks!$U$321="","",Checks!$U$321)&amp;IF(Checks!$AB$321="","",CHAR(10)&amp;"CA: "&amp;Checks!$AB$321)</f>
        <v/>
      </c>
      <c r="E64" s="113" t="str">
        <f aca="false">IF(Checks!$V$321="","",Checks!$V$321)&amp;IF(Checks!$AC$321="","",IF(Checks!$V$321="","",CHAR(10))&amp;"N/A just.: "&amp;Checks!$AC$321)&amp;IF(Checks!$W$321="","",CHAR(10)&amp;"Batch: "&amp;Checks!$W$321)&amp;IF(AND(Checks!$X$321="",Checks!$Y$321=""),"",CHAR(10)&amp;"Exp: "&amp;Checks!$X$321&amp;"  /  Act: "&amp;Checks!$Y$321)</f>
        <v/>
      </c>
      <c r="F64" s="113" t="str">
        <f aca="false">IF(Checks!$Z$321="","","Evidence: "&amp;Checks!$Z$321)&amp;IF(Checks!$AA$321="","",IF(Checks!$Z$321="","",CHAR(10))&amp;"CA: "&amp;Checks!$AA$321)</f>
        <v/>
      </c>
      <c r="G64" s="113" t="str">
        <f aca="false">IF(ISNUMBER(Checks!$AD$321),TEXT(Checks!$AD$321,"DD-MMM-YY HH:MM")&amp;" "&amp;Checks!$P$321,"")&amp;IF(Checks!$AE$321="","",CHAR(10)&amp;"Verifier: "&amp;Checks!$AE$321)&amp;IF(Checks!$T$321="","",CHAR(10)&amp;"PIC: "&amp;Checks!$T$321)</f>
        <v/>
      </c>
      <c r="H64" s="114" t="str">
        <f aca="false">IF(Checks!$AH$321="","",Checks!$AH$321)</f>
        <v>OPEN</v>
      </c>
    </row>
    <row r="66" customFormat="false" ht="24" hidden="false" customHeight="true" outlineLevel="0" collapsed="false">
      <c r="A66" s="115" t="s">
        <v>1650</v>
      </c>
      <c r="B66" s="115"/>
      <c r="C66" s="115"/>
      <c r="D66" s="115"/>
      <c r="E66" s="115" t="s">
        <v>1651</v>
      </c>
      <c r="F66" s="115"/>
      <c r="G66" s="115"/>
      <c r="H66" s="115"/>
    </row>
    <row r="67" customFormat="false" ht="21.75" hidden="false" customHeight="true" outlineLevel="0" collapsed="false">
      <c r="A67" s="116"/>
      <c r="B67" s="116"/>
      <c r="C67" s="116"/>
      <c r="D67" s="116"/>
      <c r="E67" s="116"/>
      <c r="F67" s="116"/>
      <c r="G67" s="116"/>
      <c r="H67" s="116"/>
    </row>
    <row r="68" customFormat="false" ht="21.75" hidden="false" customHeight="true" outlineLevel="0" collapsed="false">
      <c r="A68" s="116"/>
      <c r="B68" s="116"/>
      <c r="C68" s="116"/>
      <c r="D68" s="116"/>
      <c r="E68" s="116"/>
      <c r="F68" s="116"/>
      <c r="G68" s="116"/>
      <c r="H68" s="116"/>
    </row>
    <row r="69" customFormat="false" ht="21.75" hidden="false" customHeight="true" outlineLevel="0" collapsed="false">
      <c r="A69" s="116"/>
      <c r="B69" s="116"/>
      <c r="C69" s="116"/>
      <c r="D69" s="116"/>
      <c r="E69" s="116"/>
      <c r="F69" s="116"/>
      <c r="G69" s="116"/>
      <c r="H69" s="116"/>
    </row>
    <row r="70" customFormat="false" ht="21.75" hidden="false" customHeight="true" outlineLevel="0" collapsed="false">
      <c r="A70" s="116"/>
      <c r="B70" s="116"/>
      <c r="C70" s="116"/>
      <c r="D70" s="116"/>
      <c r="E70" s="116"/>
      <c r="F70" s="116"/>
      <c r="G70" s="116"/>
      <c r="H70" s="116"/>
    </row>
    <row r="71" customFormat="false" ht="21.75" hidden="false" customHeight="true" outlineLevel="0" collapsed="false">
      <c r="A71" s="116"/>
      <c r="B71" s="116"/>
      <c r="C71" s="116"/>
      <c r="D71" s="116"/>
      <c r="E71" s="116"/>
      <c r="F71" s="116"/>
      <c r="G71" s="116"/>
      <c r="H71" s="116"/>
    </row>
    <row r="72" customFormat="false" ht="21.75" hidden="false" customHeight="true" outlineLevel="0" collapsed="false">
      <c r="A72" s="116"/>
      <c r="B72" s="116"/>
      <c r="C72" s="116"/>
      <c r="D72" s="116"/>
      <c r="E72" s="116"/>
      <c r="F72" s="116"/>
      <c r="G72" s="116"/>
      <c r="H72" s="116"/>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4">
    <cfRule type="expression" priority="17" aboveAverage="0" equalAverage="0" bottom="0" percent="0" rank="0" text="" dxfId="34">
      <formula>LEFT($H23,3)="N/A"</formula>
    </cfRule>
  </conditionalFormatting>
  <conditionalFormatting sqref="D23:D6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F10  "&amp;Flights!$F$14&amp;"  "&amp;TEXT(Flights!$D$14,"DD-MMM-YY")&amp;" ("&amp;Flights!$E$14&amp;")  "&amp;Flights!$G$14&amp;" → "&amp;Flights!$H$14&amp;"  |  Class "&amp;Flights!$K$14</f>
        <v>SKYTRAX 2026 CATERING READINESS CHECKLIST  |  F10  MH1140  12-Oct-26 (MON)  KUL → PEN  |  Class BC</v>
      </c>
      <c r="B1" s="91"/>
      <c r="C1" s="91"/>
      <c r="D1" s="91"/>
      <c r="E1" s="91"/>
      <c r="F1" s="91"/>
      <c r="G1" s="91"/>
      <c r="H1" s="91"/>
    </row>
    <row r="2" customFormat="false" ht="12.75" hidden="false" customHeight="true" outlineLevel="0" collapsed="false">
      <c r="A2" s="92" t="s">
        <v>1605</v>
      </c>
      <c r="B2" s="93" t="str">
        <f aca="false">Flights!$F$14&amp;"   "&amp;TEXT(Flights!$D$14,"DD-MMM-YY")&amp;" ("&amp;Flights!$E$14&amp;")"</f>
        <v>MH1140   12-Oct-26 (MON)</v>
      </c>
      <c r="C2" s="93"/>
      <c r="D2" s="93"/>
      <c r="E2" s="94" t="s">
        <v>1606</v>
      </c>
      <c r="F2" s="95" t="str">
        <f aca="false">Flights!$AT$14</f>
        <v>NOT READY – DOCUMENTS</v>
      </c>
      <c r="G2" s="95"/>
      <c r="H2" s="95"/>
    </row>
    <row r="3" customFormat="false" ht="24" hidden="false" customHeight="true" outlineLevel="0" collapsed="false">
      <c r="A3" s="92" t="s">
        <v>1607</v>
      </c>
      <c r="B3" s="93" t="str">
        <f aca="false">Flights!$G$14&amp;" → "&amp;Flights!$H$14&amp;"   Class "&amp;Flights!$K$14&amp;"   Seat "&amp;Flights!$O$14</f>
        <v>KUL → PEN   Class BC   Seat 1F</v>
      </c>
      <c r="C3" s="93"/>
      <c r="D3" s="93"/>
      <c r="E3" s="94" t="s">
        <v>68</v>
      </c>
      <c r="F3" s="94" t="s">
        <v>1608</v>
      </c>
      <c r="G3" s="94" t="s">
        <v>1609</v>
      </c>
      <c r="H3" s="94"/>
    </row>
    <row r="4" customFormat="false" ht="24" hidden="false" customHeight="true" outlineLevel="0" collapsed="false">
      <c r="A4" s="92" t="s">
        <v>1610</v>
      </c>
      <c r="B4" s="93" t="str">
        <f aca="false">IF(ISNUMBER(Flights!$I$14),TEXT(Flights!$I$14,"DD-MMM-YY HH:MM"),"")&amp;" "&amp;Flights!$G$14&amp;"  →  "&amp;IF(ISNUMBER(Flights!$J$14),TEXT(Flights!$J$14,"DD-MMM-YY HH:MM"),"")&amp;" "&amp;Flights!$H$14</f>
        <v>12-Oct-26 11:45 KUL  →  12-Oct-26 12:45 PEN</v>
      </c>
      <c r="C4" s="93"/>
      <c r="D4" s="93"/>
      <c r="E4" s="92" t="s">
        <v>1611</v>
      </c>
      <c r="F4" s="96" t="str">
        <f aca="false">IF(ISNUMBER(Flights!$AG$14),TEXT(Flights!$AG$14,"DD-MMM-YY HH:MM"),"")&amp;" "&amp;Flights!$V$14</f>
        <v>05-Oct-26 11:45 KUL</v>
      </c>
      <c r="G4" s="97" t="n">
        <f aca="false">Flights!$AJ$14</f>
        <v>0</v>
      </c>
      <c r="H4" s="97"/>
    </row>
    <row r="5" customFormat="false" ht="24" hidden="false" customHeight="true" outlineLevel="0" collapsed="false">
      <c r="A5" s="92" t="s">
        <v>1612</v>
      </c>
      <c r="B5" s="93" t="str">
        <f aca="false">Flights!$L$14&amp;" – "&amp;Flights!$M$14</f>
        <v>B738MAX – B737-8 (B7M8)</v>
      </c>
      <c r="C5" s="93"/>
      <c r="D5" s="93"/>
      <c r="E5" s="92" t="s">
        <v>1613</v>
      </c>
      <c r="F5" s="96" t="str">
        <f aca="false">IF(ISNUMBER(Flights!$AH$14),TEXT(Flights!$AH$14,"DD-MMM-YY HH:MM"),"")&amp;" "&amp;Flights!$V$14</f>
        <v>11-Oct-26 11:45 KUL</v>
      </c>
      <c r="G5" s="97" t="n">
        <f aca="false">Flights!$AK$14</f>
        <v>0</v>
      </c>
      <c r="H5" s="97"/>
    </row>
    <row r="6" customFormat="false" ht="24" hidden="false" customHeight="true" outlineLevel="0" collapsed="false">
      <c r="A6" s="92" t="s">
        <v>1614</v>
      </c>
      <c r="B6" s="93" t="str">
        <f aca="false">IF(TRIM(Flights!$N$14)="","__________________",Flights!$N$14)</f>
        <v>__________________</v>
      </c>
      <c r="C6" s="93"/>
      <c r="D6" s="93"/>
      <c r="E6" s="92" t="s">
        <v>1615</v>
      </c>
      <c r="F6" s="96" t="str">
        <f aca="false">IF(ISNUMBER(Flights!$AI$14),TEXT(Flights!$AI$14,"DD-MMM-YY HH:MM"),"")&amp;" "&amp;Flights!$V$14&amp;IF(Flights!$AI$14=Flights!$AH$14,"  (= T-24H due)","")</f>
        <v>11-Oct-26 23:45 KUL</v>
      </c>
      <c r="G6" s="97" t="n">
        <f aca="false">Flights!$AL$14</f>
        <v>0</v>
      </c>
      <c r="H6" s="97"/>
    </row>
    <row r="7" customFormat="false" ht="24" hidden="false" customHeight="true" outlineLevel="0" collapsed="false">
      <c r="A7" s="92" t="s">
        <v>1616</v>
      </c>
      <c r="B7" s="93" t="str">
        <f aca="false">Flights!$T$14</f>
        <v>Refreshment (Peanut &amp; Water)</v>
      </c>
      <c r="C7" s="93"/>
      <c r="D7" s="93"/>
      <c r="E7" s="92" t="s">
        <v>1617</v>
      </c>
      <c r="F7" s="96" t="str">
        <f aca="false">"STD "&amp;IF(ISNUMBER(Flights!$I$14),TEXT(Flights!$I$14,"DD-MMM-YY HH:MM"),"")&amp;" "&amp;Flights!$G$14&amp;" (dep stn)"</f>
        <v>STD 12-Oct-26 11:45 KUL (dep stn)</v>
      </c>
      <c r="G7" s="97" t="n">
        <f aca="false">Flights!$AM$14</f>
        <v>0</v>
      </c>
      <c r="H7" s="97"/>
    </row>
    <row r="8" customFormat="false" ht="12.75" hidden="false" customHeight="true" outlineLevel="0" collapsed="false">
      <c r="A8" s="92" t="s">
        <v>150</v>
      </c>
      <c r="B8" s="93" t="str">
        <f aca="false">Flights!$V$14&amp;"   (reference uplift stns: "&amp;Flights!$U$14&amp;")"</f>
        <v>KUL   (reference uplift stns: KUL)</v>
      </c>
      <c r="C8" s="93"/>
      <c r="D8" s="93"/>
      <c r="E8" s="92" t="s">
        <v>1618</v>
      </c>
      <c r="F8" s="98" t="s">
        <v>1619</v>
      </c>
      <c r="G8" s="97" t="n">
        <f aca="false">Flights!$AN$14</f>
        <v>0</v>
      </c>
      <c r="H8" s="97"/>
    </row>
    <row r="9" customFormat="false" ht="12.75" hidden="false" customHeight="true" outlineLevel="0" collapsed="false">
      <c r="A9" s="92" t="s">
        <v>1620</v>
      </c>
      <c r="B9" s="93" t="str">
        <f aca="false">TRIM(Flights!$P$14&amp;"  "&amp;Flights!$Q$14)</f>
        <v>-</v>
      </c>
      <c r="C9" s="93"/>
      <c r="D9" s="93"/>
      <c r="E9" s="92" t="s">
        <v>1621</v>
      </c>
      <c r="F9" s="99" t="n">
        <f aca="false">Flights!$AP$14</f>
        <v>0</v>
      </c>
      <c r="G9" s="99" t="n">
        <f aca="false">Flights!$AQ$14</f>
        <v>0</v>
      </c>
      <c r="H9" s="99" t="n">
        <f aca="false">Flights!$AU$14</f>
        <v>0</v>
      </c>
    </row>
    <row r="10" customFormat="false" ht="24" hidden="false" customHeight="true" outlineLevel="0" collapsed="false">
      <c r="A10" s="92" t="s">
        <v>1622</v>
      </c>
      <c r="B10" s="93" t="str">
        <f aca="false">IF(TRIM(Flights!$X$14)="","__________________",Flights!$X$14)</f>
        <v>__________________</v>
      </c>
      <c r="C10" s="93"/>
      <c r="D10" s="93"/>
      <c r="E10" s="92" t="s">
        <v>1623</v>
      </c>
      <c r="F10" s="99" t="n">
        <f aca="false">Flights!$AO$14</f>
        <v>34</v>
      </c>
      <c r="G10" s="99" t="n">
        <f aca="false">Flights!$AS$14</f>
        <v>0</v>
      </c>
      <c r="H10" s="99" t="n">
        <f aca="false">Flights!$AR$14</f>
        <v>2</v>
      </c>
    </row>
    <row r="11" customFormat="false" ht="21" hidden="false" customHeight="true" outlineLevel="0" collapsed="false">
      <c r="A11" s="92" t="s">
        <v>1624</v>
      </c>
      <c r="B11" s="93" t="str">
        <f aca="false">IF(TRIM(Flights!$Y$14)="","__________________",Flights!$Y$14)</f>
        <v>__________________</v>
      </c>
      <c r="C11" s="93"/>
      <c r="D11" s="93"/>
      <c r="E11" s="92" t="s">
        <v>1625</v>
      </c>
      <c r="F11" s="99" t="str">
        <f aca="false">Flights!$AV$14&amp;" / "&amp;Flights!$AW$14</f>
        <v>0 / 34</v>
      </c>
      <c r="G11" s="100" t="str">
        <f aca="false">IF(ISNUMBER(Settings!$B$6),TEXT(Settings!$B$6,"DD-MMM-YY HH:MM"),"")</f>
        <v>28-Sep-26 03:19</v>
      </c>
      <c r="H11" s="100"/>
    </row>
    <row r="12" customFormat="false" ht="34.5" hidden="false" customHeight="true" outlineLevel="0" collapsed="false">
      <c r="A12" s="101" t="s">
        <v>1626</v>
      </c>
      <c r="B12" s="101"/>
      <c r="C12" s="101"/>
      <c r="D12" s="101"/>
      <c r="E12" s="102" t="s">
        <v>1627</v>
      </c>
      <c r="F12" s="103" t="s">
        <v>1628</v>
      </c>
      <c r="G12" s="104" t="s">
        <v>89</v>
      </c>
      <c r="H12" s="105" t="s">
        <v>1629</v>
      </c>
    </row>
    <row r="13" customFormat="false" ht="13.5" hidden="false" customHeight="true" outlineLevel="0" collapsed="false">
      <c r="A13" s="94" t="s">
        <v>1630</v>
      </c>
      <c r="B13" s="94" t="s">
        <v>1631</v>
      </c>
      <c r="C13" s="94" t="s">
        <v>1632</v>
      </c>
      <c r="D13" s="94"/>
      <c r="E13" s="94" t="s">
        <v>1633</v>
      </c>
      <c r="F13" s="94" t="s">
        <v>1634</v>
      </c>
      <c r="G13" s="94"/>
      <c r="H13" s="94"/>
    </row>
    <row r="14" customFormat="false" ht="36" hidden="false" customHeight="true" outlineLevel="0" collapsed="false">
      <c r="A14" s="92" t="s">
        <v>1635</v>
      </c>
      <c r="B14" s="93" t="str">
        <f aca="false">IF(Documents!$F$14="","",Documents!$F$14)</f>
        <v/>
      </c>
      <c r="C14" s="98" t="str">
        <f aca="false">IF(Documents!$G$14="","",Documents!$G$14)&amp;IF(ISNUMBER(Documents!$H$14),"  "&amp;TEXT(Documents!$H$14,"DD-MMM-YY"),"")</f>
        <v/>
      </c>
      <c r="D14" s="98"/>
      <c r="E14" s="106" t="str">
        <f aca="false">IF(Documents!$J$14="OUTSTANDING","OUTSTANDING – attach before T-7D (due "&amp;IF(ISNUMBER(Flights!$AG$14),TEXT(Flights!$AG$14,"DD-MMM-YY HH:MM"),"")&amp;" "&amp;Flights!$V$14&amp;")",IF(Documents!$J$14="","Status not recorded",Documents!$J$14))</f>
        <v>OUTSTANDING – attach before T-7D (due 05-Oct-26 11:45 KUL)</v>
      </c>
      <c r="F14" s="107" t="str">
        <f aca="false">"Staple behind this sheet as page A1."&amp;IF(Documents!$I$14="",""," Location: "&amp;Documents!$I$14)</f>
        <v>Staple behind this sheet as page A1.</v>
      </c>
      <c r="G14" s="107"/>
      <c r="H14" s="107"/>
    </row>
    <row r="15" customFormat="false" ht="36" hidden="false" customHeight="true" outlineLevel="0" collapsed="false">
      <c r="A15" s="92" t="s">
        <v>1636</v>
      </c>
      <c r="B15" s="93" t="str">
        <f aca="false">IF(Documents!$K$14="","",Documents!$K$14)</f>
        <v/>
      </c>
      <c r="C15" s="98" t="str">
        <f aca="false">IF(Documents!$L$14="","",Documents!$L$14)&amp;IF(ISNUMBER(Documents!$M$14),"  "&amp;TEXT(Documents!$M$14,"DD-MMM-YY"),"")</f>
        <v/>
      </c>
      <c r="D15" s="98"/>
      <c r="E15" s="106" t="str">
        <f aca="false">IF(Documents!$O$14="OUTSTANDING","OUTSTANDING – attach before T-7D (due "&amp;IF(ISNUMBER(Flights!$AG$14),TEXT(Flights!$AG$14,"DD-MMM-YY HH:MM"),"")&amp;" "&amp;Flights!$V$14&amp;")",IF(Documents!$O$14="","Status not recorded",Documents!$O$14))</f>
        <v>OUTSTANDING – attach before T-7D (due 05-Oct-26 11:45 KUL)</v>
      </c>
      <c r="F15" s="107" t="str">
        <f aca="false">"Staple behind this sheet as page A2."&amp;IF(Documents!$N$14="",""," Location: "&amp;Documents!$N$14)</f>
        <v>Staple behind this sheet as page A2.</v>
      </c>
      <c r="G15" s="107"/>
      <c r="H15" s="107"/>
    </row>
    <row r="16" customFormat="false" ht="22.5" hidden="false" customHeight="true" outlineLevel="0" collapsed="false">
      <c r="A16" s="92" t="s">
        <v>1637</v>
      </c>
      <c r="B16" s="108" t="str">
        <f aca="false">IF(Documents!$Q$14="","",Documents!$Q$14)</f>
        <v>Not supplied with brief – obtain from caterer / MAGCS.</v>
      </c>
      <c r="C16" s="108"/>
      <c r="D16" s="108"/>
      <c r="E16" s="108"/>
      <c r="F16" s="108"/>
      <c r="G16" s="108"/>
      <c r="H16" s="108"/>
    </row>
    <row r="17" customFormat="false" ht="13.5" hidden="false" customHeight="true" outlineLevel="0" collapsed="false">
      <c r="A17" s="109" t="s">
        <v>1638</v>
      </c>
      <c r="B17" s="109"/>
      <c r="C17" s="109" t="s">
        <v>1639</v>
      </c>
      <c r="D17" s="109"/>
      <c r="E17" s="109"/>
      <c r="F17" s="109" t="s">
        <v>1640</v>
      </c>
      <c r="G17" s="109"/>
      <c r="H17" s="109"/>
    </row>
    <row r="18" customFormat="false" ht="18" hidden="false" customHeight="true" outlineLevel="0" collapsed="false">
      <c r="A18" s="93" t="str">
        <f aca="false">"Name: "&amp;IF(TRIM(Flights!$Y$14)="","__________________",Flights!$Y$14)</f>
        <v>Name: __________________</v>
      </c>
      <c r="B18" s="93"/>
      <c r="C18" s="93" t="str">
        <f aca="false">"Name: __________________"</f>
        <v>Name: __________________</v>
      </c>
      <c r="D18" s="93"/>
      <c r="E18" s="93"/>
      <c r="F18" s="93" t="str">
        <f aca="false">"Name: __________________"&amp;"   Station: "&amp;Flights!$V$14</f>
        <v>Name: __________________   Station: KUL</v>
      </c>
      <c r="G18" s="93"/>
      <c r="H18" s="93"/>
    </row>
    <row r="19" customFormat="false" ht="30" hidden="false" customHeight="true" outlineLevel="0" collapsed="false">
      <c r="A19" s="110" t="s">
        <v>1641</v>
      </c>
      <c r="B19" s="110"/>
      <c r="C19" s="110" t="s">
        <v>1641</v>
      </c>
      <c r="D19" s="110"/>
      <c r="E19" s="110"/>
      <c r="F19" s="110" t="s">
        <v>1641</v>
      </c>
      <c r="G19" s="110"/>
      <c r="H19" s="110"/>
    </row>
    <row r="20" customFormat="false" ht="13.5" hidden="false" customHeight="true" outlineLevel="0" collapsed="false">
      <c r="A20" s="111" t="s">
        <v>1642</v>
      </c>
      <c r="B20" s="111"/>
      <c r="C20" s="111"/>
      <c r="D20" s="111"/>
      <c r="E20" s="111"/>
      <c r="F20" s="111"/>
      <c r="G20" s="111"/>
      <c r="H20" s="111"/>
    </row>
    <row r="21" customFormat="false" ht="24" hidden="false" customHeight="true" outlineLevel="0" collapsed="false">
      <c r="A21" s="94" t="s">
        <v>1643</v>
      </c>
      <c r="B21" s="94" t="s">
        <v>1644</v>
      </c>
      <c r="C21" s="94" t="s">
        <v>1645</v>
      </c>
      <c r="D21" s="94" t="s">
        <v>1646</v>
      </c>
      <c r="E21" s="94" t="s">
        <v>1647</v>
      </c>
      <c r="F21" s="94" t="s">
        <v>1648</v>
      </c>
      <c r="G21" s="94" t="s">
        <v>1649</v>
      </c>
      <c r="H21" s="94" t="s">
        <v>121</v>
      </c>
    </row>
    <row r="22" customFormat="false" ht="25.5" hidden="false" customHeight="true" outlineLevel="0" collapsed="false">
      <c r="A22" s="112"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Checks!$A$322&amp;CHAR(10)&amp;IF(Checks!$I$322="","",Checks!$I$322&amp;": ")&amp;Checks!$J$322</f>
        <v>F10-T7-01
Meal: Meal sensory testing completed for this flight's menu cycle (assessed class)</v>
      </c>
      <c r="B23" s="113" t="str">
        <f aca="false">Checks!$K$322&amp;IF(Checks!$O$322="","",IF(Checks!$K$322="","",CHAR(10))&amp;"Note: "&amp;Checks!$O$322)</f>
        <v>Record panel result / score in Result
Note: Refreshment service: sensory test covers the refreshment items.</v>
      </c>
      <c r="C23" s="113" t="str">
        <f aca="false">Checks!$N$322&amp;CHAR(10)&amp;IF(ISNUMBER(Checks!$R$322),TEXT(Checks!$R$322,"DD-MMM-YY HH:MM"),"")&amp;" "&amp;Checks!$P$322</f>
        <v>Required
05-Oct-26 11:45 KUL</v>
      </c>
      <c r="D23" s="113" t="str">
        <f aca="false">IF(Checks!$U$322="","",Checks!$U$322)&amp;IF(Checks!$AB$322="","",CHAR(10)&amp;"CA: "&amp;Checks!$AB$322)</f>
        <v/>
      </c>
      <c r="E23" s="113" t="str">
        <f aca="false">IF(Checks!$V$322="","",Checks!$V$322)&amp;IF(Checks!$AC$322="","",IF(Checks!$V$322="","",CHAR(10))&amp;"N/A just.: "&amp;Checks!$AC$322)&amp;IF(Checks!$W$322="","",CHAR(10)&amp;"Batch: "&amp;Checks!$W$322)&amp;IF(AND(Checks!$X$322="",Checks!$Y$322=""),"",CHAR(10)&amp;"Exp: "&amp;Checks!$X$322&amp;"  /  Act: "&amp;Checks!$Y$322)</f>
        <v/>
      </c>
      <c r="F23" s="113" t="str">
        <f aca="false">IF(Checks!$Z$322="","","Evidence: "&amp;Checks!$Z$322)&amp;IF(Checks!$AA$322="","",IF(Checks!$Z$322="","",CHAR(10))&amp;"CA: "&amp;Checks!$AA$322)</f>
        <v/>
      </c>
      <c r="G23" s="113" t="str">
        <f aca="false">IF(ISNUMBER(Checks!$AD$322),TEXT(Checks!$AD$322,"DD-MMM-YY HH:MM")&amp;" "&amp;Checks!$P$322,"")&amp;IF(Checks!$AE$322="","",CHAR(10)&amp;"Verifier: "&amp;Checks!$AE$322)&amp;IF(Checks!$T$322="","",CHAR(10)&amp;"PIC: "&amp;Checks!$T$322)</f>
        <v/>
      </c>
      <c r="H23" s="114" t="str">
        <f aca="false">IF(Checks!$AH$322="","",Checks!$AH$322)</f>
        <v>OPEN</v>
      </c>
    </row>
    <row r="24" customFormat="false" ht="114" hidden="false" customHeight="true" outlineLevel="0" collapsed="false">
      <c r="A24" s="113" t="str">
        <f aca="false">Checks!$A$323&amp;CHAR(10)&amp;IF(Checks!$I$323="","",Checks!$I$323&amp;": ")&amp;Checks!$J$323</f>
        <v>F10-T7-02
Menu: Printed menu cards confirmed (content, cycle, language, quantity)</v>
      </c>
      <c r="B24" s="113" t="str">
        <f aca="false">Checks!$K$323&amp;IF(Checks!$O$323="","",IF(Checks!$K$323="","",CHAR(10))&amp;"Note: "&amp;Checks!$O$323)</f>
        <v>Menu card matches approved menu for this flight
Note: Refreshment service (peanut &amp; water). If no printed menu card is used, mark N/A with the confirmation as justification.</v>
      </c>
      <c r="C24" s="113" t="str">
        <f aca="false">Checks!$N$323&amp;CHAR(10)&amp;IF(ISNUMBER(Checks!$R$323),TEXT(Checks!$R$323,"DD-MMM-YY HH:MM"),"")&amp;" "&amp;Checks!$P$323</f>
        <v>Required
05-Oct-26 11:45 KUL</v>
      </c>
      <c r="D24" s="113" t="str">
        <f aca="false">IF(Checks!$U$323="","",Checks!$U$323)&amp;IF(Checks!$AB$323="","",CHAR(10)&amp;"CA: "&amp;Checks!$AB$323)</f>
        <v/>
      </c>
      <c r="E24" s="113" t="str">
        <f aca="false">IF(Checks!$V$323="","",Checks!$V$323)&amp;IF(Checks!$AC$323="","",IF(Checks!$V$323="","",CHAR(10))&amp;"N/A just.: "&amp;Checks!$AC$323)&amp;IF(Checks!$W$323="","",CHAR(10)&amp;"Batch: "&amp;Checks!$W$323)&amp;IF(AND(Checks!$X$323="",Checks!$Y$323=""),"",CHAR(10)&amp;"Exp: "&amp;Checks!$X$323&amp;"  /  Act: "&amp;Checks!$Y$323)</f>
        <v/>
      </c>
      <c r="F24" s="113" t="str">
        <f aca="false">IF(Checks!$Z$323="","","Evidence: "&amp;Checks!$Z$323)&amp;IF(Checks!$AA$323="","",IF(Checks!$Z$323="","",CHAR(10))&amp;"CA: "&amp;Checks!$AA$323)</f>
        <v/>
      </c>
      <c r="G24" s="113" t="str">
        <f aca="false">IF(ISNUMBER(Checks!$AD$323),TEXT(Checks!$AD$323,"DD-MMM-YY HH:MM")&amp;" "&amp;Checks!$P$323,"")&amp;IF(Checks!$AE$323="","",CHAR(10)&amp;"Verifier: "&amp;Checks!$AE$323)&amp;IF(Checks!$T$323="","",CHAR(10)&amp;"PIC: "&amp;Checks!$T$323)</f>
        <v/>
      </c>
      <c r="H24" s="114" t="str">
        <f aca="false">IF(Checks!$AH$323="","",Checks!$AH$323)</f>
        <v>OPEN</v>
      </c>
    </row>
    <row r="25" customFormat="false" ht="114" hidden="false" customHeight="true" outlineLevel="0" collapsed="false">
      <c r="A25" s="113" t="str">
        <f aca="false">Checks!$A$324&amp;CHAR(10)&amp;IF(Checks!$I$324="","",Checks!$I$324&amp;": ")&amp;Checks!$J$324</f>
        <v>F10-T7-03
IFE: Digital menu in IFE confirmed (A339 only)</v>
      </c>
      <c r="B25" s="113" t="str">
        <f aca="false">Checks!$K$324&amp;IF(Checks!$O$324="","",IF(Checks!$K$324="","",CHAR(10))&amp;"Note: "&amp;Checks!$O$324)</f>
        <v>Applies when fleet = A339
Note: Digital IFE menu applies to A339 only (user brief). Applicability follows the Fleet cell on Flights.</v>
      </c>
      <c r="C25" s="113" t="str">
        <f aca="false">Checks!$N$324&amp;CHAR(10)&amp;IF(ISNUMBER(Checks!$R$324),TEXT(Checks!$R$324,"DD-MMM-YY HH:MM"),"")&amp;" "&amp;Checks!$P$324</f>
        <v>N/A – rule
05-Oct-26 11:45 KUL</v>
      </c>
      <c r="D25" s="113" t="str">
        <f aca="false">IF(Checks!$U$324="","",Checks!$U$324)&amp;IF(Checks!$AB$324="","",CHAR(10)&amp;"CA: "&amp;Checks!$AB$324)</f>
        <v/>
      </c>
      <c r="E25" s="113" t="str">
        <f aca="false">IF(Checks!$V$324="","",Checks!$V$324)&amp;IF(Checks!$AC$324="","",IF(Checks!$V$324="","",CHAR(10))&amp;"N/A just.: "&amp;Checks!$AC$324)&amp;IF(Checks!$W$324="","",CHAR(10)&amp;"Batch: "&amp;Checks!$W$324)&amp;IF(AND(Checks!$X$324="",Checks!$Y$324=""),"",CHAR(10)&amp;"Exp: "&amp;Checks!$X$324&amp;"  /  Act: "&amp;Checks!$Y$324)</f>
        <v/>
      </c>
      <c r="F25" s="113" t="str">
        <f aca="false">IF(Checks!$Z$324="","","Evidence: "&amp;Checks!$Z$324)&amp;IF(Checks!$AA$324="","",IF(Checks!$Z$324="","",CHAR(10))&amp;"CA: "&amp;Checks!$AA$324)</f>
        <v/>
      </c>
      <c r="G25" s="113" t="str">
        <f aca="false">IF(ISNUMBER(Checks!$AD$324),TEXT(Checks!$AD$324,"DD-MMM-YY HH:MM")&amp;" "&amp;Checks!$P$324,"")&amp;IF(Checks!$AE$324="","",CHAR(10)&amp;"Verifier: "&amp;Checks!$AE$324)&amp;IF(Checks!$T$324="","",CHAR(10)&amp;"PIC: "&amp;Checks!$T$324)</f>
        <v/>
      </c>
      <c r="H25" s="114" t="str">
        <f aca="false">IF(Checks!$AH$324="","",Checks!$AH$324)</f>
        <v>N/A – RULE</v>
      </c>
    </row>
    <row r="26" customFormat="false" ht="114" hidden="false" customHeight="true" outlineLevel="0" collapsed="false">
      <c r="A26" s="113" t="str">
        <f aca="false">Checks!$A$325&amp;CHAR(10)&amp;IF(Checks!$I$325="","",Checks!$I$325&amp;": ")&amp;Checks!$J$325</f>
        <v>F10-T7-04
Staffing: Experienced catering officer assigned to this flight</v>
      </c>
      <c r="B26" s="113" t="str">
        <f aca="false">Checks!$K$325&amp;IF(Checks!$O$325="","",IF(Checks!$K$325="","",CHAR(10))&amp;"Note: "&amp;Checks!$O$325)</f>
        <v>Record officer name in Result</v>
      </c>
      <c r="C26" s="113" t="str">
        <f aca="false">Checks!$N$325&amp;CHAR(10)&amp;IF(ISNUMBER(Checks!$R$325),TEXT(Checks!$R$325,"DD-MMM-YY HH:MM"),"")&amp;" "&amp;Checks!$P$325</f>
        <v>Required
05-Oct-26 11:45 KUL</v>
      </c>
      <c r="D26" s="113" t="str">
        <f aca="false">IF(Checks!$U$325="","",Checks!$U$325)&amp;IF(Checks!$AB$325="","",CHAR(10)&amp;"CA: "&amp;Checks!$AB$325)</f>
        <v/>
      </c>
      <c r="E26" s="113" t="str">
        <f aca="false">IF(Checks!$V$325="","",Checks!$V$325)&amp;IF(Checks!$AC$325="","",IF(Checks!$V$325="","",CHAR(10))&amp;"N/A just.: "&amp;Checks!$AC$325)&amp;IF(Checks!$W$325="","",CHAR(10)&amp;"Batch: "&amp;Checks!$W$325)&amp;IF(AND(Checks!$X$325="",Checks!$Y$325=""),"",CHAR(10)&amp;"Exp: "&amp;Checks!$X$325&amp;"  /  Act: "&amp;Checks!$Y$325)</f>
        <v/>
      </c>
      <c r="F26" s="113" t="str">
        <f aca="false">IF(Checks!$Z$325="","","Evidence: "&amp;Checks!$Z$325)&amp;IF(Checks!$AA$325="","",IF(Checks!$Z$325="","",CHAR(10))&amp;"CA: "&amp;Checks!$AA$325)</f>
        <v/>
      </c>
      <c r="G26" s="113" t="str">
        <f aca="false">IF(ISNUMBER(Checks!$AD$325),TEXT(Checks!$AD$325,"DD-MMM-YY HH:MM")&amp;" "&amp;Checks!$P$325,"")&amp;IF(Checks!$AE$325="","",CHAR(10)&amp;"Verifier: "&amp;Checks!$AE$325)&amp;IF(Checks!$T$325="","",CHAR(10)&amp;"PIC: "&amp;Checks!$T$325)</f>
        <v/>
      </c>
      <c r="H26" s="114" t="str">
        <f aca="false">IF(Checks!$AH$325="","",Checks!$AH$325)</f>
        <v>OPEN</v>
      </c>
    </row>
    <row r="27" customFormat="false" ht="114" hidden="false" customHeight="true" outlineLevel="0" collapsed="false">
      <c r="A27" s="113" t="str">
        <f aca="false">Checks!$A$326&amp;CHAR(10)&amp;IF(Checks!$I$326="","",Checks!$I$326&amp;": ")&amp;Checks!$J$326</f>
        <v>F10-T7-05
ISOP: All latest applicable ISOP revisions communicated to caterer</v>
      </c>
      <c r="B27" s="113" t="str">
        <f aca="false">Checks!$K$326&amp;IF(Checks!$O$326="","",IF(Checks!$K$326="","",CHAR(10))&amp;"Note: "&amp;Checks!$O$326)</f>
        <v>List revision numbers in Result (see ISOP register)</v>
      </c>
      <c r="C27" s="113" t="str">
        <f aca="false">Checks!$N$326&amp;CHAR(10)&amp;IF(ISNUMBER(Checks!$R$326),TEXT(Checks!$R$326,"DD-MMM-YY HH:MM"),"")&amp;" "&amp;Checks!$P$326</f>
        <v>Required
05-Oct-26 11:45 KUL</v>
      </c>
      <c r="D27" s="113" t="str">
        <f aca="false">IF(Checks!$U$326="","",Checks!$U$326)&amp;IF(Checks!$AB$326="","",CHAR(10)&amp;"CA: "&amp;Checks!$AB$326)</f>
        <v/>
      </c>
      <c r="E27" s="113" t="str">
        <f aca="false">IF(Checks!$V$326="","",Checks!$V$326)&amp;IF(Checks!$AC$326="","",IF(Checks!$V$326="","",CHAR(10))&amp;"N/A just.: "&amp;Checks!$AC$326)&amp;IF(Checks!$W$326="","",CHAR(10)&amp;"Batch: "&amp;Checks!$W$326)&amp;IF(AND(Checks!$X$326="",Checks!$Y$326=""),"",CHAR(10)&amp;"Exp: "&amp;Checks!$X$326&amp;"  /  Act: "&amp;Checks!$Y$326)</f>
        <v/>
      </c>
      <c r="F27" s="113" t="str">
        <f aca="false">IF(Checks!$Z$326="","","Evidence: "&amp;Checks!$Z$326)&amp;IF(Checks!$AA$326="","",IF(Checks!$Z$326="","",CHAR(10))&amp;"CA: "&amp;Checks!$AA$326)</f>
        <v/>
      </c>
      <c r="G27" s="113" t="str">
        <f aca="false">IF(ISNUMBER(Checks!$AD$326),TEXT(Checks!$AD$326,"DD-MMM-YY HH:MM")&amp;" "&amp;Checks!$P$326,"")&amp;IF(Checks!$AE$326="","",CHAR(10)&amp;"Verifier: "&amp;Checks!$AE$326)&amp;IF(Checks!$T$326="","",CHAR(10)&amp;"PIC: "&amp;Checks!$T$326)</f>
        <v/>
      </c>
      <c r="H27" s="114" t="str">
        <f aca="false">IF(Checks!$AH$326="","",Checks!$AH$326)</f>
        <v>OPEN</v>
      </c>
    </row>
    <row r="28" customFormat="false" ht="114" hidden="false" customHeight="true" outlineLevel="0" collapsed="false">
      <c r="A28" s="113" t="str">
        <f aca="false">Checks!$A$327&amp;CHAR(10)&amp;IF(Checks!$I$327="","",Checks!$I$327&amp;": ")&amp;Checks!$J$327</f>
        <v>F10-T7-06
ISOP: Caterer acknowledgement of ISOP revisions recorded</v>
      </c>
      <c r="B28" s="113" t="str">
        <f aca="false">Checks!$K$327&amp;IF(Checks!$O$327="","",IF(Checks!$K$327="","",CHAR(10))&amp;"Note: "&amp;Checks!$O$327)</f>
        <v>Record acknowledgement ref in Evidence</v>
      </c>
      <c r="C28" s="113" t="str">
        <f aca="false">Checks!$N$327&amp;CHAR(10)&amp;IF(ISNUMBER(Checks!$R$327),TEXT(Checks!$R$327,"DD-MMM-YY HH:MM"),"")&amp;" "&amp;Checks!$P$327</f>
        <v>Required
05-Oct-26 11:45 KUL</v>
      </c>
      <c r="D28" s="113" t="str">
        <f aca="false">IF(Checks!$U$327="","",Checks!$U$327)&amp;IF(Checks!$AB$327="","",CHAR(10)&amp;"CA: "&amp;Checks!$AB$327)</f>
        <v/>
      </c>
      <c r="E28" s="113" t="str">
        <f aca="false">IF(Checks!$V$327="","",Checks!$V$327)&amp;IF(Checks!$AC$327="","",IF(Checks!$V$327="","",CHAR(10))&amp;"N/A just.: "&amp;Checks!$AC$327)&amp;IF(Checks!$W$327="","",CHAR(10)&amp;"Batch: "&amp;Checks!$W$327)&amp;IF(AND(Checks!$X$327="",Checks!$Y$327=""),"",CHAR(10)&amp;"Exp: "&amp;Checks!$X$327&amp;"  /  Act: "&amp;Checks!$Y$327)</f>
        <v/>
      </c>
      <c r="F28" s="113" t="str">
        <f aca="false">IF(Checks!$Z$327="","","Evidence: "&amp;Checks!$Z$327)&amp;IF(Checks!$AA$327="","",IF(Checks!$Z$327="","",CHAR(10))&amp;"CA: "&amp;Checks!$AA$327)</f>
        <v/>
      </c>
      <c r="G28" s="113" t="str">
        <f aca="false">IF(ISNUMBER(Checks!$AD$327),TEXT(Checks!$AD$327,"DD-MMM-YY HH:MM")&amp;" "&amp;Checks!$P$327,"")&amp;IF(Checks!$AE$327="","",CHAR(10)&amp;"Verifier: "&amp;Checks!$AE$327)&amp;IF(Checks!$T$327="","",CHAR(10)&amp;"PIC: "&amp;Checks!$T$327)</f>
        <v/>
      </c>
      <c r="H28" s="114" t="str">
        <f aca="false">IF(Checks!$AH$327="","",Checks!$AH$327)</f>
        <v>OPEN</v>
      </c>
    </row>
    <row r="29" customFormat="false" ht="114" hidden="false" customHeight="true" outlineLevel="0" collapsed="false">
      <c r="A29" s="113" t="str">
        <f aca="false">Checks!$A$328&amp;CHAR(10)&amp;IF(Checks!$I$328="","",Checks!$I$328&amp;": ")&amp;Checks!$J$328</f>
        <v>F10-T7-07
Documents: Galley loading diagram (GLD) received, revision recorded &amp; attached</v>
      </c>
      <c r="B29" s="113" t="str">
        <f aca="false">Checks!$K$328&amp;IF(Checks!$O$328="","",IF(Checks!$K$328="","",CHAR(10))&amp;"Note: "&amp;Checks!$O$328)</f>
        <v>Documents sheet row complete</v>
      </c>
      <c r="C29" s="113" t="str">
        <f aca="false">Checks!$N$328&amp;CHAR(10)&amp;IF(ISNUMBER(Checks!$R$328),TEXT(Checks!$R$328,"DD-MMM-YY HH:MM"),"")&amp;" "&amp;Checks!$P$328</f>
        <v>Required
05-Oct-26 11:45 KUL</v>
      </c>
      <c r="D29" s="113" t="str">
        <f aca="false">IF(Checks!$U$328="","",Checks!$U$328)&amp;IF(Checks!$AB$328="","",CHAR(10)&amp;"CA: "&amp;Checks!$AB$328)</f>
        <v/>
      </c>
      <c r="E29" s="113" t="str">
        <f aca="false">IF(Checks!$V$328="","",Checks!$V$328)&amp;IF(Checks!$AC$328="","",IF(Checks!$V$328="","",CHAR(10))&amp;"N/A just.: "&amp;Checks!$AC$328)&amp;IF(Checks!$W$328="","",CHAR(10)&amp;"Batch: "&amp;Checks!$W$328)&amp;IF(AND(Checks!$X$328="",Checks!$Y$328=""),"",CHAR(10)&amp;"Exp: "&amp;Checks!$X$328&amp;"  /  Act: "&amp;Checks!$Y$328)</f>
        <v/>
      </c>
      <c r="F29" s="113" t="str">
        <f aca="false">IF(Checks!$Z$328="","","Evidence: "&amp;Checks!$Z$328)&amp;IF(Checks!$AA$328="","",IF(Checks!$Z$328="","",CHAR(10))&amp;"CA: "&amp;Checks!$AA$328)</f>
        <v/>
      </c>
      <c r="G29" s="113" t="str">
        <f aca="false">IF(ISNUMBER(Checks!$AD$328),TEXT(Checks!$AD$328,"DD-MMM-YY HH:MM")&amp;" "&amp;Checks!$P$328,"")&amp;IF(Checks!$AE$328="","",CHAR(10)&amp;"Verifier: "&amp;Checks!$AE$328)&amp;IF(Checks!$T$328="","",CHAR(10)&amp;"PIC: "&amp;Checks!$T$328)</f>
        <v/>
      </c>
      <c r="H29" s="114" t="str">
        <f aca="false">IF(Checks!$AH$328="","",Checks!$AH$328)</f>
        <v>OPEN</v>
      </c>
    </row>
    <row r="30" customFormat="false" ht="114" hidden="false" customHeight="true" outlineLevel="0" collapsed="false">
      <c r="A30" s="113" t="str">
        <f aca="false">Checks!$A$329&amp;CHAR(10)&amp;IF(Checks!$I$329="","",Checks!$I$329&amp;": ")&amp;Checks!$J$329</f>
        <v>F10-T7-08
Documents: Menu checklist received, revision recorded &amp; attached</v>
      </c>
      <c r="B30" s="113" t="str">
        <f aca="false">Checks!$K$329&amp;IF(Checks!$O$329="","",IF(Checks!$K$329="","",CHAR(10))&amp;"Note: "&amp;Checks!$O$329)</f>
        <v>Documents sheet row complete</v>
      </c>
      <c r="C30" s="113" t="str">
        <f aca="false">Checks!$N$329&amp;CHAR(10)&amp;IF(ISNUMBER(Checks!$R$329),TEXT(Checks!$R$329,"DD-MMM-YY HH:MM"),"")&amp;" "&amp;Checks!$P$329</f>
        <v>Required
05-Oct-26 11:45 KUL</v>
      </c>
      <c r="D30" s="113" t="str">
        <f aca="false">IF(Checks!$U$329="","",Checks!$U$329)&amp;IF(Checks!$AB$329="","",CHAR(10)&amp;"CA: "&amp;Checks!$AB$329)</f>
        <v/>
      </c>
      <c r="E30" s="113" t="str">
        <f aca="false">IF(Checks!$V$329="","",Checks!$V$329)&amp;IF(Checks!$AC$329="","",IF(Checks!$V$329="","",CHAR(10))&amp;"N/A just.: "&amp;Checks!$AC$329)&amp;IF(Checks!$W$329="","",CHAR(10)&amp;"Batch: "&amp;Checks!$W$329)&amp;IF(AND(Checks!$X$329="",Checks!$Y$329=""),"",CHAR(10)&amp;"Exp: "&amp;Checks!$X$329&amp;"  /  Act: "&amp;Checks!$Y$329)</f>
        <v/>
      </c>
      <c r="F30" s="113" t="str">
        <f aca="false">IF(Checks!$Z$329="","","Evidence: "&amp;Checks!$Z$329)&amp;IF(Checks!$AA$329="","",IF(Checks!$Z$329="","",CHAR(10))&amp;"CA: "&amp;Checks!$AA$329)</f>
        <v/>
      </c>
      <c r="G30" s="113" t="str">
        <f aca="false">IF(ISNUMBER(Checks!$AD$329),TEXT(Checks!$AD$329,"DD-MMM-YY HH:MM")&amp;" "&amp;Checks!$P$329,"")&amp;IF(Checks!$AE$329="","",CHAR(10)&amp;"Verifier: "&amp;Checks!$AE$329)&amp;IF(Checks!$T$329="","",CHAR(10)&amp;"PIC: "&amp;Checks!$T$329)</f>
        <v/>
      </c>
      <c r="H30" s="114" t="str">
        <f aca="false">IF(Checks!$AH$329="","",Checks!$AH$329)</f>
        <v>OPEN</v>
      </c>
    </row>
    <row r="31" customFormat="false" ht="114" hidden="false" customHeight="true" outlineLevel="0" collapsed="false">
      <c r="A31" s="113" t="str">
        <f aca="false">Checks!$A$330&amp;CHAR(10)&amp;IF(Checks!$I$330="","",Checks!$I$330&amp;": ")&amp;Checks!$J$330</f>
        <v>F10-T7-09
Uplift plan: Uplift plan confirmed with caterer vs STD Uplift Information</v>
      </c>
      <c r="B31" s="113" t="str">
        <f aca="false">Checks!$K$330&amp;IF(Checks!$O$330="","",IF(Checks!$K$330="","",CHAR(10))&amp;"Note: "&amp;Checks!$O$330)</f>
        <v>Service: Refreshment (Peanut &amp; Water); meal uplift stn KUL (ref lists KUL)</v>
      </c>
      <c r="C31" s="113" t="str">
        <f aca="false">Checks!$N$330&amp;CHAR(10)&amp;IF(ISNUMBER(Checks!$R$330),TEXT(Checks!$R$330,"DD-MMM-YY HH:MM"),"")&amp;" "&amp;Checks!$P$330</f>
        <v>Required
05-Oct-26 11:45 KUL</v>
      </c>
      <c r="D31" s="113" t="str">
        <f aca="false">IF(Checks!$U$330="","",Checks!$U$330)&amp;IF(Checks!$AB$330="","",CHAR(10)&amp;"CA: "&amp;Checks!$AB$330)</f>
        <v/>
      </c>
      <c r="E31" s="113" t="str">
        <f aca="false">IF(Checks!$V$330="","",Checks!$V$330)&amp;IF(Checks!$AC$330="","",IF(Checks!$V$330="","",CHAR(10))&amp;"N/A just.: "&amp;Checks!$AC$330)&amp;IF(Checks!$W$330="","",CHAR(10)&amp;"Batch: "&amp;Checks!$W$330)&amp;IF(AND(Checks!$X$330="",Checks!$Y$330=""),"",CHAR(10)&amp;"Exp: "&amp;Checks!$X$330&amp;"  /  Act: "&amp;Checks!$Y$330)</f>
        <v/>
      </c>
      <c r="F31" s="113" t="str">
        <f aca="false">IF(Checks!$Z$330="","","Evidence: "&amp;Checks!$Z$330)&amp;IF(Checks!$AA$330="","",IF(Checks!$Z$330="","",CHAR(10))&amp;"CA: "&amp;Checks!$AA$330)</f>
        <v/>
      </c>
      <c r="G31" s="113" t="str">
        <f aca="false">IF(ISNUMBER(Checks!$AD$330),TEXT(Checks!$AD$330,"DD-MMM-YY HH:MM")&amp;" "&amp;Checks!$P$330,"")&amp;IF(Checks!$AE$330="","",CHAR(10)&amp;"Verifier: "&amp;Checks!$AE$330)&amp;IF(Checks!$T$330="","",CHAR(10)&amp;"PIC: "&amp;Checks!$T$330)</f>
        <v/>
      </c>
      <c r="H31" s="114" t="str">
        <f aca="false">IF(Checks!$AH$330="","",Checks!$AH$330)</f>
        <v>OPEN</v>
      </c>
    </row>
    <row r="32" customFormat="false" ht="25.5" hidden="false" customHeight="true" outlineLevel="0" collapsed="false">
      <c r="A32" s="112"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Checks!$A$331&amp;CHAR(10)&amp;IF(Checks!$I$331="","",Checks!$I$331&amp;": ")&amp;Checks!$J$331</f>
        <v>F10-T24-01
Meal: Sensory test repeated on ACTUAL production batch for this flight</v>
      </c>
      <c r="B33" s="113" t="str">
        <f aca="false">Checks!$K$331&amp;IF(Checks!$O$331="","",IF(Checks!$K$331="","",CHAR(10))&amp;"Note: "&amp;Checks!$O$331)</f>
        <v>Batch ID, result, CA and acceptance mandatory</v>
      </c>
      <c r="C33" s="113" t="str">
        <f aca="false">Checks!$N$331&amp;CHAR(10)&amp;IF(ISNUMBER(Checks!$R$331),TEXT(Checks!$R$331,"DD-MMM-YY HH:MM"),"")&amp;" "&amp;Checks!$P$331</f>
        <v>Required
11-Oct-26 11:45 KUL</v>
      </c>
      <c r="D33" s="113" t="str">
        <f aca="false">IF(Checks!$U$331="","",Checks!$U$331)&amp;IF(Checks!$AB$331="","",CHAR(10)&amp;"CA: "&amp;Checks!$AB$331)</f>
        <v/>
      </c>
      <c r="E33" s="113" t="str">
        <f aca="false">IF(Checks!$V$331="","",Checks!$V$331)&amp;IF(Checks!$AC$331="","",IF(Checks!$V$331="","",CHAR(10))&amp;"N/A just.: "&amp;Checks!$AC$331)&amp;IF(Checks!$W$331="","",CHAR(10)&amp;"Batch: "&amp;Checks!$W$331)&amp;IF(AND(Checks!$X$331="",Checks!$Y$331=""),"",CHAR(10)&amp;"Exp: "&amp;Checks!$X$331&amp;"  /  Act: "&amp;Checks!$Y$331)</f>
        <v/>
      </c>
      <c r="F33" s="113" t="str">
        <f aca="false">IF(Checks!$Z$331="","","Evidence: "&amp;Checks!$Z$331)&amp;IF(Checks!$AA$331="","",IF(Checks!$Z$331="","",CHAR(10))&amp;"CA: "&amp;Checks!$AA$331)</f>
        <v/>
      </c>
      <c r="G33" s="113" t="str">
        <f aca="false">IF(ISNUMBER(Checks!$AD$331),TEXT(Checks!$AD$331,"DD-MMM-YY HH:MM")&amp;" "&amp;Checks!$P$331,"")&amp;IF(Checks!$AE$331="","",CHAR(10)&amp;"Verifier: "&amp;Checks!$AE$331)&amp;IF(Checks!$T$331="","",CHAR(10)&amp;"PIC: "&amp;Checks!$T$331)</f>
        <v/>
      </c>
      <c r="H33" s="114" t="str">
        <f aca="false">IF(Checks!$AH$331="","",Checks!$AH$331)</f>
        <v>OPEN</v>
      </c>
    </row>
    <row r="34" customFormat="false" ht="25.5" hidden="false" customHeight="true" outlineLevel="0" collapsed="false">
      <c r="A34" s="112"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2"/>
      <c r="C34" s="112"/>
      <c r="D34" s="112"/>
      <c r="E34" s="112"/>
      <c r="F34" s="112"/>
      <c r="G34" s="112"/>
      <c r="H34" s="112"/>
    </row>
    <row r="35" customFormat="false" ht="114" hidden="false" customHeight="true" outlineLevel="0" collapsed="false">
      <c r="A35" s="113" t="str">
        <f aca="false">Checks!$A$332&amp;CHAR(10)&amp;IF(Checks!$I$332="","",Checks!$I$332&amp;": ")&amp;Checks!$J$332</f>
        <v>F10-T12-01
Meal: Meal quality vs menu checklist</v>
      </c>
      <c r="B35" s="113" t="str">
        <f aca="false">Checks!$K$332&amp;IF(Checks!$O$332="","",IF(Checks!$K$332="","",CHAR(10))&amp;"Note: "&amp;Checks!$O$332)</f>
        <v>Note: Preparation check at caterer - does NOT confirm loading.</v>
      </c>
      <c r="C35" s="113" t="str">
        <f aca="false">Checks!$N$332&amp;CHAR(10)&amp;IF(ISNUMBER(Checks!$R$332),TEXT(Checks!$R$332,"DD-MMM-YY HH:MM"),"")&amp;" "&amp;Checks!$P$332</f>
        <v>Required
11-Oct-26 23:45 KUL</v>
      </c>
      <c r="D35" s="113" t="str">
        <f aca="false">IF(Checks!$U$332="","",Checks!$U$332)&amp;IF(Checks!$AB$332="","",CHAR(10)&amp;"CA: "&amp;Checks!$AB$332)</f>
        <v/>
      </c>
      <c r="E35" s="113" t="str">
        <f aca="false">IF(Checks!$V$332="","",Checks!$V$332)&amp;IF(Checks!$AC$332="","",IF(Checks!$V$332="","",CHAR(10))&amp;"N/A just.: "&amp;Checks!$AC$332)&amp;IF(Checks!$W$332="","",CHAR(10)&amp;"Batch: "&amp;Checks!$W$332)&amp;IF(AND(Checks!$X$332="",Checks!$Y$332=""),"",CHAR(10)&amp;"Exp: "&amp;Checks!$X$332&amp;"  /  Act: "&amp;Checks!$Y$332)</f>
        <v/>
      </c>
      <c r="F35" s="113" t="str">
        <f aca="false">IF(Checks!$Z$332="","","Evidence: "&amp;Checks!$Z$332)&amp;IF(Checks!$AA$332="","",IF(Checks!$Z$332="","",CHAR(10))&amp;"CA: "&amp;Checks!$AA$332)</f>
        <v/>
      </c>
      <c r="G35" s="113" t="str">
        <f aca="false">IF(ISNUMBER(Checks!$AD$332),TEXT(Checks!$AD$332,"DD-MMM-YY HH:MM")&amp;" "&amp;Checks!$P$332,"")&amp;IF(Checks!$AE$332="","",CHAR(10)&amp;"Verifier: "&amp;Checks!$AE$332)&amp;IF(Checks!$T$332="","",CHAR(10)&amp;"PIC: "&amp;Checks!$T$332)</f>
        <v/>
      </c>
      <c r="H35" s="114" t="str">
        <f aca="false">IF(Checks!$AH$332="","",Checks!$AH$332)</f>
        <v>OPEN</v>
      </c>
    </row>
    <row r="36" customFormat="false" ht="114" hidden="false" customHeight="true" outlineLevel="0" collapsed="false">
      <c r="A36" s="113" t="str">
        <f aca="false">Checks!$A$333&amp;CHAR(10)&amp;IF(Checks!$I$333="","",Checks!$I$333&amp;": ")&amp;Checks!$J$333</f>
        <v>F10-T12-02
Meal: Meal quantities vs menu checklist</v>
      </c>
      <c r="B36" s="113" t="str">
        <f aca="false">Checks!$K$333&amp;IF(Checks!$O$333="","",IF(Checks!$K$333="","",CHAR(10))&amp;"Note: "&amp;Checks!$O$333)</f>
        <v>Enter expected &amp; actual
Note: Preparation check at caterer - does NOT confirm loading.</v>
      </c>
      <c r="C36" s="113" t="str">
        <f aca="false">Checks!$N$333&amp;CHAR(10)&amp;IF(ISNUMBER(Checks!$R$333),TEXT(Checks!$R$333,"DD-MMM-YY HH:MM"),"")&amp;" "&amp;Checks!$P$333</f>
        <v>Required
11-Oct-26 23:45 KUL</v>
      </c>
      <c r="D36" s="113" t="str">
        <f aca="false">IF(Checks!$U$333="","",Checks!$U$333)&amp;IF(Checks!$AB$333="","",CHAR(10)&amp;"CA: "&amp;Checks!$AB$333)</f>
        <v/>
      </c>
      <c r="E36" s="113" t="str">
        <f aca="false">IF(Checks!$V$333="","",Checks!$V$333)&amp;IF(Checks!$AC$333="","",IF(Checks!$V$333="","",CHAR(10))&amp;"N/A just.: "&amp;Checks!$AC$333)&amp;IF(Checks!$W$333="","",CHAR(10)&amp;"Batch: "&amp;Checks!$W$333)&amp;IF(AND(Checks!$X$333="",Checks!$Y$333=""),"",CHAR(10)&amp;"Exp: "&amp;Checks!$X$333&amp;"  /  Act: "&amp;Checks!$Y$333)</f>
        <v/>
      </c>
      <c r="F36" s="113" t="str">
        <f aca="false">IF(Checks!$Z$333="","","Evidence: "&amp;Checks!$Z$333)&amp;IF(Checks!$AA$333="","",IF(Checks!$Z$333="","",CHAR(10))&amp;"CA: "&amp;Checks!$AA$333)</f>
        <v/>
      </c>
      <c r="G36" s="113" t="str">
        <f aca="false">IF(ISNUMBER(Checks!$AD$333),TEXT(Checks!$AD$333,"DD-MMM-YY HH:MM")&amp;" "&amp;Checks!$P$333,"")&amp;IF(Checks!$AE$333="","",CHAR(10)&amp;"Verifier: "&amp;Checks!$AE$333)&amp;IF(Checks!$T$333="","",CHAR(10)&amp;"PIC: "&amp;Checks!$T$333)</f>
        <v/>
      </c>
      <c r="H36" s="114" t="str">
        <f aca="false">IF(Checks!$AH$333="","",Checks!$AH$333)</f>
        <v>OPEN</v>
      </c>
    </row>
    <row r="37" customFormat="false" ht="114" hidden="false" customHeight="true" outlineLevel="0" collapsed="false">
      <c r="A37" s="113" t="str">
        <f aca="false">Checks!$A$334&amp;CHAR(10)&amp;IF(Checks!$I$334="","",Checks!$I$334&amp;": ")&amp;Checks!$J$334</f>
        <v>F10-T12-03
Equipment: Equipment cleanliness vs GLD</v>
      </c>
      <c r="B37" s="113" t="str">
        <f aca="false">Checks!$K$334&amp;IF(Checks!$O$334="","",IF(Checks!$K$334="","",CHAR(10))&amp;"Note: "&amp;Checks!$O$334)</f>
        <v>Note: Preparation check at caterer - does NOT confirm loading.</v>
      </c>
      <c r="C37" s="113" t="str">
        <f aca="false">Checks!$N$334&amp;CHAR(10)&amp;IF(ISNUMBER(Checks!$R$334),TEXT(Checks!$R$334,"DD-MMM-YY HH:MM"),"")&amp;" "&amp;Checks!$P$334</f>
        <v>Required
11-Oct-26 23:45 KUL</v>
      </c>
      <c r="D37" s="113" t="str">
        <f aca="false">IF(Checks!$U$334="","",Checks!$U$334)&amp;IF(Checks!$AB$334="","",CHAR(10)&amp;"CA: "&amp;Checks!$AB$334)</f>
        <v/>
      </c>
      <c r="E37" s="113" t="str">
        <f aca="false">IF(Checks!$V$334="","",Checks!$V$334)&amp;IF(Checks!$AC$334="","",IF(Checks!$V$334="","",CHAR(10))&amp;"N/A just.: "&amp;Checks!$AC$334)&amp;IF(Checks!$W$334="","",CHAR(10)&amp;"Batch: "&amp;Checks!$W$334)&amp;IF(AND(Checks!$X$334="",Checks!$Y$334=""),"",CHAR(10)&amp;"Exp: "&amp;Checks!$X$334&amp;"  /  Act: "&amp;Checks!$Y$334)</f>
        <v/>
      </c>
      <c r="F37" s="113" t="str">
        <f aca="false">IF(Checks!$Z$334="","","Evidence: "&amp;Checks!$Z$334)&amp;IF(Checks!$AA$334="","",IF(Checks!$Z$334="","",CHAR(10))&amp;"CA: "&amp;Checks!$AA$334)</f>
        <v/>
      </c>
      <c r="G37" s="113" t="str">
        <f aca="false">IF(ISNUMBER(Checks!$AD$334),TEXT(Checks!$AD$334,"DD-MMM-YY HH:MM")&amp;" "&amp;Checks!$P$334,"")&amp;IF(Checks!$AE$334="","",CHAR(10)&amp;"Verifier: "&amp;Checks!$AE$334)&amp;IF(Checks!$T$334="","",CHAR(10)&amp;"PIC: "&amp;Checks!$T$334)</f>
        <v/>
      </c>
      <c r="H37" s="114" t="str">
        <f aca="false">IF(Checks!$AH$334="","",Checks!$AH$334)</f>
        <v>OPEN</v>
      </c>
    </row>
    <row r="38" customFormat="false" ht="114" hidden="false" customHeight="true" outlineLevel="0" collapsed="false">
      <c r="A38" s="113" t="str">
        <f aca="false">Checks!$A$335&amp;CHAR(10)&amp;IF(Checks!$I$335="","",Checks!$I$335&amp;": ")&amp;Checks!$J$335</f>
        <v>F10-T12-04
Equipment: Equipment presentation vs GLD</v>
      </c>
      <c r="B38" s="113" t="str">
        <f aca="false">Checks!$K$335&amp;IF(Checks!$O$335="","",IF(Checks!$K$335="","",CHAR(10))&amp;"Note: "&amp;Checks!$O$335)</f>
        <v>Note: Preparation check at caterer - does NOT confirm loading.</v>
      </c>
      <c r="C38" s="113" t="str">
        <f aca="false">Checks!$N$335&amp;CHAR(10)&amp;IF(ISNUMBER(Checks!$R$335),TEXT(Checks!$R$335,"DD-MMM-YY HH:MM"),"")&amp;" "&amp;Checks!$P$335</f>
        <v>Required
11-Oct-26 23:45 KUL</v>
      </c>
      <c r="D38" s="113" t="str">
        <f aca="false">IF(Checks!$U$335="","",Checks!$U$335)&amp;IF(Checks!$AB$335="","",CHAR(10)&amp;"CA: "&amp;Checks!$AB$335)</f>
        <v/>
      </c>
      <c r="E38" s="113" t="str">
        <f aca="false">IF(Checks!$V$335="","",Checks!$V$335)&amp;IF(Checks!$AC$335="","",IF(Checks!$V$335="","",CHAR(10))&amp;"N/A just.: "&amp;Checks!$AC$335)&amp;IF(Checks!$W$335="","",CHAR(10)&amp;"Batch: "&amp;Checks!$W$335)&amp;IF(AND(Checks!$X$335="",Checks!$Y$335=""),"",CHAR(10)&amp;"Exp: "&amp;Checks!$X$335&amp;"  /  Act: "&amp;Checks!$Y$335)</f>
        <v/>
      </c>
      <c r="F38" s="113" t="str">
        <f aca="false">IF(Checks!$Z$335="","","Evidence: "&amp;Checks!$Z$335)&amp;IF(Checks!$AA$335="","",IF(Checks!$Z$335="","",CHAR(10))&amp;"CA: "&amp;Checks!$AA$335)</f>
        <v/>
      </c>
      <c r="G38" s="113" t="str">
        <f aca="false">IF(ISNUMBER(Checks!$AD$335),TEXT(Checks!$AD$335,"DD-MMM-YY HH:MM")&amp;" "&amp;Checks!$P$335,"")&amp;IF(Checks!$AE$335="","",CHAR(10)&amp;"Verifier: "&amp;Checks!$AE$335)&amp;IF(Checks!$T$335="","",CHAR(10)&amp;"PIC: "&amp;Checks!$T$335)</f>
        <v/>
      </c>
      <c r="H38" s="114" t="str">
        <f aca="false">IF(Checks!$AH$335="","",Checks!$AH$335)</f>
        <v>OPEN</v>
      </c>
    </row>
    <row r="39" customFormat="false" ht="114" hidden="false" customHeight="true" outlineLevel="0" collapsed="false">
      <c r="A39" s="113" t="str">
        <f aca="false">Checks!$A$336&amp;CHAR(10)&amp;IF(Checks!$I$336="","",Checks!$I$336&amp;": ")&amp;Checks!$J$336</f>
        <v>F10-T12-05
Equipment: Equipment serviceability vs GLD</v>
      </c>
      <c r="B39" s="113" t="str">
        <f aca="false">Checks!$K$336&amp;IF(Checks!$O$336="","",IF(Checks!$K$336="","",CHAR(10))&amp;"Note: "&amp;Checks!$O$336)</f>
        <v>Note: Preparation check at caterer - does NOT confirm loading.</v>
      </c>
      <c r="C39" s="113" t="str">
        <f aca="false">Checks!$N$336&amp;CHAR(10)&amp;IF(ISNUMBER(Checks!$R$336),TEXT(Checks!$R$336,"DD-MMM-YY HH:MM"),"")&amp;" "&amp;Checks!$P$336</f>
        <v>Required
11-Oct-26 23:45 KUL</v>
      </c>
      <c r="D39" s="113" t="str">
        <f aca="false">IF(Checks!$U$336="","",Checks!$U$336)&amp;IF(Checks!$AB$336="","",CHAR(10)&amp;"CA: "&amp;Checks!$AB$336)</f>
        <v/>
      </c>
      <c r="E39" s="113" t="str">
        <f aca="false">IF(Checks!$V$336="","",Checks!$V$336)&amp;IF(Checks!$AC$336="","",IF(Checks!$V$336="","",CHAR(10))&amp;"N/A just.: "&amp;Checks!$AC$336)&amp;IF(Checks!$W$336="","",CHAR(10)&amp;"Batch: "&amp;Checks!$W$336)&amp;IF(AND(Checks!$X$336="",Checks!$Y$336=""),"",CHAR(10)&amp;"Exp: "&amp;Checks!$X$336&amp;"  /  Act: "&amp;Checks!$Y$336)</f>
        <v/>
      </c>
      <c r="F39" s="113" t="str">
        <f aca="false">IF(Checks!$Z$336="","","Evidence: "&amp;Checks!$Z$336)&amp;IF(Checks!$AA$336="","",IF(Checks!$Z$336="","",CHAR(10))&amp;"CA: "&amp;Checks!$AA$336)</f>
        <v/>
      </c>
      <c r="G39" s="113" t="str">
        <f aca="false">IF(ISNUMBER(Checks!$AD$336),TEXT(Checks!$AD$336,"DD-MMM-YY HH:MM")&amp;" "&amp;Checks!$P$336,"")&amp;IF(Checks!$AE$336="","",CHAR(10)&amp;"Verifier: "&amp;Checks!$AE$336)&amp;IF(Checks!$T$336="","",CHAR(10)&amp;"PIC: "&amp;Checks!$T$336)</f>
        <v/>
      </c>
      <c r="H39" s="114" t="str">
        <f aca="false">IF(Checks!$AH$336="","",Checks!$AH$336)</f>
        <v>OPEN</v>
      </c>
    </row>
    <row r="40" customFormat="false" ht="190.5" hidden="false" customHeight="true" outlineLevel="0" collapsed="false">
      <c r="A40" s="113" t="str">
        <f aca="false">Checks!$A$337&amp;CHAR(10)&amp;IF(Checks!$I$337="","",Checks!$I$337&amp;": ")&amp;Checks!$J$337</f>
        <v>F10-T12-06
Equipment: Equipment quantities vs GLD</v>
      </c>
      <c r="B40" s="113" t="str">
        <f aca="false">SUBSTITUTE(Checks!$K$337&amp;IF(Checks!$O$337="","",IF(Checks!$K$337="","",CHAR(10))&amp;"Note: "&amp;Checks!$O$337),"AIRCRAFT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Checks!$N$337&amp;CHAR(10)&amp;IF(ISNUMBER(Checks!$R$337),TEXT(Checks!$R$337,"DD-MMM-YY HH:MM"),"")&amp;" "&amp;Checks!$P$337</f>
        <v>Required
11-Oct-26 23:45 KUL</v>
      </c>
      <c r="D40" s="113" t="str">
        <f aca="false">IF(Checks!$U$337="","",Checks!$U$337)&amp;IF(Checks!$AB$337="","",CHAR(10)&amp;"CA: "&amp;Checks!$AB$337)</f>
        <v/>
      </c>
      <c r="E40" s="113" t="str">
        <f aca="false">IF(Checks!$V$337="","",Checks!$V$337)&amp;IF(Checks!$AC$337="","",IF(Checks!$V$337="","",CHAR(10))&amp;"N/A just.: "&amp;Checks!$AC$337)&amp;IF(Checks!$W$337="","",CHAR(10)&amp;"Batch: "&amp;Checks!$W$337)&amp;IF(AND(Checks!$X$337="",Checks!$Y$337=""),"",CHAR(10)&amp;"Exp: "&amp;Checks!$X$337&amp;"  /  Act: "&amp;Checks!$Y$337)</f>
        <v/>
      </c>
      <c r="F40" s="113" t="str">
        <f aca="false">IF(Checks!$Z$337="","","Evidence: "&amp;Checks!$Z$337)&amp;IF(Checks!$AA$337="","",IF(Checks!$Z$337="","",CHAR(10))&amp;"CA: "&amp;Checks!$AA$337)</f>
        <v/>
      </c>
      <c r="G40" s="113" t="str">
        <f aca="false">IF(ISNUMBER(Checks!$AD$337),TEXT(Checks!$AD$337,"DD-MMM-YY HH:MM")&amp;" "&amp;Checks!$P$337,"")&amp;IF(Checks!$AE$337="","",CHAR(10)&amp;"Verifier: "&amp;Checks!$AE$337)&amp;IF(Checks!$T$337="","",CHAR(10)&amp;"PIC: "&amp;Checks!$T$337)</f>
        <v/>
      </c>
      <c r="H40" s="114" t="str">
        <f aca="false">IF(Checks!$AH$337="","",Checks!$AH$337)</f>
        <v>OPEN</v>
      </c>
    </row>
    <row r="41" customFormat="false" ht="114" hidden="false" customHeight="true" outlineLevel="0" collapsed="false">
      <c r="A41" s="113" t="str">
        <f aca="false">Checks!$A$338&amp;CHAR(10)&amp;IF(Checks!$I$338="","",Checks!$I$338&amp;": ")&amp;Checks!$J$338</f>
        <v>F10-T12-07
Equipment: Loading positions planned vs GLD</v>
      </c>
      <c r="B41" s="113" t="str">
        <f aca="false">Checks!$K$338&amp;IF(Checks!$O$338="","",IF(Checks!$K$338="","",CHAR(10))&amp;"Note: "&amp;Checks!$O$338)</f>
        <v>Note: Preparation check at caterer - does NOT confirm loading.</v>
      </c>
      <c r="C41" s="113" t="str">
        <f aca="false">Checks!$N$338&amp;CHAR(10)&amp;IF(ISNUMBER(Checks!$R$338),TEXT(Checks!$R$338,"DD-MMM-YY HH:MM"),"")&amp;" "&amp;Checks!$P$338</f>
        <v>Required
11-Oct-26 23:45 KUL</v>
      </c>
      <c r="D41" s="113" t="str">
        <f aca="false">IF(Checks!$U$338="","",Checks!$U$338)&amp;IF(Checks!$AB$338="","",CHAR(10)&amp;"CA: "&amp;Checks!$AB$338)</f>
        <v/>
      </c>
      <c r="E41" s="113" t="str">
        <f aca="false">IF(Checks!$V$338="","",Checks!$V$338)&amp;IF(Checks!$AC$338="","",IF(Checks!$V$338="","",CHAR(10))&amp;"N/A just.: "&amp;Checks!$AC$338)&amp;IF(Checks!$W$338="","",CHAR(10)&amp;"Batch: "&amp;Checks!$W$338)&amp;IF(AND(Checks!$X$338="",Checks!$Y$338=""),"",CHAR(10)&amp;"Exp: "&amp;Checks!$X$338&amp;"  /  Act: "&amp;Checks!$Y$338)</f>
        <v/>
      </c>
      <c r="F41" s="113" t="str">
        <f aca="false">IF(Checks!$Z$338="","","Evidence: "&amp;Checks!$Z$338)&amp;IF(Checks!$AA$338="","",IF(Checks!$Z$338="","",CHAR(10))&amp;"CA: "&amp;Checks!$AA$338)</f>
        <v/>
      </c>
      <c r="G41" s="113" t="str">
        <f aca="false">IF(ISNUMBER(Checks!$AD$338),TEXT(Checks!$AD$338,"DD-MMM-YY HH:MM")&amp;" "&amp;Checks!$P$338,"")&amp;IF(Checks!$AE$338="","",CHAR(10)&amp;"Verifier: "&amp;Checks!$AE$338)&amp;IF(Checks!$T$338="","",CHAR(10)&amp;"PIC: "&amp;Checks!$T$338)</f>
        <v/>
      </c>
      <c r="H41" s="114" t="str">
        <f aca="false">IF(Checks!$AH$338="","",Checks!$AH$338)</f>
        <v>OPEN</v>
      </c>
    </row>
    <row r="42" customFormat="false" ht="168.75" hidden="false" customHeight="true" outlineLevel="0" collapsed="false">
      <c r="A42" s="113" t="str">
        <f aca="false">Checks!$A$339&amp;CHAR(10)&amp;IF(Checks!$I$339="","",Checks!$I$339&amp;": ")&amp;Checks!$J$339</f>
        <v>F10-T12-08
Amenities: Disposable slippers in DAM cart (BC, on request) - prepared</v>
      </c>
      <c r="B42" s="113"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2" s="113" t="str">
        <f aca="false">Checks!$N$339&amp;CHAR(10)&amp;IF(ISNUMBER(Checks!$R$339),TEXT(Checks!$R$339,"DD-MMM-YY HH:MM"),"")&amp;" "&amp;Checks!$P$339</f>
        <v>Required
11-Oct-26 23:45 KUL</v>
      </c>
      <c r="D42" s="113" t="str">
        <f aca="false">IF(Checks!$U$339="","",Checks!$U$339)&amp;IF(Checks!$AB$339="","",CHAR(10)&amp;"CA: "&amp;Checks!$AB$339)</f>
        <v/>
      </c>
      <c r="E42" s="113" t="str">
        <f aca="false">IF(Checks!$V$339="","",Checks!$V$339)&amp;IF(Checks!$AC$339="","",IF(Checks!$V$339="","",CHAR(10))&amp;"N/A just.: "&amp;Checks!$AC$339)&amp;IF(Checks!$W$339="","",CHAR(10)&amp;"Batch: "&amp;Checks!$W$339)&amp;IF(AND(Checks!$X$339="",Checks!$Y$339=""),"",CHAR(10)&amp;"Exp: "&amp;Checks!$X$339&amp;"  /  Act: "&amp;Checks!$Y$339)</f>
        <v/>
      </c>
      <c r="F42" s="113" t="str">
        <f aca="false">IF(Checks!$Z$339="","","Evidence: "&amp;Checks!$Z$339)&amp;IF(Checks!$AA$339="","",IF(Checks!$Z$339="","",CHAR(10))&amp;"CA: "&amp;Checks!$AA$339)</f>
        <v/>
      </c>
      <c r="G42" s="113" t="str">
        <f aca="false">IF(ISNUMBER(Checks!$AD$339),TEXT(Checks!$AD$339,"DD-MMM-YY HH:MM")&amp;" "&amp;Checks!$P$339,"")&amp;IF(Checks!$AE$339="","",CHAR(10)&amp;"Verifier: "&amp;Checks!$AE$339)&amp;IF(Checks!$T$339="","",CHAR(10)&amp;"PIC: "&amp;Checks!$T$339)</f>
        <v/>
      </c>
      <c r="H42" s="114" t="str">
        <f aca="false">IF(Checks!$AH$339="","",Checks!$AH$339)</f>
        <v>OPEN</v>
      </c>
    </row>
    <row r="43" customFormat="false" ht="114" hidden="false" customHeight="true" outlineLevel="0" collapsed="false">
      <c r="A43" s="113" t="str">
        <f aca="false">Checks!$A$340&amp;CHAR(10)&amp;IF(Checks!$I$340="","",Checks!$I$340&amp;": ")&amp;Checks!$J$340</f>
        <v>F10-T12-09
F&amp;B Linen: Towel - prepared</v>
      </c>
      <c r="B43" s="113" t="str">
        <f aca="false">Checks!$K$340&amp;IF(Checks!$O$340="","",IF(Checks!$K$340="","",CHAR(10))&amp;"Note: "&amp;Checks!$O$340)</f>
        <v>Available (ticked in reference)
Note: Reference gives no uplift stn for this item: preparation checked at the meal uplift stn (KUL) - confirm with caterer.</v>
      </c>
      <c r="C43" s="113" t="str">
        <f aca="false">Checks!$N$340&amp;CHAR(10)&amp;IF(ISNUMBER(Checks!$R$340),TEXT(Checks!$R$340,"DD-MMM-YY HH:MM"),"")&amp;" "&amp;Checks!$P$340</f>
        <v>Required
11-Oct-26 23:45 KUL</v>
      </c>
      <c r="D43" s="113" t="str">
        <f aca="false">IF(Checks!$U$340="","",Checks!$U$340)&amp;IF(Checks!$AB$340="","",CHAR(10)&amp;"CA: "&amp;Checks!$AB$340)</f>
        <v/>
      </c>
      <c r="E43" s="113" t="str">
        <f aca="false">IF(Checks!$V$340="","",Checks!$V$340)&amp;IF(Checks!$AC$340="","",IF(Checks!$V$340="","",CHAR(10))&amp;"N/A just.: "&amp;Checks!$AC$340)&amp;IF(Checks!$W$340="","",CHAR(10)&amp;"Batch: "&amp;Checks!$W$340)&amp;IF(AND(Checks!$X$340="",Checks!$Y$340=""),"",CHAR(10)&amp;"Exp: "&amp;Checks!$X$340&amp;"  /  Act: "&amp;Checks!$Y$340)</f>
        <v/>
      </c>
      <c r="F43" s="113" t="str">
        <f aca="false">IF(Checks!$Z$340="","","Evidence: "&amp;Checks!$Z$340)&amp;IF(Checks!$AA$340="","",IF(Checks!$Z$340="","",CHAR(10))&amp;"CA: "&amp;Checks!$AA$340)</f>
        <v/>
      </c>
      <c r="G43" s="113" t="str">
        <f aca="false">IF(ISNUMBER(Checks!$AD$340),TEXT(Checks!$AD$340,"DD-MMM-YY HH:MM")&amp;" "&amp;Checks!$P$340,"")&amp;IF(Checks!$AE$340="","",CHAR(10)&amp;"Verifier: "&amp;Checks!$AE$340)&amp;IF(Checks!$T$340="","",CHAR(10)&amp;"PIC: "&amp;Checks!$T$340)</f>
        <v/>
      </c>
      <c r="H43" s="114" t="str">
        <f aca="false">IF(Checks!$AH$340="","",Checks!$AH$340)</f>
        <v>OPEN</v>
      </c>
    </row>
    <row r="44" customFormat="false" ht="114" hidden="false" customHeight="true" outlineLevel="0" collapsed="false">
      <c r="A44" s="113" t="str">
        <f aca="false">Checks!$A$341&amp;CHAR(10)&amp;IF(Checks!$I$341="","",Checks!$I$341&amp;": ")&amp;Checks!$J$341</f>
        <v>F10-T12-10
F&amp;B Linen: Tray cloth - prepared</v>
      </c>
      <c r="B44" s="113" t="str">
        <f aca="false">Checks!$K$341&amp;IF(Checks!$O$341="","",IF(Checks!$K$341="","",CHAR(10))&amp;"Note: "&amp;Checks!$O$341)</f>
        <v>Available (ticked in reference)
Note: Reference gives no uplift stn for this item: preparation checked at the meal uplift stn (KUL) - confirm with caterer.</v>
      </c>
      <c r="C44" s="113" t="str">
        <f aca="false">Checks!$N$341&amp;CHAR(10)&amp;IF(ISNUMBER(Checks!$R$341),TEXT(Checks!$R$341,"DD-MMM-YY HH:MM"),"")&amp;" "&amp;Checks!$P$341</f>
        <v>Required
11-Oct-26 23:45 KUL</v>
      </c>
      <c r="D44" s="113" t="str">
        <f aca="false">IF(Checks!$U$341="","",Checks!$U$341)&amp;IF(Checks!$AB$341="","",CHAR(10)&amp;"CA: "&amp;Checks!$AB$341)</f>
        <v/>
      </c>
      <c r="E44" s="113" t="str">
        <f aca="false">IF(Checks!$V$341="","",Checks!$V$341)&amp;IF(Checks!$AC$341="","",IF(Checks!$V$341="","",CHAR(10))&amp;"N/A just.: "&amp;Checks!$AC$341)&amp;IF(Checks!$W$341="","",CHAR(10)&amp;"Batch: "&amp;Checks!$W$341)&amp;IF(AND(Checks!$X$341="",Checks!$Y$341=""),"",CHAR(10)&amp;"Exp: "&amp;Checks!$X$341&amp;"  /  Act: "&amp;Checks!$Y$341)</f>
        <v/>
      </c>
      <c r="F44" s="113" t="str">
        <f aca="false">IF(Checks!$Z$341="","","Evidence: "&amp;Checks!$Z$341)&amp;IF(Checks!$AA$341="","",IF(Checks!$Z$341="","",CHAR(10))&amp;"CA: "&amp;Checks!$AA$341)</f>
        <v/>
      </c>
      <c r="G44" s="113" t="str">
        <f aca="false">IF(ISNUMBER(Checks!$AD$341),TEXT(Checks!$AD$341,"DD-MMM-YY HH:MM")&amp;" "&amp;Checks!$P$341,"")&amp;IF(Checks!$AE$341="","",CHAR(10)&amp;"Verifier: "&amp;Checks!$AE$341)&amp;IF(Checks!$T$341="","",CHAR(10)&amp;"PIC: "&amp;Checks!$T$341)</f>
        <v/>
      </c>
      <c r="H44" s="114" t="str">
        <f aca="false">IF(Checks!$AH$341="","",Checks!$AH$341)</f>
        <v>OPEN</v>
      </c>
    </row>
    <row r="45" customFormat="false" ht="114" hidden="false" customHeight="true" outlineLevel="0" collapsed="false">
      <c r="A45" s="113" t="str">
        <f aca="false">Checks!$A$342&amp;CHAR(10)&amp;IF(Checks!$I$342="","",Checks!$I$342&amp;": ")&amp;Checks!$J$342</f>
        <v>F10-T12-11
F&amp;B Linen: Napkin - prepared</v>
      </c>
      <c r="B45" s="113" t="str">
        <f aca="false">Checks!$K$342&amp;IF(Checks!$O$342="","",IF(Checks!$K$342="","",CHAR(10))&amp;"Note: "&amp;Checks!$O$342)</f>
        <v>Available (ticked in reference)
Note: Reference gives no uplift stn for this item: preparation checked at the meal uplift stn (KUL) - confirm with caterer.</v>
      </c>
      <c r="C45" s="113" t="str">
        <f aca="false">Checks!$N$342&amp;CHAR(10)&amp;IF(ISNUMBER(Checks!$R$342),TEXT(Checks!$R$342,"DD-MMM-YY HH:MM"),"")&amp;" "&amp;Checks!$P$342</f>
        <v>Required
11-Oct-26 23:45 KUL</v>
      </c>
      <c r="D45" s="113" t="str">
        <f aca="false">IF(Checks!$U$342="","",Checks!$U$342)&amp;IF(Checks!$AB$342="","",CHAR(10)&amp;"CA: "&amp;Checks!$AB$342)</f>
        <v/>
      </c>
      <c r="E45" s="113" t="str">
        <f aca="false">IF(Checks!$V$342="","",Checks!$V$342)&amp;IF(Checks!$AC$342="","",IF(Checks!$V$342="","",CHAR(10))&amp;"N/A just.: "&amp;Checks!$AC$342)&amp;IF(Checks!$W$342="","",CHAR(10)&amp;"Batch: "&amp;Checks!$W$342)&amp;IF(AND(Checks!$X$342="",Checks!$Y$342=""),"",CHAR(10)&amp;"Exp: "&amp;Checks!$X$342&amp;"  /  Act: "&amp;Checks!$Y$342)</f>
        <v/>
      </c>
      <c r="F45" s="113" t="str">
        <f aca="false">IF(Checks!$Z$342="","","Evidence: "&amp;Checks!$Z$342)&amp;IF(Checks!$AA$342="","",IF(Checks!$Z$342="","",CHAR(10))&amp;"CA: "&amp;Checks!$AA$342)</f>
        <v/>
      </c>
      <c r="G45" s="113" t="str">
        <f aca="false">IF(ISNUMBER(Checks!$AD$342),TEXT(Checks!$AD$342,"DD-MMM-YY HH:MM")&amp;" "&amp;Checks!$P$342,"")&amp;IF(Checks!$AE$342="","",CHAR(10)&amp;"Verifier: "&amp;Checks!$AE$342)&amp;IF(Checks!$T$342="","",CHAR(10)&amp;"PIC: "&amp;Checks!$T$342)</f>
        <v/>
      </c>
      <c r="H45" s="114" t="str">
        <f aca="false">IF(Checks!$AH$342="","",Checks!$AH$342)</f>
        <v>OPEN</v>
      </c>
    </row>
    <row r="46" customFormat="false" ht="124.5" hidden="false" customHeight="true" outlineLevel="0" collapsed="false">
      <c r="A46" s="113" t="str">
        <f aca="false">Checks!$A$343&amp;CHAR(10)&amp;IF(Checks!$I$343="","",Checks!$I$343&amp;": ")&amp;Checks!$J$343</f>
        <v>F10-T12-12
F&amp;B Linen: Trolley cloth - prepared</v>
      </c>
      <c r="B46" s="113" t="str">
        <f aca="false">SUBSTITUTE(Checks!$K$343&amp;IF(Checks!$O$343="","",IF(Checks!$K$343="","",CHAR(10))&amp;"Note: "&amp;Checks!$O$343),"F&amp;B LINEN!","Ref: F&amp;B LINEN!")</f>
        <v>Narrow body: Top only
Note: Per note Ref: F&amp;B LINEN!B79:C80. Reference gives no uplift stn for this item: preparation checked at the meal uplift stn (KUL) - confirm with caterer.</v>
      </c>
      <c r="C46" s="113" t="str">
        <f aca="false">Checks!$N$343&amp;CHAR(10)&amp;IF(ISNUMBER(Checks!$R$343),TEXT(Checks!$R$343,"DD-MMM-YY HH:MM"),"")&amp;" "&amp;Checks!$P$343</f>
        <v>Required
11-Oct-26 23:45 KUL</v>
      </c>
      <c r="D46" s="113" t="str">
        <f aca="false">IF(Checks!$U$343="","",Checks!$U$343)&amp;IF(Checks!$AB$343="","",CHAR(10)&amp;"CA: "&amp;Checks!$AB$343)</f>
        <v/>
      </c>
      <c r="E46" s="113" t="str">
        <f aca="false">IF(Checks!$V$343="","",Checks!$V$343)&amp;IF(Checks!$AC$343="","",IF(Checks!$V$343="","",CHAR(10))&amp;"N/A just.: "&amp;Checks!$AC$343)&amp;IF(Checks!$W$343="","",CHAR(10)&amp;"Batch: "&amp;Checks!$W$343)&amp;IF(AND(Checks!$X$343="",Checks!$Y$343=""),"",CHAR(10)&amp;"Exp: "&amp;Checks!$X$343&amp;"  /  Act: "&amp;Checks!$Y$343)</f>
        <v/>
      </c>
      <c r="F46" s="113" t="str">
        <f aca="false">IF(Checks!$Z$343="","","Evidence: "&amp;Checks!$Z$343)&amp;IF(Checks!$AA$343="","",IF(Checks!$Z$343="","",CHAR(10))&amp;"CA: "&amp;Checks!$AA$343)</f>
        <v/>
      </c>
      <c r="G46" s="113" t="str">
        <f aca="false">IF(ISNUMBER(Checks!$AD$343),TEXT(Checks!$AD$343,"DD-MMM-YY HH:MM")&amp;" "&amp;Checks!$P$343,"")&amp;IF(Checks!$AE$343="","",CHAR(10)&amp;"Verifier: "&amp;Checks!$AE$343)&amp;IF(Checks!$T$343="","",CHAR(10)&amp;"PIC: "&amp;Checks!$T$343)</f>
        <v/>
      </c>
      <c r="H46" s="114" t="str">
        <f aca="false">IF(Checks!$AH$343="","",Checks!$AH$343)</f>
        <v>OPEN</v>
      </c>
    </row>
    <row r="47" customFormat="false" ht="114" hidden="false" customHeight="true" outlineLevel="0" collapsed="false">
      <c r="A47" s="113" t="str">
        <f aca="false">Checks!$A$344&amp;CHAR(10)&amp;IF(Checks!$I$344="","",Checks!$I$344&amp;": ")&amp;Checks!$J$344</f>
        <v>F10-T12-13
F&amp;B Linen: Linen bag - prepared</v>
      </c>
      <c r="B47" s="113" t="str">
        <f aca="false">Checks!$K$344&amp;IF(Checks!$O$344="","",IF(Checks!$K$344="","",CHAR(10))&amp;"Note: "&amp;Checks!$O$344)</f>
        <v>Available (ticked in reference)
Note: Reference gives no uplift stn for this item: preparation checked at the meal uplift stn (KUL) - confirm with caterer.</v>
      </c>
      <c r="C47" s="113" t="str">
        <f aca="false">Checks!$N$344&amp;CHAR(10)&amp;IF(ISNUMBER(Checks!$R$344),TEXT(Checks!$R$344,"DD-MMM-YY HH:MM"),"")&amp;" "&amp;Checks!$P$344</f>
        <v>Required
11-Oct-26 23:45 KUL</v>
      </c>
      <c r="D47" s="113" t="str">
        <f aca="false">IF(Checks!$U$344="","",Checks!$U$344)&amp;IF(Checks!$AB$344="","",CHAR(10)&amp;"CA: "&amp;Checks!$AB$344)</f>
        <v/>
      </c>
      <c r="E47" s="113" t="str">
        <f aca="false">IF(Checks!$V$344="","",Checks!$V$344)&amp;IF(Checks!$AC$344="","",IF(Checks!$V$344="","",CHAR(10))&amp;"N/A just.: "&amp;Checks!$AC$344)&amp;IF(Checks!$W$344="","",CHAR(10)&amp;"Batch: "&amp;Checks!$W$344)&amp;IF(AND(Checks!$X$344="",Checks!$Y$344=""),"",CHAR(10)&amp;"Exp: "&amp;Checks!$X$344&amp;"  /  Act: "&amp;Checks!$Y$344)</f>
        <v/>
      </c>
      <c r="F47" s="113" t="str">
        <f aca="false">IF(Checks!$Z$344="","","Evidence: "&amp;Checks!$Z$344)&amp;IF(Checks!$AA$344="","",IF(Checks!$Z$344="","",CHAR(10))&amp;"CA: "&amp;Checks!$AA$344)</f>
        <v/>
      </c>
      <c r="G47" s="113" t="str">
        <f aca="false">IF(ISNUMBER(Checks!$AD$344),TEXT(Checks!$AD$344,"DD-MMM-YY HH:MM")&amp;" "&amp;Checks!$P$344,"")&amp;IF(Checks!$AE$344="","",CHAR(10)&amp;"Verifier: "&amp;Checks!$AE$344)&amp;IF(Checks!$T$344="","",CHAR(10)&amp;"PIC: "&amp;Checks!$T$344)</f>
        <v/>
      </c>
      <c r="H47" s="114" t="str">
        <f aca="false">IF(Checks!$AH$344="","",Checks!$AH$344)</f>
        <v>OPEN</v>
      </c>
    </row>
    <row r="48" customFormat="false" ht="114" hidden="false" customHeight="true" outlineLevel="0" collapsed="false">
      <c r="A48" s="113" t="str">
        <f aca="false">Checks!$A$345&amp;CHAR(10)&amp;IF(Checks!$I$345="","",Checks!$I$345&amp;": ")&amp;Checks!$J$345</f>
        <v>F10-T12-14
Seat Linen: Seat pillow (BS &amp; BC) - prepared</v>
      </c>
      <c r="B48" s="113" t="str">
        <f aca="false">Checks!$K$345&amp;IF(Checks!$O$345="","",IF(Checks!$K$345="","",CHAR(10))&amp;"Note: "&amp;Checks!$O$345)</f>
        <v>Available 100% (ticked in reference)
Note: Reference gives no uplift stn for this item: preparation checked at the meal uplift stn (KUL) - confirm with caterer.</v>
      </c>
      <c r="C48" s="113" t="str">
        <f aca="false">Checks!$N$345&amp;CHAR(10)&amp;IF(ISNUMBER(Checks!$R$345),TEXT(Checks!$R$345,"DD-MMM-YY HH:MM"),"")&amp;" "&amp;Checks!$P$345</f>
        <v>Required
11-Oct-26 23:45 KUL</v>
      </c>
      <c r="D48" s="113" t="str">
        <f aca="false">IF(Checks!$U$345="","",Checks!$U$345)&amp;IF(Checks!$AB$345="","",CHAR(10)&amp;"CA: "&amp;Checks!$AB$345)</f>
        <v/>
      </c>
      <c r="E48" s="113" t="str">
        <f aca="false">IF(Checks!$V$345="","",Checks!$V$345)&amp;IF(Checks!$AC$345="","",IF(Checks!$V$345="","",CHAR(10))&amp;"N/A just.: "&amp;Checks!$AC$345)&amp;IF(Checks!$W$345="","",CHAR(10)&amp;"Batch: "&amp;Checks!$W$345)&amp;IF(AND(Checks!$X$345="",Checks!$Y$345=""),"",CHAR(10)&amp;"Exp: "&amp;Checks!$X$345&amp;"  /  Act: "&amp;Checks!$Y$345)</f>
        <v/>
      </c>
      <c r="F48" s="113" t="str">
        <f aca="false">IF(Checks!$Z$345="","","Evidence: "&amp;Checks!$Z$345)&amp;IF(Checks!$AA$345="","",IF(Checks!$Z$345="","",CHAR(10))&amp;"CA: "&amp;Checks!$AA$345)</f>
        <v/>
      </c>
      <c r="G48" s="113" t="str">
        <f aca="false">IF(ISNUMBER(Checks!$AD$345),TEXT(Checks!$AD$345,"DD-MMM-YY HH:MM")&amp;" "&amp;Checks!$P$345,"")&amp;IF(Checks!$AE$345="","",CHAR(10)&amp;"Verifier: "&amp;Checks!$AE$345)&amp;IF(Checks!$T$345="","",CHAR(10)&amp;"PIC: "&amp;Checks!$T$345)</f>
        <v/>
      </c>
      <c r="H48" s="114" t="str">
        <f aca="false">IF(Checks!$AH$345="","",Checks!$AH$345)</f>
        <v>OPEN</v>
      </c>
    </row>
    <row r="49" customFormat="false" ht="114" hidden="false" customHeight="true" outlineLevel="0" collapsed="false">
      <c r="A49" s="113" t="str">
        <f aca="false">Checks!$A$346&amp;CHAR(10)&amp;IF(Checks!$I$346="","",Checks!$I$346&amp;": ")&amp;Checks!$J$346</f>
        <v>F10-T12-15
Seat Linen: Blanket (BS &amp; BC) - prepared</v>
      </c>
      <c r="B49" s="113" t="str">
        <f aca="false">Checks!$K$346&amp;IF(Checks!$O$346="","",IF(Checks!$K$346="","",CHAR(10))&amp;"Note: "&amp;Checks!$O$346)</f>
        <v>Available 100% (ticked in reference)
Note: Reference gives no uplift stn for this item: preparation checked at the meal uplift stn (KUL) - confirm with caterer.</v>
      </c>
      <c r="C49" s="113" t="str">
        <f aca="false">Checks!$N$346&amp;CHAR(10)&amp;IF(ISNUMBER(Checks!$R$346),TEXT(Checks!$R$346,"DD-MMM-YY HH:MM"),"")&amp;" "&amp;Checks!$P$346</f>
        <v>Required
11-Oct-26 23:45 KUL</v>
      </c>
      <c r="D49" s="113" t="str">
        <f aca="false">IF(Checks!$U$346="","",Checks!$U$346)&amp;IF(Checks!$AB$346="","",CHAR(10)&amp;"CA: "&amp;Checks!$AB$346)</f>
        <v/>
      </c>
      <c r="E49" s="113" t="str">
        <f aca="false">IF(Checks!$V$346="","",Checks!$V$346)&amp;IF(Checks!$AC$346="","",IF(Checks!$V$346="","",CHAR(10))&amp;"N/A just.: "&amp;Checks!$AC$346)&amp;IF(Checks!$W$346="","",CHAR(10)&amp;"Batch: "&amp;Checks!$W$346)&amp;IF(AND(Checks!$X$346="",Checks!$Y$346=""),"",CHAR(10)&amp;"Exp: "&amp;Checks!$X$346&amp;"  /  Act: "&amp;Checks!$Y$346)</f>
        <v/>
      </c>
      <c r="F49" s="113" t="str">
        <f aca="false">IF(Checks!$Z$346="","","Evidence: "&amp;Checks!$Z$346)&amp;IF(Checks!$AA$346="","",IF(Checks!$Z$346="","",CHAR(10))&amp;"CA: "&amp;Checks!$AA$346)</f>
        <v/>
      </c>
      <c r="G49" s="113" t="str">
        <f aca="false">IF(ISNUMBER(Checks!$AD$346),TEXT(Checks!$AD$346,"DD-MMM-YY HH:MM")&amp;" "&amp;Checks!$P$346,"")&amp;IF(Checks!$AE$346="","",CHAR(10)&amp;"Verifier: "&amp;Checks!$AE$346)&amp;IF(Checks!$T$346="","",CHAR(10)&amp;"PIC: "&amp;Checks!$T$346)</f>
        <v/>
      </c>
      <c r="H49" s="114" t="str">
        <f aca="false">IF(Checks!$AH$346="","",Checks!$AH$346)</f>
        <v>OPEN</v>
      </c>
    </row>
    <row r="50" customFormat="false" ht="25.5" hidden="false" customHeight="true" outlineLevel="0" collapsed="false">
      <c r="A50" s="112"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2"/>
      <c r="C50" s="112"/>
      <c r="D50" s="112"/>
      <c r="E50" s="112"/>
      <c r="F50" s="112"/>
      <c r="G50" s="112"/>
      <c r="H50" s="112"/>
    </row>
    <row r="51" customFormat="false" ht="114" hidden="false" customHeight="true" outlineLevel="0" collapsed="false">
      <c r="A51" s="113" t="str">
        <f aca="false">Checks!$A$347&amp;CHAR(10)&amp;IF(Checks!$I$347="","",Checks!$I$347&amp;": ")&amp;Checks!$J$347</f>
        <v>F10-UPL-01
Meal: Meals physically uplifted on board - quantity vs menu checklist</v>
      </c>
      <c r="B51" s="113" t="str">
        <f aca="false">Checks!$K$347&amp;IF(Checks!$O$347="","",IF(Checks!$K$347="","",CHAR(10))&amp;"Note: "&amp;Checks!$O$347)</f>
        <v>Enter expected &amp; actual
Note: Confirm on board before departure; completion time must fall inside the uplift window.</v>
      </c>
      <c r="C51" s="113" t="str">
        <f aca="false">Checks!$N$347&amp;CHAR(10)&amp;IF(ISNUMBER(Checks!$R$347),TEXT(Checks!$R$347,"DD-MMM-YY HH:MM"),"")&amp;" "&amp;Checks!$P$347</f>
        <v>Required
12-Oct-26 11:45 KUL</v>
      </c>
      <c r="D51" s="113" t="str">
        <f aca="false">IF(Checks!$U$347="","",Checks!$U$347)&amp;IF(Checks!$AB$347="","",CHAR(10)&amp;"CA: "&amp;Checks!$AB$347)</f>
        <v/>
      </c>
      <c r="E51" s="113" t="str">
        <f aca="false">IF(Checks!$V$347="","",Checks!$V$347)&amp;IF(Checks!$AC$347="","",IF(Checks!$V$347="","",CHAR(10))&amp;"N/A just.: "&amp;Checks!$AC$347)&amp;IF(Checks!$W$347="","",CHAR(10)&amp;"Batch: "&amp;Checks!$W$347)&amp;IF(AND(Checks!$X$347="",Checks!$Y$347=""),"",CHAR(10)&amp;"Exp: "&amp;Checks!$X$347&amp;"  /  Act: "&amp;Checks!$Y$347)</f>
        <v/>
      </c>
      <c r="F51" s="113" t="str">
        <f aca="false">IF(Checks!$Z$347="","","Evidence: "&amp;Checks!$Z$347)&amp;IF(Checks!$AA$347="","",IF(Checks!$Z$347="","",CHAR(10))&amp;"CA: "&amp;Checks!$AA$347)</f>
        <v/>
      </c>
      <c r="G51" s="113" t="str">
        <f aca="false">IF(ISNUMBER(Checks!$AD$347),TEXT(Checks!$AD$347,"DD-MMM-YY HH:MM")&amp;" "&amp;Checks!$P$347,"")&amp;IF(Checks!$AE$347="","",CHAR(10)&amp;"Verifier: "&amp;Checks!$AE$347)&amp;IF(Checks!$T$347="","",CHAR(10)&amp;"PIC: "&amp;Checks!$T$347)</f>
        <v/>
      </c>
      <c r="H51" s="114" t="str">
        <f aca="false">IF(Checks!$AH$347="","",Checks!$AH$347)</f>
        <v>OPEN</v>
      </c>
    </row>
    <row r="52" customFormat="false" ht="114" hidden="false" customHeight="true" outlineLevel="0" collapsed="false">
      <c r="A52" s="113" t="str">
        <f aca="false">Checks!$A$348&amp;CHAR(10)&amp;IF(Checks!$I$348="","",Checks!$I$348&amp;": ")&amp;Checks!$J$348</f>
        <v>F10-UPL-02
Equipment: Equipment physically loaded at GLD positions - quantity &amp; positions</v>
      </c>
      <c r="B52" s="113" t="str">
        <f aca="false">Checks!$K$348&amp;IF(Checks!$O$348="","",IF(Checks!$K$348="","",CHAR(10))&amp;"Note: "&amp;Checks!$O$348)</f>
        <v>Enter expected &amp; actual
Note: Confirm on board before departure; completion time must fall inside the uplift window.</v>
      </c>
      <c r="C52" s="113" t="str">
        <f aca="false">Checks!$N$348&amp;CHAR(10)&amp;IF(ISNUMBER(Checks!$R$348),TEXT(Checks!$R$348,"DD-MMM-YY HH:MM"),"")&amp;" "&amp;Checks!$P$348</f>
        <v>Required
12-Oct-26 11:45 KUL</v>
      </c>
      <c r="D52" s="113" t="str">
        <f aca="false">IF(Checks!$U$348="","",Checks!$U$348)&amp;IF(Checks!$AB$348="","",CHAR(10)&amp;"CA: "&amp;Checks!$AB$348)</f>
        <v/>
      </c>
      <c r="E52" s="113" t="str">
        <f aca="false">IF(Checks!$V$348="","",Checks!$V$348)&amp;IF(Checks!$AC$348="","",IF(Checks!$V$348="","",CHAR(10))&amp;"N/A just.: "&amp;Checks!$AC$348)&amp;IF(Checks!$W$348="","",CHAR(10)&amp;"Batch: "&amp;Checks!$W$348)&amp;IF(AND(Checks!$X$348="",Checks!$Y$348=""),"",CHAR(10)&amp;"Exp: "&amp;Checks!$X$348&amp;"  /  Act: "&amp;Checks!$Y$348)</f>
        <v/>
      </c>
      <c r="F52" s="113" t="str">
        <f aca="false">IF(Checks!$Z$348="","","Evidence: "&amp;Checks!$Z$348)&amp;IF(Checks!$AA$348="","",IF(Checks!$Z$348="","",CHAR(10))&amp;"CA: "&amp;Checks!$AA$348)</f>
        <v/>
      </c>
      <c r="G52" s="113" t="str">
        <f aca="false">IF(ISNUMBER(Checks!$AD$348),TEXT(Checks!$AD$348,"DD-MMM-YY HH:MM")&amp;" "&amp;Checks!$P$348,"")&amp;IF(Checks!$AE$348="","",CHAR(10)&amp;"Verifier: "&amp;Checks!$AE$348)&amp;IF(Checks!$T$348="","",CHAR(10)&amp;"PIC: "&amp;Checks!$T$348)</f>
        <v/>
      </c>
      <c r="H52" s="114" t="str">
        <f aca="false">IF(Checks!$AH$348="","",Checks!$AH$348)</f>
        <v>OPEN</v>
      </c>
    </row>
    <row r="53" customFormat="false" ht="114" hidden="false" customHeight="true" outlineLevel="0" collapsed="false">
      <c r="A53" s="113" t="str">
        <f aca="false">Checks!$A$349&amp;CHAR(10)&amp;IF(Checks!$I$349="","",Checks!$I$349&amp;": ")&amp;Checks!$J$349</f>
        <v>F10-UPL-03
Amenities: Disposable slippers in DAM cart (BC, on request) - on board</v>
      </c>
      <c r="B53" s="113" t="str">
        <f aca="false">Checks!$K$349&amp;IF(Checks!$O$349="","",IF(Checks!$K$349="","",CHAR(10))&amp;"Note: "&amp;Checks!$O$349)</f>
        <v>Available in DAM cart on request basis
Note: Sector has no BC slippers; note C83: disposable slipper available in DAM cart (on request basis).</v>
      </c>
      <c r="C53" s="113" t="str">
        <f aca="false">Checks!$N$349&amp;CHAR(10)&amp;IF(ISNUMBER(Checks!$R$349),TEXT(Checks!$R$349,"DD-MMM-YY HH:MM"),"")&amp;" "&amp;Checks!$P$349</f>
        <v>Required
12-Oct-26 11:45 KUL</v>
      </c>
      <c r="D53" s="113" t="str">
        <f aca="false">IF(Checks!$U$349="","",Checks!$U$349)&amp;IF(Checks!$AB$349="","",CHAR(10)&amp;"CA: "&amp;Checks!$AB$349)</f>
        <v/>
      </c>
      <c r="E53" s="113" t="str">
        <f aca="false">IF(Checks!$V$349="","",Checks!$V$349)&amp;IF(Checks!$AC$349="","",IF(Checks!$V$349="","",CHAR(10))&amp;"N/A just.: "&amp;Checks!$AC$349)&amp;IF(Checks!$W$349="","",CHAR(10)&amp;"Batch: "&amp;Checks!$W$349)&amp;IF(AND(Checks!$X$349="",Checks!$Y$349=""),"",CHAR(10)&amp;"Exp: "&amp;Checks!$X$349&amp;"  /  Act: "&amp;Checks!$Y$349)</f>
        <v/>
      </c>
      <c r="F53" s="113" t="str">
        <f aca="false">IF(Checks!$Z$349="","","Evidence: "&amp;Checks!$Z$349)&amp;IF(Checks!$AA$349="","",IF(Checks!$Z$349="","",CHAR(10))&amp;"CA: "&amp;Checks!$AA$349)</f>
        <v/>
      </c>
      <c r="G53" s="113" t="str">
        <f aca="false">IF(ISNUMBER(Checks!$AD$349),TEXT(Checks!$AD$349,"DD-MMM-YY HH:MM")&amp;" "&amp;Checks!$P$349,"")&amp;IF(Checks!$AE$349="","",CHAR(10)&amp;"Verifier: "&amp;Checks!$AE$349)&amp;IF(Checks!$T$349="","",CHAR(10)&amp;"PIC: "&amp;Checks!$T$349)</f>
        <v/>
      </c>
      <c r="H53" s="114" t="str">
        <f aca="false">IF(Checks!$AH$349="","",Checks!$AH$349)</f>
        <v>OPEN</v>
      </c>
    </row>
    <row r="54" customFormat="false" ht="114" hidden="false" customHeight="true" outlineLevel="0" collapsed="false">
      <c r="A54" s="113" t="str">
        <f aca="false">Checks!$A$350&amp;CHAR(10)&amp;IF(Checks!$I$350="","",Checks!$I$350&amp;": ")&amp;Checks!$J$350</f>
        <v>F10-UPL-04
F&amp;B Linen: Towel - on board</v>
      </c>
      <c r="B54" s="113" t="str">
        <f aca="false">Checks!$K$350&amp;IF(Checks!$O$350="","",IF(Checks!$K$350="","",CHAR(10))&amp;"Note: "&amp;Checks!$O$350)</f>
        <v>Available (ticked in reference)</v>
      </c>
      <c r="C54" s="113" t="str">
        <f aca="false">Checks!$N$350&amp;CHAR(10)&amp;IF(ISNUMBER(Checks!$R$350),TEXT(Checks!$R$350,"DD-MMM-YY HH:MM"),"")&amp;" "&amp;Checks!$P$350</f>
        <v>Required
12-Oct-26 11:45 KUL</v>
      </c>
      <c r="D54" s="113" t="str">
        <f aca="false">IF(Checks!$U$350="","",Checks!$U$350)&amp;IF(Checks!$AB$350="","",CHAR(10)&amp;"CA: "&amp;Checks!$AB$350)</f>
        <v/>
      </c>
      <c r="E54" s="113" t="str">
        <f aca="false">IF(Checks!$V$350="","",Checks!$V$350)&amp;IF(Checks!$AC$350="","",IF(Checks!$V$350="","",CHAR(10))&amp;"N/A just.: "&amp;Checks!$AC$350)&amp;IF(Checks!$W$350="","",CHAR(10)&amp;"Batch: "&amp;Checks!$W$350)&amp;IF(AND(Checks!$X$350="",Checks!$Y$350=""),"",CHAR(10)&amp;"Exp: "&amp;Checks!$X$350&amp;"  /  Act: "&amp;Checks!$Y$350)</f>
        <v/>
      </c>
      <c r="F54" s="113" t="str">
        <f aca="false">IF(Checks!$Z$350="","","Evidence: "&amp;Checks!$Z$350)&amp;IF(Checks!$AA$350="","",IF(Checks!$Z$350="","",CHAR(10))&amp;"CA: "&amp;Checks!$AA$350)</f>
        <v/>
      </c>
      <c r="G54" s="113" t="str">
        <f aca="false">IF(ISNUMBER(Checks!$AD$350),TEXT(Checks!$AD$350,"DD-MMM-YY HH:MM")&amp;" "&amp;Checks!$P$350,"")&amp;IF(Checks!$AE$350="","",CHAR(10)&amp;"Verifier: "&amp;Checks!$AE$350)&amp;IF(Checks!$T$350="","",CHAR(10)&amp;"PIC: "&amp;Checks!$T$350)</f>
        <v/>
      </c>
      <c r="H54" s="114" t="str">
        <f aca="false">IF(Checks!$AH$350="","",Checks!$AH$350)</f>
        <v>OPEN</v>
      </c>
    </row>
    <row r="55" customFormat="false" ht="114" hidden="false" customHeight="true" outlineLevel="0" collapsed="false">
      <c r="A55" s="113" t="str">
        <f aca="false">Checks!$A$351&amp;CHAR(10)&amp;IF(Checks!$I$351="","",Checks!$I$351&amp;": ")&amp;Checks!$J$351</f>
        <v>F10-UPL-05
F&amp;B Linen: Tray cloth - on board</v>
      </c>
      <c r="B55" s="113" t="str">
        <f aca="false">Checks!$K$351&amp;IF(Checks!$O$351="","",IF(Checks!$K$351="","",CHAR(10))&amp;"Note: "&amp;Checks!$O$351)</f>
        <v>Available (ticked in reference)</v>
      </c>
      <c r="C55" s="113" t="str">
        <f aca="false">Checks!$N$351&amp;CHAR(10)&amp;IF(ISNUMBER(Checks!$R$351),TEXT(Checks!$R$351,"DD-MMM-YY HH:MM"),"")&amp;" "&amp;Checks!$P$351</f>
        <v>Required
12-Oct-26 11:45 KUL</v>
      </c>
      <c r="D55" s="113" t="str">
        <f aca="false">IF(Checks!$U$351="","",Checks!$U$351)&amp;IF(Checks!$AB$351="","",CHAR(10)&amp;"CA: "&amp;Checks!$AB$351)</f>
        <v/>
      </c>
      <c r="E55" s="113" t="str">
        <f aca="false">IF(Checks!$V$351="","",Checks!$V$351)&amp;IF(Checks!$AC$351="","",IF(Checks!$V$351="","",CHAR(10))&amp;"N/A just.: "&amp;Checks!$AC$351)&amp;IF(Checks!$W$351="","",CHAR(10)&amp;"Batch: "&amp;Checks!$W$351)&amp;IF(AND(Checks!$X$351="",Checks!$Y$351=""),"",CHAR(10)&amp;"Exp: "&amp;Checks!$X$351&amp;"  /  Act: "&amp;Checks!$Y$351)</f>
        <v/>
      </c>
      <c r="F55" s="113" t="str">
        <f aca="false">IF(Checks!$Z$351="","","Evidence: "&amp;Checks!$Z$351)&amp;IF(Checks!$AA$351="","",IF(Checks!$Z$351="","",CHAR(10))&amp;"CA: "&amp;Checks!$AA$351)</f>
        <v/>
      </c>
      <c r="G55" s="113" t="str">
        <f aca="false">IF(ISNUMBER(Checks!$AD$351),TEXT(Checks!$AD$351,"DD-MMM-YY HH:MM")&amp;" "&amp;Checks!$P$351,"")&amp;IF(Checks!$AE$351="","",CHAR(10)&amp;"Verifier: "&amp;Checks!$AE$351)&amp;IF(Checks!$T$351="","",CHAR(10)&amp;"PIC: "&amp;Checks!$T$351)</f>
        <v/>
      </c>
      <c r="H55" s="114" t="str">
        <f aca="false">IF(Checks!$AH$351="","",Checks!$AH$351)</f>
        <v>OPEN</v>
      </c>
    </row>
    <row r="56" customFormat="false" ht="114" hidden="false" customHeight="true" outlineLevel="0" collapsed="false">
      <c r="A56" s="113" t="str">
        <f aca="false">Checks!$A$352&amp;CHAR(10)&amp;IF(Checks!$I$352="","",Checks!$I$352&amp;": ")&amp;Checks!$J$352</f>
        <v>F10-UPL-06
F&amp;B Linen: Napkin - on board</v>
      </c>
      <c r="B56" s="113" t="str">
        <f aca="false">Checks!$K$352&amp;IF(Checks!$O$352="","",IF(Checks!$K$352="","",CHAR(10))&amp;"Note: "&amp;Checks!$O$352)</f>
        <v>Available (ticked in reference)</v>
      </c>
      <c r="C56" s="113" t="str">
        <f aca="false">Checks!$N$352&amp;CHAR(10)&amp;IF(ISNUMBER(Checks!$R$352),TEXT(Checks!$R$352,"DD-MMM-YY HH:MM"),"")&amp;" "&amp;Checks!$P$352</f>
        <v>Required
12-Oct-26 11:45 KUL</v>
      </c>
      <c r="D56" s="113" t="str">
        <f aca="false">IF(Checks!$U$352="","",Checks!$U$352)&amp;IF(Checks!$AB$352="","",CHAR(10)&amp;"CA: "&amp;Checks!$AB$352)</f>
        <v/>
      </c>
      <c r="E56" s="113" t="str">
        <f aca="false">IF(Checks!$V$352="","",Checks!$V$352)&amp;IF(Checks!$AC$352="","",IF(Checks!$V$352="","",CHAR(10))&amp;"N/A just.: "&amp;Checks!$AC$352)&amp;IF(Checks!$W$352="","",CHAR(10)&amp;"Batch: "&amp;Checks!$W$352)&amp;IF(AND(Checks!$X$352="",Checks!$Y$352=""),"",CHAR(10)&amp;"Exp: "&amp;Checks!$X$352&amp;"  /  Act: "&amp;Checks!$Y$352)</f>
        <v/>
      </c>
      <c r="F56" s="113" t="str">
        <f aca="false">IF(Checks!$Z$352="","","Evidence: "&amp;Checks!$Z$352)&amp;IF(Checks!$AA$352="","",IF(Checks!$Z$352="","",CHAR(10))&amp;"CA: "&amp;Checks!$AA$352)</f>
        <v/>
      </c>
      <c r="G56" s="113" t="str">
        <f aca="false">IF(ISNUMBER(Checks!$AD$352),TEXT(Checks!$AD$352,"DD-MMM-YY HH:MM")&amp;" "&amp;Checks!$P$352,"")&amp;IF(Checks!$AE$352="","",CHAR(10)&amp;"Verifier: "&amp;Checks!$AE$352)&amp;IF(Checks!$T$352="","",CHAR(10)&amp;"PIC: "&amp;Checks!$T$352)</f>
        <v/>
      </c>
      <c r="H56" s="114" t="str">
        <f aca="false">IF(Checks!$AH$352="","",Checks!$AH$352)</f>
        <v>OPEN</v>
      </c>
    </row>
    <row r="57" customFormat="false" ht="114" hidden="false" customHeight="true" outlineLevel="0" collapsed="false">
      <c r="A57" s="113" t="str">
        <f aca="false">Checks!$A$353&amp;CHAR(10)&amp;IF(Checks!$I$353="","",Checks!$I$353&amp;": ")&amp;Checks!$J$353</f>
        <v>F10-UPL-07
F&amp;B Linen: Trolley cloth - on board</v>
      </c>
      <c r="B57" s="113" t="str">
        <f aca="false">SUBSTITUTE(Checks!$K$353&amp;IF(Checks!$O$353="","",IF(Checks!$K$353="","",CHAR(10))&amp;"Note: "&amp;Checks!$O$353),"F&amp;B LINEN!","Ref: F&amp;B LINEN!")</f>
        <v>Narrow body: Top only
Note: Per note Ref: F&amp;B LINEN!B79:C80.</v>
      </c>
      <c r="C57" s="113" t="str">
        <f aca="false">Checks!$N$353&amp;CHAR(10)&amp;IF(ISNUMBER(Checks!$R$353),TEXT(Checks!$R$353,"DD-MMM-YY HH:MM"),"")&amp;" "&amp;Checks!$P$353</f>
        <v>Required
12-Oct-26 11:45 KUL</v>
      </c>
      <c r="D57" s="113" t="str">
        <f aca="false">IF(Checks!$U$353="","",Checks!$U$353)&amp;IF(Checks!$AB$353="","",CHAR(10)&amp;"CA: "&amp;Checks!$AB$353)</f>
        <v/>
      </c>
      <c r="E57" s="113" t="str">
        <f aca="false">IF(Checks!$V$353="","",Checks!$V$353)&amp;IF(Checks!$AC$353="","",IF(Checks!$V$353="","",CHAR(10))&amp;"N/A just.: "&amp;Checks!$AC$353)&amp;IF(Checks!$W$353="","",CHAR(10)&amp;"Batch: "&amp;Checks!$W$353)&amp;IF(AND(Checks!$X$353="",Checks!$Y$353=""),"",CHAR(10)&amp;"Exp: "&amp;Checks!$X$353&amp;"  /  Act: "&amp;Checks!$Y$353)</f>
        <v/>
      </c>
      <c r="F57" s="113" t="str">
        <f aca="false">IF(Checks!$Z$353="","","Evidence: "&amp;Checks!$Z$353)&amp;IF(Checks!$AA$353="","",IF(Checks!$Z$353="","",CHAR(10))&amp;"CA: "&amp;Checks!$AA$353)</f>
        <v/>
      </c>
      <c r="G57" s="113" t="str">
        <f aca="false">IF(ISNUMBER(Checks!$AD$353),TEXT(Checks!$AD$353,"DD-MMM-YY HH:MM")&amp;" "&amp;Checks!$P$353,"")&amp;IF(Checks!$AE$353="","",CHAR(10)&amp;"Verifier: "&amp;Checks!$AE$353)&amp;IF(Checks!$T$353="","",CHAR(10)&amp;"PIC: "&amp;Checks!$T$353)</f>
        <v/>
      </c>
      <c r="H57" s="114" t="str">
        <f aca="false">IF(Checks!$AH$353="","",Checks!$AH$353)</f>
        <v>OPEN</v>
      </c>
    </row>
    <row r="58" customFormat="false" ht="114" hidden="false" customHeight="true" outlineLevel="0" collapsed="false">
      <c r="A58" s="113" t="str">
        <f aca="false">Checks!$A$354&amp;CHAR(10)&amp;IF(Checks!$I$354="","",Checks!$I$354&amp;": ")&amp;Checks!$J$354</f>
        <v>F10-UPL-08
F&amp;B Linen: Linen bag - on board</v>
      </c>
      <c r="B58" s="113" t="str">
        <f aca="false">Checks!$K$354&amp;IF(Checks!$O$354="","",IF(Checks!$K$354="","",CHAR(10))&amp;"Note: "&amp;Checks!$O$354)</f>
        <v>Available (ticked in reference)</v>
      </c>
      <c r="C58" s="113" t="str">
        <f aca="false">Checks!$N$354&amp;CHAR(10)&amp;IF(ISNUMBER(Checks!$R$354),TEXT(Checks!$R$354,"DD-MMM-YY HH:MM"),"")&amp;" "&amp;Checks!$P$354</f>
        <v>Required
12-Oct-26 11:45 KUL</v>
      </c>
      <c r="D58" s="113" t="str">
        <f aca="false">IF(Checks!$U$354="","",Checks!$U$354)&amp;IF(Checks!$AB$354="","",CHAR(10)&amp;"CA: "&amp;Checks!$AB$354)</f>
        <v/>
      </c>
      <c r="E58" s="113" t="str">
        <f aca="false">IF(Checks!$V$354="","",Checks!$V$354)&amp;IF(Checks!$AC$354="","",IF(Checks!$V$354="","",CHAR(10))&amp;"N/A just.: "&amp;Checks!$AC$354)&amp;IF(Checks!$W$354="","",CHAR(10)&amp;"Batch: "&amp;Checks!$W$354)&amp;IF(AND(Checks!$X$354="",Checks!$Y$354=""),"",CHAR(10)&amp;"Exp: "&amp;Checks!$X$354&amp;"  /  Act: "&amp;Checks!$Y$354)</f>
        <v/>
      </c>
      <c r="F58" s="113" t="str">
        <f aca="false">IF(Checks!$Z$354="","","Evidence: "&amp;Checks!$Z$354)&amp;IF(Checks!$AA$354="","",IF(Checks!$Z$354="","",CHAR(10))&amp;"CA: "&amp;Checks!$AA$354)</f>
        <v/>
      </c>
      <c r="G58" s="113" t="str">
        <f aca="false">IF(ISNUMBER(Checks!$AD$354),TEXT(Checks!$AD$354,"DD-MMM-YY HH:MM")&amp;" "&amp;Checks!$P$354,"")&amp;IF(Checks!$AE$354="","",CHAR(10)&amp;"Verifier: "&amp;Checks!$AE$354)&amp;IF(Checks!$T$354="","",CHAR(10)&amp;"PIC: "&amp;Checks!$T$354)</f>
        <v/>
      </c>
      <c r="H58" s="114" t="str">
        <f aca="false">IF(Checks!$AH$354="","",Checks!$AH$354)</f>
        <v>OPEN</v>
      </c>
    </row>
    <row r="59" customFormat="false" ht="114" hidden="false" customHeight="true" outlineLevel="0" collapsed="false">
      <c r="A59" s="113" t="str">
        <f aca="false">Checks!$A$355&amp;CHAR(10)&amp;IF(Checks!$I$355="","",Checks!$I$355&amp;": ")&amp;Checks!$J$355</f>
        <v>F10-UPL-09
Seat Linen: Seat pillow (BS &amp; BC) - on board</v>
      </c>
      <c r="B59" s="113" t="str">
        <f aca="false">Checks!$K$355&amp;IF(Checks!$O$355="","",IF(Checks!$K$355="","",CHAR(10))&amp;"Note: "&amp;Checks!$O$355)</f>
        <v>Available 100% (ticked in reference)</v>
      </c>
      <c r="C59" s="113" t="str">
        <f aca="false">Checks!$N$355&amp;CHAR(10)&amp;IF(ISNUMBER(Checks!$R$355),TEXT(Checks!$R$355,"DD-MMM-YY HH:MM"),"")&amp;" "&amp;Checks!$P$355</f>
        <v>Required
12-Oct-26 11:45 KUL</v>
      </c>
      <c r="D59" s="113" t="str">
        <f aca="false">IF(Checks!$U$355="","",Checks!$U$355)&amp;IF(Checks!$AB$355="","",CHAR(10)&amp;"CA: "&amp;Checks!$AB$355)</f>
        <v/>
      </c>
      <c r="E59" s="113" t="str">
        <f aca="false">IF(Checks!$V$355="","",Checks!$V$355)&amp;IF(Checks!$AC$355="","",IF(Checks!$V$355="","",CHAR(10))&amp;"N/A just.: "&amp;Checks!$AC$355)&amp;IF(Checks!$W$355="","",CHAR(10)&amp;"Batch: "&amp;Checks!$W$355)&amp;IF(AND(Checks!$X$355="",Checks!$Y$355=""),"",CHAR(10)&amp;"Exp: "&amp;Checks!$X$355&amp;"  /  Act: "&amp;Checks!$Y$355)</f>
        <v/>
      </c>
      <c r="F59" s="113" t="str">
        <f aca="false">IF(Checks!$Z$355="","","Evidence: "&amp;Checks!$Z$355)&amp;IF(Checks!$AA$355="","",IF(Checks!$Z$355="","",CHAR(10))&amp;"CA: "&amp;Checks!$AA$355)</f>
        <v/>
      </c>
      <c r="G59" s="113" t="str">
        <f aca="false">IF(ISNUMBER(Checks!$AD$355),TEXT(Checks!$AD$355,"DD-MMM-YY HH:MM")&amp;" "&amp;Checks!$P$355,"")&amp;IF(Checks!$AE$355="","",CHAR(10)&amp;"Verifier: "&amp;Checks!$AE$355)&amp;IF(Checks!$T$355="","",CHAR(10)&amp;"PIC: "&amp;Checks!$T$355)</f>
        <v/>
      </c>
      <c r="H59" s="114" t="str">
        <f aca="false">IF(Checks!$AH$355="","",Checks!$AH$355)</f>
        <v>OPEN</v>
      </c>
    </row>
    <row r="60" customFormat="false" ht="114" hidden="false" customHeight="true" outlineLevel="0" collapsed="false">
      <c r="A60" s="113" t="str">
        <f aca="false">Checks!$A$356&amp;CHAR(10)&amp;IF(Checks!$I$356="","",Checks!$I$356&amp;": ")&amp;Checks!$J$356</f>
        <v>F10-UPL-10
Seat Linen: Blanket (BS &amp; BC) - on board</v>
      </c>
      <c r="B60" s="113" t="str">
        <f aca="false">Checks!$K$356&amp;IF(Checks!$O$356="","",IF(Checks!$K$356="","",CHAR(10))&amp;"Note: "&amp;Checks!$O$356)</f>
        <v>Available 100% (ticked in reference)</v>
      </c>
      <c r="C60" s="113" t="str">
        <f aca="false">Checks!$N$356&amp;CHAR(10)&amp;IF(ISNUMBER(Checks!$R$356),TEXT(Checks!$R$356,"DD-MMM-YY HH:MM"),"")&amp;" "&amp;Checks!$P$356</f>
        <v>Required
12-Oct-26 11:45 KUL</v>
      </c>
      <c r="D60" s="113" t="str">
        <f aca="false">IF(Checks!$U$356="","",Checks!$U$356)&amp;IF(Checks!$AB$356="","",CHAR(10)&amp;"CA: "&amp;Checks!$AB$356)</f>
        <v/>
      </c>
      <c r="E60" s="113" t="str">
        <f aca="false">IF(Checks!$V$356="","",Checks!$V$356)&amp;IF(Checks!$AC$356="","",IF(Checks!$V$356="","",CHAR(10))&amp;"N/A just.: "&amp;Checks!$AC$356)&amp;IF(Checks!$W$356="","",CHAR(10)&amp;"Batch: "&amp;Checks!$W$356)&amp;IF(AND(Checks!$X$356="",Checks!$Y$356=""),"",CHAR(10)&amp;"Exp: "&amp;Checks!$X$356&amp;"  /  Act: "&amp;Checks!$Y$356)</f>
        <v/>
      </c>
      <c r="F60" s="113" t="str">
        <f aca="false">IF(Checks!$Z$356="","","Evidence: "&amp;Checks!$Z$356)&amp;IF(Checks!$AA$356="","",IF(Checks!$Z$356="","",CHAR(10))&amp;"CA: "&amp;Checks!$AA$356)</f>
        <v/>
      </c>
      <c r="G60" s="113" t="str">
        <f aca="false">IF(ISNUMBER(Checks!$AD$356),TEXT(Checks!$AD$356,"DD-MMM-YY HH:MM")&amp;" "&amp;Checks!$P$356,"")&amp;IF(Checks!$AE$356="","",CHAR(10)&amp;"Verifier: "&amp;Checks!$AE$356)&amp;IF(Checks!$T$356="","",CHAR(10)&amp;"PIC: "&amp;Checks!$T$356)</f>
        <v/>
      </c>
      <c r="H60" s="114" t="str">
        <f aca="false">IF(Checks!$AH$356="","",Checks!$AH$356)</f>
        <v>OPEN</v>
      </c>
    </row>
    <row r="62" customFormat="false" ht="24" hidden="false" customHeight="true" outlineLevel="0" collapsed="false">
      <c r="A62" s="115" t="s">
        <v>1650</v>
      </c>
      <c r="B62" s="115"/>
      <c r="C62" s="115"/>
      <c r="D62" s="115"/>
      <c r="E62" s="115" t="s">
        <v>1651</v>
      </c>
      <c r="F62" s="115"/>
      <c r="G62" s="115"/>
      <c r="H62" s="115"/>
    </row>
    <row r="63" customFormat="false" ht="21.75" hidden="false" customHeight="true" outlineLevel="0" collapsed="false">
      <c r="A63" s="116"/>
      <c r="B63" s="116"/>
      <c r="C63" s="116"/>
      <c r="D63" s="116"/>
      <c r="E63" s="116"/>
      <c r="F63" s="116"/>
      <c r="G63" s="116"/>
      <c r="H63" s="116"/>
    </row>
    <row r="64" customFormat="false" ht="21.75" hidden="false" customHeight="true" outlineLevel="0" collapsed="false">
      <c r="A64" s="116"/>
      <c r="B64" s="116"/>
      <c r="C64" s="116"/>
      <c r="D64" s="116"/>
      <c r="E64" s="116"/>
      <c r="F64" s="116"/>
      <c r="G64" s="116"/>
      <c r="H64" s="116"/>
    </row>
    <row r="65" customFormat="false" ht="21.75" hidden="false" customHeight="true" outlineLevel="0" collapsed="false">
      <c r="A65" s="116"/>
      <c r="B65" s="116"/>
      <c r="C65" s="116"/>
      <c r="D65" s="116"/>
      <c r="E65" s="116"/>
      <c r="F65" s="116"/>
      <c r="G65" s="116"/>
      <c r="H65" s="116"/>
    </row>
    <row r="66" customFormat="false" ht="21.75" hidden="false" customHeight="true" outlineLevel="0" collapsed="false">
      <c r="A66" s="116"/>
      <c r="B66" s="116"/>
      <c r="C66" s="116"/>
      <c r="D66" s="116"/>
      <c r="E66" s="116"/>
      <c r="F66" s="116"/>
      <c r="G66" s="116"/>
      <c r="H66" s="116"/>
    </row>
    <row r="67" customFormat="false" ht="21.75" hidden="false" customHeight="true" outlineLevel="0" collapsed="false">
      <c r="A67" s="116"/>
      <c r="B67" s="116"/>
      <c r="C67" s="116"/>
      <c r="D67" s="116"/>
      <c r="E67" s="116"/>
      <c r="F67" s="116"/>
      <c r="G67" s="116"/>
      <c r="H67" s="116"/>
    </row>
    <row r="68" customFormat="false" ht="21.75" hidden="false" customHeight="true" outlineLevel="0" collapsed="false">
      <c r="A68" s="116"/>
      <c r="B68" s="116"/>
      <c r="C68" s="116"/>
      <c r="D68" s="116"/>
      <c r="E68" s="116"/>
      <c r="F68" s="116"/>
      <c r="G68" s="116"/>
      <c r="H68" s="116"/>
    </row>
    <row r="69" customFormat="false" ht="21.75" hidden="false" customHeight="true" outlineLevel="0" collapsed="false">
      <c r="A69" s="116"/>
      <c r="B69" s="116"/>
      <c r="C69" s="116"/>
      <c r="D69" s="116"/>
      <c r="E69" s="116"/>
      <c r="F69" s="116"/>
      <c r="G69" s="116"/>
      <c r="H69" s="116"/>
    </row>
    <row r="70" customFormat="false" ht="21.75" hidden="false" customHeight="true" outlineLevel="0" collapsed="false">
      <c r="A70" s="116"/>
      <c r="B70" s="116"/>
      <c r="C70" s="116"/>
      <c r="D70" s="116"/>
      <c r="E70" s="116"/>
      <c r="F70" s="116"/>
      <c r="G70" s="116"/>
      <c r="H70" s="116"/>
    </row>
    <row r="71" customFormat="false" ht="21.75" hidden="false" customHeight="true" outlineLevel="0" collapsed="false">
      <c r="A71" s="116"/>
      <c r="B71" s="116"/>
      <c r="C71" s="116"/>
      <c r="D71" s="116"/>
      <c r="E71" s="116"/>
      <c r="F71" s="116"/>
      <c r="G71" s="116"/>
      <c r="H71" s="116"/>
    </row>
    <row r="72" customFormat="false" ht="21.75" hidden="false" customHeight="true" outlineLevel="0" collapsed="false">
      <c r="A72" s="116"/>
      <c r="B72" s="116"/>
      <c r="C72" s="116"/>
      <c r="D72" s="116"/>
      <c r="E72" s="116"/>
      <c r="F72" s="116"/>
      <c r="G72" s="116"/>
      <c r="H72"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0">
    <cfRule type="expression" priority="17" aboveAverage="0" equalAverage="0" bottom="0" percent="0" rank="0" text="" dxfId="34">
      <formula>LEFT($H23,3)="N/A"</formula>
    </cfRule>
  </conditionalFormatting>
  <conditionalFormatting sqref="D23:D6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F11  "&amp;Flights!$F$15&amp;"  "&amp;TEXT(Flights!$D$15,"DD-MMM-YY")&amp;" ("&amp;Flights!$E$15&amp;")  "&amp;Flights!$G$15&amp;" → "&amp;Flights!$H$15&amp;"  |  Class "&amp;Flights!$K$15</f>
        <v>SKYTRAX 2026 CATERING READINESS CHECKLIST  |  F11  MH1149  12-Oct-26 (MON)  PEN → KUL  |  Class EY</v>
      </c>
      <c r="B1" s="91"/>
      <c r="C1" s="91"/>
      <c r="D1" s="91"/>
      <c r="E1" s="91"/>
      <c r="F1" s="91"/>
      <c r="G1" s="91"/>
      <c r="H1" s="91"/>
    </row>
    <row r="2" customFormat="false" ht="12.75" hidden="false" customHeight="true" outlineLevel="0" collapsed="false">
      <c r="A2" s="92" t="s">
        <v>1605</v>
      </c>
      <c r="B2" s="93" t="str">
        <f aca="false">Flights!$F$15&amp;"   "&amp;TEXT(Flights!$D$15,"DD-MMM-YY")&amp;" ("&amp;Flights!$E$15&amp;")"</f>
        <v>MH1149   12-Oct-26 (MON)</v>
      </c>
      <c r="C2" s="93"/>
      <c r="D2" s="93"/>
      <c r="E2" s="94" t="s">
        <v>1606</v>
      </c>
      <c r="F2" s="95" t="str">
        <f aca="false">Flights!$AT$15</f>
        <v>NOT READY – DOCUMENTS</v>
      </c>
      <c r="G2" s="95"/>
      <c r="H2" s="95"/>
    </row>
    <row r="3" customFormat="false" ht="24" hidden="false" customHeight="true" outlineLevel="0" collapsed="false">
      <c r="A3" s="92" t="s">
        <v>1607</v>
      </c>
      <c r="B3" s="93" t="str">
        <f aca="false">Flights!$G$15&amp;" → "&amp;Flights!$H$15&amp;"   Class "&amp;Flights!$K$15&amp;"   Seat "&amp;Flights!$O$15</f>
        <v>PEN → KUL   Class EY   Seat 4A</v>
      </c>
      <c r="C3" s="93"/>
      <c r="D3" s="93"/>
      <c r="E3" s="94" t="s">
        <v>68</v>
      </c>
      <c r="F3" s="94" t="s">
        <v>1608</v>
      </c>
      <c r="G3" s="94" t="s">
        <v>1609</v>
      </c>
      <c r="H3" s="94"/>
    </row>
    <row r="4" customFormat="false" ht="24" hidden="false" customHeight="true" outlineLevel="0" collapsed="false">
      <c r="A4" s="92" t="s">
        <v>1610</v>
      </c>
      <c r="B4" s="93" t="str">
        <f aca="false">IF(ISNUMBER(Flights!$I$15),TEXT(Flights!$I$15,"DD-MMM-YY HH:MM"),"")&amp;" "&amp;Flights!$G$15&amp;"  →  "&amp;IF(ISNUMBER(Flights!$J$15),TEXT(Flights!$J$15,"DD-MMM-YY HH:MM"),"")&amp;" "&amp;Flights!$H$15</f>
        <v>12-Oct-26 15:50 PEN  →  12-Oct-26 16:55 KUL</v>
      </c>
      <c r="C4" s="93"/>
      <c r="D4" s="93"/>
      <c r="E4" s="92" t="s">
        <v>1611</v>
      </c>
      <c r="F4" s="96" t="str">
        <f aca="false">IF(ISNUMBER(Flights!$AG$15),TEXT(Flights!$AG$15,"DD-MMM-YY HH:MM"),"")&amp;" "&amp;Flights!$V$15</f>
        <v>05-Oct-26 15:50 KUL</v>
      </c>
      <c r="G4" s="97" t="n">
        <f aca="false">Flights!$AJ$15</f>
        <v>0</v>
      </c>
      <c r="H4" s="97"/>
    </row>
    <row r="5" customFormat="false" ht="24" hidden="false" customHeight="true" outlineLevel="0" collapsed="false">
      <c r="A5" s="92" t="s">
        <v>1612</v>
      </c>
      <c r="B5" s="93" t="str">
        <f aca="false">Flights!$L$15&amp;" – "&amp;Flights!$M$15</f>
        <v>B738MAX – B737-8 (B7M8)</v>
      </c>
      <c r="C5" s="93"/>
      <c r="D5" s="93"/>
      <c r="E5" s="92" t="s">
        <v>1613</v>
      </c>
      <c r="F5" s="96" t="str">
        <f aca="false">IF(ISNUMBER(Flights!$AH$15),TEXT(Flights!$AH$15,"DD-MMM-YY HH:MM"),"")&amp;" "&amp;Flights!$V$15</f>
        <v>11-Oct-26 15:50 KUL</v>
      </c>
      <c r="G5" s="97" t="n">
        <f aca="false">Flights!$AK$15</f>
        <v>0</v>
      </c>
      <c r="H5" s="97"/>
    </row>
    <row r="6" customFormat="false" ht="24" hidden="false" customHeight="true" outlineLevel="0" collapsed="false">
      <c r="A6" s="92" t="s">
        <v>1614</v>
      </c>
      <c r="B6" s="93" t="str">
        <f aca="false">IF(TRIM(Flights!$N$15)="","__________________",Flights!$N$15)</f>
        <v>__________________</v>
      </c>
      <c r="C6" s="93"/>
      <c r="D6" s="93"/>
      <c r="E6" s="92" t="s">
        <v>1615</v>
      </c>
      <c r="F6" s="96" t="str">
        <f aca="false">IF(ISNUMBER(Flights!$AI$15),TEXT(Flights!$AI$15,"DD-MMM-YY HH:MM"),"")&amp;" "&amp;Flights!$V$15&amp;IF(Flights!$AI$15=Flights!$AH$15,"  (= T-24H due)","")</f>
        <v>12-Oct-26 03:50 KUL</v>
      </c>
      <c r="G6" s="97" t="n">
        <f aca="false">Flights!$AL$15</f>
        <v>0</v>
      </c>
      <c r="H6" s="97"/>
    </row>
    <row r="7" customFormat="false" ht="24" hidden="false" customHeight="true" outlineLevel="0" collapsed="false">
      <c r="A7" s="92" t="s">
        <v>1616</v>
      </c>
      <c r="B7" s="93" t="str">
        <f aca="false">Flights!$T$15</f>
        <v>Refreshment (Peanut &amp; Water)</v>
      </c>
      <c r="C7" s="93"/>
      <c r="D7" s="93"/>
      <c r="E7" s="92" t="s">
        <v>1617</v>
      </c>
      <c r="F7" s="96" t="str">
        <f aca="false">"STD "&amp;IF(ISNUMBER(Flights!$I$15),TEXT(Flights!$I$15,"DD-MMM-YY HH:MM"),"")&amp;" "&amp;Flights!$G$15&amp;" (dep stn)"</f>
        <v>STD 12-Oct-26 15:50 PEN (dep stn)</v>
      </c>
      <c r="G7" s="97" t="n">
        <f aca="false">Flights!$AM$15</f>
        <v>0</v>
      </c>
      <c r="H7" s="97"/>
    </row>
    <row r="8" customFormat="false" ht="12.75" hidden="false" customHeight="true" outlineLevel="0" collapsed="false">
      <c r="A8" s="92" t="s">
        <v>150</v>
      </c>
      <c r="B8" s="93" t="str">
        <f aca="false">Flights!$V$15&amp;"   (reference uplift stns: "&amp;Flights!$U$15&amp;")"</f>
        <v>KUL   (reference uplift stns: KUL)</v>
      </c>
      <c r="C8" s="93"/>
      <c r="D8" s="93"/>
      <c r="E8" s="92" t="s">
        <v>1618</v>
      </c>
      <c r="F8" s="98" t="s">
        <v>1619</v>
      </c>
      <c r="G8" s="97" t="n">
        <f aca="false">Flights!$AN$15</f>
        <v>0</v>
      </c>
      <c r="H8" s="97"/>
    </row>
    <row r="9" customFormat="false" ht="12.75" hidden="false" customHeight="true" outlineLevel="0" collapsed="false">
      <c r="A9" s="92" t="s">
        <v>1620</v>
      </c>
      <c r="B9" s="93" t="str">
        <f aca="false">TRIM(Flights!$P$15&amp;"  "&amp;Flights!$Q$15)</f>
        <v>3H 05M</v>
      </c>
      <c r="C9" s="93"/>
      <c r="D9" s="93"/>
      <c r="E9" s="92" t="s">
        <v>1621</v>
      </c>
      <c r="F9" s="99" t="n">
        <f aca="false">Flights!$AP$15</f>
        <v>0</v>
      </c>
      <c r="G9" s="99" t="n">
        <f aca="false">Flights!$AQ$15</f>
        <v>0</v>
      </c>
      <c r="H9" s="99" t="n">
        <f aca="false">Flights!$AU$15</f>
        <v>0</v>
      </c>
    </row>
    <row r="10" customFormat="false" ht="24" hidden="false" customHeight="true" outlineLevel="0" collapsed="false">
      <c r="A10" s="92" t="s">
        <v>1622</v>
      </c>
      <c r="B10" s="93" t="str">
        <f aca="false">IF(TRIM(Flights!$X$15)="","__________________",Flights!$X$15)</f>
        <v>__________________</v>
      </c>
      <c r="C10" s="93"/>
      <c r="D10" s="93"/>
      <c r="E10" s="92" t="s">
        <v>1623</v>
      </c>
      <c r="F10" s="99" t="n">
        <f aca="false">Flights!$AO$15</f>
        <v>22</v>
      </c>
      <c r="G10" s="99" t="n">
        <f aca="false">Flights!$AS$15</f>
        <v>1</v>
      </c>
      <c r="H10" s="99" t="n">
        <f aca="false">Flights!$AR$15</f>
        <v>2</v>
      </c>
    </row>
    <row r="11" customFormat="false" ht="21" hidden="false" customHeight="true" outlineLevel="0" collapsed="false">
      <c r="A11" s="92" t="s">
        <v>1624</v>
      </c>
      <c r="B11" s="93" t="str">
        <f aca="false">IF(TRIM(Flights!$Y$15)="","__________________",Flights!$Y$15)</f>
        <v>__________________</v>
      </c>
      <c r="C11" s="93"/>
      <c r="D11" s="93"/>
      <c r="E11" s="92" t="s">
        <v>1625</v>
      </c>
      <c r="F11" s="99" t="str">
        <f aca="false">Flights!$AV$15&amp;" / "&amp;Flights!$AW$15</f>
        <v>0 / 22</v>
      </c>
      <c r="G11" s="100" t="str">
        <f aca="false">IF(ISNUMBER(Settings!$B$6),TEXT(Settings!$B$6,"DD-MMM-YY HH:MM"),"")</f>
        <v>28-Sep-26 03:19</v>
      </c>
      <c r="H11" s="100"/>
    </row>
    <row r="12" customFormat="false" ht="34.5" hidden="false" customHeight="true" outlineLevel="0" collapsed="false">
      <c r="A12" s="101" t="s">
        <v>1626</v>
      </c>
      <c r="B12" s="101"/>
      <c r="C12" s="101"/>
      <c r="D12" s="101"/>
      <c r="E12" s="102" t="s">
        <v>1627</v>
      </c>
      <c r="F12" s="103" t="s">
        <v>1628</v>
      </c>
      <c r="G12" s="104" t="s">
        <v>89</v>
      </c>
      <c r="H12" s="105" t="s">
        <v>1629</v>
      </c>
    </row>
    <row r="13" customFormat="false" ht="45.75" hidden="false" customHeight="true" outlineLevel="0" collapsed="false">
      <c r="A13" s="117" t="str">
        <f aca="false">"ROUND-TRIP LEG: all catering is uplifted at KUL on the carrying flight (agenda candidate "&amp;Flights!$W$15&amp;IFERROR(" "&amp;INDEX(Flights!$F$5:$F$26,MATCH(TRIM(Flights!$W$15),Flights!$A$5:$A$26,0)),"")&amp;"). T-24H / T-12H PREP are capped at the KUL loading window; on-board UPLIFT checks are at "&amp;Flights!$G$15&amp;"."&amp;CHAR(10)&amp;"KUL loading window opens (caps prep dues; each row shows its binding due): "&amp;IF(ISNUMBER(Flights!$AY$15),TEXT(Flights!$AY$15+IFERROR(INDEX(Settings!$C$13:$C$22,MATCH("KUL",Settings!$A$13:$A$22,0)),8)/24,"DD-MMM-YY HH:MM")&amp;" KUL","(not set)")&amp;"   |   Carrying flight KUL departure (loading confirmed by): "&amp;IF(ISNUMBER(Flights!$AY$15),TEXT(Flights!$AY$15+UpliftWindowH/24+IFERROR(INDEX(Settings!$C$13:$C$22,MATCH("KUL",Settings!$A$13:$A$22,0)),8)/24,"DD-MMM-YY HH:MM")&amp;" KUL","(not set)")&amp;IF(ISNUMBER(Flights!$AX$15),""," (estimated – enter actual on Flights AX)")</f>
        <v>ROUND-TRIP LEG: all catering is uplifted at KUL on the carrying flight (agenda candidate F10 MH1140). T-24H / T-12H PREP are capped at the KUL loading window; on-board UPLIFT checks are at PEN.
KUL loading window opens (caps prep dues; each row shows its binding due): 12-Oct-26 05:45 KUL   |   Carrying flight KUL departure (loading confirmed by): 12-Oct-26 11:45 KUL (estimated – enter actual on Flights AX)</v>
      </c>
      <c r="B13" s="117"/>
      <c r="C13" s="117"/>
      <c r="D13" s="117"/>
      <c r="E13" s="117"/>
      <c r="F13" s="117"/>
      <c r="G13" s="117"/>
      <c r="H13" s="117"/>
    </row>
    <row r="14" customFormat="false" ht="13.5" hidden="false" customHeight="true" outlineLevel="0" collapsed="false">
      <c r="A14" s="94" t="s">
        <v>1630</v>
      </c>
      <c r="B14" s="94" t="s">
        <v>1631</v>
      </c>
      <c r="C14" s="94" t="s">
        <v>1632</v>
      </c>
      <c r="D14" s="94"/>
      <c r="E14" s="94" t="s">
        <v>1633</v>
      </c>
      <c r="F14" s="94" t="s">
        <v>1634</v>
      </c>
      <c r="G14" s="94"/>
      <c r="H14" s="94"/>
    </row>
    <row r="15" customFormat="false" ht="36" hidden="false" customHeight="true" outlineLevel="0" collapsed="false">
      <c r="A15" s="92" t="s">
        <v>1635</v>
      </c>
      <c r="B15" s="93" t="str">
        <f aca="false">IF(Documents!$F$15="","",Documents!$F$15)</f>
        <v/>
      </c>
      <c r="C15" s="98" t="str">
        <f aca="false">IF(Documents!$G$15="","",Documents!$G$15)&amp;IF(ISNUMBER(Documents!$H$15),"  "&amp;TEXT(Documents!$H$15,"DD-MMM-YY"),"")</f>
        <v/>
      </c>
      <c r="D15" s="98"/>
      <c r="E15" s="106" t="str">
        <f aca="false">IF(Documents!$J$15="OUTSTANDING","OUTSTANDING – attach before T-7D (due "&amp;IF(ISNUMBER(Flights!$AG$15),TEXT(Flights!$AG$15,"DD-MMM-YY HH:MM"),"")&amp;" "&amp;Flights!$V$15&amp;")",IF(Documents!$J$15="","Status not recorded",Documents!$J$15))</f>
        <v>OUTSTANDING – attach before T-7D (due 05-Oct-26 15:50 KUL)</v>
      </c>
      <c r="F15" s="107" t="str">
        <f aca="false">"Staple behind this sheet as page A1."&amp;IF(Documents!$I$15="",""," Location: "&amp;Documents!$I$15)</f>
        <v>Staple behind this sheet as page A1.</v>
      </c>
      <c r="G15" s="107"/>
      <c r="H15" s="107"/>
    </row>
    <row r="16" customFormat="false" ht="36" hidden="false" customHeight="true" outlineLevel="0" collapsed="false">
      <c r="A16" s="92" t="s">
        <v>1636</v>
      </c>
      <c r="B16" s="93" t="str">
        <f aca="false">IF(Documents!$K$15="","",Documents!$K$15)</f>
        <v/>
      </c>
      <c r="C16" s="98" t="str">
        <f aca="false">IF(Documents!$L$15="","",Documents!$L$15)&amp;IF(ISNUMBER(Documents!$M$15),"  "&amp;TEXT(Documents!$M$15,"DD-MMM-YY"),"")</f>
        <v/>
      </c>
      <c r="D16" s="98"/>
      <c r="E16" s="106" t="str">
        <f aca="false">IF(Documents!$O$15="OUTSTANDING","OUTSTANDING – attach before T-7D (due "&amp;IF(ISNUMBER(Flights!$AG$15),TEXT(Flights!$AG$15,"DD-MMM-YY HH:MM"),"")&amp;" "&amp;Flights!$V$15&amp;")",IF(Documents!$O$15="","Status not recorded",Documents!$O$15))</f>
        <v>OUTSTANDING – attach before T-7D (due 05-Oct-26 15:50 KUL)</v>
      </c>
      <c r="F16" s="107" t="str">
        <f aca="false">"Staple behind this sheet as page A2."&amp;IF(Documents!$N$15="",""," Location: "&amp;Documents!$N$15)</f>
        <v>Staple behind this sheet as page A2.</v>
      </c>
      <c r="G16" s="107"/>
      <c r="H16" s="107"/>
    </row>
    <row r="17" customFormat="false" ht="22.5" hidden="false" customHeight="true" outlineLevel="0" collapsed="false">
      <c r="A17" s="92" t="s">
        <v>1637</v>
      </c>
      <c r="B17" s="108" t="str">
        <f aca="false">IF(Documents!$Q$15="","",Documents!$Q$15)</f>
        <v>Not supplied with brief – obtain from caterer / MAGCS. Return catering loaded at KUL: GLD must show return-leg stowage.</v>
      </c>
      <c r="C17" s="108"/>
      <c r="D17" s="108"/>
      <c r="E17" s="108"/>
      <c r="F17" s="108"/>
      <c r="G17" s="108"/>
      <c r="H17" s="108"/>
    </row>
    <row r="18" customFormat="false" ht="13.5" hidden="false" customHeight="true" outlineLevel="0" collapsed="false">
      <c r="A18" s="109" t="s">
        <v>1638</v>
      </c>
      <c r="B18" s="109"/>
      <c r="C18" s="109" t="s">
        <v>1639</v>
      </c>
      <c r="D18" s="109"/>
      <c r="E18" s="109"/>
      <c r="F18" s="109" t="s">
        <v>1640</v>
      </c>
      <c r="G18" s="109"/>
      <c r="H18" s="109"/>
    </row>
    <row r="19" customFormat="false" ht="18" hidden="false" customHeight="true" outlineLevel="0" collapsed="false">
      <c r="A19" s="93" t="str">
        <f aca="false">"Name: "&amp;IF(TRIM(Flights!$Y$15)="","__________________",Flights!$Y$15)</f>
        <v>Name: __________________</v>
      </c>
      <c r="B19" s="93"/>
      <c r="C19" s="93" t="str">
        <f aca="false">"Name: __________________"</f>
        <v>Name: __________________</v>
      </c>
      <c r="D19" s="93"/>
      <c r="E19" s="93"/>
      <c r="F19" s="93" t="str">
        <f aca="false">"Name: __________________"&amp;"   Station: "&amp;Flights!$V$15</f>
        <v>Name: __________________   Station: KUL</v>
      </c>
      <c r="G19" s="93"/>
      <c r="H19" s="93"/>
    </row>
    <row r="20" customFormat="false" ht="30" hidden="false" customHeight="true" outlineLevel="0" collapsed="false">
      <c r="A20" s="110" t="s">
        <v>1641</v>
      </c>
      <c r="B20" s="110"/>
      <c r="C20" s="110" t="s">
        <v>1641</v>
      </c>
      <c r="D20" s="110"/>
      <c r="E20" s="110"/>
      <c r="F20" s="110" t="s">
        <v>1641</v>
      </c>
      <c r="G20" s="110"/>
      <c r="H20" s="110"/>
    </row>
    <row r="21" customFormat="false" ht="13.5" hidden="false" customHeight="true" outlineLevel="0" collapsed="false">
      <c r="A21" s="111" t="s">
        <v>1642</v>
      </c>
      <c r="B21" s="111"/>
      <c r="C21" s="111"/>
      <c r="D21" s="111"/>
      <c r="E21" s="111"/>
      <c r="F21" s="111"/>
      <c r="G21" s="111"/>
      <c r="H21" s="111"/>
    </row>
    <row r="22" customFormat="false" ht="24" hidden="false" customHeight="true" outlineLevel="0" collapsed="false">
      <c r="A22" s="94" t="s">
        <v>1643</v>
      </c>
      <c r="B22" s="94" t="s">
        <v>1644</v>
      </c>
      <c r="C22" s="94" t="s">
        <v>1645</v>
      </c>
      <c r="D22" s="94" t="s">
        <v>1646</v>
      </c>
      <c r="E22" s="94" t="s">
        <v>1647</v>
      </c>
      <c r="F22" s="94" t="s">
        <v>1648</v>
      </c>
      <c r="G22" s="94" t="s">
        <v>1649</v>
      </c>
      <c r="H22" s="94" t="s">
        <v>121</v>
      </c>
    </row>
    <row r="23" customFormat="false" ht="25.5" hidden="false" customHeight="true" outlineLevel="0" collapsed="false">
      <c r="A23" s="112"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Checks!$A$357&amp;CHAR(10)&amp;IF(Checks!$I$357="","",Checks!$I$357&amp;": ")&amp;Checks!$J$357</f>
        <v>F11-T7-01
Meal: Meal sensory testing completed for this flight's menu cycle (assessed class)</v>
      </c>
      <c r="B24" s="113" t="str">
        <f aca="false">Checks!$K$357&amp;IF(Checks!$O$357="","",IF(Checks!$K$357="","",CHAR(10))&amp;"Note: "&amp;Checks!$O$357)</f>
        <v>Record panel result / score in Result
Note: Refreshment service: sensory test covers the refreshment items.</v>
      </c>
      <c r="C24" s="113" t="str">
        <f aca="false">Checks!$N$357&amp;CHAR(10)&amp;IF(ISNUMBER(Checks!$R$357),TEXT(Checks!$R$357,"DD-MMM-YY HH:MM"),"")&amp;" "&amp;Checks!$P$357</f>
        <v>Required
05-Oct-26 15:50 KUL</v>
      </c>
      <c r="D24" s="113" t="str">
        <f aca="false">IF(Checks!$U$357="","",Checks!$U$357)&amp;IF(Checks!$AB$357="","",CHAR(10)&amp;"CA: "&amp;Checks!$AB$357)</f>
        <v/>
      </c>
      <c r="E24" s="113" t="str">
        <f aca="false">IF(Checks!$V$357="","",Checks!$V$357)&amp;IF(Checks!$AC$357="","",IF(Checks!$V$357="","",CHAR(10))&amp;"N/A just.: "&amp;Checks!$AC$357)&amp;IF(Checks!$W$357="","",CHAR(10)&amp;"Batch: "&amp;Checks!$W$357)&amp;IF(AND(Checks!$X$357="",Checks!$Y$357=""),"",CHAR(10)&amp;"Exp: "&amp;Checks!$X$357&amp;"  /  Act: "&amp;Checks!$Y$357)</f>
        <v/>
      </c>
      <c r="F24" s="113" t="str">
        <f aca="false">IF(Checks!$Z$357="","","Evidence: "&amp;Checks!$Z$357)&amp;IF(Checks!$AA$357="","",IF(Checks!$Z$357="","",CHAR(10))&amp;"CA: "&amp;Checks!$AA$357)</f>
        <v/>
      </c>
      <c r="G24" s="113" t="str">
        <f aca="false">IF(ISNUMBER(Checks!$AD$357),TEXT(Checks!$AD$357,"DD-MMM-YY HH:MM")&amp;" "&amp;Checks!$P$357,"")&amp;IF(Checks!$AE$357="","",CHAR(10)&amp;"Verifier: "&amp;Checks!$AE$357)&amp;IF(Checks!$T$357="","",CHAR(10)&amp;"PIC: "&amp;Checks!$T$357)</f>
        <v/>
      </c>
      <c r="H24" s="114" t="str">
        <f aca="false">IF(Checks!$AH$357="","",Checks!$AH$357)</f>
        <v>OPEN</v>
      </c>
    </row>
    <row r="25" customFormat="false" ht="114" hidden="false" customHeight="true" outlineLevel="0" collapsed="false">
      <c r="A25" s="113" t="str">
        <f aca="false">Checks!$A$358&amp;CHAR(10)&amp;IF(Checks!$I$358="","",Checks!$I$358&amp;": ")&amp;Checks!$J$358</f>
        <v>F11-T7-02
Menu: Printed menu cards confirmed (content, cycle, language, quantity)</v>
      </c>
      <c r="B25" s="113" t="str">
        <f aca="false">Checks!$K$358&amp;IF(Checks!$O$358="","",IF(Checks!$K$358="","",CHAR(10))&amp;"Note: "&amp;Checks!$O$358)</f>
        <v>Menu card matches approved menu for this flight
Note: Refreshment service (peanut &amp; water). If no printed menu card is used, mark N/A with the confirmation as justification.</v>
      </c>
      <c r="C25" s="113" t="str">
        <f aca="false">Checks!$N$358&amp;CHAR(10)&amp;IF(ISNUMBER(Checks!$R$358),TEXT(Checks!$R$358,"DD-MMM-YY HH:MM"),"")&amp;" "&amp;Checks!$P$358</f>
        <v>Required
05-Oct-26 15:50 KUL</v>
      </c>
      <c r="D25" s="113" t="str">
        <f aca="false">IF(Checks!$U$358="","",Checks!$U$358)&amp;IF(Checks!$AB$358="","",CHAR(10)&amp;"CA: "&amp;Checks!$AB$358)</f>
        <v/>
      </c>
      <c r="E25" s="113" t="str">
        <f aca="false">IF(Checks!$V$358="","",Checks!$V$358)&amp;IF(Checks!$AC$358="","",IF(Checks!$V$358="","",CHAR(10))&amp;"N/A just.: "&amp;Checks!$AC$358)&amp;IF(Checks!$W$358="","",CHAR(10)&amp;"Batch: "&amp;Checks!$W$358)&amp;IF(AND(Checks!$X$358="",Checks!$Y$358=""),"",CHAR(10)&amp;"Exp: "&amp;Checks!$X$358&amp;"  /  Act: "&amp;Checks!$Y$358)</f>
        <v/>
      </c>
      <c r="F25" s="113" t="str">
        <f aca="false">IF(Checks!$Z$358="","","Evidence: "&amp;Checks!$Z$358)&amp;IF(Checks!$AA$358="","",IF(Checks!$Z$358="","",CHAR(10))&amp;"CA: "&amp;Checks!$AA$358)</f>
        <v/>
      </c>
      <c r="G25" s="113" t="str">
        <f aca="false">IF(ISNUMBER(Checks!$AD$358),TEXT(Checks!$AD$358,"DD-MMM-YY HH:MM")&amp;" "&amp;Checks!$P$358,"")&amp;IF(Checks!$AE$358="","",CHAR(10)&amp;"Verifier: "&amp;Checks!$AE$358)&amp;IF(Checks!$T$358="","",CHAR(10)&amp;"PIC: "&amp;Checks!$T$358)</f>
        <v/>
      </c>
      <c r="H25" s="114" t="str">
        <f aca="false">IF(Checks!$AH$358="","",Checks!$AH$358)</f>
        <v>OPEN</v>
      </c>
    </row>
    <row r="26" customFormat="false" ht="114" hidden="false" customHeight="true" outlineLevel="0" collapsed="false">
      <c r="A26" s="113" t="str">
        <f aca="false">Checks!$A$359&amp;CHAR(10)&amp;IF(Checks!$I$359="","",Checks!$I$359&amp;": ")&amp;Checks!$J$359</f>
        <v>F11-T7-03
IFE: Digital menu in IFE confirmed (A339 only)</v>
      </c>
      <c r="B26" s="113" t="str">
        <f aca="false">Checks!$K$359&amp;IF(Checks!$O$359="","",IF(Checks!$K$359="","",CHAR(10))&amp;"Note: "&amp;Checks!$O$359)</f>
        <v>Applies when fleet = A339
Note: Digital IFE menu applies to A339 only (user brief). Applicability follows the Fleet cell on Flights.</v>
      </c>
      <c r="C26" s="113" t="str">
        <f aca="false">Checks!$N$359&amp;CHAR(10)&amp;IF(ISNUMBER(Checks!$R$359),TEXT(Checks!$R$359,"DD-MMM-YY HH:MM"),"")&amp;" "&amp;Checks!$P$359</f>
        <v>N/A – rule
05-Oct-26 15:50 KUL</v>
      </c>
      <c r="D26" s="113" t="str">
        <f aca="false">IF(Checks!$U$359="","",Checks!$U$359)&amp;IF(Checks!$AB$359="","",CHAR(10)&amp;"CA: "&amp;Checks!$AB$359)</f>
        <v/>
      </c>
      <c r="E26" s="113" t="str">
        <f aca="false">IF(Checks!$V$359="","",Checks!$V$359)&amp;IF(Checks!$AC$359="","",IF(Checks!$V$359="","",CHAR(10))&amp;"N/A just.: "&amp;Checks!$AC$359)&amp;IF(Checks!$W$359="","",CHAR(10)&amp;"Batch: "&amp;Checks!$W$359)&amp;IF(AND(Checks!$X$359="",Checks!$Y$359=""),"",CHAR(10)&amp;"Exp: "&amp;Checks!$X$359&amp;"  /  Act: "&amp;Checks!$Y$359)</f>
        <v/>
      </c>
      <c r="F26" s="113" t="str">
        <f aca="false">IF(Checks!$Z$359="","","Evidence: "&amp;Checks!$Z$359)&amp;IF(Checks!$AA$359="","",IF(Checks!$Z$359="","",CHAR(10))&amp;"CA: "&amp;Checks!$AA$359)</f>
        <v/>
      </c>
      <c r="G26" s="113" t="str">
        <f aca="false">IF(ISNUMBER(Checks!$AD$359),TEXT(Checks!$AD$359,"DD-MMM-YY HH:MM")&amp;" "&amp;Checks!$P$359,"")&amp;IF(Checks!$AE$359="","",CHAR(10)&amp;"Verifier: "&amp;Checks!$AE$359)&amp;IF(Checks!$T$359="","",CHAR(10)&amp;"PIC: "&amp;Checks!$T$359)</f>
        <v/>
      </c>
      <c r="H26" s="114" t="str">
        <f aca="false">IF(Checks!$AH$359="","",Checks!$AH$359)</f>
        <v>N/A – RULE</v>
      </c>
    </row>
    <row r="27" customFormat="false" ht="114" hidden="false" customHeight="true" outlineLevel="0" collapsed="false">
      <c r="A27" s="113" t="str">
        <f aca="false">Checks!$A$360&amp;CHAR(10)&amp;IF(Checks!$I$360="","",Checks!$I$360&amp;": ")&amp;Checks!$J$360</f>
        <v>F11-T7-04
Staffing: Experienced catering officer assigned to this flight</v>
      </c>
      <c r="B27" s="113" t="str">
        <f aca="false">Checks!$K$360&amp;IF(Checks!$O$360="","",IF(Checks!$K$360="","",CHAR(10))&amp;"Note: "&amp;Checks!$O$360)</f>
        <v>Record officer name in Result</v>
      </c>
      <c r="C27" s="113" t="str">
        <f aca="false">Checks!$N$360&amp;CHAR(10)&amp;IF(ISNUMBER(Checks!$R$360),TEXT(Checks!$R$360,"DD-MMM-YY HH:MM"),"")&amp;" "&amp;Checks!$P$360</f>
        <v>Required
05-Oct-26 15:50 KUL</v>
      </c>
      <c r="D27" s="113" t="str">
        <f aca="false">IF(Checks!$U$360="","",Checks!$U$360)&amp;IF(Checks!$AB$360="","",CHAR(10)&amp;"CA: "&amp;Checks!$AB$360)</f>
        <v/>
      </c>
      <c r="E27" s="113" t="str">
        <f aca="false">IF(Checks!$V$360="","",Checks!$V$360)&amp;IF(Checks!$AC$360="","",IF(Checks!$V$360="","",CHAR(10))&amp;"N/A just.: "&amp;Checks!$AC$360)&amp;IF(Checks!$W$360="","",CHAR(10)&amp;"Batch: "&amp;Checks!$W$360)&amp;IF(AND(Checks!$X$360="",Checks!$Y$360=""),"",CHAR(10)&amp;"Exp: "&amp;Checks!$X$360&amp;"  /  Act: "&amp;Checks!$Y$360)</f>
        <v/>
      </c>
      <c r="F27" s="113" t="str">
        <f aca="false">IF(Checks!$Z$360="","","Evidence: "&amp;Checks!$Z$360)&amp;IF(Checks!$AA$360="","",IF(Checks!$Z$360="","",CHAR(10))&amp;"CA: "&amp;Checks!$AA$360)</f>
        <v/>
      </c>
      <c r="G27" s="113" t="str">
        <f aca="false">IF(ISNUMBER(Checks!$AD$360),TEXT(Checks!$AD$360,"DD-MMM-YY HH:MM")&amp;" "&amp;Checks!$P$360,"")&amp;IF(Checks!$AE$360="","",CHAR(10)&amp;"Verifier: "&amp;Checks!$AE$360)&amp;IF(Checks!$T$360="","",CHAR(10)&amp;"PIC: "&amp;Checks!$T$360)</f>
        <v/>
      </c>
      <c r="H27" s="114" t="str">
        <f aca="false">IF(Checks!$AH$360="","",Checks!$AH$360)</f>
        <v>OPEN</v>
      </c>
    </row>
    <row r="28" customFormat="false" ht="114" hidden="false" customHeight="true" outlineLevel="0" collapsed="false">
      <c r="A28" s="113" t="str">
        <f aca="false">Checks!$A$361&amp;CHAR(10)&amp;IF(Checks!$I$361="","",Checks!$I$361&amp;": ")&amp;Checks!$J$361</f>
        <v>F11-T7-05
ISOP: All latest applicable ISOP revisions communicated to caterer</v>
      </c>
      <c r="B28" s="113" t="str">
        <f aca="false">Checks!$K$361&amp;IF(Checks!$O$361="","",IF(Checks!$K$361="","",CHAR(10))&amp;"Note: "&amp;Checks!$O$361)</f>
        <v>List revision numbers in Result (see ISOP register)</v>
      </c>
      <c r="C28" s="113" t="str">
        <f aca="false">Checks!$N$361&amp;CHAR(10)&amp;IF(ISNUMBER(Checks!$R$361),TEXT(Checks!$R$361,"DD-MMM-YY HH:MM"),"")&amp;" "&amp;Checks!$P$361</f>
        <v>Required
05-Oct-26 15:50 KUL</v>
      </c>
      <c r="D28" s="113" t="str">
        <f aca="false">IF(Checks!$U$361="","",Checks!$U$361)&amp;IF(Checks!$AB$361="","",CHAR(10)&amp;"CA: "&amp;Checks!$AB$361)</f>
        <v/>
      </c>
      <c r="E28" s="113" t="str">
        <f aca="false">IF(Checks!$V$361="","",Checks!$V$361)&amp;IF(Checks!$AC$361="","",IF(Checks!$V$361="","",CHAR(10))&amp;"N/A just.: "&amp;Checks!$AC$361)&amp;IF(Checks!$W$361="","",CHAR(10)&amp;"Batch: "&amp;Checks!$W$361)&amp;IF(AND(Checks!$X$361="",Checks!$Y$361=""),"",CHAR(10)&amp;"Exp: "&amp;Checks!$X$361&amp;"  /  Act: "&amp;Checks!$Y$361)</f>
        <v/>
      </c>
      <c r="F28" s="113" t="str">
        <f aca="false">IF(Checks!$Z$361="","","Evidence: "&amp;Checks!$Z$361)&amp;IF(Checks!$AA$361="","",IF(Checks!$Z$361="","",CHAR(10))&amp;"CA: "&amp;Checks!$AA$361)</f>
        <v/>
      </c>
      <c r="G28" s="113" t="str">
        <f aca="false">IF(ISNUMBER(Checks!$AD$361),TEXT(Checks!$AD$361,"DD-MMM-YY HH:MM")&amp;" "&amp;Checks!$P$361,"")&amp;IF(Checks!$AE$361="","",CHAR(10)&amp;"Verifier: "&amp;Checks!$AE$361)&amp;IF(Checks!$T$361="","",CHAR(10)&amp;"PIC: "&amp;Checks!$T$361)</f>
        <v/>
      </c>
      <c r="H28" s="114" t="str">
        <f aca="false">IF(Checks!$AH$361="","",Checks!$AH$361)</f>
        <v>OPEN</v>
      </c>
    </row>
    <row r="29" customFormat="false" ht="114" hidden="false" customHeight="true" outlineLevel="0" collapsed="false">
      <c r="A29" s="113" t="str">
        <f aca="false">Checks!$A$362&amp;CHAR(10)&amp;IF(Checks!$I$362="","",Checks!$I$362&amp;": ")&amp;Checks!$J$362</f>
        <v>F11-T7-06
ISOP: Caterer acknowledgement of ISOP revisions recorded</v>
      </c>
      <c r="B29" s="113" t="str">
        <f aca="false">Checks!$K$362&amp;IF(Checks!$O$362="","",IF(Checks!$K$362="","",CHAR(10))&amp;"Note: "&amp;Checks!$O$362)</f>
        <v>Record acknowledgement ref in Evidence</v>
      </c>
      <c r="C29" s="113" t="str">
        <f aca="false">Checks!$N$362&amp;CHAR(10)&amp;IF(ISNUMBER(Checks!$R$362),TEXT(Checks!$R$362,"DD-MMM-YY HH:MM"),"")&amp;" "&amp;Checks!$P$362</f>
        <v>Required
05-Oct-26 15:50 KUL</v>
      </c>
      <c r="D29" s="113" t="str">
        <f aca="false">IF(Checks!$U$362="","",Checks!$U$362)&amp;IF(Checks!$AB$362="","",CHAR(10)&amp;"CA: "&amp;Checks!$AB$362)</f>
        <v/>
      </c>
      <c r="E29" s="113" t="str">
        <f aca="false">IF(Checks!$V$362="","",Checks!$V$362)&amp;IF(Checks!$AC$362="","",IF(Checks!$V$362="","",CHAR(10))&amp;"N/A just.: "&amp;Checks!$AC$362)&amp;IF(Checks!$W$362="","",CHAR(10)&amp;"Batch: "&amp;Checks!$W$362)&amp;IF(AND(Checks!$X$362="",Checks!$Y$362=""),"",CHAR(10)&amp;"Exp: "&amp;Checks!$X$362&amp;"  /  Act: "&amp;Checks!$Y$362)</f>
        <v/>
      </c>
      <c r="F29" s="113" t="str">
        <f aca="false">IF(Checks!$Z$362="","","Evidence: "&amp;Checks!$Z$362)&amp;IF(Checks!$AA$362="","",IF(Checks!$Z$362="","",CHAR(10))&amp;"CA: "&amp;Checks!$AA$362)</f>
        <v/>
      </c>
      <c r="G29" s="113" t="str">
        <f aca="false">IF(ISNUMBER(Checks!$AD$362),TEXT(Checks!$AD$362,"DD-MMM-YY HH:MM")&amp;" "&amp;Checks!$P$362,"")&amp;IF(Checks!$AE$362="","",CHAR(10)&amp;"Verifier: "&amp;Checks!$AE$362)&amp;IF(Checks!$T$362="","",CHAR(10)&amp;"PIC: "&amp;Checks!$T$362)</f>
        <v/>
      </c>
      <c r="H29" s="114" t="str">
        <f aca="false">IF(Checks!$AH$362="","",Checks!$AH$362)</f>
        <v>OPEN</v>
      </c>
    </row>
    <row r="30" customFormat="false" ht="114" hidden="false" customHeight="true" outlineLevel="0" collapsed="false">
      <c r="A30" s="113" t="str">
        <f aca="false">Checks!$A$363&amp;CHAR(10)&amp;IF(Checks!$I$363="","",Checks!$I$363&amp;": ")&amp;Checks!$J$363</f>
        <v>F11-T7-07
Documents: Galley loading diagram (GLD) received, revision recorded &amp; attached</v>
      </c>
      <c r="B30" s="113" t="str">
        <f aca="false">Checks!$K$363&amp;IF(Checks!$O$363="","",IF(Checks!$K$363="","",CHAR(10))&amp;"Note: "&amp;Checks!$O$363)</f>
        <v>Documents sheet row complete</v>
      </c>
      <c r="C30" s="113" t="str">
        <f aca="false">Checks!$N$363&amp;CHAR(10)&amp;IF(ISNUMBER(Checks!$R$363),TEXT(Checks!$R$363,"DD-MMM-YY HH:MM"),"")&amp;" "&amp;Checks!$P$363</f>
        <v>Required
05-Oct-26 15:50 KUL</v>
      </c>
      <c r="D30" s="113" t="str">
        <f aca="false">IF(Checks!$U$363="","",Checks!$U$363)&amp;IF(Checks!$AB$363="","",CHAR(10)&amp;"CA: "&amp;Checks!$AB$363)</f>
        <v/>
      </c>
      <c r="E30" s="113" t="str">
        <f aca="false">IF(Checks!$V$363="","",Checks!$V$363)&amp;IF(Checks!$AC$363="","",IF(Checks!$V$363="","",CHAR(10))&amp;"N/A just.: "&amp;Checks!$AC$363)&amp;IF(Checks!$W$363="","",CHAR(10)&amp;"Batch: "&amp;Checks!$W$363)&amp;IF(AND(Checks!$X$363="",Checks!$Y$363=""),"",CHAR(10)&amp;"Exp: "&amp;Checks!$X$363&amp;"  /  Act: "&amp;Checks!$Y$363)</f>
        <v/>
      </c>
      <c r="F30" s="113" t="str">
        <f aca="false">IF(Checks!$Z$363="","","Evidence: "&amp;Checks!$Z$363)&amp;IF(Checks!$AA$363="","",IF(Checks!$Z$363="","",CHAR(10))&amp;"CA: "&amp;Checks!$AA$363)</f>
        <v/>
      </c>
      <c r="G30" s="113" t="str">
        <f aca="false">IF(ISNUMBER(Checks!$AD$363),TEXT(Checks!$AD$363,"DD-MMM-YY HH:MM")&amp;" "&amp;Checks!$P$363,"")&amp;IF(Checks!$AE$363="","",CHAR(10)&amp;"Verifier: "&amp;Checks!$AE$363)&amp;IF(Checks!$T$363="","",CHAR(10)&amp;"PIC: "&amp;Checks!$T$363)</f>
        <v/>
      </c>
      <c r="H30" s="114" t="str">
        <f aca="false">IF(Checks!$AH$363="","",Checks!$AH$363)</f>
        <v>OPEN</v>
      </c>
    </row>
    <row r="31" customFormat="false" ht="114" hidden="false" customHeight="true" outlineLevel="0" collapsed="false">
      <c r="A31" s="113" t="str">
        <f aca="false">Checks!$A$364&amp;CHAR(10)&amp;IF(Checks!$I$364="","",Checks!$I$364&amp;": ")&amp;Checks!$J$364</f>
        <v>F11-T7-08
Documents: Menu checklist received, revision recorded &amp; attached</v>
      </c>
      <c r="B31" s="113" t="str">
        <f aca="false">Checks!$K$364&amp;IF(Checks!$O$364="","",IF(Checks!$K$364="","",CHAR(10))&amp;"Note: "&amp;Checks!$O$364)</f>
        <v>Documents sheet row complete</v>
      </c>
      <c r="C31" s="113" t="str">
        <f aca="false">Checks!$N$364&amp;CHAR(10)&amp;IF(ISNUMBER(Checks!$R$364),TEXT(Checks!$R$364,"DD-MMM-YY HH:MM"),"")&amp;" "&amp;Checks!$P$364</f>
        <v>Required
05-Oct-26 15:50 KUL</v>
      </c>
      <c r="D31" s="113" t="str">
        <f aca="false">IF(Checks!$U$364="","",Checks!$U$364)&amp;IF(Checks!$AB$364="","",CHAR(10)&amp;"CA: "&amp;Checks!$AB$364)</f>
        <v/>
      </c>
      <c r="E31" s="113" t="str">
        <f aca="false">IF(Checks!$V$364="","",Checks!$V$364)&amp;IF(Checks!$AC$364="","",IF(Checks!$V$364="","",CHAR(10))&amp;"N/A just.: "&amp;Checks!$AC$364)&amp;IF(Checks!$W$364="","",CHAR(10)&amp;"Batch: "&amp;Checks!$W$364)&amp;IF(AND(Checks!$X$364="",Checks!$Y$364=""),"",CHAR(10)&amp;"Exp: "&amp;Checks!$X$364&amp;"  /  Act: "&amp;Checks!$Y$364)</f>
        <v/>
      </c>
      <c r="F31" s="113" t="str">
        <f aca="false">IF(Checks!$Z$364="","","Evidence: "&amp;Checks!$Z$364)&amp;IF(Checks!$AA$364="","",IF(Checks!$Z$364="","",CHAR(10))&amp;"CA: "&amp;Checks!$AA$364)</f>
        <v/>
      </c>
      <c r="G31" s="113" t="str">
        <f aca="false">IF(ISNUMBER(Checks!$AD$364),TEXT(Checks!$AD$364,"DD-MMM-YY HH:MM")&amp;" "&amp;Checks!$P$364,"")&amp;IF(Checks!$AE$364="","",CHAR(10)&amp;"Verifier: "&amp;Checks!$AE$364)&amp;IF(Checks!$T$364="","",CHAR(10)&amp;"PIC: "&amp;Checks!$T$364)</f>
        <v/>
      </c>
      <c r="H31" s="114" t="str">
        <f aca="false">IF(Checks!$AH$364="","",Checks!$AH$364)</f>
        <v>OPEN</v>
      </c>
    </row>
    <row r="32" customFormat="false" ht="114" hidden="false" customHeight="true" outlineLevel="0" collapsed="false">
      <c r="A32" s="113" t="str">
        <f aca="false">Checks!$A$365&amp;CHAR(10)&amp;IF(Checks!$I$365="","",Checks!$I$365&amp;": ")&amp;Checks!$J$365</f>
        <v>F11-T7-09
Uplift plan: Uplift plan confirmed with caterer vs STD Uplift Information</v>
      </c>
      <c r="B32" s="113" t="str">
        <f aca="false">Checks!$K$365&amp;IF(Checks!$O$365="","",IF(Checks!$K$365="","",CHAR(10))&amp;"Note: "&amp;Checks!$O$365)</f>
        <v>Service: Refreshment (Peanut &amp; Water); meal uplift stn KUL (ref lists KUL)
Note: Return catering uplifted at KUL on the outbound rotation (ref uplift stn = KUL). Confirm aircraft rotation.</v>
      </c>
      <c r="C32" s="113" t="str">
        <f aca="false">Checks!$N$365&amp;CHAR(10)&amp;IF(ISNUMBER(Checks!$R$365),TEXT(Checks!$R$365,"DD-MMM-YY HH:MM"),"")&amp;" "&amp;Checks!$P$365</f>
        <v>Required
05-Oct-26 15:50 KUL</v>
      </c>
      <c r="D32" s="113" t="str">
        <f aca="false">IF(Checks!$U$365="","",Checks!$U$365)&amp;IF(Checks!$AB$365="","",CHAR(10)&amp;"CA: "&amp;Checks!$AB$365)</f>
        <v/>
      </c>
      <c r="E32" s="113" t="str">
        <f aca="false">IF(Checks!$V$365="","",Checks!$V$365)&amp;IF(Checks!$AC$365="","",IF(Checks!$V$365="","",CHAR(10))&amp;"N/A just.: "&amp;Checks!$AC$365)&amp;IF(Checks!$W$365="","",CHAR(10)&amp;"Batch: "&amp;Checks!$W$365)&amp;IF(AND(Checks!$X$365="",Checks!$Y$365=""),"",CHAR(10)&amp;"Exp: "&amp;Checks!$X$365&amp;"  /  Act: "&amp;Checks!$Y$365)</f>
        <v/>
      </c>
      <c r="F32" s="113" t="str">
        <f aca="false">IF(Checks!$Z$365="","","Evidence: "&amp;Checks!$Z$365)&amp;IF(Checks!$AA$365="","",IF(Checks!$Z$365="","",CHAR(10))&amp;"CA: "&amp;Checks!$AA$365)</f>
        <v/>
      </c>
      <c r="G32" s="113" t="str">
        <f aca="false">IF(ISNUMBER(Checks!$AD$365),TEXT(Checks!$AD$365,"DD-MMM-YY HH:MM")&amp;" "&amp;Checks!$P$365,"")&amp;IF(Checks!$AE$365="","",CHAR(10)&amp;"Verifier: "&amp;Checks!$AE$365)&amp;IF(Checks!$T$365="","",CHAR(10)&amp;"PIC: "&amp;Checks!$T$365)</f>
        <v/>
      </c>
      <c r="H32" s="114" t="str">
        <f aca="false">IF(Checks!$AH$365="","",Checks!$AH$365)</f>
        <v>OPEN</v>
      </c>
    </row>
    <row r="33" customFormat="false" ht="223.5" hidden="false" customHeight="true" outlineLevel="0" collapsed="false">
      <c r="A33" s="113" t="str">
        <f aca="false">Checks!$A$366&amp;CHAR(10)&amp;IF(Checks!$I$366="","",Checks!$I$366&amp;": ")&amp;Checks!$J$366</f>
        <v>F11-T7-10
Uplift plan: Carrying flight for this leg's return catering identified and its KUL departure (UTC) entered on Flights col AX</v>
      </c>
      <c r="B33" s="113"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assume the candidate's KUL departure.</v>
      </c>
      <c r="C33" s="113" t="str">
        <f aca="false">Checks!$N$366&amp;CHAR(10)&amp;IF(ISNUMBER(Checks!$R$366),TEXT(Checks!$R$366,"DD-MMM-YY HH:MM"),"")&amp;" "&amp;Checks!$P$366</f>
        <v>Clarification required
05-Oct-26 15:50 KUL</v>
      </c>
      <c r="D33" s="113" t="str">
        <f aca="false">IF(Checks!$U$366="","",Checks!$U$366)&amp;IF(Checks!$AB$366="","",CHAR(10)&amp;"CA: "&amp;Checks!$AB$366)</f>
        <v/>
      </c>
      <c r="E33" s="113" t="str">
        <f aca="false">IF(Checks!$V$366="","",Checks!$V$366)&amp;IF(Checks!$AC$366="","",IF(Checks!$V$366="","",CHAR(10))&amp;"N/A just.: "&amp;Checks!$AC$366)&amp;IF(Checks!$W$366="","",CHAR(10)&amp;"Batch: "&amp;Checks!$W$366)&amp;IF(AND(Checks!$X$366="",Checks!$Y$366=""),"",CHAR(10)&amp;"Exp: "&amp;Checks!$X$366&amp;"  /  Act: "&amp;Checks!$Y$366)</f>
        <v/>
      </c>
      <c r="F33" s="113" t="str">
        <f aca="false">IF(Checks!$Z$366="","","Evidence: "&amp;Checks!$Z$366)&amp;IF(Checks!$AA$366="","",IF(Checks!$Z$366="","",CHAR(10))&amp;"CA: "&amp;Checks!$AA$366)</f>
        <v/>
      </c>
      <c r="G33" s="113" t="str">
        <f aca="false">IF(ISNUMBER(Checks!$AD$366),TEXT(Checks!$AD$366,"DD-MMM-YY HH:MM")&amp;" "&amp;Checks!$P$366,"")&amp;IF(Checks!$AE$366="","",CHAR(10)&amp;"Verifier: "&amp;Checks!$AE$366)&amp;IF(Checks!$T$366="","",CHAR(10)&amp;"PIC: "&amp;Checks!$T$366)</f>
        <v/>
      </c>
      <c r="H33" s="114" t="str">
        <f aca="false">IF(Checks!$AH$366="","",Checks!$AH$366)</f>
        <v>OPEN – CLARIFICATION</v>
      </c>
    </row>
    <row r="34" customFormat="false" ht="25.5" hidden="false" customHeight="true" outlineLevel="0" collapsed="false">
      <c r="A34" s="112"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Checks!$A$367&amp;CHAR(10)&amp;IF(Checks!$I$367="","",Checks!$I$367&amp;": ")&amp;Checks!$J$367</f>
        <v>F11-T24-01
Meal: Sensory test repeated on ACTUAL production batch for this flight</v>
      </c>
      <c r="B35" s="113" t="str">
        <f aca="false">Checks!$K$367&amp;IF(Checks!$O$367="","",IF(Checks!$K$367="","",CHAR(10))&amp;"Note: "&amp;Checks!$O$367)</f>
        <v>Batch ID, result, CA and acceptance mandatory
Note: Round-trip catered from KUL: due capped at the KUL loading deadline (Flights AY).</v>
      </c>
      <c r="C35" s="113" t="str">
        <f aca="false">Checks!$N$367&amp;CHAR(10)&amp;IF(ISNUMBER(Checks!$R$367),TEXT(Checks!$R$367,"DD-MMM-YY HH:MM"),"")&amp;" "&amp;Checks!$P$367</f>
        <v>Required
11-Oct-26 15:50 KUL</v>
      </c>
      <c r="D35" s="113" t="str">
        <f aca="false">IF(Checks!$U$367="","",Checks!$U$367)&amp;IF(Checks!$AB$367="","",CHAR(10)&amp;"CA: "&amp;Checks!$AB$367)</f>
        <v/>
      </c>
      <c r="E35" s="113" t="str">
        <f aca="false">IF(Checks!$V$367="","",Checks!$V$367)&amp;IF(Checks!$AC$367="","",IF(Checks!$V$367="","",CHAR(10))&amp;"N/A just.: "&amp;Checks!$AC$367)&amp;IF(Checks!$W$367="","",CHAR(10)&amp;"Batch: "&amp;Checks!$W$367)&amp;IF(AND(Checks!$X$367="",Checks!$Y$367=""),"",CHAR(10)&amp;"Exp: "&amp;Checks!$X$367&amp;"  /  Act: "&amp;Checks!$Y$367)</f>
        <v/>
      </c>
      <c r="F35" s="113" t="str">
        <f aca="false">IF(Checks!$Z$367="","","Evidence: "&amp;Checks!$Z$367)&amp;IF(Checks!$AA$367="","",IF(Checks!$Z$367="","",CHAR(10))&amp;"CA: "&amp;Checks!$AA$367)</f>
        <v/>
      </c>
      <c r="G35" s="113" t="str">
        <f aca="false">IF(ISNUMBER(Checks!$AD$367),TEXT(Checks!$AD$367,"DD-MMM-YY HH:MM")&amp;" "&amp;Checks!$P$367,"")&amp;IF(Checks!$AE$367="","",CHAR(10)&amp;"Verifier: "&amp;Checks!$AE$367)&amp;IF(Checks!$T$367="","",CHAR(10)&amp;"PIC: "&amp;Checks!$T$367)</f>
        <v/>
      </c>
      <c r="H35" s="114" t="str">
        <f aca="false">IF(Checks!$AH$367="","",Checks!$AH$367)</f>
        <v>OPEN</v>
      </c>
    </row>
    <row r="36" customFormat="false" ht="25.5" hidden="false" customHeight="true" outlineLevel="0" collapsed="false">
      <c r="A36" s="112"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2"/>
      <c r="C36" s="112"/>
      <c r="D36" s="112"/>
      <c r="E36" s="112"/>
      <c r="F36" s="112"/>
      <c r="G36" s="112"/>
      <c r="H36" s="112"/>
    </row>
    <row r="37" customFormat="false" ht="114" hidden="false" customHeight="true" outlineLevel="0" collapsed="false">
      <c r="A37" s="113" t="str">
        <f aca="false">Checks!$A$368&amp;CHAR(10)&amp;IF(Checks!$I$368="","",Checks!$I$368&amp;": ")&amp;Checks!$J$368</f>
        <v>F11-T12-01
Meal: Meal quality vs menu checklist</v>
      </c>
      <c r="B37" s="113" t="str">
        <f aca="false">Checks!$K$368&amp;IF(Checks!$O$368="","",IF(Checks!$K$368="","",CHAR(10))&amp;"Note: "&amp;Checks!$O$368)</f>
        <v>Note: Preparation check at caterer - does NOT confirm loading. Round-trip catered from KUL: due capped at the KUL loading deadline (Flights AY).</v>
      </c>
      <c r="C37" s="113" t="str">
        <f aca="false">Checks!$N$368&amp;CHAR(10)&amp;IF(ISNUMBER(Checks!$R$368),TEXT(Checks!$R$368,"DD-MMM-YY HH:MM"),"")&amp;" "&amp;Checks!$P$368</f>
        <v>Required
12-Oct-26 03:50 KUL</v>
      </c>
      <c r="D37" s="113" t="str">
        <f aca="false">IF(Checks!$U$368="","",Checks!$U$368)&amp;IF(Checks!$AB$368="","",CHAR(10)&amp;"CA: "&amp;Checks!$AB$368)</f>
        <v/>
      </c>
      <c r="E37" s="113" t="str">
        <f aca="false">IF(Checks!$V$368="","",Checks!$V$368)&amp;IF(Checks!$AC$368="","",IF(Checks!$V$368="","",CHAR(10))&amp;"N/A just.: "&amp;Checks!$AC$368)&amp;IF(Checks!$W$368="","",CHAR(10)&amp;"Batch: "&amp;Checks!$W$368)&amp;IF(AND(Checks!$X$368="",Checks!$Y$368=""),"",CHAR(10)&amp;"Exp: "&amp;Checks!$X$368&amp;"  /  Act: "&amp;Checks!$Y$368)</f>
        <v/>
      </c>
      <c r="F37" s="113" t="str">
        <f aca="false">IF(Checks!$Z$368="","","Evidence: "&amp;Checks!$Z$368)&amp;IF(Checks!$AA$368="","",IF(Checks!$Z$368="","",CHAR(10))&amp;"CA: "&amp;Checks!$AA$368)</f>
        <v/>
      </c>
      <c r="G37" s="113" t="str">
        <f aca="false">IF(ISNUMBER(Checks!$AD$368),TEXT(Checks!$AD$368,"DD-MMM-YY HH:MM")&amp;" "&amp;Checks!$P$368,"")&amp;IF(Checks!$AE$368="","",CHAR(10)&amp;"Verifier: "&amp;Checks!$AE$368)&amp;IF(Checks!$T$368="","",CHAR(10)&amp;"PIC: "&amp;Checks!$T$368)</f>
        <v/>
      </c>
      <c r="H37" s="114" t="str">
        <f aca="false">IF(Checks!$AH$368="","",Checks!$AH$368)</f>
        <v>OPEN</v>
      </c>
    </row>
    <row r="38" customFormat="false" ht="114" hidden="false" customHeight="true" outlineLevel="0" collapsed="false">
      <c r="A38" s="113" t="str">
        <f aca="false">Checks!$A$369&amp;CHAR(10)&amp;IF(Checks!$I$369="","",Checks!$I$369&amp;": ")&amp;Checks!$J$369</f>
        <v>F11-T12-02
Meal: Meal quantities vs menu checklist</v>
      </c>
      <c r="B38" s="113" t="str">
        <f aca="false">Checks!$K$369&amp;IF(Checks!$O$369="","",IF(Checks!$K$369="","",CHAR(10))&amp;"Note: "&amp;Checks!$O$369)</f>
        <v>Enter expected &amp; actual
Note: Preparation check at caterer - does NOT confirm loading. Round-trip catered from KUL: due capped at the KUL loading deadline (Flights AY).</v>
      </c>
      <c r="C38" s="113" t="str">
        <f aca="false">Checks!$N$369&amp;CHAR(10)&amp;IF(ISNUMBER(Checks!$R$369),TEXT(Checks!$R$369,"DD-MMM-YY HH:MM"),"")&amp;" "&amp;Checks!$P$369</f>
        <v>Required
12-Oct-26 03:50 KUL</v>
      </c>
      <c r="D38" s="113" t="str">
        <f aca="false">IF(Checks!$U$369="","",Checks!$U$369)&amp;IF(Checks!$AB$369="","",CHAR(10)&amp;"CA: "&amp;Checks!$AB$369)</f>
        <v/>
      </c>
      <c r="E38" s="113" t="str">
        <f aca="false">IF(Checks!$V$369="","",Checks!$V$369)&amp;IF(Checks!$AC$369="","",IF(Checks!$V$369="","",CHAR(10))&amp;"N/A just.: "&amp;Checks!$AC$369)&amp;IF(Checks!$W$369="","",CHAR(10)&amp;"Batch: "&amp;Checks!$W$369)&amp;IF(AND(Checks!$X$369="",Checks!$Y$369=""),"",CHAR(10)&amp;"Exp: "&amp;Checks!$X$369&amp;"  /  Act: "&amp;Checks!$Y$369)</f>
        <v/>
      </c>
      <c r="F38" s="113" t="str">
        <f aca="false">IF(Checks!$Z$369="","","Evidence: "&amp;Checks!$Z$369)&amp;IF(Checks!$AA$369="","",IF(Checks!$Z$369="","",CHAR(10))&amp;"CA: "&amp;Checks!$AA$369)</f>
        <v/>
      </c>
      <c r="G38" s="113" t="str">
        <f aca="false">IF(ISNUMBER(Checks!$AD$369),TEXT(Checks!$AD$369,"DD-MMM-YY HH:MM")&amp;" "&amp;Checks!$P$369,"")&amp;IF(Checks!$AE$369="","",CHAR(10)&amp;"Verifier: "&amp;Checks!$AE$369)&amp;IF(Checks!$T$369="","",CHAR(10)&amp;"PIC: "&amp;Checks!$T$369)</f>
        <v/>
      </c>
      <c r="H38" s="114" t="str">
        <f aca="false">IF(Checks!$AH$369="","",Checks!$AH$369)</f>
        <v>OPEN</v>
      </c>
    </row>
    <row r="39" customFormat="false" ht="114" hidden="false" customHeight="true" outlineLevel="0" collapsed="false">
      <c r="A39" s="113" t="str">
        <f aca="false">Checks!$A$370&amp;CHAR(10)&amp;IF(Checks!$I$370="","",Checks!$I$370&amp;": ")&amp;Checks!$J$370</f>
        <v>F11-T12-03
Equipment: Equipment cleanliness vs GLD</v>
      </c>
      <c r="B39" s="113" t="str">
        <f aca="false">Checks!$K$370&amp;IF(Checks!$O$370="","",IF(Checks!$K$370="","",CHAR(10))&amp;"Note: "&amp;Checks!$O$370)</f>
        <v>Note: Preparation check at caterer - does NOT confirm loading. Round-trip catered from KUL: due capped at the KUL loading deadline (Flights AY).</v>
      </c>
      <c r="C39" s="113" t="str">
        <f aca="false">Checks!$N$370&amp;CHAR(10)&amp;IF(ISNUMBER(Checks!$R$370),TEXT(Checks!$R$370,"DD-MMM-YY HH:MM"),"")&amp;" "&amp;Checks!$P$370</f>
        <v>Required
12-Oct-26 03:50 KUL</v>
      </c>
      <c r="D39" s="113" t="str">
        <f aca="false">IF(Checks!$U$370="","",Checks!$U$370)&amp;IF(Checks!$AB$370="","",CHAR(10)&amp;"CA: "&amp;Checks!$AB$370)</f>
        <v/>
      </c>
      <c r="E39" s="113" t="str">
        <f aca="false">IF(Checks!$V$370="","",Checks!$V$370)&amp;IF(Checks!$AC$370="","",IF(Checks!$V$370="","",CHAR(10))&amp;"N/A just.: "&amp;Checks!$AC$370)&amp;IF(Checks!$W$370="","",CHAR(10)&amp;"Batch: "&amp;Checks!$W$370)&amp;IF(AND(Checks!$X$370="",Checks!$Y$370=""),"",CHAR(10)&amp;"Exp: "&amp;Checks!$X$370&amp;"  /  Act: "&amp;Checks!$Y$370)</f>
        <v/>
      </c>
      <c r="F39" s="113" t="str">
        <f aca="false">IF(Checks!$Z$370="","","Evidence: "&amp;Checks!$Z$370)&amp;IF(Checks!$AA$370="","",IF(Checks!$Z$370="","",CHAR(10))&amp;"CA: "&amp;Checks!$AA$370)</f>
        <v/>
      </c>
      <c r="G39" s="113" t="str">
        <f aca="false">IF(ISNUMBER(Checks!$AD$370),TEXT(Checks!$AD$370,"DD-MMM-YY HH:MM")&amp;" "&amp;Checks!$P$370,"")&amp;IF(Checks!$AE$370="","",CHAR(10)&amp;"Verifier: "&amp;Checks!$AE$370)&amp;IF(Checks!$T$370="","",CHAR(10)&amp;"PIC: "&amp;Checks!$T$370)</f>
        <v/>
      </c>
      <c r="H39" s="114" t="str">
        <f aca="false">IF(Checks!$AH$370="","",Checks!$AH$370)</f>
        <v>OPEN</v>
      </c>
    </row>
    <row r="40" customFormat="false" ht="114" hidden="false" customHeight="true" outlineLevel="0" collapsed="false">
      <c r="A40" s="113" t="str">
        <f aca="false">Checks!$A$371&amp;CHAR(10)&amp;IF(Checks!$I$371="","",Checks!$I$371&amp;": ")&amp;Checks!$J$371</f>
        <v>F11-T12-04
Equipment: Equipment presentation vs GLD</v>
      </c>
      <c r="B40" s="113" t="str">
        <f aca="false">Checks!$K$371&amp;IF(Checks!$O$371="","",IF(Checks!$K$371="","",CHAR(10))&amp;"Note: "&amp;Checks!$O$371)</f>
        <v>Note: Preparation check at caterer - does NOT confirm loading. Round-trip catered from KUL: due capped at the KUL loading deadline (Flights AY).</v>
      </c>
      <c r="C40" s="113" t="str">
        <f aca="false">Checks!$N$371&amp;CHAR(10)&amp;IF(ISNUMBER(Checks!$R$371),TEXT(Checks!$R$371,"DD-MMM-YY HH:MM"),"")&amp;" "&amp;Checks!$P$371</f>
        <v>Required
12-Oct-26 03:50 KUL</v>
      </c>
      <c r="D40" s="113" t="str">
        <f aca="false">IF(Checks!$U$371="","",Checks!$U$371)&amp;IF(Checks!$AB$371="","",CHAR(10)&amp;"CA: "&amp;Checks!$AB$371)</f>
        <v/>
      </c>
      <c r="E40" s="113" t="str">
        <f aca="false">IF(Checks!$V$371="","",Checks!$V$371)&amp;IF(Checks!$AC$371="","",IF(Checks!$V$371="","",CHAR(10))&amp;"N/A just.: "&amp;Checks!$AC$371)&amp;IF(Checks!$W$371="","",CHAR(10)&amp;"Batch: "&amp;Checks!$W$371)&amp;IF(AND(Checks!$X$371="",Checks!$Y$371=""),"",CHAR(10)&amp;"Exp: "&amp;Checks!$X$371&amp;"  /  Act: "&amp;Checks!$Y$371)</f>
        <v/>
      </c>
      <c r="F40" s="113" t="str">
        <f aca="false">IF(Checks!$Z$371="","","Evidence: "&amp;Checks!$Z$371)&amp;IF(Checks!$AA$371="","",IF(Checks!$Z$371="","",CHAR(10))&amp;"CA: "&amp;Checks!$AA$371)</f>
        <v/>
      </c>
      <c r="G40" s="113" t="str">
        <f aca="false">IF(ISNUMBER(Checks!$AD$371),TEXT(Checks!$AD$371,"DD-MMM-YY HH:MM")&amp;" "&amp;Checks!$P$371,"")&amp;IF(Checks!$AE$371="","",CHAR(10)&amp;"Verifier: "&amp;Checks!$AE$371)&amp;IF(Checks!$T$371="","",CHAR(10)&amp;"PIC: "&amp;Checks!$T$371)</f>
        <v/>
      </c>
      <c r="H40" s="114" t="str">
        <f aca="false">IF(Checks!$AH$371="","",Checks!$AH$371)</f>
        <v>OPEN</v>
      </c>
    </row>
    <row r="41" customFormat="false" ht="114" hidden="false" customHeight="true" outlineLevel="0" collapsed="false">
      <c r="A41" s="113" t="str">
        <f aca="false">Checks!$A$372&amp;CHAR(10)&amp;IF(Checks!$I$372="","",Checks!$I$372&amp;": ")&amp;Checks!$J$372</f>
        <v>F11-T12-05
Equipment: Equipment serviceability vs GLD</v>
      </c>
      <c r="B41" s="113" t="str">
        <f aca="false">Checks!$K$372&amp;IF(Checks!$O$372="","",IF(Checks!$K$372="","",CHAR(10))&amp;"Note: "&amp;Checks!$O$372)</f>
        <v>Note: Preparation check at caterer - does NOT confirm loading. Round-trip catered from KUL: due capped at the KUL loading deadline (Flights AY).</v>
      </c>
      <c r="C41" s="113" t="str">
        <f aca="false">Checks!$N$372&amp;CHAR(10)&amp;IF(ISNUMBER(Checks!$R$372),TEXT(Checks!$R$372,"DD-MMM-YY HH:MM"),"")&amp;" "&amp;Checks!$P$372</f>
        <v>Required
12-Oct-26 03:50 KUL</v>
      </c>
      <c r="D41" s="113" t="str">
        <f aca="false">IF(Checks!$U$372="","",Checks!$U$372)&amp;IF(Checks!$AB$372="","",CHAR(10)&amp;"CA: "&amp;Checks!$AB$372)</f>
        <v/>
      </c>
      <c r="E41" s="113" t="str">
        <f aca="false">IF(Checks!$V$372="","",Checks!$V$372)&amp;IF(Checks!$AC$372="","",IF(Checks!$V$372="","",CHAR(10))&amp;"N/A just.: "&amp;Checks!$AC$372)&amp;IF(Checks!$W$372="","",CHAR(10)&amp;"Batch: "&amp;Checks!$W$372)&amp;IF(AND(Checks!$X$372="",Checks!$Y$372=""),"",CHAR(10)&amp;"Exp: "&amp;Checks!$X$372&amp;"  /  Act: "&amp;Checks!$Y$372)</f>
        <v/>
      </c>
      <c r="F41" s="113" t="str">
        <f aca="false">IF(Checks!$Z$372="","","Evidence: "&amp;Checks!$Z$372)&amp;IF(Checks!$AA$372="","",IF(Checks!$Z$372="","",CHAR(10))&amp;"CA: "&amp;Checks!$AA$372)</f>
        <v/>
      </c>
      <c r="G41" s="113" t="str">
        <f aca="false">IF(ISNUMBER(Checks!$AD$372),TEXT(Checks!$AD$372,"DD-MMM-YY HH:MM")&amp;" "&amp;Checks!$P$372,"")&amp;IF(Checks!$AE$372="","",CHAR(10)&amp;"Verifier: "&amp;Checks!$AE$372)&amp;IF(Checks!$T$372="","",CHAR(10)&amp;"PIC: "&amp;Checks!$T$372)</f>
        <v/>
      </c>
      <c r="H41" s="114" t="str">
        <f aca="false">IF(Checks!$AH$372="","",Checks!$AH$372)</f>
        <v>OPEN</v>
      </c>
    </row>
    <row r="42" customFormat="false" ht="234.75" hidden="false" customHeight="true" outlineLevel="0" collapsed="false">
      <c r="A42" s="113" t="str">
        <f aca="false">Checks!$A$373&amp;CHAR(10)&amp;IF(Checks!$I$373="","",Checks!$I$373&amp;": ")&amp;Checks!$J$373</f>
        <v>F11-T12-06
Equipment: Equipment quantities vs GLD</v>
      </c>
      <c r="B42" s="113" t="str">
        <f aca="false">SUBSTITUTE(Checks!$K$373&amp;IF(Checks!$O$373="","",IF(Checks!$K$373="","",CHAR(10))&amp;"Note: "&amp;Checks!$O$373),"AIRCRAFT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3" t="str">
        <f aca="false">Checks!$N$373&amp;CHAR(10)&amp;IF(ISNUMBER(Checks!$R$373),TEXT(Checks!$R$373,"DD-MMM-YY HH:MM"),"")&amp;" "&amp;Checks!$P$373</f>
        <v>Required
12-Oct-26 03:50 KUL</v>
      </c>
      <c r="D42" s="113" t="str">
        <f aca="false">IF(Checks!$U$373="","",Checks!$U$373)&amp;IF(Checks!$AB$373="","",CHAR(10)&amp;"CA: "&amp;Checks!$AB$373)</f>
        <v/>
      </c>
      <c r="E42" s="113" t="str">
        <f aca="false">IF(Checks!$V$373="","",Checks!$V$373)&amp;IF(Checks!$AC$373="","",IF(Checks!$V$373="","",CHAR(10))&amp;"N/A just.: "&amp;Checks!$AC$373)&amp;IF(Checks!$W$373="","",CHAR(10)&amp;"Batch: "&amp;Checks!$W$373)&amp;IF(AND(Checks!$X$373="",Checks!$Y$373=""),"",CHAR(10)&amp;"Exp: "&amp;Checks!$X$373&amp;"  /  Act: "&amp;Checks!$Y$373)</f>
        <v/>
      </c>
      <c r="F42" s="113" t="str">
        <f aca="false">IF(Checks!$Z$373="","","Evidence: "&amp;Checks!$Z$373)&amp;IF(Checks!$AA$373="","",IF(Checks!$Z$373="","",CHAR(10))&amp;"CA: "&amp;Checks!$AA$373)</f>
        <v/>
      </c>
      <c r="G42" s="113" t="str">
        <f aca="false">IF(ISNUMBER(Checks!$AD$373),TEXT(Checks!$AD$373,"DD-MMM-YY HH:MM")&amp;" "&amp;Checks!$P$373,"")&amp;IF(Checks!$AE$373="","",CHAR(10)&amp;"Verifier: "&amp;Checks!$AE$373)&amp;IF(Checks!$T$373="","",CHAR(10)&amp;"PIC: "&amp;Checks!$T$373)</f>
        <v/>
      </c>
      <c r="H42" s="114" t="str">
        <f aca="false">IF(Checks!$AH$373="","",Checks!$AH$373)</f>
        <v>OPEN</v>
      </c>
    </row>
    <row r="43" customFormat="false" ht="114" hidden="false" customHeight="true" outlineLevel="0" collapsed="false">
      <c r="A43" s="113" t="str">
        <f aca="false">Checks!$A$374&amp;CHAR(10)&amp;IF(Checks!$I$374="","",Checks!$I$374&amp;": ")&amp;Checks!$J$374</f>
        <v>F11-T12-07
Equipment: Loading positions planned vs GLD</v>
      </c>
      <c r="B43" s="113" t="str">
        <f aca="false">Checks!$K$374&amp;IF(Checks!$O$374="","",IF(Checks!$K$374="","",CHAR(10))&amp;"Note: "&amp;Checks!$O$374)</f>
        <v>Note: Preparation check at caterer - does NOT confirm loading. Round-trip catered from KUL: due capped at the KUL loading deadline (Flights AY).</v>
      </c>
      <c r="C43" s="113" t="str">
        <f aca="false">Checks!$N$374&amp;CHAR(10)&amp;IF(ISNUMBER(Checks!$R$374),TEXT(Checks!$R$374,"DD-MMM-YY HH:MM"),"")&amp;" "&amp;Checks!$P$374</f>
        <v>Required
12-Oct-26 03:50 KUL</v>
      </c>
      <c r="D43" s="113" t="str">
        <f aca="false">IF(Checks!$U$374="","",Checks!$U$374)&amp;IF(Checks!$AB$374="","",CHAR(10)&amp;"CA: "&amp;Checks!$AB$374)</f>
        <v/>
      </c>
      <c r="E43" s="113" t="str">
        <f aca="false">IF(Checks!$V$374="","",Checks!$V$374)&amp;IF(Checks!$AC$374="","",IF(Checks!$V$374="","",CHAR(10))&amp;"N/A just.: "&amp;Checks!$AC$374)&amp;IF(Checks!$W$374="","",CHAR(10)&amp;"Batch: "&amp;Checks!$W$374)&amp;IF(AND(Checks!$X$374="",Checks!$Y$374=""),"",CHAR(10)&amp;"Exp: "&amp;Checks!$X$374&amp;"  /  Act: "&amp;Checks!$Y$374)</f>
        <v/>
      </c>
      <c r="F43" s="113" t="str">
        <f aca="false">IF(Checks!$Z$374="","","Evidence: "&amp;Checks!$Z$374)&amp;IF(Checks!$AA$374="","",IF(Checks!$Z$374="","",CHAR(10))&amp;"CA: "&amp;Checks!$AA$374)</f>
        <v/>
      </c>
      <c r="G43" s="113" t="str">
        <f aca="false">IF(ISNUMBER(Checks!$AD$374),TEXT(Checks!$AD$374,"DD-MMM-YY HH:MM")&amp;" "&amp;Checks!$P$374,"")&amp;IF(Checks!$AE$374="","",CHAR(10)&amp;"Verifier: "&amp;Checks!$AE$374)&amp;IF(Checks!$T$374="","",CHAR(10)&amp;"PIC: "&amp;Checks!$T$374)</f>
        <v/>
      </c>
      <c r="H43" s="114" t="str">
        <f aca="false">IF(Checks!$AH$374="","",Checks!$AH$374)</f>
        <v>OPEN</v>
      </c>
    </row>
    <row r="44" customFormat="false" ht="168.75" hidden="false" customHeight="true" outlineLevel="0" collapsed="false">
      <c r="A44" s="113" t="str">
        <f aca="false">Checks!$A$375&amp;CHAR(10)&amp;IF(Checks!$I$375="","",Checks!$I$375&amp;": ")&amp;Checks!$J$375</f>
        <v>F11-T12-08
Seat Linen: Seat pillow (EY) - prepared</v>
      </c>
      <c r="B44" s="113"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44" s="113" t="str">
        <f aca="false">Checks!$N$375&amp;CHAR(10)&amp;IF(ISNUMBER(Checks!$R$375),TEXT(Checks!$R$375,"DD-MMM-YY HH:MM"),"")&amp;" "&amp;Checks!$P$375</f>
        <v>Required
12-Oct-26 03:50 KUL</v>
      </c>
      <c r="D44" s="113" t="str">
        <f aca="false">IF(Checks!$U$375="","",Checks!$U$375)&amp;IF(Checks!$AB$375="","",CHAR(10)&amp;"CA: "&amp;Checks!$AB$375)</f>
        <v/>
      </c>
      <c r="E44" s="113" t="str">
        <f aca="false">IF(Checks!$V$375="","",Checks!$V$375)&amp;IF(Checks!$AC$375="","",IF(Checks!$V$375="","",CHAR(10))&amp;"N/A just.: "&amp;Checks!$AC$375)&amp;IF(Checks!$W$375="","",CHAR(10)&amp;"Batch: "&amp;Checks!$W$375)&amp;IF(AND(Checks!$X$375="",Checks!$Y$375=""),"",CHAR(10)&amp;"Exp: "&amp;Checks!$X$375&amp;"  /  Act: "&amp;Checks!$Y$375)</f>
        <v/>
      </c>
      <c r="F44" s="113" t="str">
        <f aca="false">IF(Checks!$Z$375="","","Evidence: "&amp;Checks!$Z$375)&amp;IF(Checks!$AA$375="","",IF(Checks!$Z$375="","",CHAR(10))&amp;"CA: "&amp;Checks!$AA$375)</f>
        <v/>
      </c>
      <c r="G44" s="113" t="str">
        <f aca="false">IF(ISNUMBER(Checks!$AD$375),TEXT(Checks!$AD$375,"DD-MMM-YY HH:MM")&amp;" "&amp;Checks!$P$375,"")&amp;IF(Checks!$AE$375="","",CHAR(10)&amp;"Verifier: "&amp;Checks!$AE$375)&amp;IF(Checks!$T$375="","",CHAR(10)&amp;"PIC: "&amp;Checks!$T$375)</f>
        <v/>
      </c>
      <c r="H44" s="114" t="str">
        <f aca="false">IF(Checks!$AH$375="","",Checks!$AH$375)</f>
        <v>OPEN</v>
      </c>
    </row>
    <row r="45" customFormat="false" ht="25.5" hidden="false" customHeight="true" outlineLevel="0" collapsed="false">
      <c r="A45" s="112"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2"/>
      <c r="C45" s="112"/>
      <c r="D45" s="112"/>
      <c r="E45" s="112"/>
      <c r="F45" s="112"/>
      <c r="G45" s="112"/>
      <c r="H45" s="112"/>
    </row>
    <row r="46" customFormat="false" ht="114" hidden="false" customHeight="true" outlineLevel="0" collapsed="false">
      <c r="A46" s="113" t="str">
        <f aca="false">Checks!$A$376&amp;CHAR(10)&amp;IF(Checks!$I$376="","",Checks!$I$376&amp;": ")&amp;Checks!$J$376</f>
        <v>F11-UPL-01
Meal: Meals physically uplifted on board - quantity vs menu checklist</v>
      </c>
      <c r="B46" s="113" t="str">
        <f aca="false">Checks!$K$376&amp;IF(Checks!$O$376="","",IF(Checks!$K$376="","",CHAR(10))&amp;"Note: "&amp;Checks!$O$376)</f>
        <v>Enter expected &amp; actual
Note: Confirm on board before departure; completion time must fall inside the uplift window.</v>
      </c>
      <c r="C46" s="113" t="str">
        <f aca="false">Checks!$N$376&amp;CHAR(10)&amp;IF(ISNUMBER(Checks!$R$376),TEXT(Checks!$R$376,"DD-MMM-YY HH:MM"),"")&amp;" "&amp;Checks!$P$376</f>
        <v>Required
12-Oct-26 15:50 PEN</v>
      </c>
      <c r="D46" s="113" t="str">
        <f aca="false">IF(Checks!$U$376="","",Checks!$U$376)&amp;IF(Checks!$AB$376="","",CHAR(10)&amp;"CA: "&amp;Checks!$AB$376)</f>
        <v/>
      </c>
      <c r="E46" s="113" t="str">
        <f aca="false">IF(Checks!$V$376="","",Checks!$V$376)&amp;IF(Checks!$AC$376="","",IF(Checks!$V$376="","",CHAR(10))&amp;"N/A just.: "&amp;Checks!$AC$376)&amp;IF(Checks!$W$376="","",CHAR(10)&amp;"Batch: "&amp;Checks!$W$376)&amp;IF(AND(Checks!$X$376="",Checks!$Y$376=""),"",CHAR(10)&amp;"Exp: "&amp;Checks!$X$376&amp;"  /  Act: "&amp;Checks!$Y$376)</f>
        <v/>
      </c>
      <c r="F46" s="113" t="str">
        <f aca="false">IF(Checks!$Z$376="","","Evidence: "&amp;Checks!$Z$376)&amp;IF(Checks!$AA$376="","",IF(Checks!$Z$376="","",CHAR(10))&amp;"CA: "&amp;Checks!$AA$376)</f>
        <v/>
      </c>
      <c r="G46" s="113" t="str">
        <f aca="false">IF(ISNUMBER(Checks!$AD$376),TEXT(Checks!$AD$376,"DD-MMM-YY HH:MM")&amp;" "&amp;Checks!$P$376,"")&amp;IF(Checks!$AE$376="","",CHAR(10)&amp;"Verifier: "&amp;Checks!$AE$376)&amp;IF(Checks!$T$376="","",CHAR(10)&amp;"PIC: "&amp;Checks!$T$376)</f>
        <v/>
      </c>
      <c r="H46" s="114" t="str">
        <f aca="false">IF(Checks!$AH$376="","",Checks!$AH$376)</f>
        <v>OPEN</v>
      </c>
    </row>
    <row r="47" customFormat="false" ht="114" hidden="false" customHeight="true" outlineLevel="0" collapsed="false">
      <c r="A47" s="113" t="str">
        <f aca="false">Checks!$A$377&amp;CHAR(10)&amp;IF(Checks!$I$377="","",Checks!$I$377&amp;": ")&amp;Checks!$J$377</f>
        <v>F11-UPL-02
Equipment: Equipment physically loaded at GLD positions - quantity &amp; positions</v>
      </c>
      <c r="B47" s="113" t="str">
        <f aca="false">Checks!$K$377&amp;IF(Checks!$O$377="","",IF(Checks!$K$377="","",CHAR(10))&amp;"Note: "&amp;Checks!$O$377)</f>
        <v>Enter expected &amp; actual
Note: Confirm on board before departure; completion time must fall inside the uplift window.</v>
      </c>
      <c r="C47" s="113" t="str">
        <f aca="false">Checks!$N$377&amp;CHAR(10)&amp;IF(ISNUMBER(Checks!$R$377),TEXT(Checks!$R$377,"DD-MMM-YY HH:MM"),"")&amp;" "&amp;Checks!$P$377</f>
        <v>Required
12-Oct-26 15:50 PEN</v>
      </c>
      <c r="D47" s="113" t="str">
        <f aca="false">IF(Checks!$U$377="","",Checks!$U$377)&amp;IF(Checks!$AB$377="","",CHAR(10)&amp;"CA: "&amp;Checks!$AB$377)</f>
        <v/>
      </c>
      <c r="E47" s="113" t="str">
        <f aca="false">IF(Checks!$V$377="","",Checks!$V$377)&amp;IF(Checks!$AC$377="","",IF(Checks!$V$377="","",CHAR(10))&amp;"N/A just.: "&amp;Checks!$AC$377)&amp;IF(Checks!$W$377="","",CHAR(10)&amp;"Batch: "&amp;Checks!$W$377)&amp;IF(AND(Checks!$X$377="",Checks!$Y$377=""),"",CHAR(10)&amp;"Exp: "&amp;Checks!$X$377&amp;"  /  Act: "&amp;Checks!$Y$377)</f>
        <v/>
      </c>
      <c r="F47" s="113" t="str">
        <f aca="false">IF(Checks!$Z$377="","","Evidence: "&amp;Checks!$Z$377)&amp;IF(Checks!$AA$377="","",IF(Checks!$Z$377="","",CHAR(10))&amp;"CA: "&amp;Checks!$AA$377)</f>
        <v/>
      </c>
      <c r="G47" s="113" t="str">
        <f aca="false">IF(ISNUMBER(Checks!$AD$377),TEXT(Checks!$AD$377,"DD-MMM-YY HH:MM")&amp;" "&amp;Checks!$P$377,"")&amp;IF(Checks!$AE$377="","",CHAR(10)&amp;"Verifier: "&amp;Checks!$AE$377)&amp;IF(Checks!$T$377="","",CHAR(10)&amp;"PIC: "&amp;Checks!$T$377)</f>
        <v/>
      </c>
      <c r="H47" s="114" t="str">
        <f aca="false">IF(Checks!$AH$377="","",Checks!$AH$377)</f>
        <v>OPEN</v>
      </c>
    </row>
    <row r="48" customFormat="false" ht="213" hidden="false" customHeight="true" outlineLevel="0" collapsed="false">
      <c r="A48" s="113" t="str">
        <f aca="false">Checks!$A$378&amp;CHAR(10)&amp;IF(Checks!$I$378="","",Checks!$I$378&amp;": ")&amp;Checks!$J$378</f>
        <v>F11-UPL-03
Uplift plan: Return catering for MH1149 physically loaded at KUL on the carrying flight (meals, equipment and all items below)</v>
      </c>
      <c r="B48" s="113" t="str">
        <f aca="false">Checks!$K$378&amp;IF(Checks!$O$378="","",IF(Checks!$K$378="","",CHAR(10))&amp;"Note: "&amp;Checks!$O$378)</f>
        <v>Items: meals / refreshment, equipment, Seat pillow (EY). Quantities as per menu checklist, GLD and Requirements
Note: Loading happens at KUL, so it is confirmed at KUL inside the uplift window before the carrying flight's KUL departure (Flights AX). The on-board lines below are then re-checked at the departure station.</v>
      </c>
      <c r="C48" s="113" t="str">
        <f aca="false">Checks!$N$378&amp;CHAR(10)&amp;IF(ISNUMBER(Checks!$R$378),TEXT(Checks!$R$378,"DD-MMM-YY HH:MM"),"")&amp;" "&amp;Checks!$P$378</f>
        <v>Required
12-Oct-26 11:45 KUL</v>
      </c>
      <c r="D48" s="113" t="str">
        <f aca="false">IF(Checks!$U$378="","",Checks!$U$378)&amp;IF(Checks!$AB$378="","",CHAR(10)&amp;"CA: "&amp;Checks!$AB$378)</f>
        <v/>
      </c>
      <c r="E48" s="113" t="str">
        <f aca="false">IF(Checks!$V$378="","",Checks!$V$378)&amp;IF(Checks!$AC$378="","",IF(Checks!$V$378="","",CHAR(10))&amp;"N/A just.: "&amp;Checks!$AC$378)&amp;IF(Checks!$W$378="","",CHAR(10)&amp;"Batch: "&amp;Checks!$W$378)&amp;IF(AND(Checks!$X$378="",Checks!$Y$378=""),"",CHAR(10)&amp;"Exp: "&amp;Checks!$X$378&amp;"  /  Act: "&amp;Checks!$Y$378)</f>
        <v/>
      </c>
      <c r="F48" s="113" t="str">
        <f aca="false">IF(Checks!$Z$378="","","Evidence: "&amp;Checks!$Z$378)&amp;IF(Checks!$AA$378="","",IF(Checks!$Z$378="","",CHAR(10))&amp;"CA: "&amp;Checks!$AA$378)</f>
        <v/>
      </c>
      <c r="G48" s="113" t="str">
        <f aca="false">IF(ISNUMBER(Checks!$AD$378),TEXT(Checks!$AD$378,"DD-MMM-YY HH:MM")&amp;" "&amp;Checks!$P$378,"")&amp;IF(Checks!$AE$378="","",CHAR(10)&amp;"Verifier: "&amp;Checks!$AE$378)&amp;IF(Checks!$T$378="","",CHAR(10)&amp;"PIC: "&amp;Checks!$T$378)</f>
        <v/>
      </c>
      <c r="H48" s="114" t="str">
        <f aca="false">IF(Checks!$AH$378="","",Checks!$AH$378)</f>
        <v>OPEN</v>
      </c>
    </row>
    <row r="49" customFormat="false" ht="114" hidden="false" customHeight="true" outlineLevel="0" collapsed="false">
      <c r="A49" s="113" t="str">
        <f aca="false">Checks!$A$379&amp;CHAR(10)&amp;IF(Checks!$I$379="","",Checks!$I$379&amp;": ")&amp;Checks!$J$379</f>
        <v>F11-UPL-04
Seat Linen: Seat pillow (EY) - on board</v>
      </c>
      <c r="B49" s="113" t="str">
        <f aca="false">Checks!$K$379&amp;IF(Checks!$O$379="","",IF(Checks!$K$379="","",CHAR(10))&amp;"Note: "&amp;Checks!$O$379)</f>
        <v>Available 100% (ticked in reference)</v>
      </c>
      <c r="C49" s="113" t="str">
        <f aca="false">Checks!$N$379&amp;CHAR(10)&amp;IF(ISNUMBER(Checks!$R$379),TEXT(Checks!$R$379,"DD-MMM-YY HH:MM"),"")&amp;" "&amp;Checks!$P$379</f>
        <v>Required
12-Oct-26 15:50 PEN</v>
      </c>
      <c r="D49" s="113" t="str">
        <f aca="false">IF(Checks!$U$379="","",Checks!$U$379)&amp;IF(Checks!$AB$379="","",CHAR(10)&amp;"CA: "&amp;Checks!$AB$379)</f>
        <v/>
      </c>
      <c r="E49" s="113" t="str">
        <f aca="false">IF(Checks!$V$379="","",Checks!$V$379)&amp;IF(Checks!$AC$379="","",IF(Checks!$V$379="","",CHAR(10))&amp;"N/A just.: "&amp;Checks!$AC$379)&amp;IF(Checks!$W$379="","",CHAR(10)&amp;"Batch: "&amp;Checks!$W$379)&amp;IF(AND(Checks!$X$379="",Checks!$Y$379=""),"",CHAR(10)&amp;"Exp: "&amp;Checks!$X$379&amp;"  /  Act: "&amp;Checks!$Y$379)</f>
        <v/>
      </c>
      <c r="F49" s="113" t="str">
        <f aca="false">IF(Checks!$Z$379="","","Evidence: "&amp;Checks!$Z$379)&amp;IF(Checks!$AA$379="","",IF(Checks!$Z$379="","",CHAR(10))&amp;"CA: "&amp;Checks!$AA$379)</f>
        <v/>
      </c>
      <c r="G49" s="113" t="str">
        <f aca="false">IF(ISNUMBER(Checks!$AD$379),TEXT(Checks!$AD$379,"DD-MMM-YY HH:MM")&amp;" "&amp;Checks!$P$379,"")&amp;IF(Checks!$AE$379="","",CHAR(10)&amp;"Verifier: "&amp;Checks!$AE$379)&amp;IF(Checks!$T$379="","",CHAR(10)&amp;"PIC: "&amp;Checks!$T$379)</f>
        <v/>
      </c>
      <c r="H49" s="114" t="str">
        <f aca="false">IF(Checks!$AH$379="","",Checks!$AH$379)</f>
        <v>OPEN</v>
      </c>
    </row>
    <row r="51" customFormat="false" ht="24" hidden="false" customHeight="true" outlineLevel="0" collapsed="false">
      <c r="A51" s="115" t="s">
        <v>1650</v>
      </c>
      <c r="B51" s="115"/>
      <c r="C51" s="115"/>
      <c r="D51" s="115"/>
      <c r="E51" s="115" t="s">
        <v>1651</v>
      </c>
      <c r="F51" s="115"/>
      <c r="G51" s="115"/>
      <c r="H51" s="115"/>
    </row>
    <row r="52" customFormat="false" ht="21.75" hidden="false" customHeight="true" outlineLevel="0" collapsed="false">
      <c r="A52" s="116"/>
      <c r="B52" s="116"/>
      <c r="C52" s="116"/>
      <c r="D52" s="116"/>
      <c r="E52" s="116"/>
      <c r="F52" s="116"/>
      <c r="G52" s="116"/>
      <c r="H52" s="116"/>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sheetData>
  <sheetProtection sheet="true" formatCells="false" formatColumns="false" formatRows="false" sort="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9">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49">
    <cfRule type="expression" priority="17" aboveAverage="0" equalAverage="0" bottom="0" percent="0" rank="0" text="" dxfId="34">
      <formula>LEFT($H24,3)="N/A"</formula>
    </cfRule>
  </conditionalFormatting>
  <conditionalFormatting sqref="D24:D49">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F12  "&amp;Flights!$F$16&amp;"  "&amp;TEXT(Flights!$D$16,"DD-MMM-YY")&amp;" ("&amp;Flights!$E$16&amp;")  "&amp;Flights!$G$16&amp;" → "&amp;Flights!$H$16&amp;"  |  Class "&amp;Flights!$K$16</f>
        <v>SKYTRAX 2026 CATERING READINESS CHECKLIST  |  F12  MH0139  12-Oct-26 (MON)  KUL → ADL  |  Class BC</v>
      </c>
      <c r="B1" s="91"/>
      <c r="C1" s="91"/>
      <c r="D1" s="91"/>
      <c r="E1" s="91"/>
      <c r="F1" s="91"/>
      <c r="G1" s="91"/>
      <c r="H1" s="91"/>
    </row>
    <row r="2" customFormat="false" ht="12.75" hidden="false" customHeight="true" outlineLevel="0" collapsed="false">
      <c r="A2" s="92" t="s">
        <v>1605</v>
      </c>
      <c r="B2" s="93" t="str">
        <f aca="false">Flights!$F$16&amp;"   "&amp;TEXT(Flights!$D$16,"DD-MMM-YY")&amp;" ("&amp;Flights!$E$16&amp;")"</f>
        <v>MH0139   12-Oct-26 (MON)</v>
      </c>
      <c r="C2" s="93"/>
      <c r="D2" s="93"/>
      <c r="E2" s="94" t="s">
        <v>1606</v>
      </c>
      <c r="F2" s="95" t="str">
        <f aca="false">Flights!$AT$16</f>
        <v>NOT READY – DOCUMENTS</v>
      </c>
      <c r="G2" s="95"/>
      <c r="H2" s="95"/>
    </row>
    <row r="3" customFormat="false" ht="24" hidden="false" customHeight="true" outlineLevel="0" collapsed="false">
      <c r="A3" s="92" t="s">
        <v>1607</v>
      </c>
      <c r="B3" s="93" t="str">
        <f aca="false">Flights!$G$16&amp;" → "&amp;Flights!$H$16&amp;"   Class "&amp;Flights!$K$16&amp;"   Seat "&amp;Flights!$O$16</f>
        <v>KUL → ADL   Class BC   Seat 1K</v>
      </c>
      <c r="C3" s="93"/>
      <c r="D3" s="93"/>
      <c r="E3" s="94" t="s">
        <v>68</v>
      </c>
      <c r="F3" s="94" t="s">
        <v>1608</v>
      </c>
      <c r="G3" s="94" t="s">
        <v>1609</v>
      </c>
      <c r="H3" s="94"/>
    </row>
    <row r="4" customFormat="false" ht="24" hidden="false" customHeight="true" outlineLevel="0" collapsed="false">
      <c r="A4" s="92" t="s">
        <v>1610</v>
      </c>
      <c r="B4" s="93" t="str">
        <f aca="false">IF(ISNUMBER(Flights!$I$16),TEXT(Flights!$I$16,"DD-MMM-YY HH:MM"),"")&amp;" "&amp;Flights!$G$16&amp;"  →  "&amp;IF(ISNUMBER(Flights!$J$16),TEXT(Flights!$J$16,"DD-MMM-YY HH:MM"),"")&amp;" "&amp;Flights!$H$16</f>
        <v>12-Oct-26 22:25 KUL  →  13-Oct-26 08:00 ADL</v>
      </c>
      <c r="C4" s="93"/>
      <c r="D4" s="93"/>
      <c r="E4" s="92" t="s">
        <v>1611</v>
      </c>
      <c r="F4" s="96" t="str">
        <f aca="false">IF(ISNUMBER(Flights!$AG$16),TEXT(Flights!$AG$16,"DD-MMM-YY HH:MM"),"")&amp;" "&amp;Flights!$V$16</f>
        <v>05-Oct-26 22:25 KUL</v>
      </c>
      <c r="G4" s="97" t="n">
        <f aca="false">Flights!$AJ$16</f>
        <v>0</v>
      </c>
      <c r="H4" s="97"/>
    </row>
    <row r="5" customFormat="false" ht="24" hidden="false" customHeight="true" outlineLevel="0" collapsed="false">
      <c r="A5" s="92" t="s">
        <v>1612</v>
      </c>
      <c r="B5" s="93" t="str">
        <f aca="false">Flights!$L$16&amp;" – "&amp;Flights!$M$16</f>
        <v>A339 – A330-900 (A339)</v>
      </c>
      <c r="C5" s="93"/>
      <c r="D5" s="93"/>
      <c r="E5" s="92" t="s">
        <v>1613</v>
      </c>
      <c r="F5" s="96" t="str">
        <f aca="false">IF(ISNUMBER(Flights!$AH$16),TEXT(Flights!$AH$16,"DD-MMM-YY HH:MM"),"")&amp;" "&amp;Flights!$V$16</f>
        <v>11-Oct-26 22:25 KUL</v>
      </c>
      <c r="G5" s="97" t="n">
        <f aca="false">Flights!$AK$16</f>
        <v>0</v>
      </c>
      <c r="H5" s="97"/>
    </row>
    <row r="6" customFormat="false" ht="24" hidden="false" customHeight="true" outlineLevel="0" collapsed="false">
      <c r="A6" s="92" t="s">
        <v>1614</v>
      </c>
      <c r="B6" s="93" t="str">
        <f aca="false">IF(TRIM(Flights!$N$16)="","__________________",Flights!$N$16)</f>
        <v>__________________</v>
      </c>
      <c r="C6" s="93"/>
      <c r="D6" s="93"/>
      <c r="E6" s="92" t="s">
        <v>1615</v>
      </c>
      <c r="F6" s="96" t="str">
        <f aca="false">IF(ISNUMBER(Flights!$AI$16),TEXT(Flights!$AI$16,"DD-MMM-YY HH:MM"),"")&amp;" "&amp;Flights!$V$16&amp;IF(Flights!$AI$16=Flights!$AH$16,"  (= T-24H due)","")</f>
        <v>12-Oct-26 10:25 KUL</v>
      </c>
      <c r="G6" s="97" t="n">
        <f aca="false">Flights!$AL$16</f>
        <v>0</v>
      </c>
      <c r="H6" s="97"/>
    </row>
    <row r="7" customFormat="false" ht="24" hidden="false" customHeight="true" outlineLevel="0" collapsed="false">
      <c r="A7" s="92" t="s">
        <v>1616</v>
      </c>
      <c r="B7" s="93" t="str">
        <f aca="false">Flights!$T$16</f>
        <v>1.5 Meal (Meal)</v>
      </c>
      <c r="C7" s="93"/>
      <c r="D7" s="93"/>
      <c r="E7" s="92" t="s">
        <v>1617</v>
      </c>
      <c r="F7" s="96" t="str">
        <f aca="false">"STD "&amp;IF(ISNUMBER(Flights!$I$16),TEXT(Flights!$I$16,"DD-MMM-YY HH:MM"),"")&amp;" "&amp;Flights!$G$16&amp;" (dep stn)"</f>
        <v>STD 12-Oct-26 22:25 KUL (dep stn)</v>
      </c>
      <c r="G7" s="97" t="n">
        <f aca="false">Flights!$AM$16</f>
        <v>0</v>
      </c>
      <c r="H7" s="97"/>
    </row>
    <row r="8" customFormat="false" ht="12.75" hidden="false" customHeight="true" outlineLevel="0" collapsed="false">
      <c r="A8" s="92" t="s">
        <v>150</v>
      </c>
      <c r="B8" s="93" t="str">
        <f aca="false">Flights!$V$16&amp;"   (reference uplift stns: "&amp;Flights!$U$16&amp;")"</f>
        <v>KUL   (reference uplift stns: KUL/ADL)</v>
      </c>
      <c r="C8" s="93"/>
      <c r="D8" s="93"/>
      <c r="E8" s="92" t="s">
        <v>1618</v>
      </c>
      <c r="F8" s="98" t="s">
        <v>1619</v>
      </c>
      <c r="G8" s="97" t="n">
        <f aca="false">Flights!$AN$16</f>
        <v>0</v>
      </c>
      <c r="H8" s="97"/>
    </row>
    <row r="9" customFormat="false" ht="12.75" hidden="false" customHeight="true" outlineLevel="0" collapsed="false">
      <c r="A9" s="92" t="s">
        <v>1620</v>
      </c>
      <c r="B9" s="93" t="str">
        <f aca="false">TRIM(Flights!$P$16&amp;"  "&amp;Flights!$Q$16)</f>
        <v>5H 30M Overnight ADL</v>
      </c>
      <c r="C9" s="93"/>
      <c r="D9" s="93"/>
      <c r="E9" s="92" t="s">
        <v>1621</v>
      </c>
      <c r="F9" s="99" t="n">
        <f aca="false">Flights!$AP$16</f>
        <v>0</v>
      </c>
      <c r="G9" s="99" t="n">
        <f aca="false">Flights!$AQ$16</f>
        <v>0</v>
      </c>
      <c r="H9" s="99" t="n">
        <f aca="false">Flights!$AU$16</f>
        <v>0</v>
      </c>
    </row>
    <row r="10" customFormat="false" ht="24" hidden="false" customHeight="true" outlineLevel="0" collapsed="false">
      <c r="A10" s="92" t="s">
        <v>1622</v>
      </c>
      <c r="B10" s="93" t="str">
        <f aca="false">IF(TRIM(Flights!$X$16)="","__________________",Flights!$X$16)</f>
        <v>__________________</v>
      </c>
      <c r="C10" s="93"/>
      <c r="D10" s="93"/>
      <c r="E10" s="92" t="s">
        <v>1623</v>
      </c>
      <c r="F10" s="99" t="n">
        <f aca="false">Flights!$AO$16</f>
        <v>47</v>
      </c>
      <c r="G10" s="99" t="n">
        <f aca="false">Flights!$AS$16</f>
        <v>0</v>
      </c>
      <c r="H10" s="99" t="n">
        <f aca="false">Flights!$AR$16</f>
        <v>2</v>
      </c>
    </row>
    <row r="11" customFormat="false" ht="21" hidden="false" customHeight="true" outlineLevel="0" collapsed="false">
      <c r="A11" s="92" t="s">
        <v>1624</v>
      </c>
      <c r="B11" s="93" t="str">
        <f aca="false">IF(TRIM(Flights!$Y$16)="","__________________",Flights!$Y$16)</f>
        <v>__________________</v>
      </c>
      <c r="C11" s="93"/>
      <c r="D11" s="93"/>
      <c r="E11" s="92" t="s">
        <v>1625</v>
      </c>
      <c r="F11" s="99" t="str">
        <f aca="false">Flights!$AV$16&amp;" / "&amp;Flights!$AW$16</f>
        <v>0 / 47</v>
      </c>
      <c r="G11" s="100" t="str">
        <f aca="false">IF(ISNUMBER(Settings!$B$6),TEXT(Settings!$B$6,"DD-MMM-YY HH:MM"),"")</f>
        <v>28-Sep-26 03:19</v>
      </c>
      <c r="H11" s="100"/>
    </row>
    <row r="12" customFormat="false" ht="34.5" hidden="false" customHeight="true" outlineLevel="0" collapsed="false">
      <c r="A12" s="101" t="s">
        <v>1626</v>
      </c>
      <c r="B12" s="101"/>
      <c r="C12" s="101"/>
      <c r="D12" s="101"/>
      <c r="E12" s="102" t="s">
        <v>1627</v>
      </c>
      <c r="F12" s="103" t="s">
        <v>1628</v>
      </c>
      <c r="G12" s="104" t="s">
        <v>89</v>
      </c>
      <c r="H12" s="105" t="s">
        <v>1629</v>
      </c>
    </row>
    <row r="13" customFormat="false" ht="13.5" hidden="false" customHeight="true" outlineLevel="0" collapsed="false">
      <c r="A13" s="94" t="s">
        <v>1630</v>
      </c>
      <c r="B13" s="94" t="s">
        <v>1631</v>
      </c>
      <c r="C13" s="94" t="s">
        <v>1632</v>
      </c>
      <c r="D13" s="94"/>
      <c r="E13" s="94" t="s">
        <v>1633</v>
      </c>
      <c r="F13" s="94" t="s">
        <v>1634</v>
      </c>
      <c r="G13" s="94"/>
      <c r="H13" s="94"/>
    </row>
    <row r="14" customFormat="false" ht="36" hidden="false" customHeight="true" outlineLevel="0" collapsed="false">
      <c r="A14" s="92" t="s">
        <v>1635</v>
      </c>
      <c r="B14" s="93" t="str">
        <f aca="false">IF(Documents!$F$16="","",Documents!$F$16)</f>
        <v/>
      </c>
      <c r="C14" s="98" t="str">
        <f aca="false">IF(Documents!$G$16="","",Documents!$G$16)&amp;IF(ISNUMBER(Documents!$H$16),"  "&amp;TEXT(Documents!$H$16,"DD-MMM-YY"),"")</f>
        <v/>
      </c>
      <c r="D14" s="98"/>
      <c r="E14" s="106" t="str">
        <f aca="false">IF(Documents!$J$16="OUTSTANDING","OUTSTANDING – attach before T-7D (due "&amp;IF(ISNUMBER(Flights!$AG$16),TEXT(Flights!$AG$16,"DD-MMM-YY HH:MM"),"")&amp;" "&amp;Flights!$V$16&amp;")",IF(Documents!$J$16="","Status not recorded",Documents!$J$16))</f>
        <v>OUTSTANDING – attach before T-7D (due 05-Oct-26 22:25 KUL)</v>
      </c>
      <c r="F14" s="107" t="str">
        <f aca="false">"Staple behind this sheet as page A1."&amp;IF(Documents!$I$16="",""," Location: "&amp;Documents!$I$16)</f>
        <v>Staple behind this sheet as page A1.</v>
      </c>
      <c r="G14" s="107"/>
      <c r="H14" s="107"/>
    </row>
    <row r="15" customFormat="false" ht="36" hidden="false" customHeight="true" outlineLevel="0" collapsed="false">
      <c r="A15" s="92" t="s">
        <v>1636</v>
      </c>
      <c r="B15" s="93" t="str">
        <f aca="false">IF(Documents!$K$16="","",Documents!$K$16)</f>
        <v/>
      </c>
      <c r="C15" s="98" t="str">
        <f aca="false">IF(Documents!$L$16="","",Documents!$L$16)&amp;IF(ISNUMBER(Documents!$M$16),"  "&amp;TEXT(Documents!$M$16,"DD-MMM-YY"),"")</f>
        <v/>
      </c>
      <c r="D15" s="98"/>
      <c r="E15" s="106" t="str">
        <f aca="false">IF(Documents!$O$16="OUTSTANDING","OUTSTANDING – attach before T-7D (due "&amp;IF(ISNUMBER(Flights!$AG$16),TEXT(Flights!$AG$16,"DD-MMM-YY HH:MM"),"")&amp;" "&amp;Flights!$V$16&amp;")",IF(Documents!$O$16="","Status not recorded",Documents!$O$16))</f>
        <v>OUTSTANDING – attach before T-7D (due 05-Oct-26 22:25 KUL)</v>
      </c>
      <c r="F15" s="107" t="str">
        <f aca="false">"Staple behind this sheet as page A2."&amp;IF(Documents!$N$16="",""," Location: "&amp;Documents!$N$16)</f>
        <v>Staple behind this sheet as page A2.</v>
      </c>
      <c r="G15" s="107"/>
      <c r="H15" s="107"/>
    </row>
    <row r="16" customFormat="false" ht="22.5" hidden="false" customHeight="true" outlineLevel="0" collapsed="false">
      <c r="A16" s="92" t="s">
        <v>1637</v>
      </c>
      <c r="B16" s="108" t="str">
        <f aca="false">IF(Documents!$Q$16="","",Documents!$Q$16)</f>
        <v>Not supplied with brief – obtain from caterer / MAGCS.</v>
      </c>
      <c r="C16" s="108"/>
      <c r="D16" s="108"/>
      <c r="E16" s="108"/>
      <c r="F16" s="108"/>
      <c r="G16" s="108"/>
      <c r="H16" s="108"/>
    </row>
    <row r="17" customFormat="false" ht="13.5" hidden="false" customHeight="true" outlineLevel="0" collapsed="false">
      <c r="A17" s="109" t="s">
        <v>1638</v>
      </c>
      <c r="B17" s="109"/>
      <c r="C17" s="109" t="s">
        <v>1639</v>
      </c>
      <c r="D17" s="109"/>
      <c r="E17" s="109"/>
      <c r="F17" s="109" t="s">
        <v>1640</v>
      </c>
      <c r="G17" s="109"/>
      <c r="H17" s="109"/>
    </row>
    <row r="18" customFormat="false" ht="18" hidden="false" customHeight="true" outlineLevel="0" collapsed="false">
      <c r="A18" s="93" t="str">
        <f aca="false">"Name: "&amp;IF(TRIM(Flights!$Y$16)="","__________________",Flights!$Y$16)</f>
        <v>Name: __________________</v>
      </c>
      <c r="B18" s="93"/>
      <c r="C18" s="93" t="str">
        <f aca="false">"Name: __________________"</f>
        <v>Name: __________________</v>
      </c>
      <c r="D18" s="93"/>
      <c r="E18" s="93"/>
      <c r="F18" s="93" t="str">
        <f aca="false">"Name: __________________"&amp;"   Station: "&amp;Flights!$V$16</f>
        <v>Name: __________________   Station: KUL</v>
      </c>
      <c r="G18" s="93"/>
      <c r="H18" s="93"/>
    </row>
    <row r="19" customFormat="false" ht="30" hidden="false" customHeight="true" outlineLevel="0" collapsed="false">
      <c r="A19" s="110" t="s">
        <v>1641</v>
      </c>
      <c r="B19" s="110"/>
      <c r="C19" s="110" t="s">
        <v>1641</v>
      </c>
      <c r="D19" s="110"/>
      <c r="E19" s="110"/>
      <c r="F19" s="110" t="s">
        <v>1641</v>
      </c>
      <c r="G19" s="110"/>
      <c r="H19" s="110"/>
    </row>
    <row r="20" customFormat="false" ht="13.5" hidden="false" customHeight="true" outlineLevel="0" collapsed="false">
      <c r="A20" s="111" t="s">
        <v>1642</v>
      </c>
      <c r="B20" s="111"/>
      <c r="C20" s="111"/>
      <c r="D20" s="111"/>
      <c r="E20" s="111"/>
      <c r="F20" s="111"/>
      <c r="G20" s="111"/>
      <c r="H20" s="111"/>
    </row>
    <row r="21" customFormat="false" ht="24" hidden="false" customHeight="true" outlineLevel="0" collapsed="false">
      <c r="A21" s="94" t="s">
        <v>1643</v>
      </c>
      <c r="B21" s="94" t="s">
        <v>1644</v>
      </c>
      <c r="C21" s="94" t="s">
        <v>1645</v>
      </c>
      <c r="D21" s="94" t="s">
        <v>1646</v>
      </c>
      <c r="E21" s="94" t="s">
        <v>1647</v>
      </c>
      <c r="F21" s="94" t="s">
        <v>1648</v>
      </c>
      <c r="G21" s="94" t="s">
        <v>1649</v>
      </c>
      <c r="H21" s="94" t="s">
        <v>121</v>
      </c>
    </row>
    <row r="22" customFormat="false" ht="25.5" hidden="false" customHeight="true" outlineLevel="0" collapsed="false">
      <c r="A22" s="112"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Checks!$A$380&amp;CHAR(10)&amp;IF(Checks!$I$380="","",Checks!$I$380&amp;": ")&amp;Checks!$J$380</f>
        <v>F12-T7-01
Meal: Meal sensory testing completed for this flight's menu cycle (assessed class)</v>
      </c>
      <c r="B23" s="113" t="str">
        <f aca="false">Checks!$K$380&amp;IF(Checks!$O$380="","",IF(Checks!$K$380="","",CHAR(10))&amp;"Note: "&amp;Checks!$O$380)</f>
        <v>Record panel result / score in Result</v>
      </c>
      <c r="C23" s="113" t="str">
        <f aca="false">Checks!$N$380&amp;CHAR(10)&amp;IF(ISNUMBER(Checks!$R$380),TEXT(Checks!$R$380,"DD-MMM-YY HH:MM"),"")&amp;" "&amp;Checks!$P$380</f>
        <v>Required
05-Oct-26 22:25 KUL</v>
      </c>
      <c r="D23" s="113" t="str">
        <f aca="false">IF(Checks!$U$380="","",Checks!$U$380)&amp;IF(Checks!$AB$380="","",CHAR(10)&amp;"CA: "&amp;Checks!$AB$380)</f>
        <v/>
      </c>
      <c r="E23" s="113" t="str">
        <f aca="false">IF(Checks!$V$380="","",Checks!$V$380)&amp;IF(Checks!$AC$380="","",IF(Checks!$V$380="","",CHAR(10))&amp;"N/A just.: "&amp;Checks!$AC$380)&amp;IF(Checks!$W$380="","",CHAR(10)&amp;"Batch: "&amp;Checks!$W$380)&amp;IF(AND(Checks!$X$380="",Checks!$Y$380=""),"",CHAR(10)&amp;"Exp: "&amp;Checks!$X$380&amp;"  /  Act: "&amp;Checks!$Y$380)</f>
        <v/>
      </c>
      <c r="F23" s="113" t="str">
        <f aca="false">IF(Checks!$Z$380="","","Evidence: "&amp;Checks!$Z$380)&amp;IF(Checks!$AA$380="","",IF(Checks!$Z$380="","",CHAR(10))&amp;"CA: "&amp;Checks!$AA$380)</f>
        <v/>
      </c>
      <c r="G23" s="113" t="str">
        <f aca="false">IF(ISNUMBER(Checks!$AD$380),TEXT(Checks!$AD$380,"DD-MMM-YY HH:MM")&amp;" "&amp;Checks!$P$380,"")&amp;IF(Checks!$AE$380="","",CHAR(10)&amp;"Verifier: "&amp;Checks!$AE$380)&amp;IF(Checks!$T$380="","",CHAR(10)&amp;"PIC: "&amp;Checks!$T$380)</f>
        <v/>
      </c>
      <c r="H23" s="114" t="str">
        <f aca="false">IF(Checks!$AH$380="","",Checks!$AH$380)</f>
        <v>OPEN</v>
      </c>
    </row>
    <row r="24" customFormat="false" ht="114" hidden="false" customHeight="true" outlineLevel="0" collapsed="false">
      <c r="A24" s="113" t="str">
        <f aca="false">Checks!$A$381&amp;CHAR(10)&amp;IF(Checks!$I$381="","",Checks!$I$381&amp;": ")&amp;Checks!$J$381</f>
        <v>F12-T7-02
Menu: Printed menu cards confirmed (content, cycle, language, quantity)</v>
      </c>
      <c r="B24" s="113" t="str">
        <f aca="false">Checks!$K$381&amp;IF(Checks!$O$381="","",IF(Checks!$K$381="","",CHAR(10))&amp;"Note: "&amp;Checks!$O$381)</f>
        <v>Menu card matches approved menu for this flight</v>
      </c>
      <c r="C24" s="113" t="str">
        <f aca="false">Checks!$N$381&amp;CHAR(10)&amp;IF(ISNUMBER(Checks!$R$381),TEXT(Checks!$R$381,"DD-MMM-YY HH:MM"),"")&amp;" "&amp;Checks!$P$381</f>
        <v>Required
05-Oct-26 22:25 KUL</v>
      </c>
      <c r="D24" s="113" t="str">
        <f aca="false">IF(Checks!$U$381="","",Checks!$U$381)&amp;IF(Checks!$AB$381="","",CHAR(10)&amp;"CA: "&amp;Checks!$AB$381)</f>
        <v/>
      </c>
      <c r="E24" s="113" t="str">
        <f aca="false">IF(Checks!$V$381="","",Checks!$V$381)&amp;IF(Checks!$AC$381="","",IF(Checks!$V$381="","",CHAR(10))&amp;"N/A just.: "&amp;Checks!$AC$381)&amp;IF(Checks!$W$381="","",CHAR(10)&amp;"Batch: "&amp;Checks!$W$381)&amp;IF(AND(Checks!$X$381="",Checks!$Y$381=""),"",CHAR(10)&amp;"Exp: "&amp;Checks!$X$381&amp;"  /  Act: "&amp;Checks!$Y$381)</f>
        <v/>
      </c>
      <c r="F24" s="113" t="str">
        <f aca="false">IF(Checks!$Z$381="","","Evidence: "&amp;Checks!$Z$381)&amp;IF(Checks!$AA$381="","",IF(Checks!$Z$381="","",CHAR(10))&amp;"CA: "&amp;Checks!$AA$381)</f>
        <v/>
      </c>
      <c r="G24" s="113" t="str">
        <f aca="false">IF(ISNUMBER(Checks!$AD$381),TEXT(Checks!$AD$381,"DD-MMM-YY HH:MM")&amp;" "&amp;Checks!$P$381,"")&amp;IF(Checks!$AE$381="","",CHAR(10)&amp;"Verifier: "&amp;Checks!$AE$381)&amp;IF(Checks!$T$381="","",CHAR(10)&amp;"PIC: "&amp;Checks!$T$381)</f>
        <v/>
      </c>
      <c r="H24" s="114" t="str">
        <f aca="false">IF(Checks!$AH$381="","",Checks!$AH$381)</f>
        <v>OPEN</v>
      </c>
    </row>
    <row r="25" customFormat="false" ht="114" hidden="false" customHeight="true" outlineLevel="0" collapsed="false">
      <c r="A25" s="113" t="str">
        <f aca="false">Checks!$A$382&amp;CHAR(10)&amp;IF(Checks!$I$382="","",Checks!$I$382&amp;": ")&amp;Checks!$J$382</f>
        <v>F12-T7-03
IFE: Digital menu in IFE confirmed (A339 only)</v>
      </c>
      <c r="B25" s="113" t="str">
        <f aca="false">Checks!$K$382&amp;IF(Checks!$O$382="","",IF(Checks!$K$382="","",CHAR(10))&amp;"Note: "&amp;Checks!$O$382)</f>
        <v>Applies when fleet = A339
Note: Digital IFE menu applies to A339 only (user brief). Applicability follows the Fleet cell on Flights.</v>
      </c>
      <c r="C25" s="113" t="str">
        <f aca="false">Checks!$N$382&amp;CHAR(10)&amp;IF(ISNUMBER(Checks!$R$382),TEXT(Checks!$R$382,"DD-MMM-YY HH:MM"),"")&amp;" "&amp;Checks!$P$382</f>
        <v>Required
05-Oct-26 22:25 KUL</v>
      </c>
      <c r="D25" s="113" t="str">
        <f aca="false">IF(Checks!$U$382="","",Checks!$U$382)&amp;IF(Checks!$AB$382="","",CHAR(10)&amp;"CA: "&amp;Checks!$AB$382)</f>
        <v/>
      </c>
      <c r="E25" s="113" t="str">
        <f aca="false">IF(Checks!$V$382="","",Checks!$V$382)&amp;IF(Checks!$AC$382="","",IF(Checks!$V$382="","",CHAR(10))&amp;"N/A just.: "&amp;Checks!$AC$382)&amp;IF(Checks!$W$382="","",CHAR(10)&amp;"Batch: "&amp;Checks!$W$382)&amp;IF(AND(Checks!$X$382="",Checks!$Y$382=""),"",CHAR(10)&amp;"Exp: "&amp;Checks!$X$382&amp;"  /  Act: "&amp;Checks!$Y$382)</f>
        <v/>
      </c>
      <c r="F25" s="113" t="str">
        <f aca="false">IF(Checks!$Z$382="","","Evidence: "&amp;Checks!$Z$382)&amp;IF(Checks!$AA$382="","",IF(Checks!$Z$382="","",CHAR(10))&amp;"CA: "&amp;Checks!$AA$382)</f>
        <v/>
      </c>
      <c r="G25" s="113" t="str">
        <f aca="false">IF(ISNUMBER(Checks!$AD$382),TEXT(Checks!$AD$382,"DD-MMM-YY HH:MM")&amp;" "&amp;Checks!$P$382,"")&amp;IF(Checks!$AE$382="","",CHAR(10)&amp;"Verifier: "&amp;Checks!$AE$382)&amp;IF(Checks!$T$382="","",CHAR(10)&amp;"PIC: "&amp;Checks!$T$382)</f>
        <v/>
      </c>
      <c r="H25" s="114" t="str">
        <f aca="false">IF(Checks!$AH$382="","",Checks!$AH$382)</f>
        <v>OPEN</v>
      </c>
    </row>
    <row r="26" customFormat="false" ht="114" hidden="false" customHeight="true" outlineLevel="0" collapsed="false">
      <c r="A26" s="113" t="str">
        <f aca="false">Checks!$A$383&amp;CHAR(10)&amp;IF(Checks!$I$383="","",Checks!$I$383&amp;": ")&amp;Checks!$J$383</f>
        <v>F12-T7-04
Staffing: Experienced catering officer assigned to this flight</v>
      </c>
      <c r="B26" s="113" t="str">
        <f aca="false">Checks!$K$383&amp;IF(Checks!$O$383="","",IF(Checks!$K$383="","",CHAR(10))&amp;"Note: "&amp;Checks!$O$383)</f>
        <v>Record officer name in Result</v>
      </c>
      <c r="C26" s="113" t="str">
        <f aca="false">Checks!$N$383&amp;CHAR(10)&amp;IF(ISNUMBER(Checks!$R$383),TEXT(Checks!$R$383,"DD-MMM-YY HH:MM"),"")&amp;" "&amp;Checks!$P$383</f>
        <v>Required
05-Oct-26 22:25 KUL</v>
      </c>
      <c r="D26" s="113" t="str">
        <f aca="false">IF(Checks!$U$383="","",Checks!$U$383)&amp;IF(Checks!$AB$383="","",CHAR(10)&amp;"CA: "&amp;Checks!$AB$383)</f>
        <v/>
      </c>
      <c r="E26" s="113" t="str">
        <f aca="false">IF(Checks!$V$383="","",Checks!$V$383)&amp;IF(Checks!$AC$383="","",IF(Checks!$V$383="","",CHAR(10))&amp;"N/A just.: "&amp;Checks!$AC$383)&amp;IF(Checks!$W$383="","",CHAR(10)&amp;"Batch: "&amp;Checks!$W$383)&amp;IF(AND(Checks!$X$383="",Checks!$Y$383=""),"",CHAR(10)&amp;"Exp: "&amp;Checks!$X$383&amp;"  /  Act: "&amp;Checks!$Y$383)</f>
        <v/>
      </c>
      <c r="F26" s="113" t="str">
        <f aca="false">IF(Checks!$Z$383="","","Evidence: "&amp;Checks!$Z$383)&amp;IF(Checks!$AA$383="","",IF(Checks!$Z$383="","",CHAR(10))&amp;"CA: "&amp;Checks!$AA$383)</f>
        <v/>
      </c>
      <c r="G26" s="113" t="str">
        <f aca="false">IF(ISNUMBER(Checks!$AD$383),TEXT(Checks!$AD$383,"DD-MMM-YY HH:MM")&amp;" "&amp;Checks!$P$383,"")&amp;IF(Checks!$AE$383="","",CHAR(10)&amp;"Verifier: "&amp;Checks!$AE$383)&amp;IF(Checks!$T$383="","",CHAR(10)&amp;"PIC: "&amp;Checks!$T$383)</f>
        <v/>
      </c>
      <c r="H26" s="114" t="str">
        <f aca="false">IF(Checks!$AH$383="","",Checks!$AH$383)</f>
        <v>OPEN</v>
      </c>
    </row>
    <row r="27" customFormat="false" ht="114" hidden="false" customHeight="true" outlineLevel="0" collapsed="false">
      <c r="A27" s="113" t="str">
        <f aca="false">Checks!$A$384&amp;CHAR(10)&amp;IF(Checks!$I$384="","",Checks!$I$384&amp;": ")&amp;Checks!$J$384</f>
        <v>F12-T7-05
ISOP: All latest applicable ISOP revisions communicated to caterer</v>
      </c>
      <c r="B27" s="113" t="str">
        <f aca="false">Checks!$K$384&amp;IF(Checks!$O$384="","",IF(Checks!$K$384="","",CHAR(10))&amp;"Note: "&amp;Checks!$O$384)</f>
        <v>List revision numbers in Result (see ISOP register)</v>
      </c>
      <c r="C27" s="113" t="str">
        <f aca="false">Checks!$N$384&amp;CHAR(10)&amp;IF(ISNUMBER(Checks!$R$384),TEXT(Checks!$R$384,"DD-MMM-YY HH:MM"),"")&amp;" "&amp;Checks!$P$384</f>
        <v>Required
05-Oct-26 22:25 KUL</v>
      </c>
      <c r="D27" s="113" t="str">
        <f aca="false">IF(Checks!$U$384="","",Checks!$U$384)&amp;IF(Checks!$AB$384="","",CHAR(10)&amp;"CA: "&amp;Checks!$AB$384)</f>
        <v/>
      </c>
      <c r="E27" s="113" t="str">
        <f aca="false">IF(Checks!$V$384="","",Checks!$V$384)&amp;IF(Checks!$AC$384="","",IF(Checks!$V$384="","",CHAR(10))&amp;"N/A just.: "&amp;Checks!$AC$384)&amp;IF(Checks!$W$384="","",CHAR(10)&amp;"Batch: "&amp;Checks!$W$384)&amp;IF(AND(Checks!$X$384="",Checks!$Y$384=""),"",CHAR(10)&amp;"Exp: "&amp;Checks!$X$384&amp;"  /  Act: "&amp;Checks!$Y$384)</f>
        <v/>
      </c>
      <c r="F27" s="113" t="str">
        <f aca="false">IF(Checks!$Z$384="","","Evidence: "&amp;Checks!$Z$384)&amp;IF(Checks!$AA$384="","",IF(Checks!$Z$384="","",CHAR(10))&amp;"CA: "&amp;Checks!$AA$384)</f>
        <v/>
      </c>
      <c r="G27" s="113" t="str">
        <f aca="false">IF(ISNUMBER(Checks!$AD$384),TEXT(Checks!$AD$384,"DD-MMM-YY HH:MM")&amp;" "&amp;Checks!$P$384,"")&amp;IF(Checks!$AE$384="","",CHAR(10)&amp;"Verifier: "&amp;Checks!$AE$384)&amp;IF(Checks!$T$384="","",CHAR(10)&amp;"PIC: "&amp;Checks!$T$384)</f>
        <v/>
      </c>
      <c r="H27" s="114" t="str">
        <f aca="false">IF(Checks!$AH$384="","",Checks!$AH$384)</f>
        <v>OPEN</v>
      </c>
    </row>
    <row r="28" customFormat="false" ht="114" hidden="false" customHeight="true" outlineLevel="0" collapsed="false">
      <c r="A28" s="113" t="str">
        <f aca="false">Checks!$A$385&amp;CHAR(10)&amp;IF(Checks!$I$385="","",Checks!$I$385&amp;": ")&amp;Checks!$J$385</f>
        <v>F12-T7-06
ISOP: Caterer acknowledgement of ISOP revisions recorded</v>
      </c>
      <c r="B28" s="113" t="str">
        <f aca="false">Checks!$K$385&amp;IF(Checks!$O$385="","",IF(Checks!$K$385="","",CHAR(10))&amp;"Note: "&amp;Checks!$O$385)</f>
        <v>Record acknowledgement ref in Evidence</v>
      </c>
      <c r="C28" s="113" t="str">
        <f aca="false">Checks!$N$385&amp;CHAR(10)&amp;IF(ISNUMBER(Checks!$R$385),TEXT(Checks!$R$385,"DD-MMM-YY HH:MM"),"")&amp;" "&amp;Checks!$P$385</f>
        <v>Required
05-Oct-26 22:25 KUL</v>
      </c>
      <c r="D28" s="113" t="str">
        <f aca="false">IF(Checks!$U$385="","",Checks!$U$385)&amp;IF(Checks!$AB$385="","",CHAR(10)&amp;"CA: "&amp;Checks!$AB$385)</f>
        <v/>
      </c>
      <c r="E28" s="113" t="str">
        <f aca="false">IF(Checks!$V$385="","",Checks!$V$385)&amp;IF(Checks!$AC$385="","",IF(Checks!$V$385="","",CHAR(10))&amp;"N/A just.: "&amp;Checks!$AC$385)&amp;IF(Checks!$W$385="","",CHAR(10)&amp;"Batch: "&amp;Checks!$W$385)&amp;IF(AND(Checks!$X$385="",Checks!$Y$385=""),"",CHAR(10)&amp;"Exp: "&amp;Checks!$X$385&amp;"  /  Act: "&amp;Checks!$Y$385)</f>
        <v/>
      </c>
      <c r="F28" s="113" t="str">
        <f aca="false">IF(Checks!$Z$385="","","Evidence: "&amp;Checks!$Z$385)&amp;IF(Checks!$AA$385="","",IF(Checks!$Z$385="","",CHAR(10))&amp;"CA: "&amp;Checks!$AA$385)</f>
        <v/>
      </c>
      <c r="G28" s="113" t="str">
        <f aca="false">IF(ISNUMBER(Checks!$AD$385),TEXT(Checks!$AD$385,"DD-MMM-YY HH:MM")&amp;" "&amp;Checks!$P$385,"")&amp;IF(Checks!$AE$385="","",CHAR(10)&amp;"Verifier: "&amp;Checks!$AE$385)&amp;IF(Checks!$T$385="","",CHAR(10)&amp;"PIC: "&amp;Checks!$T$385)</f>
        <v/>
      </c>
      <c r="H28" s="114" t="str">
        <f aca="false">IF(Checks!$AH$385="","",Checks!$AH$385)</f>
        <v>OPEN</v>
      </c>
    </row>
    <row r="29" customFormat="false" ht="114" hidden="false" customHeight="true" outlineLevel="0" collapsed="false">
      <c r="A29" s="113" t="str">
        <f aca="false">Checks!$A$386&amp;CHAR(10)&amp;IF(Checks!$I$386="","",Checks!$I$386&amp;": ")&amp;Checks!$J$386</f>
        <v>F12-T7-07
Documents: Galley loading diagram (GLD) received, revision recorded &amp; attached</v>
      </c>
      <c r="B29" s="113" t="str">
        <f aca="false">Checks!$K$386&amp;IF(Checks!$O$386="","",IF(Checks!$K$386="","",CHAR(10))&amp;"Note: "&amp;Checks!$O$386)</f>
        <v>Documents sheet row complete</v>
      </c>
      <c r="C29" s="113" t="str">
        <f aca="false">Checks!$N$386&amp;CHAR(10)&amp;IF(ISNUMBER(Checks!$R$386),TEXT(Checks!$R$386,"DD-MMM-YY HH:MM"),"")&amp;" "&amp;Checks!$P$386</f>
        <v>Required
05-Oct-26 22:25 KUL</v>
      </c>
      <c r="D29" s="113" t="str">
        <f aca="false">IF(Checks!$U$386="","",Checks!$U$386)&amp;IF(Checks!$AB$386="","",CHAR(10)&amp;"CA: "&amp;Checks!$AB$386)</f>
        <v/>
      </c>
      <c r="E29" s="113" t="str">
        <f aca="false">IF(Checks!$V$386="","",Checks!$V$386)&amp;IF(Checks!$AC$386="","",IF(Checks!$V$386="","",CHAR(10))&amp;"N/A just.: "&amp;Checks!$AC$386)&amp;IF(Checks!$W$386="","",CHAR(10)&amp;"Batch: "&amp;Checks!$W$386)&amp;IF(AND(Checks!$X$386="",Checks!$Y$386=""),"",CHAR(10)&amp;"Exp: "&amp;Checks!$X$386&amp;"  /  Act: "&amp;Checks!$Y$386)</f>
        <v/>
      </c>
      <c r="F29" s="113" t="str">
        <f aca="false">IF(Checks!$Z$386="","","Evidence: "&amp;Checks!$Z$386)&amp;IF(Checks!$AA$386="","",IF(Checks!$Z$386="","",CHAR(10))&amp;"CA: "&amp;Checks!$AA$386)</f>
        <v/>
      </c>
      <c r="G29" s="113" t="str">
        <f aca="false">IF(ISNUMBER(Checks!$AD$386),TEXT(Checks!$AD$386,"DD-MMM-YY HH:MM")&amp;" "&amp;Checks!$P$386,"")&amp;IF(Checks!$AE$386="","",CHAR(10)&amp;"Verifier: "&amp;Checks!$AE$386)&amp;IF(Checks!$T$386="","",CHAR(10)&amp;"PIC: "&amp;Checks!$T$386)</f>
        <v/>
      </c>
      <c r="H29" s="114" t="str">
        <f aca="false">IF(Checks!$AH$386="","",Checks!$AH$386)</f>
        <v>OPEN</v>
      </c>
    </row>
    <row r="30" customFormat="false" ht="114" hidden="false" customHeight="true" outlineLevel="0" collapsed="false">
      <c r="A30" s="113" t="str">
        <f aca="false">Checks!$A$387&amp;CHAR(10)&amp;IF(Checks!$I$387="","",Checks!$I$387&amp;": ")&amp;Checks!$J$387</f>
        <v>F12-T7-08
Documents: Menu checklist received, revision recorded &amp; attached</v>
      </c>
      <c r="B30" s="113" t="str">
        <f aca="false">Checks!$K$387&amp;IF(Checks!$O$387="","",IF(Checks!$K$387="","",CHAR(10))&amp;"Note: "&amp;Checks!$O$387)</f>
        <v>Documents sheet row complete</v>
      </c>
      <c r="C30" s="113" t="str">
        <f aca="false">Checks!$N$387&amp;CHAR(10)&amp;IF(ISNUMBER(Checks!$R$387),TEXT(Checks!$R$387,"DD-MMM-YY HH:MM"),"")&amp;" "&amp;Checks!$P$387</f>
        <v>Required
05-Oct-26 22:25 KUL</v>
      </c>
      <c r="D30" s="113" t="str">
        <f aca="false">IF(Checks!$U$387="","",Checks!$U$387)&amp;IF(Checks!$AB$387="","",CHAR(10)&amp;"CA: "&amp;Checks!$AB$387)</f>
        <v/>
      </c>
      <c r="E30" s="113" t="str">
        <f aca="false">IF(Checks!$V$387="","",Checks!$V$387)&amp;IF(Checks!$AC$387="","",IF(Checks!$V$387="","",CHAR(10))&amp;"N/A just.: "&amp;Checks!$AC$387)&amp;IF(Checks!$W$387="","",CHAR(10)&amp;"Batch: "&amp;Checks!$W$387)&amp;IF(AND(Checks!$X$387="",Checks!$Y$387=""),"",CHAR(10)&amp;"Exp: "&amp;Checks!$X$387&amp;"  /  Act: "&amp;Checks!$Y$387)</f>
        <v/>
      </c>
      <c r="F30" s="113" t="str">
        <f aca="false">IF(Checks!$Z$387="","","Evidence: "&amp;Checks!$Z$387)&amp;IF(Checks!$AA$387="","",IF(Checks!$Z$387="","",CHAR(10))&amp;"CA: "&amp;Checks!$AA$387)</f>
        <v/>
      </c>
      <c r="G30" s="113" t="str">
        <f aca="false">IF(ISNUMBER(Checks!$AD$387),TEXT(Checks!$AD$387,"DD-MMM-YY HH:MM")&amp;" "&amp;Checks!$P$387,"")&amp;IF(Checks!$AE$387="","",CHAR(10)&amp;"Verifier: "&amp;Checks!$AE$387)&amp;IF(Checks!$T$387="","",CHAR(10)&amp;"PIC: "&amp;Checks!$T$387)</f>
        <v/>
      </c>
      <c r="H30" s="114" t="str">
        <f aca="false">IF(Checks!$AH$387="","",Checks!$AH$387)</f>
        <v>OPEN</v>
      </c>
    </row>
    <row r="31" customFormat="false" ht="114" hidden="false" customHeight="true" outlineLevel="0" collapsed="false">
      <c r="A31" s="113" t="str">
        <f aca="false">Checks!$A$388&amp;CHAR(10)&amp;IF(Checks!$I$388="","",Checks!$I$388&amp;": ")&amp;Checks!$J$388</f>
        <v>F12-T7-09
Uplift plan: Uplift plan confirmed with caterer vs STD Uplift Information</v>
      </c>
      <c r="B31" s="113" t="str">
        <f aca="false">Checks!$K$388&amp;IF(Checks!$O$388="","",IF(Checks!$K$388="","",CHAR(10))&amp;"Note: "&amp;Checks!$O$388)</f>
        <v>Service: 1.5 Meal (Meal); meal uplift stn KUL (ref lists KUL/ADL)</v>
      </c>
      <c r="C31" s="113" t="str">
        <f aca="false">Checks!$N$388&amp;CHAR(10)&amp;IF(ISNUMBER(Checks!$R$388),TEXT(Checks!$R$388,"DD-MMM-YY HH:MM"),"")&amp;" "&amp;Checks!$P$388</f>
        <v>Required
05-Oct-26 22:25 KUL</v>
      </c>
      <c r="D31" s="113" t="str">
        <f aca="false">IF(Checks!$U$388="","",Checks!$U$388)&amp;IF(Checks!$AB$388="","",CHAR(10)&amp;"CA: "&amp;Checks!$AB$388)</f>
        <v/>
      </c>
      <c r="E31" s="113" t="str">
        <f aca="false">IF(Checks!$V$388="","",Checks!$V$388)&amp;IF(Checks!$AC$388="","",IF(Checks!$V$388="","",CHAR(10))&amp;"N/A just.: "&amp;Checks!$AC$388)&amp;IF(Checks!$W$388="","",CHAR(10)&amp;"Batch: "&amp;Checks!$W$388)&amp;IF(AND(Checks!$X$388="",Checks!$Y$388=""),"",CHAR(10)&amp;"Exp: "&amp;Checks!$X$388&amp;"  /  Act: "&amp;Checks!$Y$388)</f>
        <v/>
      </c>
      <c r="F31" s="113" t="str">
        <f aca="false">IF(Checks!$Z$388="","","Evidence: "&amp;Checks!$Z$388)&amp;IF(Checks!$AA$388="","",IF(Checks!$Z$388="","",CHAR(10))&amp;"CA: "&amp;Checks!$AA$388)</f>
        <v/>
      </c>
      <c r="G31" s="113" t="str">
        <f aca="false">IF(ISNUMBER(Checks!$AD$388),TEXT(Checks!$AD$388,"DD-MMM-YY HH:MM")&amp;" "&amp;Checks!$P$388,"")&amp;IF(Checks!$AE$388="","",CHAR(10)&amp;"Verifier: "&amp;Checks!$AE$388)&amp;IF(Checks!$T$388="","",CHAR(10)&amp;"PIC: "&amp;Checks!$T$388)</f>
        <v/>
      </c>
      <c r="H31" s="114" t="str">
        <f aca="false">IF(Checks!$AH$388="","",Checks!$AH$388)</f>
        <v>OPEN</v>
      </c>
    </row>
    <row r="32" customFormat="false" ht="25.5" hidden="false" customHeight="true" outlineLevel="0" collapsed="false">
      <c r="A32" s="112"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Checks!$A$389&amp;CHAR(10)&amp;IF(Checks!$I$389="","",Checks!$I$389&amp;": ")&amp;Checks!$J$389</f>
        <v>F12-T24-01
Meal: Sensory test repeated on ACTUAL production batch for this flight</v>
      </c>
      <c r="B33" s="113" t="str">
        <f aca="false">Checks!$K$389&amp;IF(Checks!$O$389="","",IF(Checks!$K$389="","",CHAR(10))&amp;"Note: "&amp;Checks!$O$389)</f>
        <v>Batch ID, result, CA and acceptance mandatory</v>
      </c>
      <c r="C33" s="113" t="str">
        <f aca="false">Checks!$N$389&amp;CHAR(10)&amp;IF(ISNUMBER(Checks!$R$389),TEXT(Checks!$R$389,"DD-MMM-YY HH:MM"),"")&amp;" "&amp;Checks!$P$389</f>
        <v>Required
11-Oct-26 22:25 KUL</v>
      </c>
      <c r="D33" s="113" t="str">
        <f aca="false">IF(Checks!$U$389="","",Checks!$U$389)&amp;IF(Checks!$AB$389="","",CHAR(10)&amp;"CA: "&amp;Checks!$AB$389)</f>
        <v/>
      </c>
      <c r="E33" s="113" t="str">
        <f aca="false">IF(Checks!$V$389="","",Checks!$V$389)&amp;IF(Checks!$AC$389="","",IF(Checks!$V$389="","",CHAR(10))&amp;"N/A just.: "&amp;Checks!$AC$389)&amp;IF(Checks!$W$389="","",CHAR(10)&amp;"Batch: "&amp;Checks!$W$389)&amp;IF(AND(Checks!$X$389="",Checks!$Y$389=""),"",CHAR(10)&amp;"Exp: "&amp;Checks!$X$389&amp;"  /  Act: "&amp;Checks!$Y$389)</f>
        <v/>
      </c>
      <c r="F33" s="113" t="str">
        <f aca="false">IF(Checks!$Z$389="","","Evidence: "&amp;Checks!$Z$389)&amp;IF(Checks!$AA$389="","",IF(Checks!$Z$389="","",CHAR(10))&amp;"CA: "&amp;Checks!$AA$389)</f>
        <v/>
      </c>
      <c r="G33" s="113" t="str">
        <f aca="false">IF(ISNUMBER(Checks!$AD$389),TEXT(Checks!$AD$389,"DD-MMM-YY HH:MM")&amp;" "&amp;Checks!$P$389,"")&amp;IF(Checks!$AE$389="","",CHAR(10)&amp;"Verifier: "&amp;Checks!$AE$389)&amp;IF(Checks!$T$389="","",CHAR(10)&amp;"PIC: "&amp;Checks!$T$389)</f>
        <v/>
      </c>
      <c r="H33" s="114" t="str">
        <f aca="false">IF(Checks!$AH$389="","",Checks!$AH$389)</f>
        <v>OPEN</v>
      </c>
    </row>
    <row r="34" customFormat="false" ht="25.5" hidden="false" customHeight="true" outlineLevel="0" collapsed="false">
      <c r="A34" s="112"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2"/>
      <c r="C34" s="112"/>
      <c r="D34" s="112"/>
      <c r="E34" s="112"/>
      <c r="F34" s="112"/>
      <c r="G34" s="112"/>
      <c r="H34" s="112"/>
    </row>
    <row r="35" customFormat="false" ht="114" hidden="false" customHeight="true" outlineLevel="0" collapsed="false">
      <c r="A35" s="113" t="str">
        <f aca="false">Checks!$A$390&amp;CHAR(10)&amp;IF(Checks!$I$390="","",Checks!$I$390&amp;": ")&amp;Checks!$J$390</f>
        <v>F12-T12-01
Meal: Meal quality vs menu checklist</v>
      </c>
      <c r="B35" s="113" t="str">
        <f aca="false">Checks!$K$390&amp;IF(Checks!$O$390="","",IF(Checks!$K$390="","",CHAR(10))&amp;"Note: "&amp;Checks!$O$390)</f>
        <v>Note: Preparation check at caterer - does NOT confirm loading.</v>
      </c>
      <c r="C35" s="113" t="str">
        <f aca="false">Checks!$N$390&amp;CHAR(10)&amp;IF(ISNUMBER(Checks!$R$390),TEXT(Checks!$R$390,"DD-MMM-YY HH:MM"),"")&amp;" "&amp;Checks!$P$390</f>
        <v>Required
12-Oct-26 10:25 KUL</v>
      </c>
      <c r="D35" s="113" t="str">
        <f aca="false">IF(Checks!$U$390="","",Checks!$U$390)&amp;IF(Checks!$AB$390="","",CHAR(10)&amp;"CA: "&amp;Checks!$AB$390)</f>
        <v/>
      </c>
      <c r="E35" s="113" t="str">
        <f aca="false">IF(Checks!$V$390="","",Checks!$V$390)&amp;IF(Checks!$AC$390="","",IF(Checks!$V$390="","",CHAR(10))&amp;"N/A just.: "&amp;Checks!$AC$390)&amp;IF(Checks!$W$390="","",CHAR(10)&amp;"Batch: "&amp;Checks!$W$390)&amp;IF(AND(Checks!$X$390="",Checks!$Y$390=""),"",CHAR(10)&amp;"Exp: "&amp;Checks!$X$390&amp;"  /  Act: "&amp;Checks!$Y$390)</f>
        <v/>
      </c>
      <c r="F35" s="113" t="str">
        <f aca="false">IF(Checks!$Z$390="","","Evidence: "&amp;Checks!$Z$390)&amp;IF(Checks!$AA$390="","",IF(Checks!$Z$390="","",CHAR(10))&amp;"CA: "&amp;Checks!$AA$390)</f>
        <v/>
      </c>
      <c r="G35" s="113" t="str">
        <f aca="false">IF(ISNUMBER(Checks!$AD$390),TEXT(Checks!$AD$390,"DD-MMM-YY HH:MM")&amp;" "&amp;Checks!$P$390,"")&amp;IF(Checks!$AE$390="","",CHAR(10)&amp;"Verifier: "&amp;Checks!$AE$390)&amp;IF(Checks!$T$390="","",CHAR(10)&amp;"PIC: "&amp;Checks!$T$390)</f>
        <v/>
      </c>
      <c r="H35" s="114" t="str">
        <f aca="false">IF(Checks!$AH$390="","",Checks!$AH$390)</f>
        <v>OPEN</v>
      </c>
    </row>
    <row r="36" customFormat="false" ht="114" hidden="false" customHeight="true" outlineLevel="0" collapsed="false">
      <c r="A36" s="113" t="str">
        <f aca="false">Checks!$A$391&amp;CHAR(10)&amp;IF(Checks!$I$391="","",Checks!$I$391&amp;": ")&amp;Checks!$J$391</f>
        <v>F12-T12-02
Meal: Meal quantities vs menu checklist</v>
      </c>
      <c r="B36" s="113" t="str">
        <f aca="false">Checks!$K$391&amp;IF(Checks!$O$391="","",IF(Checks!$K$391="","",CHAR(10))&amp;"Note: "&amp;Checks!$O$391)</f>
        <v>Enter expected &amp; actual
Note: Preparation check at caterer - does NOT confirm loading.</v>
      </c>
      <c r="C36" s="113" t="str">
        <f aca="false">Checks!$N$391&amp;CHAR(10)&amp;IF(ISNUMBER(Checks!$R$391),TEXT(Checks!$R$391,"DD-MMM-YY HH:MM"),"")&amp;" "&amp;Checks!$P$391</f>
        <v>Required
12-Oct-26 10:25 KUL</v>
      </c>
      <c r="D36" s="113" t="str">
        <f aca="false">IF(Checks!$U$391="","",Checks!$U$391)&amp;IF(Checks!$AB$391="","",CHAR(10)&amp;"CA: "&amp;Checks!$AB$391)</f>
        <v/>
      </c>
      <c r="E36" s="113" t="str">
        <f aca="false">IF(Checks!$V$391="","",Checks!$V$391)&amp;IF(Checks!$AC$391="","",IF(Checks!$V$391="","",CHAR(10))&amp;"N/A just.: "&amp;Checks!$AC$391)&amp;IF(Checks!$W$391="","",CHAR(10)&amp;"Batch: "&amp;Checks!$W$391)&amp;IF(AND(Checks!$X$391="",Checks!$Y$391=""),"",CHAR(10)&amp;"Exp: "&amp;Checks!$X$391&amp;"  /  Act: "&amp;Checks!$Y$391)</f>
        <v/>
      </c>
      <c r="F36" s="113" t="str">
        <f aca="false">IF(Checks!$Z$391="","","Evidence: "&amp;Checks!$Z$391)&amp;IF(Checks!$AA$391="","",IF(Checks!$Z$391="","",CHAR(10))&amp;"CA: "&amp;Checks!$AA$391)</f>
        <v/>
      </c>
      <c r="G36" s="113" t="str">
        <f aca="false">IF(ISNUMBER(Checks!$AD$391),TEXT(Checks!$AD$391,"DD-MMM-YY HH:MM")&amp;" "&amp;Checks!$P$391,"")&amp;IF(Checks!$AE$391="","",CHAR(10)&amp;"Verifier: "&amp;Checks!$AE$391)&amp;IF(Checks!$T$391="","",CHAR(10)&amp;"PIC: "&amp;Checks!$T$391)</f>
        <v/>
      </c>
      <c r="H36" s="114" t="str">
        <f aca="false">IF(Checks!$AH$391="","",Checks!$AH$391)</f>
        <v>OPEN</v>
      </c>
    </row>
    <row r="37" customFormat="false" ht="114" hidden="false" customHeight="true" outlineLevel="0" collapsed="false">
      <c r="A37" s="113" t="str">
        <f aca="false">Checks!$A$392&amp;CHAR(10)&amp;IF(Checks!$I$392="","",Checks!$I$392&amp;": ")&amp;Checks!$J$392</f>
        <v>F12-T12-03
Equipment: Equipment cleanliness vs GLD</v>
      </c>
      <c r="B37" s="113" t="str">
        <f aca="false">Checks!$K$392&amp;IF(Checks!$O$392="","",IF(Checks!$K$392="","",CHAR(10))&amp;"Note: "&amp;Checks!$O$392)</f>
        <v>Note: Preparation check at caterer - does NOT confirm loading.</v>
      </c>
      <c r="C37" s="113" t="str">
        <f aca="false">Checks!$N$392&amp;CHAR(10)&amp;IF(ISNUMBER(Checks!$R$392),TEXT(Checks!$R$392,"DD-MMM-YY HH:MM"),"")&amp;" "&amp;Checks!$P$392</f>
        <v>Required
12-Oct-26 10:25 KUL</v>
      </c>
      <c r="D37" s="113" t="str">
        <f aca="false">IF(Checks!$U$392="","",Checks!$U$392)&amp;IF(Checks!$AB$392="","",CHAR(10)&amp;"CA: "&amp;Checks!$AB$392)</f>
        <v/>
      </c>
      <c r="E37" s="113" t="str">
        <f aca="false">IF(Checks!$V$392="","",Checks!$V$392)&amp;IF(Checks!$AC$392="","",IF(Checks!$V$392="","",CHAR(10))&amp;"N/A just.: "&amp;Checks!$AC$392)&amp;IF(Checks!$W$392="","",CHAR(10)&amp;"Batch: "&amp;Checks!$W$392)&amp;IF(AND(Checks!$X$392="",Checks!$Y$392=""),"",CHAR(10)&amp;"Exp: "&amp;Checks!$X$392&amp;"  /  Act: "&amp;Checks!$Y$392)</f>
        <v/>
      </c>
      <c r="F37" s="113" t="str">
        <f aca="false">IF(Checks!$Z$392="","","Evidence: "&amp;Checks!$Z$392)&amp;IF(Checks!$AA$392="","",IF(Checks!$Z$392="","",CHAR(10))&amp;"CA: "&amp;Checks!$AA$392)</f>
        <v/>
      </c>
      <c r="G37" s="113" t="str">
        <f aca="false">IF(ISNUMBER(Checks!$AD$392),TEXT(Checks!$AD$392,"DD-MMM-YY HH:MM")&amp;" "&amp;Checks!$P$392,"")&amp;IF(Checks!$AE$392="","",CHAR(10)&amp;"Verifier: "&amp;Checks!$AE$392)&amp;IF(Checks!$T$392="","",CHAR(10)&amp;"PIC: "&amp;Checks!$T$392)</f>
        <v/>
      </c>
      <c r="H37" s="114" t="str">
        <f aca="false">IF(Checks!$AH$392="","",Checks!$AH$392)</f>
        <v>OPEN</v>
      </c>
    </row>
    <row r="38" customFormat="false" ht="114" hidden="false" customHeight="true" outlineLevel="0" collapsed="false">
      <c r="A38" s="113" t="str">
        <f aca="false">Checks!$A$393&amp;CHAR(10)&amp;IF(Checks!$I$393="","",Checks!$I$393&amp;": ")&amp;Checks!$J$393</f>
        <v>F12-T12-04
Equipment: Equipment presentation vs GLD</v>
      </c>
      <c r="B38" s="113" t="str">
        <f aca="false">Checks!$K$393&amp;IF(Checks!$O$393="","",IF(Checks!$K$393="","",CHAR(10))&amp;"Note: "&amp;Checks!$O$393)</f>
        <v>Note: Preparation check at caterer - does NOT confirm loading.</v>
      </c>
      <c r="C38" s="113" t="str">
        <f aca="false">Checks!$N$393&amp;CHAR(10)&amp;IF(ISNUMBER(Checks!$R$393),TEXT(Checks!$R$393,"DD-MMM-YY HH:MM"),"")&amp;" "&amp;Checks!$P$393</f>
        <v>Required
12-Oct-26 10:25 KUL</v>
      </c>
      <c r="D38" s="113" t="str">
        <f aca="false">IF(Checks!$U$393="","",Checks!$U$393)&amp;IF(Checks!$AB$393="","",CHAR(10)&amp;"CA: "&amp;Checks!$AB$393)</f>
        <v/>
      </c>
      <c r="E38" s="113" t="str">
        <f aca="false">IF(Checks!$V$393="","",Checks!$V$393)&amp;IF(Checks!$AC$393="","",IF(Checks!$V$393="","",CHAR(10))&amp;"N/A just.: "&amp;Checks!$AC$393)&amp;IF(Checks!$W$393="","",CHAR(10)&amp;"Batch: "&amp;Checks!$W$393)&amp;IF(AND(Checks!$X$393="",Checks!$Y$393=""),"",CHAR(10)&amp;"Exp: "&amp;Checks!$X$393&amp;"  /  Act: "&amp;Checks!$Y$393)</f>
        <v/>
      </c>
      <c r="F38" s="113" t="str">
        <f aca="false">IF(Checks!$Z$393="","","Evidence: "&amp;Checks!$Z$393)&amp;IF(Checks!$AA$393="","",IF(Checks!$Z$393="","",CHAR(10))&amp;"CA: "&amp;Checks!$AA$393)</f>
        <v/>
      </c>
      <c r="G38" s="113" t="str">
        <f aca="false">IF(ISNUMBER(Checks!$AD$393),TEXT(Checks!$AD$393,"DD-MMM-YY HH:MM")&amp;" "&amp;Checks!$P$393,"")&amp;IF(Checks!$AE$393="","",CHAR(10)&amp;"Verifier: "&amp;Checks!$AE$393)&amp;IF(Checks!$T$393="","",CHAR(10)&amp;"PIC: "&amp;Checks!$T$393)</f>
        <v/>
      </c>
      <c r="H38" s="114" t="str">
        <f aca="false">IF(Checks!$AH$393="","",Checks!$AH$393)</f>
        <v>OPEN</v>
      </c>
    </row>
    <row r="39" customFormat="false" ht="114" hidden="false" customHeight="true" outlineLevel="0" collapsed="false">
      <c r="A39" s="113" t="str">
        <f aca="false">Checks!$A$394&amp;CHAR(10)&amp;IF(Checks!$I$394="","",Checks!$I$394&amp;": ")&amp;Checks!$J$394</f>
        <v>F12-T12-05
Equipment: Equipment serviceability vs GLD</v>
      </c>
      <c r="B39" s="113" t="str">
        <f aca="false">Checks!$K$394&amp;IF(Checks!$O$394="","",IF(Checks!$K$394="","",CHAR(10))&amp;"Note: "&amp;Checks!$O$394)</f>
        <v>Note: Preparation check at caterer - does NOT confirm loading.</v>
      </c>
      <c r="C39" s="113" t="str">
        <f aca="false">Checks!$N$394&amp;CHAR(10)&amp;IF(ISNUMBER(Checks!$R$394),TEXT(Checks!$R$394,"DD-MMM-YY HH:MM"),"")&amp;" "&amp;Checks!$P$394</f>
        <v>Required
12-Oct-26 10:25 KUL</v>
      </c>
      <c r="D39" s="113" t="str">
        <f aca="false">IF(Checks!$U$394="","",Checks!$U$394)&amp;IF(Checks!$AB$394="","",CHAR(10)&amp;"CA: "&amp;Checks!$AB$394)</f>
        <v/>
      </c>
      <c r="E39" s="113" t="str">
        <f aca="false">IF(Checks!$V$394="","",Checks!$V$394)&amp;IF(Checks!$AC$394="","",IF(Checks!$V$394="","",CHAR(10))&amp;"N/A just.: "&amp;Checks!$AC$394)&amp;IF(Checks!$W$394="","",CHAR(10)&amp;"Batch: "&amp;Checks!$W$394)&amp;IF(AND(Checks!$X$394="",Checks!$Y$394=""),"",CHAR(10)&amp;"Exp: "&amp;Checks!$X$394&amp;"  /  Act: "&amp;Checks!$Y$394)</f>
        <v/>
      </c>
      <c r="F39" s="113" t="str">
        <f aca="false">IF(Checks!$Z$394="","","Evidence: "&amp;Checks!$Z$394)&amp;IF(Checks!$AA$394="","",IF(Checks!$Z$394="","",CHAR(10))&amp;"CA: "&amp;Checks!$AA$394)</f>
        <v/>
      </c>
      <c r="G39" s="113" t="str">
        <f aca="false">IF(ISNUMBER(Checks!$AD$394),TEXT(Checks!$AD$394,"DD-MMM-YY HH:MM")&amp;" "&amp;Checks!$P$394,"")&amp;IF(Checks!$AE$394="","",CHAR(10)&amp;"Verifier: "&amp;Checks!$AE$394)&amp;IF(Checks!$T$394="","",CHAR(10)&amp;"PIC: "&amp;Checks!$T$394)</f>
        <v/>
      </c>
      <c r="H39" s="114" t="str">
        <f aca="false">IF(Checks!$AH$394="","",Checks!$AH$394)</f>
        <v>OPEN</v>
      </c>
    </row>
    <row r="40" customFormat="false" ht="201.75" hidden="false" customHeight="true" outlineLevel="0" collapsed="false">
      <c r="A40" s="113" t="str">
        <f aca="false">Checks!$A$395&amp;CHAR(10)&amp;IF(Checks!$I$395="","",Checks!$I$395&amp;": ")&amp;Checks!$J$395</f>
        <v>F12-T12-06
Equipment: Equipment quantities vs GLD</v>
      </c>
      <c r="B40" s="113" t="str">
        <f aca="false">SUBSTITUTE(Checks!$K$395&amp;IF(Checks!$O$395="","",IF(Checks!$K$395="","",CHAR(10))&amp;"Note: "&amp;Checks!$O$395),"AIRCRAFT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0" s="113" t="str">
        <f aca="false">Checks!$N$395&amp;CHAR(10)&amp;IF(ISNUMBER(Checks!$R$395),TEXT(Checks!$R$395,"DD-MMM-YY HH:MM"),"")&amp;" "&amp;Checks!$P$395</f>
        <v>Required
12-Oct-26 10:25 KUL</v>
      </c>
      <c r="D40" s="113" t="str">
        <f aca="false">IF(Checks!$U$395="","",Checks!$U$395)&amp;IF(Checks!$AB$395="","",CHAR(10)&amp;"CA: "&amp;Checks!$AB$395)</f>
        <v/>
      </c>
      <c r="E40" s="113" t="str">
        <f aca="false">IF(Checks!$V$395="","",Checks!$V$395)&amp;IF(Checks!$AC$395="","",IF(Checks!$V$395="","",CHAR(10))&amp;"N/A just.: "&amp;Checks!$AC$395)&amp;IF(Checks!$W$395="","",CHAR(10)&amp;"Batch: "&amp;Checks!$W$395)&amp;IF(AND(Checks!$X$395="",Checks!$Y$395=""),"",CHAR(10)&amp;"Exp: "&amp;Checks!$X$395&amp;"  /  Act: "&amp;Checks!$Y$395)</f>
        <v/>
      </c>
      <c r="F40" s="113" t="str">
        <f aca="false">IF(Checks!$Z$395="","","Evidence: "&amp;Checks!$Z$395)&amp;IF(Checks!$AA$395="","",IF(Checks!$Z$395="","",CHAR(10))&amp;"CA: "&amp;Checks!$AA$395)</f>
        <v/>
      </c>
      <c r="G40" s="113" t="str">
        <f aca="false">IF(ISNUMBER(Checks!$AD$395),TEXT(Checks!$AD$395,"DD-MMM-YY HH:MM")&amp;" "&amp;Checks!$P$395,"")&amp;IF(Checks!$AE$395="","",CHAR(10)&amp;"Verifier: "&amp;Checks!$AE$395)&amp;IF(Checks!$T$395="","",CHAR(10)&amp;"PIC: "&amp;Checks!$T$395)</f>
        <v/>
      </c>
      <c r="H40" s="114" t="str">
        <f aca="false">IF(Checks!$AH$395="","",Checks!$AH$395)</f>
        <v>OPEN</v>
      </c>
    </row>
    <row r="41" customFormat="false" ht="114" hidden="false" customHeight="true" outlineLevel="0" collapsed="false">
      <c r="A41" s="113" t="str">
        <f aca="false">Checks!$A$396&amp;CHAR(10)&amp;IF(Checks!$I$396="","",Checks!$I$396&amp;": ")&amp;Checks!$J$396</f>
        <v>F12-T12-07
Equipment: Loading positions planned vs GLD</v>
      </c>
      <c r="B41" s="113" t="str">
        <f aca="false">Checks!$K$396&amp;IF(Checks!$O$396="","",IF(Checks!$K$396="","",CHAR(10))&amp;"Note: "&amp;Checks!$O$396)</f>
        <v>Note: Preparation check at caterer - does NOT confirm loading.</v>
      </c>
      <c r="C41" s="113" t="str">
        <f aca="false">Checks!$N$396&amp;CHAR(10)&amp;IF(ISNUMBER(Checks!$R$396),TEXT(Checks!$R$396,"DD-MMM-YY HH:MM"),"")&amp;" "&amp;Checks!$P$396</f>
        <v>Required
12-Oct-26 10:25 KUL</v>
      </c>
      <c r="D41" s="113" t="str">
        <f aca="false">IF(Checks!$U$396="","",Checks!$U$396)&amp;IF(Checks!$AB$396="","",CHAR(10)&amp;"CA: "&amp;Checks!$AB$396)</f>
        <v/>
      </c>
      <c r="E41" s="113" t="str">
        <f aca="false">IF(Checks!$V$396="","",Checks!$V$396)&amp;IF(Checks!$AC$396="","",IF(Checks!$V$396="","",CHAR(10))&amp;"N/A just.: "&amp;Checks!$AC$396)&amp;IF(Checks!$W$396="","",CHAR(10)&amp;"Batch: "&amp;Checks!$W$396)&amp;IF(AND(Checks!$X$396="",Checks!$Y$396=""),"",CHAR(10)&amp;"Exp: "&amp;Checks!$X$396&amp;"  /  Act: "&amp;Checks!$Y$396)</f>
        <v/>
      </c>
      <c r="F41" s="113" t="str">
        <f aca="false">IF(Checks!$Z$396="","","Evidence: "&amp;Checks!$Z$396)&amp;IF(Checks!$AA$396="","",IF(Checks!$Z$396="","",CHAR(10))&amp;"CA: "&amp;Checks!$AA$396)</f>
        <v/>
      </c>
      <c r="G41" s="113" t="str">
        <f aca="false">IF(ISNUMBER(Checks!$AD$396),TEXT(Checks!$AD$396,"DD-MMM-YY HH:MM")&amp;" "&amp;Checks!$P$396,"")&amp;IF(Checks!$AE$396="","",CHAR(10)&amp;"Verifier: "&amp;Checks!$AE$396)&amp;IF(Checks!$T$396="","",CHAR(10)&amp;"PIC: "&amp;Checks!$T$396)</f>
        <v/>
      </c>
      <c r="H41" s="114" t="str">
        <f aca="false">IF(Checks!$AH$396="","",Checks!$AH$396)</f>
        <v>OPEN</v>
      </c>
    </row>
    <row r="42" customFormat="false" ht="114" hidden="false" customHeight="true" outlineLevel="0" collapsed="false">
      <c r="A42" s="113" t="str">
        <f aca="false">Checks!$A$397&amp;CHAR(10)&amp;IF(Checks!$I$397="","",Checks!$I$397&amp;": ")&amp;Checks!$J$397</f>
        <v>F12-T12-08
Amenities: Toiletry kits - prepared</v>
      </c>
      <c r="B42" s="113" t="str">
        <f aca="false">Checks!$K$397&amp;IF(Checks!$O$397="","",IF(Checks!$K$397="","",CHAR(10))&amp;"Note: "&amp;Checks!$O$397)</f>
        <v>Available (ticked in reference)</v>
      </c>
      <c r="C42" s="113" t="str">
        <f aca="false">Checks!$N$397&amp;CHAR(10)&amp;IF(ISNUMBER(Checks!$R$397),TEXT(Checks!$R$397,"DD-MMM-YY HH:MM"),"")&amp;" "&amp;Checks!$P$397</f>
        <v>Required
12-Oct-26 10:25 KUL</v>
      </c>
      <c r="D42" s="113" t="str">
        <f aca="false">IF(Checks!$U$397="","",Checks!$U$397)&amp;IF(Checks!$AB$397="","",CHAR(10)&amp;"CA: "&amp;Checks!$AB$397)</f>
        <v/>
      </c>
      <c r="E42" s="113" t="str">
        <f aca="false">IF(Checks!$V$397="","",Checks!$V$397)&amp;IF(Checks!$AC$397="","",IF(Checks!$V$397="","",CHAR(10))&amp;"N/A just.: "&amp;Checks!$AC$397)&amp;IF(Checks!$W$397="","",CHAR(10)&amp;"Batch: "&amp;Checks!$W$397)&amp;IF(AND(Checks!$X$397="",Checks!$Y$397=""),"",CHAR(10)&amp;"Exp: "&amp;Checks!$X$397&amp;"  /  Act: "&amp;Checks!$Y$397)</f>
        <v/>
      </c>
      <c r="F42" s="113" t="str">
        <f aca="false">IF(Checks!$Z$397="","","Evidence: "&amp;Checks!$Z$397)&amp;IF(Checks!$AA$397="","",IF(Checks!$Z$397="","",CHAR(10))&amp;"CA: "&amp;Checks!$AA$397)</f>
        <v/>
      </c>
      <c r="G42" s="113" t="str">
        <f aca="false">IF(ISNUMBER(Checks!$AD$397),TEXT(Checks!$AD$397,"DD-MMM-YY HH:MM")&amp;" "&amp;Checks!$P$397,"")&amp;IF(Checks!$AE$397="","",CHAR(10)&amp;"Verifier: "&amp;Checks!$AE$397)&amp;IF(Checks!$T$397="","",CHAR(10)&amp;"PIC: "&amp;Checks!$T$397)</f>
        <v/>
      </c>
      <c r="H42" s="114" t="str">
        <f aca="false">IF(Checks!$AH$397="","",Checks!$AH$397)</f>
        <v>OPEN</v>
      </c>
    </row>
    <row r="43" customFormat="false" ht="114" hidden="false" customHeight="true" outlineLevel="0" collapsed="false">
      <c r="A43" s="113" t="str">
        <f aca="false">Checks!$A$398&amp;CHAR(10)&amp;IF(Checks!$I$398="","",Checks!$I$398&amp;": ")&amp;Checks!$J$398</f>
        <v>F12-T12-09
Amenities: Slippers (BS/BC) - prepared</v>
      </c>
      <c r="B43" s="113" t="str">
        <f aca="false">Checks!$K$398&amp;IF(Checks!$O$398="","",IF(Checks!$K$398="","",CHAR(10))&amp;"Note: "&amp;Checks!$O$398)</f>
        <v>Available (ticked in reference)</v>
      </c>
      <c r="C43" s="113" t="str">
        <f aca="false">Checks!$N$398&amp;CHAR(10)&amp;IF(ISNUMBER(Checks!$R$398),TEXT(Checks!$R$398,"DD-MMM-YY HH:MM"),"")&amp;" "&amp;Checks!$P$398</f>
        <v>Required
12-Oct-26 10:25 KUL</v>
      </c>
      <c r="D43" s="113" t="str">
        <f aca="false">IF(Checks!$U$398="","",Checks!$U$398)&amp;IF(Checks!$AB$398="","",CHAR(10)&amp;"CA: "&amp;Checks!$AB$398)</f>
        <v/>
      </c>
      <c r="E43" s="113" t="str">
        <f aca="false">IF(Checks!$V$398="","",Checks!$V$398)&amp;IF(Checks!$AC$398="","",IF(Checks!$V$398="","",CHAR(10))&amp;"N/A just.: "&amp;Checks!$AC$398)&amp;IF(Checks!$W$398="","",CHAR(10)&amp;"Batch: "&amp;Checks!$W$398)&amp;IF(AND(Checks!$X$398="",Checks!$Y$398=""),"",CHAR(10)&amp;"Exp: "&amp;Checks!$X$398&amp;"  /  Act: "&amp;Checks!$Y$398)</f>
        <v/>
      </c>
      <c r="F43" s="113" t="str">
        <f aca="false">IF(Checks!$Z$398="","","Evidence: "&amp;Checks!$Z$398)&amp;IF(Checks!$AA$398="","",IF(Checks!$Z$398="","",CHAR(10))&amp;"CA: "&amp;Checks!$AA$398)</f>
        <v/>
      </c>
      <c r="G43" s="113" t="str">
        <f aca="false">IF(ISNUMBER(Checks!$AD$398),TEXT(Checks!$AD$398,"DD-MMM-YY HH:MM")&amp;" "&amp;Checks!$P$398,"")&amp;IF(Checks!$AE$398="","",CHAR(10)&amp;"Verifier: "&amp;Checks!$AE$398)&amp;IF(Checks!$T$398="","",CHAR(10)&amp;"PIC: "&amp;Checks!$T$398)</f>
        <v/>
      </c>
      <c r="H43" s="114" t="str">
        <f aca="false">IF(Checks!$AH$398="","",Checks!$AH$398)</f>
        <v>OPEN</v>
      </c>
    </row>
    <row r="44" customFormat="false" ht="114" hidden="false" customHeight="true" outlineLevel="0" collapsed="false">
      <c r="A44" s="113" t="str">
        <f aca="false">Checks!$A$399&amp;CHAR(10)&amp;IF(Checks!$I$399="","",Checks!$I$399&amp;": ")&amp;Checks!$J$399</f>
        <v>F12-T12-10
F&amp;B Linen: Towel - prepared</v>
      </c>
      <c r="B44" s="113" t="str">
        <f aca="false">Checks!$K$399&amp;IF(Checks!$O$399="","",IF(Checks!$K$399="","",CHAR(10))&amp;"Note: "&amp;Checks!$O$399)</f>
        <v>Available (ticked in reference)
Note: Reference gives no uplift stn for this item: preparation checked at the meal uplift stn (KUL) - confirm with caterer.</v>
      </c>
      <c r="C44" s="113" t="str">
        <f aca="false">Checks!$N$399&amp;CHAR(10)&amp;IF(ISNUMBER(Checks!$R$399),TEXT(Checks!$R$399,"DD-MMM-YY HH:MM"),"")&amp;" "&amp;Checks!$P$399</f>
        <v>Required
12-Oct-26 10:25 KUL</v>
      </c>
      <c r="D44" s="113" t="str">
        <f aca="false">IF(Checks!$U$399="","",Checks!$U$399)&amp;IF(Checks!$AB$399="","",CHAR(10)&amp;"CA: "&amp;Checks!$AB$399)</f>
        <v/>
      </c>
      <c r="E44" s="113" t="str">
        <f aca="false">IF(Checks!$V$399="","",Checks!$V$399)&amp;IF(Checks!$AC$399="","",IF(Checks!$V$399="","",CHAR(10))&amp;"N/A just.: "&amp;Checks!$AC$399)&amp;IF(Checks!$W$399="","",CHAR(10)&amp;"Batch: "&amp;Checks!$W$399)&amp;IF(AND(Checks!$X$399="",Checks!$Y$399=""),"",CHAR(10)&amp;"Exp: "&amp;Checks!$X$399&amp;"  /  Act: "&amp;Checks!$Y$399)</f>
        <v/>
      </c>
      <c r="F44" s="113" t="str">
        <f aca="false">IF(Checks!$Z$399="","","Evidence: "&amp;Checks!$Z$399)&amp;IF(Checks!$AA$399="","",IF(Checks!$Z$399="","",CHAR(10))&amp;"CA: "&amp;Checks!$AA$399)</f>
        <v/>
      </c>
      <c r="G44" s="113" t="str">
        <f aca="false">IF(ISNUMBER(Checks!$AD$399),TEXT(Checks!$AD$399,"DD-MMM-YY HH:MM")&amp;" "&amp;Checks!$P$399,"")&amp;IF(Checks!$AE$399="","",CHAR(10)&amp;"Verifier: "&amp;Checks!$AE$399)&amp;IF(Checks!$T$399="","",CHAR(10)&amp;"PIC: "&amp;Checks!$T$399)</f>
        <v/>
      </c>
      <c r="H44" s="114" t="str">
        <f aca="false">IF(Checks!$AH$399="","",Checks!$AH$399)</f>
        <v>OPEN</v>
      </c>
    </row>
    <row r="45" customFormat="false" ht="114" hidden="false" customHeight="true" outlineLevel="0" collapsed="false">
      <c r="A45" s="113" t="str">
        <f aca="false">Checks!$A$400&amp;CHAR(10)&amp;IF(Checks!$I$400="","",Checks!$I$400&amp;": ")&amp;Checks!$J$400</f>
        <v>F12-T12-11
F&amp;B Linen: Tray cloth - prepared</v>
      </c>
      <c r="B45" s="113" t="str">
        <f aca="false">Checks!$K$400&amp;IF(Checks!$O$400="","",IF(Checks!$K$400="","",CHAR(10))&amp;"Note: "&amp;Checks!$O$400)</f>
        <v>Available (ticked in reference)
Note: Reference gives no uplift stn for this item: preparation checked at the meal uplift stn (KUL) - confirm with caterer.</v>
      </c>
      <c r="C45" s="113" t="str">
        <f aca="false">Checks!$N$400&amp;CHAR(10)&amp;IF(ISNUMBER(Checks!$R$400),TEXT(Checks!$R$400,"DD-MMM-YY HH:MM"),"")&amp;" "&amp;Checks!$P$400</f>
        <v>Required
12-Oct-26 10:25 KUL</v>
      </c>
      <c r="D45" s="113" t="str">
        <f aca="false">IF(Checks!$U$400="","",Checks!$U$400)&amp;IF(Checks!$AB$400="","",CHAR(10)&amp;"CA: "&amp;Checks!$AB$400)</f>
        <v/>
      </c>
      <c r="E45" s="113" t="str">
        <f aca="false">IF(Checks!$V$400="","",Checks!$V$400)&amp;IF(Checks!$AC$400="","",IF(Checks!$V$400="","",CHAR(10))&amp;"N/A just.: "&amp;Checks!$AC$400)&amp;IF(Checks!$W$400="","",CHAR(10)&amp;"Batch: "&amp;Checks!$W$400)&amp;IF(AND(Checks!$X$400="",Checks!$Y$400=""),"",CHAR(10)&amp;"Exp: "&amp;Checks!$X$400&amp;"  /  Act: "&amp;Checks!$Y$400)</f>
        <v/>
      </c>
      <c r="F45" s="113" t="str">
        <f aca="false">IF(Checks!$Z$400="","","Evidence: "&amp;Checks!$Z$400)&amp;IF(Checks!$AA$400="","",IF(Checks!$Z$400="","",CHAR(10))&amp;"CA: "&amp;Checks!$AA$400)</f>
        <v/>
      </c>
      <c r="G45" s="113" t="str">
        <f aca="false">IF(ISNUMBER(Checks!$AD$400),TEXT(Checks!$AD$400,"DD-MMM-YY HH:MM")&amp;" "&amp;Checks!$P$400,"")&amp;IF(Checks!$AE$400="","",CHAR(10)&amp;"Verifier: "&amp;Checks!$AE$400)&amp;IF(Checks!$T$400="","",CHAR(10)&amp;"PIC: "&amp;Checks!$T$400)</f>
        <v/>
      </c>
      <c r="H45" s="114" t="str">
        <f aca="false">IF(Checks!$AH$400="","",Checks!$AH$400)</f>
        <v>OPEN</v>
      </c>
    </row>
    <row r="46" customFormat="false" ht="114" hidden="false" customHeight="true" outlineLevel="0" collapsed="false">
      <c r="A46" s="113" t="str">
        <f aca="false">Checks!$A$401&amp;CHAR(10)&amp;IF(Checks!$I$401="","",Checks!$I$401&amp;": ")&amp;Checks!$J$401</f>
        <v>F12-T12-12
F&amp;B Linen: Napkin - prepared</v>
      </c>
      <c r="B46" s="113" t="str">
        <f aca="false">Checks!$K$401&amp;IF(Checks!$O$401="","",IF(Checks!$K$401="","",CHAR(10))&amp;"Note: "&amp;Checks!$O$401)</f>
        <v>Available (ticked in reference)
Note: Reference gives no uplift stn for this item: preparation checked at the meal uplift stn (KUL) - confirm with caterer.</v>
      </c>
      <c r="C46" s="113" t="str">
        <f aca="false">Checks!$N$401&amp;CHAR(10)&amp;IF(ISNUMBER(Checks!$R$401),TEXT(Checks!$R$401,"DD-MMM-YY HH:MM"),"")&amp;" "&amp;Checks!$P$401</f>
        <v>Required
12-Oct-26 10:25 KUL</v>
      </c>
      <c r="D46" s="113" t="str">
        <f aca="false">IF(Checks!$U$401="","",Checks!$U$401)&amp;IF(Checks!$AB$401="","",CHAR(10)&amp;"CA: "&amp;Checks!$AB$401)</f>
        <v/>
      </c>
      <c r="E46" s="113" t="str">
        <f aca="false">IF(Checks!$V$401="","",Checks!$V$401)&amp;IF(Checks!$AC$401="","",IF(Checks!$V$401="","",CHAR(10))&amp;"N/A just.: "&amp;Checks!$AC$401)&amp;IF(Checks!$W$401="","",CHAR(10)&amp;"Batch: "&amp;Checks!$W$401)&amp;IF(AND(Checks!$X$401="",Checks!$Y$401=""),"",CHAR(10)&amp;"Exp: "&amp;Checks!$X$401&amp;"  /  Act: "&amp;Checks!$Y$401)</f>
        <v/>
      </c>
      <c r="F46" s="113" t="str">
        <f aca="false">IF(Checks!$Z$401="","","Evidence: "&amp;Checks!$Z$401)&amp;IF(Checks!$AA$401="","",IF(Checks!$Z$401="","",CHAR(10))&amp;"CA: "&amp;Checks!$AA$401)</f>
        <v/>
      </c>
      <c r="G46" s="113" t="str">
        <f aca="false">IF(ISNUMBER(Checks!$AD$401),TEXT(Checks!$AD$401,"DD-MMM-YY HH:MM")&amp;" "&amp;Checks!$P$401,"")&amp;IF(Checks!$AE$401="","",CHAR(10)&amp;"Verifier: "&amp;Checks!$AE$401)&amp;IF(Checks!$T$401="","",CHAR(10)&amp;"PIC: "&amp;Checks!$T$401)</f>
        <v/>
      </c>
      <c r="H46" s="114" t="str">
        <f aca="false">IF(Checks!$AH$401="","",Checks!$AH$401)</f>
        <v>OPEN</v>
      </c>
    </row>
    <row r="47" customFormat="false" ht="114" hidden="false" customHeight="true" outlineLevel="0" collapsed="false">
      <c r="A47" s="113" t="str">
        <f aca="false">Checks!$A$402&amp;CHAR(10)&amp;IF(Checks!$I$402="","",Checks!$I$402&amp;": ")&amp;Checks!$J$402</f>
        <v>F12-T12-13
F&amp;B Linen: Table cloth - prepared</v>
      </c>
      <c r="B47" s="113" t="str">
        <f aca="false">Checks!$K$402&amp;IF(Checks!$O$402="","",IF(Checks!$K$402="","",CHAR(10))&amp;"Note: "&amp;Checks!$O$402)</f>
        <v>Available (ticked in reference)
Note: Reference gives no uplift stn for this item: preparation checked at the meal uplift stn (KUL) - confirm with caterer.</v>
      </c>
      <c r="C47" s="113" t="str">
        <f aca="false">Checks!$N$402&amp;CHAR(10)&amp;IF(ISNUMBER(Checks!$R$402),TEXT(Checks!$R$402,"DD-MMM-YY HH:MM"),"")&amp;" "&amp;Checks!$P$402</f>
        <v>Required
12-Oct-26 10:25 KUL</v>
      </c>
      <c r="D47" s="113" t="str">
        <f aca="false">IF(Checks!$U$402="","",Checks!$U$402)&amp;IF(Checks!$AB$402="","",CHAR(10)&amp;"CA: "&amp;Checks!$AB$402)</f>
        <v/>
      </c>
      <c r="E47" s="113" t="str">
        <f aca="false">IF(Checks!$V$402="","",Checks!$V$402)&amp;IF(Checks!$AC$402="","",IF(Checks!$V$402="","",CHAR(10))&amp;"N/A just.: "&amp;Checks!$AC$402)&amp;IF(Checks!$W$402="","",CHAR(10)&amp;"Batch: "&amp;Checks!$W$402)&amp;IF(AND(Checks!$X$402="",Checks!$Y$402=""),"",CHAR(10)&amp;"Exp: "&amp;Checks!$X$402&amp;"  /  Act: "&amp;Checks!$Y$402)</f>
        <v/>
      </c>
      <c r="F47" s="113" t="str">
        <f aca="false">IF(Checks!$Z$402="","","Evidence: "&amp;Checks!$Z$402)&amp;IF(Checks!$AA$402="","",IF(Checks!$Z$402="","",CHAR(10))&amp;"CA: "&amp;Checks!$AA$402)</f>
        <v/>
      </c>
      <c r="G47" s="113" t="str">
        <f aca="false">IF(ISNUMBER(Checks!$AD$402),TEXT(Checks!$AD$402,"DD-MMM-YY HH:MM")&amp;" "&amp;Checks!$P$402,"")&amp;IF(Checks!$AE$402="","",CHAR(10)&amp;"Verifier: "&amp;Checks!$AE$402)&amp;IF(Checks!$T$402="","",CHAR(10)&amp;"PIC: "&amp;Checks!$T$402)</f>
        <v/>
      </c>
      <c r="H47" s="114" t="str">
        <f aca="false">IF(Checks!$AH$402="","",Checks!$AH$402)</f>
        <v>OPEN</v>
      </c>
    </row>
    <row r="48" customFormat="false" ht="114" hidden="false" customHeight="true" outlineLevel="0" collapsed="false">
      <c r="A48" s="113" t="str">
        <f aca="false">Checks!$A$403&amp;CHAR(10)&amp;IF(Checks!$I$403="","",Checks!$I$403&amp;": ")&amp;Checks!$J$403</f>
        <v>F12-T12-14
F&amp;B Linen: Bread linen (using table cloth) - prepared</v>
      </c>
      <c r="B48" s="113" t="str">
        <f aca="false">Checks!$K$403&amp;IF(Checks!$O$403="","",IF(Checks!$K$403="","",CHAR(10))&amp;"Note: "&amp;Checks!$O$403)</f>
        <v>Available (ticked in reference)
Note: Reference gives no uplift stn for this item: preparation checked at the meal uplift stn (KUL) - confirm with caterer.</v>
      </c>
      <c r="C48" s="113" t="str">
        <f aca="false">Checks!$N$403&amp;CHAR(10)&amp;IF(ISNUMBER(Checks!$R$403),TEXT(Checks!$R$403,"DD-MMM-YY HH:MM"),"")&amp;" "&amp;Checks!$P$403</f>
        <v>Required
12-Oct-26 10:25 KUL</v>
      </c>
      <c r="D48" s="113" t="str">
        <f aca="false">IF(Checks!$U$403="","",Checks!$U$403)&amp;IF(Checks!$AB$403="","",CHAR(10)&amp;"CA: "&amp;Checks!$AB$403)</f>
        <v/>
      </c>
      <c r="E48" s="113" t="str">
        <f aca="false">IF(Checks!$V$403="","",Checks!$V$403)&amp;IF(Checks!$AC$403="","",IF(Checks!$V$403="","",CHAR(10))&amp;"N/A just.: "&amp;Checks!$AC$403)&amp;IF(Checks!$W$403="","",CHAR(10)&amp;"Batch: "&amp;Checks!$W$403)&amp;IF(AND(Checks!$X$403="",Checks!$Y$403=""),"",CHAR(10)&amp;"Exp: "&amp;Checks!$X$403&amp;"  /  Act: "&amp;Checks!$Y$403)</f>
        <v/>
      </c>
      <c r="F48" s="113" t="str">
        <f aca="false">IF(Checks!$Z$403="","","Evidence: "&amp;Checks!$Z$403)&amp;IF(Checks!$AA$403="","",IF(Checks!$Z$403="","",CHAR(10))&amp;"CA: "&amp;Checks!$AA$403)</f>
        <v/>
      </c>
      <c r="G48" s="113" t="str">
        <f aca="false">IF(ISNUMBER(Checks!$AD$403),TEXT(Checks!$AD$403,"DD-MMM-YY HH:MM")&amp;" "&amp;Checks!$P$403,"")&amp;IF(Checks!$AE$403="","",CHAR(10)&amp;"Verifier: "&amp;Checks!$AE$403)&amp;IF(Checks!$T$403="","",CHAR(10)&amp;"PIC: "&amp;Checks!$T$403)</f>
        <v/>
      </c>
      <c r="H48" s="114" t="str">
        <f aca="false">IF(Checks!$AH$403="","",Checks!$AH$403)</f>
        <v>OPEN</v>
      </c>
    </row>
    <row r="49" customFormat="false" ht="124.5" hidden="false" customHeight="true" outlineLevel="0" collapsed="false">
      <c r="A49" s="113" t="str">
        <f aca="false">Checks!$A$404&amp;CHAR(10)&amp;IF(Checks!$I$404="","",Checks!$I$404&amp;": ")&amp;Checks!$J$404</f>
        <v>F12-T12-15
F&amp;B Linen: Trolley cloth - prepared</v>
      </c>
      <c r="B49" s="113" t="str">
        <f aca="false">SUBSTITUTE(Checks!$K$404&amp;IF(Checks!$O$404="","",IF(Checks!$K$404="","",CHAR(10))&amp;"Note: "&amp;Checks!$O$404),"F&amp;B LINEN!","Ref: F&amp;B LINEN!")</f>
        <v>Wide body: Top/Middle &amp; Bottom
Note: Per note Ref: F&amp;B LINEN!B79:C80. Reference gives no uplift stn for this item: preparation checked at the meal uplift stn (KUL) - confirm with caterer.</v>
      </c>
      <c r="C49" s="113" t="str">
        <f aca="false">Checks!$N$404&amp;CHAR(10)&amp;IF(ISNUMBER(Checks!$R$404),TEXT(Checks!$R$404,"DD-MMM-YY HH:MM"),"")&amp;" "&amp;Checks!$P$404</f>
        <v>Required
12-Oct-26 10:25 KUL</v>
      </c>
      <c r="D49" s="113" t="str">
        <f aca="false">IF(Checks!$U$404="","",Checks!$U$404)&amp;IF(Checks!$AB$404="","",CHAR(10)&amp;"CA: "&amp;Checks!$AB$404)</f>
        <v/>
      </c>
      <c r="E49" s="113" t="str">
        <f aca="false">IF(Checks!$V$404="","",Checks!$V$404)&amp;IF(Checks!$AC$404="","",IF(Checks!$V$404="","",CHAR(10))&amp;"N/A just.: "&amp;Checks!$AC$404)&amp;IF(Checks!$W$404="","",CHAR(10)&amp;"Batch: "&amp;Checks!$W$404)&amp;IF(AND(Checks!$X$404="",Checks!$Y$404=""),"",CHAR(10)&amp;"Exp: "&amp;Checks!$X$404&amp;"  /  Act: "&amp;Checks!$Y$404)</f>
        <v/>
      </c>
      <c r="F49" s="113" t="str">
        <f aca="false">IF(Checks!$Z$404="","","Evidence: "&amp;Checks!$Z$404)&amp;IF(Checks!$AA$404="","",IF(Checks!$Z$404="","",CHAR(10))&amp;"CA: "&amp;Checks!$AA$404)</f>
        <v/>
      </c>
      <c r="G49" s="113" t="str">
        <f aca="false">IF(ISNUMBER(Checks!$AD$404),TEXT(Checks!$AD$404,"DD-MMM-YY HH:MM")&amp;" "&amp;Checks!$P$404,"")&amp;IF(Checks!$AE$404="","",CHAR(10)&amp;"Verifier: "&amp;Checks!$AE$404)&amp;IF(Checks!$T$404="","",CHAR(10)&amp;"PIC: "&amp;Checks!$T$404)</f>
        <v/>
      </c>
      <c r="H49" s="114" t="str">
        <f aca="false">IF(Checks!$AH$404="","",Checks!$AH$404)</f>
        <v>OPEN</v>
      </c>
    </row>
    <row r="50" customFormat="false" ht="114" hidden="false" customHeight="true" outlineLevel="0" collapsed="false">
      <c r="A50" s="113" t="str">
        <f aca="false">Checks!$A$405&amp;CHAR(10)&amp;IF(Checks!$I$405="","",Checks!$I$405&amp;": ")&amp;Checks!$J$405</f>
        <v>F12-T12-16
F&amp;B Linen: Linen bag - prepared</v>
      </c>
      <c r="B50" s="113" t="str">
        <f aca="false">Checks!$K$405&amp;IF(Checks!$O$405="","",IF(Checks!$K$405="","",CHAR(10))&amp;"Note: "&amp;Checks!$O$405)</f>
        <v>Available (ticked in reference)
Note: Reference gives no uplift stn for this item: preparation checked at the meal uplift stn (KUL) - confirm with caterer.</v>
      </c>
      <c r="C50" s="113" t="str">
        <f aca="false">Checks!$N$405&amp;CHAR(10)&amp;IF(ISNUMBER(Checks!$R$405),TEXT(Checks!$R$405,"DD-MMM-YY HH:MM"),"")&amp;" "&amp;Checks!$P$405</f>
        <v>Required
12-Oct-26 10:25 KUL</v>
      </c>
      <c r="D50" s="113" t="str">
        <f aca="false">IF(Checks!$U$405="","",Checks!$U$405)&amp;IF(Checks!$AB$405="","",CHAR(10)&amp;"CA: "&amp;Checks!$AB$405)</f>
        <v/>
      </c>
      <c r="E50" s="113" t="str">
        <f aca="false">IF(Checks!$V$405="","",Checks!$V$405)&amp;IF(Checks!$AC$405="","",IF(Checks!$V$405="","",CHAR(10))&amp;"N/A just.: "&amp;Checks!$AC$405)&amp;IF(Checks!$W$405="","",CHAR(10)&amp;"Batch: "&amp;Checks!$W$405)&amp;IF(AND(Checks!$X$405="",Checks!$Y$405=""),"",CHAR(10)&amp;"Exp: "&amp;Checks!$X$405&amp;"  /  Act: "&amp;Checks!$Y$405)</f>
        <v/>
      </c>
      <c r="F50" s="113" t="str">
        <f aca="false">IF(Checks!$Z$405="","","Evidence: "&amp;Checks!$Z$405)&amp;IF(Checks!$AA$405="","",IF(Checks!$Z$405="","",CHAR(10))&amp;"CA: "&amp;Checks!$AA$405)</f>
        <v/>
      </c>
      <c r="G50" s="113" t="str">
        <f aca="false">IF(ISNUMBER(Checks!$AD$405),TEXT(Checks!$AD$405,"DD-MMM-YY HH:MM")&amp;" "&amp;Checks!$P$405,"")&amp;IF(Checks!$AE$405="","",CHAR(10)&amp;"Verifier: "&amp;Checks!$AE$405)&amp;IF(Checks!$T$405="","",CHAR(10)&amp;"PIC: "&amp;Checks!$T$405)</f>
        <v/>
      </c>
      <c r="H50" s="114" t="str">
        <f aca="false">IF(Checks!$AH$405="","",Checks!$AH$405)</f>
        <v>OPEN</v>
      </c>
    </row>
    <row r="51" customFormat="false" ht="114" hidden="false" customHeight="true" outlineLevel="0" collapsed="false">
      <c r="A51" s="113" t="str">
        <f aca="false">Checks!$A$406&amp;CHAR(10)&amp;IF(Checks!$I$406="","",Checks!$I$406&amp;": ")&amp;Checks!$J$406</f>
        <v>F12-T12-17
Seat Linen: Seat pillow (BS &amp; BC) - prepared</v>
      </c>
      <c r="B51" s="113" t="str">
        <f aca="false">Checks!$K$406&amp;IF(Checks!$O$406="","",IF(Checks!$K$406="","",CHAR(10))&amp;"Note: "&amp;Checks!$O$406)</f>
        <v>Available 100% (ticked in reference)
Note: Reference gives no uplift stn for this item: preparation checked at the meal uplift stn (KUL) - confirm with caterer.</v>
      </c>
      <c r="C51" s="113" t="str">
        <f aca="false">Checks!$N$406&amp;CHAR(10)&amp;IF(ISNUMBER(Checks!$R$406),TEXT(Checks!$R$406,"DD-MMM-YY HH:MM"),"")&amp;" "&amp;Checks!$P$406</f>
        <v>Required
12-Oct-26 10:25 KUL</v>
      </c>
      <c r="D51" s="113" t="str">
        <f aca="false">IF(Checks!$U$406="","",Checks!$U$406)&amp;IF(Checks!$AB$406="","",CHAR(10)&amp;"CA: "&amp;Checks!$AB$406)</f>
        <v/>
      </c>
      <c r="E51" s="113" t="str">
        <f aca="false">IF(Checks!$V$406="","",Checks!$V$406)&amp;IF(Checks!$AC$406="","",IF(Checks!$V$406="","",CHAR(10))&amp;"N/A just.: "&amp;Checks!$AC$406)&amp;IF(Checks!$W$406="","",CHAR(10)&amp;"Batch: "&amp;Checks!$W$406)&amp;IF(AND(Checks!$X$406="",Checks!$Y$406=""),"",CHAR(10)&amp;"Exp: "&amp;Checks!$X$406&amp;"  /  Act: "&amp;Checks!$Y$406)</f>
        <v/>
      </c>
      <c r="F51" s="113" t="str">
        <f aca="false">IF(Checks!$Z$406="","","Evidence: "&amp;Checks!$Z$406)&amp;IF(Checks!$AA$406="","",IF(Checks!$Z$406="","",CHAR(10))&amp;"CA: "&amp;Checks!$AA$406)</f>
        <v/>
      </c>
      <c r="G51" s="113" t="str">
        <f aca="false">IF(ISNUMBER(Checks!$AD$406),TEXT(Checks!$AD$406,"DD-MMM-YY HH:MM")&amp;" "&amp;Checks!$P$406,"")&amp;IF(Checks!$AE$406="","",CHAR(10)&amp;"Verifier: "&amp;Checks!$AE$406)&amp;IF(Checks!$T$406="","",CHAR(10)&amp;"PIC: "&amp;Checks!$T$406)</f>
        <v/>
      </c>
      <c r="H51" s="114" t="str">
        <f aca="false">IF(Checks!$AH$406="","",Checks!$AH$406)</f>
        <v>OPEN</v>
      </c>
    </row>
    <row r="52" customFormat="false" ht="114" hidden="false" customHeight="true" outlineLevel="0" collapsed="false">
      <c r="A52" s="113" t="str">
        <f aca="false">Checks!$A$407&amp;CHAR(10)&amp;IF(Checks!$I$407="","",Checks!$I$407&amp;": ")&amp;Checks!$J$407</f>
        <v>F12-T12-18
Seat Linen: Duvet (BS &amp; BC) - prepared</v>
      </c>
      <c r="B52" s="113" t="str">
        <f aca="false">Checks!$K$407&amp;IF(Checks!$O$407="","",IF(Checks!$K$407="","",CHAR(10))&amp;"Note: "&amp;Checks!$O$407)</f>
        <v>Available 100% (ticked in reference)
Note: Reference gives no uplift stn for this item: preparation checked at the meal uplift stn (KUL) - confirm with caterer.</v>
      </c>
      <c r="C52" s="113" t="str">
        <f aca="false">Checks!$N$407&amp;CHAR(10)&amp;IF(ISNUMBER(Checks!$R$407),TEXT(Checks!$R$407,"DD-MMM-YY HH:MM"),"")&amp;" "&amp;Checks!$P$407</f>
        <v>Required
12-Oct-26 10:25 KUL</v>
      </c>
      <c r="D52" s="113" t="str">
        <f aca="false">IF(Checks!$U$407="","",Checks!$U$407)&amp;IF(Checks!$AB$407="","",CHAR(10)&amp;"CA: "&amp;Checks!$AB$407)</f>
        <v/>
      </c>
      <c r="E52" s="113" t="str">
        <f aca="false">IF(Checks!$V$407="","",Checks!$V$407)&amp;IF(Checks!$AC$407="","",IF(Checks!$V$407="","",CHAR(10))&amp;"N/A just.: "&amp;Checks!$AC$407)&amp;IF(Checks!$W$407="","",CHAR(10)&amp;"Batch: "&amp;Checks!$W$407)&amp;IF(AND(Checks!$X$407="",Checks!$Y$407=""),"",CHAR(10)&amp;"Exp: "&amp;Checks!$X$407&amp;"  /  Act: "&amp;Checks!$Y$407)</f>
        <v/>
      </c>
      <c r="F52" s="113" t="str">
        <f aca="false">IF(Checks!$Z$407="","","Evidence: "&amp;Checks!$Z$407)&amp;IF(Checks!$AA$407="","",IF(Checks!$Z$407="","",CHAR(10))&amp;"CA: "&amp;Checks!$AA$407)</f>
        <v/>
      </c>
      <c r="G52" s="113" t="str">
        <f aca="false">IF(ISNUMBER(Checks!$AD$407),TEXT(Checks!$AD$407,"DD-MMM-YY HH:MM")&amp;" "&amp;Checks!$P$407,"")&amp;IF(Checks!$AE$407="","",CHAR(10)&amp;"Verifier: "&amp;Checks!$AE$407)&amp;IF(Checks!$T$407="","",CHAR(10)&amp;"PIC: "&amp;Checks!$T$407)</f>
        <v/>
      </c>
      <c r="H52" s="114" t="str">
        <f aca="false">IF(Checks!$AH$407="","",Checks!$AH$407)</f>
        <v>OPEN</v>
      </c>
    </row>
    <row r="53" customFormat="false" ht="114" hidden="false" customHeight="true" outlineLevel="0" collapsed="false">
      <c r="A53" s="113" t="str">
        <f aca="false">Checks!$A$408&amp;CHAR(10)&amp;IF(Checks!$I$408="","",Checks!$I$408&amp;": ")&amp;Checks!$J$408</f>
        <v>F12-T12-19
Seat Linen: Mattress (BS &amp; BC) - prepared</v>
      </c>
      <c r="B53" s="113" t="str">
        <f aca="false">Checks!$K$408&amp;IF(Checks!$O$408="","",IF(Checks!$K$408="","",CHAR(10))&amp;"Note: "&amp;Checks!$O$408)</f>
        <v>Available 100% (ticked in reference)
Note: Reference gives no uplift stn for this item: preparation checked at the meal uplift stn (KUL) - confirm with caterer.</v>
      </c>
      <c r="C53" s="113" t="str">
        <f aca="false">Checks!$N$408&amp;CHAR(10)&amp;IF(ISNUMBER(Checks!$R$408),TEXT(Checks!$R$408,"DD-MMM-YY HH:MM"),"")&amp;" "&amp;Checks!$P$408</f>
        <v>Required
12-Oct-26 10:25 KUL</v>
      </c>
      <c r="D53" s="113" t="str">
        <f aca="false">IF(Checks!$U$408="","",Checks!$U$408)&amp;IF(Checks!$AB$408="","",CHAR(10)&amp;"CA: "&amp;Checks!$AB$408)</f>
        <v/>
      </c>
      <c r="E53" s="113" t="str">
        <f aca="false">IF(Checks!$V$408="","",Checks!$V$408)&amp;IF(Checks!$AC$408="","",IF(Checks!$V$408="","",CHAR(10))&amp;"N/A just.: "&amp;Checks!$AC$408)&amp;IF(Checks!$W$408="","",CHAR(10)&amp;"Batch: "&amp;Checks!$W$408)&amp;IF(AND(Checks!$X$408="",Checks!$Y$408=""),"",CHAR(10)&amp;"Exp: "&amp;Checks!$X$408&amp;"  /  Act: "&amp;Checks!$Y$408)</f>
        <v/>
      </c>
      <c r="F53" s="113" t="str">
        <f aca="false">IF(Checks!$Z$408="","","Evidence: "&amp;Checks!$Z$408)&amp;IF(Checks!$AA$408="","",IF(Checks!$Z$408="","",CHAR(10))&amp;"CA: "&amp;Checks!$AA$408)</f>
        <v/>
      </c>
      <c r="G53" s="113" t="str">
        <f aca="false">IF(ISNUMBER(Checks!$AD$408),TEXT(Checks!$AD$408,"DD-MMM-YY HH:MM")&amp;" "&amp;Checks!$P$408,"")&amp;IF(Checks!$AE$408="","",CHAR(10)&amp;"Verifier: "&amp;Checks!$AE$408)&amp;IF(Checks!$T$408="","",CHAR(10)&amp;"PIC: "&amp;Checks!$T$408)</f>
        <v/>
      </c>
      <c r="H53" s="114" t="str">
        <f aca="false">IF(Checks!$AH$408="","",Checks!$AH$408)</f>
        <v>OPEN</v>
      </c>
    </row>
    <row r="54" customFormat="false" ht="114" hidden="false" customHeight="true" outlineLevel="0" collapsed="false">
      <c r="A54" s="113" t="str">
        <f aca="false">Checks!$A$409&amp;CHAR(10)&amp;IF(Checks!$I$409="","",Checks!$I$409&amp;": ")&amp;Checks!$J$409</f>
        <v>F12-T12-20
Signature Drinks: Signature drink &amp; garnish (BC) - prepared</v>
      </c>
      <c r="B54" s="113" t="str">
        <f aca="false">Checks!$K$409&amp;IF(Checks!$O$409="","",IF(Checks!$K$409="","",CHAR(10))&amp;"Note: "&amp;Checks!$O$409)</f>
        <v>Available (ticked in reference)
Note: Signature drinks &amp; garnish uplifted from KUL (note D79).</v>
      </c>
      <c r="C54" s="113" t="str">
        <f aca="false">Checks!$N$409&amp;CHAR(10)&amp;IF(ISNUMBER(Checks!$R$409),TEXT(Checks!$R$409,"DD-MMM-YY HH:MM"),"")&amp;" "&amp;Checks!$P$409</f>
        <v>Required
12-Oct-26 10:25 KUL</v>
      </c>
      <c r="D54" s="113" t="str">
        <f aca="false">IF(Checks!$U$409="","",Checks!$U$409)&amp;IF(Checks!$AB$409="","",CHAR(10)&amp;"CA: "&amp;Checks!$AB$409)</f>
        <v/>
      </c>
      <c r="E54" s="113" t="str">
        <f aca="false">IF(Checks!$V$409="","",Checks!$V$409)&amp;IF(Checks!$AC$409="","",IF(Checks!$V$409="","",CHAR(10))&amp;"N/A just.: "&amp;Checks!$AC$409)&amp;IF(Checks!$W$409="","",CHAR(10)&amp;"Batch: "&amp;Checks!$W$409)&amp;IF(AND(Checks!$X$409="",Checks!$Y$409=""),"",CHAR(10)&amp;"Exp: "&amp;Checks!$X$409&amp;"  /  Act: "&amp;Checks!$Y$409)</f>
        <v/>
      </c>
      <c r="F54" s="113" t="str">
        <f aca="false">IF(Checks!$Z$409="","","Evidence: "&amp;Checks!$Z$409)&amp;IF(Checks!$AA$409="","",IF(Checks!$Z$409="","",CHAR(10))&amp;"CA: "&amp;Checks!$AA$409)</f>
        <v/>
      </c>
      <c r="G54" s="113" t="str">
        <f aca="false">IF(ISNUMBER(Checks!$AD$409),TEXT(Checks!$AD$409,"DD-MMM-YY HH:MM")&amp;" "&amp;Checks!$P$409,"")&amp;IF(Checks!$AE$409="","",CHAR(10)&amp;"Verifier: "&amp;Checks!$AE$409)&amp;IF(Checks!$T$409="","",CHAR(10)&amp;"PIC: "&amp;Checks!$T$409)</f>
        <v/>
      </c>
      <c r="H54" s="114" t="str">
        <f aca="false">IF(Checks!$AH$409="","",Checks!$AH$409)</f>
        <v>OPEN</v>
      </c>
    </row>
    <row r="55" customFormat="false" ht="114" hidden="false" customHeight="true" outlineLevel="0" collapsed="false">
      <c r="A55" s="113" t="str">
        <f aca="false">Checks!$A$410&amp;CHAR(10)&amp;IF(Checks!$I$410="","",Checks!$I$410&amp;": ")&amp;Checks!$J$410</f>
        <v>F12-T12-21
Sales Cart: Sales cart (caterer PASB) - prepared</v>
      </c>
      <c r="B55" s="113" t="str">
        <f aca="false">Checks!$K$410&amp;IF(Checks!$O$410="","",IF(Checks!$K$410="","",CHAR(10))&amp;"Note: "&amp;Checks!$O$410)</f>
        <v>Location 241 &amp; 947 (A339)
Note: Block 7.08 h &gt;= 4 h. Reference gives no uplift stn for this item: preparation checked at the meal uplift stn (KUL) - confirm with caterer.</v>
      </c>
      <c r="C55" s="113" t="str">
        <f aca="false">Checks!$N$410&amp;CHAR(10)&amp;IF(ISNUMBER(Checks!$R$410),TEXT(Checks!$R$410,"DD-MMM-YY HH:MM"),"")&amp;" "&amp;Checks!$P$410</f>
        <v>Required
12-Oct-26 10:25 KUL</v>
      </c>
      <c r="D55" s="113" t="str">
        <f aca="false">IF(Checks!$U$410="","",Checks!$U$410)&amp;IF(Checks!$AB$410="","",CHAR(10)&amp;"CA: "&amp;Checks!$AB$410)</f>
        <v/>
      </c>
      <c r="E55" s="113" t="str">
        <f aca="false">IF(Checks!$V$410="","",Checks!$V$410)&amp;IF(Checks!$AC$410="","",IF(Checks!$V$410="","",CHAR(10))&amp;"N/A just.: "&amp;Checks!$AC$410)&amp;IF(Checks!$W$410="","",CHAR(10)&amp;"Batch: "&amp;Checks!$W$410)&amp;IF(AND(Checks!$X$410="",Checks!$Y$410=""),"",CHAR(10)&amp;"Exp: "&amp;Checks!$X$410&amp;"  /  Act: "&amp;Checks!$Y$410)</f>
        <v/>
      </c>
      <c r="F55" s="113" t="str">
        <f aca="false">IF(Checks!$Z$410="","","Evidence: "&amp;Checks!$Z$410)&amp;IF(Checks!$AA$410="","",IF(Checks!$Z$410="","",CHAR(10))&amp;"CA: "&amp;Checks!$AA$410)</f>
        <v/>
      </c>
      <c r="G55" s="113" t="str">
        <f aca="false">IF(ISNUMBER(Checks!$AD$410),TEXT(Checks!$AD$410,"DD-MMM-YY HH:MM")&amp;" "&amp;Checks!$P$410,"")&amp;IF(Checks!$AE$410="","",CHAR(10)&amp;"Verifier: "&amp;Checks!$AE$410)&amp;IF(Checks!$T$410="","",CHAR(10)&amp;"PIC: "&amp;Checks!$T$410)</f>
        <v/>
      </c>
      <c r="H55" s="114" t="str">
        <f aca="false">IF(Checks!$AH$410="","",Checks!$AH$410)</f>
        <v>OPEN</v>
      </c>
    </row>
    <row r="56" customFormat="false" ht="25.5" hidden="false" customHeight="true" outlineLevel="0" collapsed="false">
      <c r="A56" s="112"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2"/>
      <c r="C56" s="112"/>
      <c r="D56" s="112"/>
      <c r="E56" s="112"/>
      <c r="F56" s="112"/>
      <c r="G56" s="112"/>
      <c r="H56" s="112"/>
    </row>
    <row r="57" customFormat="false" ht="114" hidden="false" customHeight="true" outlineLevel="0" collapsed="false">
      <c r="A57" s="113" t="str">
        <f aca="false">Checks!$A$411&amp;CHAR(10)&amp;IF(Checks!$I$411="","",Checks!$I$411&amp;": ")&amp;Checks!$J$411</f>
        <v>F12-UPL-01
Meal: Meals physically uplifted on board - quantity vs menu checklist</v>
      </c>
      <c r="B57" s="113" t="str">
        <f aca="false">Checks!$K$411&amp;IF(Checks!$O$411="","",IF(Checks!$K$411="","",CHAR(10))&amp;"Note: "&amp;Checks!$O$411)</f>
        <v>Enter expected &amp; actual
Note: Confirm on board before departure; completion time must fall inside the uplift window.</v>
      </c>
      <c r="C57" s="113" t="str">
        <f aca="false">Checks!$N$411&amp;CHAR(10)&amp;IF(ISNUMBER(Checks!$R$411),TEXT(Checks!$R$411,"DD-MMM-YY HH:MM"),"")&amp;" "&amp;Checks!$P$411</f>
        <v>Required
12-Oct-26 22:25 KUL</v>
      </c>
      <c r="D57" s="113" t="str">
        <f aca="false">IF(Checks!$U$411="","",Checks!$U$411)&amp;IF(Checks!$AB$411="","",CHAR(10)&amp;"CA: "&amp;Checks!$AB$411)</f>
        <v/>
      </c>
      <c r="E57" s="113" t="str">
        <f aca="false">IF(Checks!$V$411="","",Checks!$V$411)&amp;IF(Checks!$AC$411="","",IF(Checks!$V$411="","",CHAR(10))&amp;"N/A just.: "&amp;Checks!$AC$411)&amp;IF(Checks!$W$411="","",CHAR(10)&amp;"Batch: "&amp;Checks!$W$411)&amp;IF(AND(Checks!$X$411="",Checks!$Y$411=""),"",CHAR(10)&amp;"Exp: "&amp;Checks!$X$411&amp;"  /  Act: "&amp;Checks!$Y$411)</f>
        <v/>
      </c>
      <c r="F57" s="113" t="str">
        <f aca="false">IF(Checks!$Z$411="","","Evidence: "&amp;Checks!$Z$411)&amp;IF(Checks!$AA$411="","",IF(Checks!$Z$411="","",CHAR(10))&amp;"CA: "&amp;Checks!$AA$411)</f>
        <v/>
      </c>
      <c r="G57" s="113" t="str">
        <f aca="false">IF(ISNUMBER(Checks!$AD$411),TEXT(Checks!$AD$411,"DD-MMM-YY HH:MM")&amp;" "&amp;Checks!$P$411,"")&amp;IF(Checks!$AE$411="","",CHAR(10)&amp;"Verifier: "&amp;Checks!$AE$411)&amp;IF(Checks!$T$411="","",CHAR(10)&amp;"PIC: "&amp;Checks!$T$411)</f>
        <v/>
      </c>
      <c r="H57" s="114" t="str">
        <f aca="false">IF(Checks!$AH$411="","",Checks!$AH$411)</f>
        <v>OPEN</v>
      </c>
    </row>
    <row r="58" customFormat="false" ht="114" hidden="false" customHeight="true" outlineLevel="0" collapsed="false">
      <c r="A58" s="113" t="str">
        <f aca="false">Checks!$A$412&amp;CHAR(10)&amp;IF(Checks!$I$412="","",Checks!$I$412&amp;": ")&amp;Checks!$J$412</f>
        <v>F12-UPL-02
Equipment: Equipment physically loaded at GLD positions - quantity &amp; positions</v>
      </c>
      <c r="B58" s="113" t="str">
        <f aca="false">Checks!$K$412&amp;IF(Checks!$O$412="","",IF(Checks!$K$412="","",CHAR(10))&amp;"Note: "&amp;Checks!$O$412)</f>
        <v>Enter expected &amp; actual
Note: Confirm on board before departure; completion time must fall inside the uplift window.</v>
      </c>
      <c r="C58" s="113" t="str">
        <f aca="false">Checks!$N$412&amp;CHAR(10)&amp;IF(ISNUMBER(Checks!$R$412),TEXT(Checks!$R$412,"DD-MMM-YY HH:MM"),"")&amp;" "&amp;Checks!$P$412</f>
        <v>Required
12-Oct-26 22:25 KUL</v>
      </c>
      <c r="D58" s="113" t="str">
        <f aca="false">IF(Checks!$U$412="","",Checks!$U$412)&amp;IF(Checks!$AB$412="","",CHAR(10)&amp;"CA: "&amp;Checks!$AB$412)</f>
        <v/>
      </c>
      <c r="E58" s="113" t="str">
        <f aca="false">IF(Checks!$V$412="","",Checks!$V$412)&amp;IF(Checks!$AC$412="","",IF(Checks!$V$412="","",CHAR(10))&amp;"N/A just.: "&amp;Checks!$AC$412)&amp;IF(Checks!$W$412="","",CHAR(10)&amp;"Batch: "&amp;Checks!$W$412)&amp;IF(AND(Checks!$X$412="",Checks!$Y$412=""),"",CHAR(10)&amp;"Exp: "&amp;Checks!$X$412&amp;"  /  Act: "&amp;Checks!$Y$412)</f>
        <v/>
      </c>
      <c r="F58" s="113" t="str">
        <f aca="false">IF(Checks!$Z$412="","","Evidence: "&amp;Checks!$Z$412)&amp;IF(Checks!$AA$412="","",IF(Checks!$Z$412="","",CHAR(10))&amp;"CA: "&amp;Checks!$AA$412)</f>
        <v/>
      </c>
      <c r="G58" s="113" t="str">
        <f aca="false">IF(ISNUMBER(Checks!$AD$412),TEXT(Checks!$AD$412,"DD-MMM-YY HH:MM")&amp;" "&amp;Checks!$P$412,"")&amp;IF(Checks!$AE$412="","",CHAR(10)&amp;"Verifier: "&amp;Checks!$AE$412)&amp;IF(Checks!$T$412="","",CHAR(10)&amp;"PIC: "&amp;Checks!$T$412)</f>
        <v/>
      </c>
      <c r="H58" s="114" t="str">
        <f aca="false">IF(Checks!$AH$412="","",Checks!$AH$412)</f>
        <v>OPEN</v>
      </c>
    </row>
    <row r="59" customFormat="false" ht="114" hidden="false" customHeight="true" outlineLevel="0" collapsed="false">
      <c r="A59" s="113" t="str">
        <f aca="false">Checks!$A$413&amp;CHAR(10)&amp;IF(Checks!$I$413="","",Checks!$I$413&amp;": ")&amp;Checks!$J$413</f>
        <v>F12-UPL-03
Amenities: Toiletry kits - on board</v>
      </c>
      <c r="B59" s="113" t="str">
        <f aca="false">Checks!$K$413&amp;IF(Checks!$O$413="","",IF(Checks!$K$413="","",CHAR(10))&amp;"Note: "&amp;Checks!$O$413)</f>
        <v>Available (ticked in reference)</v>
      </c>
      <c r="C59" s="113" t="str">
        <f aca="false">Checks!$N$413&amp;CHAR(10)&amp;IF(ISNUMBER(Checks!$R$413),TEXT(Checks!$R$413,"DD-MMM-YY HH:MM"),"")&amp;" "&amp;Checks!$P$413</f>
        <v>Required
12-Oct-26 22:25 KUL</v>
      </c>
      <c r="D59" s="113" t="str">
        <f aca="false">IF(Checks!$U$413="","",Checks!$U$413)&amp;IF(Checks!$AB$413="","",CHAR(10)&amp;"CA: "&amp;Checks!$AB$413)</f>
        <v/>
      </c>
      <c r="E59" s="113" t="str">
        <f aca="false">IF(Checks!$V$413="","",Checks!$V$413)&amp;IF(Checks!$AC$413="","",IF(Checks!$V$413="","",CHAR(10))&amp;"N/A just.: "&amp;Checks!$AC$413)&amp;IF(Checks!$W$413="","",CHAR(10)&amp;"Batch: "&amp;Checks!$W$413)&amp;IF(AND(Checks!$X$413="",Checks!$Y$413=""),"",CHAR(10)&amp;"Exp: "&amp;Checks!$X$413&amp;"  /  Act: "&amp;Checks!$Y$413)</f>
        <v/>
      </c>
      <c r="F59" s="113" t="str">
        <f aca="false">IF(Checks!$Z$413="","","Evidence: "&amp;Checks!$Z$413)&amp;IF(Checks!$AA$413="","",IF(Checks!$Z$413="","",CHAR(10))&amp;"CA: "&amp;Checks!$AA$413)</f>
        <v/>
      </c>
      <c r="G59" s="113" t="str">
        <f aca="false">IF(ISNUMBER(Checks!$AD$413),TEXT(Checks!$AD$413,"DD-MMM-YY HH:MM")&amp;" "&amp;Checks!$P$413,"")&amp;IF(Checks!$AE$413="","",CHAR(10)&amp;"Verifier: "&amp;Checks!$AE$413)&amp;IF(Checks!$T$413="","",CHAR(10)&amp;"PIC: "&amp;Checks!$T$413)</f>
        <v/>
      </c>
      <c r="H59" s="114" t="str">
        <f aca="false">IF(Checks!$AH$413="","",Checks!$AH$413)</f>
        <v>OPEN</v>
      </c>
    </row>
    <row r="60" customFormat="false" ht="114" hidden="false" customHeight="true" outlineLevel="0" collapsed="false">
      <c r="A60" s="113" t="str">
        <f aca="false">Checks!$A$414&amp;CHAR(10)&amp;IF(Checks!$I$414="","",Checks!$I$414&amp;": ")&amp;Checks!$J$414</f>
        <v>F12-UPL-04
Amenities: Slippers (BS/BC) - on board</v>
      </c>
      <c r="B60" s="113" t="str">
        <f aca="false">Checks!$K$414&amp;IF(Checks!$O$414="","",IF(Checks!$K$414="","",CHAR(10))&amp;"Note: "&amp;Checks!$O$414)</f>
        <v>Available (ticked in reference)</v>
      </c>
      <c r="C60" s="113" t="str">
        <f aca="false">Checks!$N$414&amp;CHAR(10)&amp;IF(ISNUMBER(Checks!$R$414),TEXT(Checks!$R$414,"DD-MMM-YY HH:MM"),"")&amp;" "&amp;Checks!$P$414</f>
        <v>Required
12-Oct-26 22:25 KUL</v>
      </c>
      <c r="D60" s="113" t="str">
        <f aca="false">IF(Checks!$U$414="","",Checks!$U$414)&amp;IF(Checks!$AB$414="","",CHAR(10)&amp;"CA: "&amp;Checks!$AB$414)</f>
        <v/>
      </c>
      <c r="E60" s="113" t="str">
        <f aca="false">IF(Checks!$V$414="","",Checks!$V$414)&amp;IF(Checks!$AC$414="","",IF(Checks!$V$414="","",CHAR(10))&amp;"N/A just.: "&amp;Checks!$AC$414)&amp;IF(Checks!$W$414="","",CHAR(10)&amp;"Batch: "&amp;Checks!$W$414)&amp;IF(AND(Checks!$X$414="",Checks!$Y$414=""),"",CHAR(10)&amp;"Exp: "&amp;Checks!$X$414&amp;"  /  Act: "&amp;Checks!$Y$414)</f>
        <v/>
      </c>
      <c r="F60" s="113" t="str">
        <f aca="false">IF(Checks!$Z$414="","","Evidence: "&amp;Checks!$Z$414)&amp;IF(Checks!$AA$414="","",IF(Checks!$Z$414="","",CHAR(10))&amp;"CA: "&amp;Checks!$AA$414)</f>
        <v/>
      </c>
      <c r="G60" s="113" t="str">
        <f aca="false">IF(ISNUMBER(Checks!$AD$414),TEXT(Checks!$AD$414,"DD-MMM-YY HH:MM")&amp;" "&amp;Checks!$P$414,"")&amp;IF(Checks!$AE$414="","",CHAR(10)&amp;"Verifier: "&amp;Checks!$AE$414)&amp;IF(Checks!$T$414="","",CHAR(10)&amp;"PIC: "&amp;Checks!$T$414)</f>
        <v/>
      </c>
      <c r="H60" s="114" t="str">
        <f aca="false">IF(Checks!$AH$414="","",Checks!$AH$414)</f>
        <v>OPEN</v>
      </c>
    </row>
    <row r="61" customFormat="false" ht="114" hidden="false" customHeight="true" outlineLevel="0" collapsed="false">
      <c r="A61" s="113" t="str">
        <f aca="false">Checks!$A$415&amp;CHAR(10)&amp;IF(Checks!$I$415="","",Checks!$I$415&amp;": ")&amp;Checks!$J$415</f>
        <v>F12-UPL-05
F&amp;B Linen: Towel - on board</v>
      </c>
      <c r="B61" s="113" t="str">
        <f aca="false">Checks!$K$415&amp;IF(Checks!$O$415="","",IF(Checks!$K$415="","",CHAR(10))&amp;"Note: "&amp;Checks!$O$415)</f>
        <v>Available (ticked in reference)</v>
      </c>
      <c r="C61" s="113" t="str">
        <f aca="false">Checks!$N$415&amp;CHAR(10)&amp;IF(ISNUMBER(Checks!$R$415),TEXT(Checks!$R$415,"DD-MMM-YY HH:MM"),"")&amp;" "&amp;Checks!$P$415</f>
        <v>Required
12-Oct-26 22:25 KUL</v>
      </c>
      <c r="D61" s="113" t="str">
        <f aca="false">IF(Checks!$U$415="","",Checks!$U$415)&amp;IF(Checks!$AB$415="","",CHAR(10)&amp;"CA: "&amp;Checks!$AB$415)</f>
        <v/>
      </c>
      <c r="E61" s="113" t="str">
        <f aca="false">IF(Checks!$V$415="","",Checks!$V$415)&amp;IF(Checks!$AC$415="","",IF(Checks!$V$415="","",CHAR(10))&amp;"N/A just.: "&amp;Checks!$AC$415)&amp;IF(Checks!$W$415="","",CHAR(10)&amp;"Batch: "&amp;Checks!$W$415)&amp;IF(AND(Checks!$X$415="",Checks!$Y$415=""),"",CHAR(10)&amp;"Exp: "&amp;Checks!$X$415&amp;"  /  Act: "&amp;Checks!$Y$415)</f>
        <v/>
      </c>
      <c r="F61" s="113" t="str">
        <f aca="false">IF(Checks!$Z$415="","","Evidence: "&amp;Checks!$Z$415)&amp;IF(Checks!$AA$415="","",IF(Checks!$Z$415="","",CHAR(10))&amp;"CA: "&amp;Checks!$AA$415)</f>
        <v/>
      </c>
      <c r="G61" s="113" t="str">
        <f aca="false">IF(ISNUMBER(Checks!$AD$415),TEXT(Checks!$AD$415,"DD-MMM-YY HH:MM")&amp;" "&amp;Checks!$P$415,"")&amp;IF(Checks!$AE$415="","",CHAR(10)&amp;"Verifier: "&amp;Checks!$AE$415)&amp;IF(Checks!$T$415="","",CHAR(10)&amp;"PIC: "&amp;Checks!$T$415)</f>
        <v/>
      </c>
      <c r="H61" s="114" t="str">
        <f aca="false">IF(Checks!$AH$415="","",Checks!$AH$415)</f>
        <v>OPEN</v>
      </c>
    </row>
    <row r="62" customFormat="false" ht="114" hidden="false" customHeight="true" outlineLevel="0" collapsed="false">
      <c r="A62" s="113" t="str">
        <f aca="false">Checks!$A$416&amp;CHAR(10)&amp;IF(Checks!$I$416="","",Checks!$I$416&amp;": ")&amp;Checks!$J$416</f>
        <v>F12-UPL-06
F&amp;B Linen: Tray cloth - on board</v>
      </c>
      <c r="B62" s="113" t="str">
        <f aca="false">Checks!$K$416&amp;IF(Checks!$O$416="","",IF(Checks!$K$416="","",CHAR(10))&amp;"Note: "&amp;Checks!$O$416)</f>
        <v>Available (ticked in reference)</v>
      </c>
      <c r="C62" s="113" t="str">
        <f aca="false">Checks!$N$416&amp;CHAR(10)&amp;IF(ISNUMBER(Checks!$R$416),TEXT(Checks!$R$416,"DD-MMM-YY HH:MM"),"")&amp;" "&amp;Checks!$P$416</f>
        <v>Required
12-Oct-26 22:25 KUL</v>
      </c>
      <c r="D62" s="113" t="str">
        <f aca="false">IF(Checks!$U$416="","",Checks!$U$416)&amp;IF(Checks!$AB$416="","",CHAR(10)&amp;"CA: "&amp;Checks!$AB$416)</f>
        <v/>
      </c>
      <c r="E62" s="113" t="str">
        <f aca="false">IF(Checks!$V$416="","",Checks!$V$416)&amp;IF(Checks!$AC$416="","",IF(Checks!$V$416="","",CHAR(10))&amp;"N/A just.: "&amp;Checks!$AC$416)&amp;IF(Checks!$W$416="","",CHAR(10)&amp;"Batch: "&amp;Checks!$W$416)&amp;IF(AND(Checks!$X$416="",Checks!$Y$416=""),"",CHAR(10)&amp;"Exp: "&amp;Checks!$X$416&amp;"  /  Act: "&amp;Checks!$Y$416)</f>
        <v/>
      </c>
      <c r="F62" s="113" t="str">
        <f aca="false">IF(Checks!$Z$416="","","Evidence: "&amp;Checks!$Z$416)&amp;IF(Checks!$AA$416="","",IF(Checks!$Z$416="","",CHAR(10))&amp;"CA: "&amp;Checks!$AA$416)</f>
        <v/>
      </c>
      <c r="G62" s="113" t="str">
        <f aca="false">IF(ISNUMBER(Checks!$AD$416),TEXT(Checks!$AD$416,"DD-MMM-YY HH:MM")&amp;" "&amp;Checks!$P$416,"")&amp;IF(Checks!$AE$416="","",CHAR(10)&amp;"Verifier: "&amp;Checks!$AE$416)&amp;IF(Checks!$T$416="","",CHAR(10)&amp;"PIC: "&amp;Checks!$T$416)</f>
        <v/>
      </c>
      <c r="H62" s="114" t="str">
        <f aca="false">IF(Checks!$AH$416="","",Checks!$AH$416)</f>
        <v>OPEN</v>
      </c>
    </row>
    <row r="63" customFormat="false" ht="114" hidden="false" customHeight="true" outlineLevel="0" collapsed="false">
      <c r="A63" s="113" t="str">
        <f aca="false">Checks!$A$417&amp;CHAR(10)&amp;IF(Checks!$I$417="","",Checks!$I$417&amp;": ")&amp;Checks!$J$417</f>
        <v>F12-UPL-07
F&amp;B Linen: Napkin - on board</v>
      </c>
      <c r="B63" s="113" t="str">
        <f aca="false">Checks!$K$417&amp;IF(Checks!$O$417="","",IF(Checks!$K$417="","",CHAR(10))&amp;"Note: "&amp;Checks!$O$417)</f>
        <v>Available (ticked in reference)</v>
      </c>
      <c r="C63" s="113" t="str">
        <f aca="false">Checks!$N$417&amp;CHAR(10)&amp;IF(ISNUMBER(Checks!$R$417),TEXT(Checks!$R$417,"DD-MMM-YY HH:MM"),"")&amp;" "&amp;Checks!$P$417</f>
        <v>Required
12-Oct-26 22:25 KUL</v>
      </c>
      <c r="D63" s="113" t="str">
        <f aca="false">IF(Checks!$U$417="","",Checks!$U$417)&amp;IF(Checks!$AB$417="","",CHAR(10)&amp;"CA: "&amp;Checks!$AB$417)</f>
        <v/>
      </c>
      <c r="E63" s="113" t="str">
        <f aca="false">IF(Checks!$V$417="","",Checks!$V$417)&amp;IF(Checks!$AC$417="","",IF(Checks!$V$417="","",CHAR(10))&amp;"N/A just.: "&amp;Checks!$AC$417)&amp;IF(Checks!$W$417="","",CHAR(10)&amp;"Batch: "&amp;Checks!$W$417)&amp;IF(AND(Checks!$X$417="",Checks!$Y$417=""),"",CHAR(10)&amp;"Exp: "&amp;Checks!$X$417&amp;"  /  Act: "&amp;Checks!$Y$417)</f>
        <v/>
      </c>
      <c r="F63" s="113" t="str">
        <f aca="false">IF(Checks!$Z$417="","","Evidence: "&amp;Checks!$Z$417)&amp;IF(Checks!$AA$417="","",IF(Checks!$Z$417="","",CHAR(10))&amp;"CA: "&amp;Checks!$AA$417)</f>
        <v/>
      </c>
      <c r="G63" s="113" t="str">
        <f aca="false">IF(ISNUMBER(Checks!$AD$417),TEXT(Checks!$AD$417,"DD-MMM-YY HH:MM")&amp;" "&amp;Checks!$P$417,"")&amp;IF(Checks!$AE$417="","",CHAR(10)&amp;"Verifier: "&amp;Checks!$AE$417)&amp;IF(Checks!$T$417="","",CHAR(10)&amp;"PIC: "&amp;Checks!$T$417)</f>
        <v/>
      </c>
      <c r="H63" s="114" t="str">
        <f aca="false">IF(Checks!$AH$417="","",Checks!$AH$417)</f>
        <v>OPEN</v>
      </c>
    </row>
    <row r="64" customFormat="false" ht="114" hidden="false" customHeight="true" outlineLevel="0" collapsed="false">
      <c r="A64" s="113" t="str">
        <f aca="false">Checks!$A$418&amp;CHAR(10)&amp;IF(Checks!$I$418="","",Checks!$I$418&amp;": ")&amp;Checks!$J$418</f>
        <v>F12-UPL-08
F&amp;B Linen: Table cloth - on board</v>
      </c>
      <c r="B64" s="113" t="str">
        <f aca="false">Checks!$K$418&amp;IF(Checks!$O$418="","",IF(Checks!$K$418="","",CHAR(10))&amp;"Note: "&amp;Checks!$O$418)</f>
        <v>Available (ticked in reference)</v>
      </c>
      <c r="C64" s="113" t="str">
        <f aca="false">Checks!$N$418&amp;CHAR(10)&amp;IF(ISNUMBER(Checks!$R$418),TEXT(Checks!$R$418,"DD-MMM-YY HH:MM"),"")&amp;" "&amp;Checks!$P$418</f>
        <v>Required
12-Oct-26 22:25 KUL</v>
      </c>
      <c r="D64" s="113" t="str">
        <f aca="false">IF(Checks!$U$418="","",Checks!$U$418)&amp;IF(Checks!$AB$418="","",CHAR(10)&amp;"CA: "&amp;Checks!$AB$418)</f>
        <v/>
      </c>
      <c r="E64" s="113" t="str">
        <f aca="false">IF(Checks!$V$418="","",Checks!$V$418)&amp;IF(Checks!$AC$418="","",IF(Checks!$V$418="","",CHAR(10))&amp;"N/A just.: "&amp;Checks!$AC$418)&amp;IF(Checks!$W$418="","",CHAR(10)&amp;"Batch: "&amp;Checks!$W$418)&amp;IF(AND(Checks!$X$418="",Checks!$Y$418=""),"",CHAR(10)&amp;"Exp: "&amp;Checks!$X$418&amp;"  /  Act: "&amp;Checks!$Y$418)</f>
        <v/>
      </c>
      <c r="F64" s="113" t="str">
        <f aca="false">IF(Checks!$Z$418="","","Evidence: "&amp;Checks!$Z$418)&amp;IF(Checks!$AA$418="","",IF(Checks!$Z$418="","",CHAR(10))&amp;"CA: "&amp;Checks!$AA$418)</f>
        <v/>
      </c>
      <c r="G64" s="113" t="str">
        <f aca="false">IF(ISNUMBER(Checks!$AD$418),TEXT(Checks!$AD$418,"DD-MMM-YY HH:MM")&amp;" "&amp;Checks!$P$418,"")&amp;IF(Checks!$AE$418="","",CHAR(10)&amp;"Verifier: "&amp;Checks!$AE$418)&amp;IF(Checks!$T$418="","",CHAR(10)&amp;"PIC: "&amp;Checks!$T$418)</f>
        <v/>
      </c>
      <c r="H64" s="114" t="str">
        <f aca="false">IF(Checks!$AH$418="","",Checks!$AH$418)</f>
        <v>OPEN</v>
      </c>
    </row>
    <row r="65" customFormat="false" ht="114" hidden="false" customHeight="true" outlineLevel="0" collapsed="false">
      <c r="A65" s="113" t="str">
        <f aca="false">Checks!$A$419&amp;CHAR(10)&amp;IF(Checks!$I$419="","",Checks!$I$419&amp;": ")&amp;Checks!$J$419</f>
        <v>F12-UPL-09
F&amp;B Linen: Bread linen (using table cloth) - on board</v>
      </c>
      <c r="B65" s="113" t="str">
        <f aca="false">Checks!$K$419&amp;IF(Checks!$O$419="","",IF(Checks!$K$419="","",CHAR(10))&amp;"Note: "&amp;Checks!$O$419)</f>
        <v>Available (ticked in reference)</v>
      </c>
      <c r="C65" s="113" t="str">
        <f aca="false">Checks!$N$419&amp;CHAR(10)&amp;IF(ISNUMBER(Checks!$R$419),TEXT(Checks!$R$419,"DD-MMM-YY HH:MM"),"")&amp;" "&amp;Checks!$P$419</f>
        <v>Required
12-Oct-26 22:25 KUL</v>
      </c>
      <c r="D65" s="113" t="str">
        <f aca="false">IF(Checks!$U$419="","",Checks!$U$419)&amp;IF(Checks!$AB$419="","",CHAR(10)&amp;"CA: "&amp;Checks!$AB$419)</f>
        <v/>
      </c>
      <c r="E65" s="113" t="str">
        <f aca="false">IF(Checks!$V$419="","",Checks!$V$419)&amp;IF(Checks!$AC$419="","",IF(Checks!$V$419="","",CHAR(10))&amp;"N/A just.: "&amp;Checks!$AC$419)&amp;IF(Checks!$W$419="","",CHAR(10)&amp;"Batch: "&amp;Checks!$W$419)&amp;IF(AND(Checks!$X$419="",Checks!$Y$419=""),"",CHAR(10)&amp;"Exp: "&amp;Checks!$X$419&amp;"  /  Act: "&amp;Checks!$Y$419)</f>
        <v/>
      </c>
      <c r="F65" s="113" t="str">
        <f aca="false">IF(Checks!$Z$419="","","Evidence: "&amp;Checks!$Z$419)&amp;IF(Checks!$AA$419="","",IF(Checks!$Z$419="","",CHAR(10))&amp;"CA: "&amp;Checks!$AA$419)</f>
        <v/>
      </c>
      <c r="G65" s="113" t="str">
        <f aca="false">IF(ISNUMBER(Checks!$AD$419),TEXT(Checks!$AD$419,"DD-MMM-YY HH:MM")&amp;" "&amp;Checks!$P$419,"")&amp;IF(Checks!$AE$419="","",CHAR(10)&amp;"Verifier: "&amp;Checks!$AE$419)&amp;IF(Checks!$T$419="","",CHAR(10)&amp;"PIC: "&amp;Checks!$T$419)</f>
        <v/>
      </c>
      <c r="H65" s="114" t="str">
        <f aca="false">IF(Checks!$AH$419="","",Checks!$AH$419)</f>
        <v>OPEN</v>
      </c>
    </row>
    <row r="66" customFormat="false" ht="114" hidden="false" customHeight="true" outlineLevel="0" collapsed="false">
      <c r="A66" s="113" t="str">
        <f aca="false">Checks!$A$420&amp;CHAR(10)&amp;IF(Checks!$I$420="","",Checks!$I$420&amp;": ")&amp;Checks!$J$420</f>
        <v>F12-UPL-10
F&amp;B Linen: Trolley cloth - on board</v>
      </c>
      <c r="B66" s="113" t="str">
        <f aca="false">SUBSTITUTE(Checks!$K$420&amp;IF(Checks!$O$420="","",IF(Checks!$K$420="","",CHAR(10))&amp;"Note: "&amp;Checks!$O$420),"F&amp;B LINEN!","Ref: F&amp;B LINEN!")</f>
        <v>Wide body: Top/Middle &amp; Bottom
Note: Per note Ref: F&amp;B LINEN!B79:C80.</v>
      </c>
      <c r="C66" s="113" t="str">
        <f aca="false">Checks!$N$420&amp;CHAR(10)&amp;IF(ISNUMBER(Checks!$R$420),TEXT(Checks!$R$420,"DD-MMM-YY HH:MM"),"")&amp;" "&amp;Checks!$P$420</f>
        <v>Required
12-Oct-26 22:25 KUL</v>
      </c>
      <c r="D66" s="113" t="str">
        <f aca="false">IF(Checks!$U$420="","",Checks!$U$420)&amp;IF(Checks!$AB$420="","",CHAR(10)&amp;"CA: "&amp;Checks!$AB$420)</f>
        <v/>
      </c>
      <c r="E66" s="113" t="str">
        <f aca="false">IF(Checks!$V$420="","",Checks!$V$420)&amp;IF(Checks!$AC$420="","",IF(Checks!$V$420="","",CHAR(10))&amp;"N/A just.: "&amp;Checks!$AC$420)&amp;IF(Checks!$W$420="","",CHAR(10)&amp;"Batch: "&amp;Checks!$W$420)&amp;IF(AND(Checks!$X$420="",Checks!$Y$420=""),"",CHAR(10)&amp;"Exp: "&amp;Checks!$X$420&amp;"  /  Act: "&amp;Checks!$Y$420)</f>
        <v/>
      </c>
      <c r="F66" s="113" t="str">
        <f aca="false">IF(Checks!$Z$420="","","Evidence: "&amp;Checks!$Z$420)&amp;IF(Checks!$AA$420="","",IF(Checks!$Z$420="","",CHAR(10))&amp;"CA: "&amp;Checks!$AA$420)</f>
        <v/>
      </c>
      <c r="G66" s="113" t="str">
        <f aca="false">IF(ISNUMBER(Checks!$AD$420),TEXT(Checks!$AD$420,"DD-MMM-YY HH:MM")&amp;" "&amp;Checks!$P$420,"")&amp;IF(Checks!$AE$420="","",CHAR(10)&amp;"Verifier: "&amp;Checks!$AE$420)&amp;IF(Checks!$T$420="","",CHAR(10)&amp;"PIC: "&amp;Checks!$T$420)</f>
        <v/>
      </c>
      <c r="H66" s="114" t="str">
        <f aca="false">IF(Checks!$AH$420="","",Checks!$AH$420)</f>
        <v>OPEN</v>
      </c>
    </row>
    <row r="67" customFormat="false" ht="114" hidden="false" customHeight="true" outlineLevel="0" collapsed="false">
      <c r="A67" s="113" t="str">
        <f aca="false">Checks!$A$421&amp;CHAR(10)&amp;IF(Checks!$I$421="","",Checks!$I$421&amp;": ")&amp;Checks!$J$421</f>
        <v>F12-UPL-11
F&amp;B Linen: Linen bag - on board</v>
      </c>
      <c r="B67" s="113" t="str">
        <f aca="false">Checks!$K$421&amp;IF(Checks!$O$421="","",IF(Checks!$K$421="","",CHAR(10))&amp;"Note: "&amp;Checks!$O$421)</f>
        <v>Available (ticked in reference)</v>
      </c>
      <c r="C67" s="113" t="str">
        <f aca="false">Checks!$N$421&amp;CHAR(10)&amp;IF(ISNUMBER(Checks!$R$421),TEXT(Checks!$R$421,"DD-MMM-YY HH:MM"),"")&amp;" "&amp;Checks!$P$421</f>
        <v>Required
12-Oct-26 22:25 KUL</v>
      </c>
      <c r="D67" s="113" t="str">
        <f aca="false">IF(Checks!$U$421="","",Checks!$U$421)&amp;IF(Checks!$AB$421="","",CHAR(10)&amp;"CA: "&amp;Checks!$AB$421)</f>
        <v/>
      </c>
      <c r="E67" s="113" t="str">
        <f aca="false">IF(Checks!$V$421="","",Checks!$V$421)&amp;IF(Checks!$AC$421="","",IF(Checks!$V$421="","",CHAR(10))&amp;"N/A just.: "&amp;Checks!$AC$421)&amp;IF(Checks!$W$421="","",CHAR(10)&amp;"Batch: "&amp;Checks!$W$421)&amp;IF(AND(Checks!$X$421="",Checks!$Y$421=""),"",CHAR(10)&amp;"Exp: "&amp;Checks!$X$421&amp;"  /  Act: "&amp;Checks!$Y$421)</f>
        <v/>
      </c>
      <c r="F67" s="113" t="str">
        <f aca="false">IF(Checks!$Z$421="","","Evidence: "&amp;Checks!$Z$421)&amp;IF(Checks!$AA$421="","",IF(Checks!$Z$421="","",CHAR(10))&amp;"CA: "&amp;Checks!$AA$421)</f>
        <v/>
      </c>
      <c r="G67" s="113" t="str">
        <f aca="false">IF(ISNUMBER(Checks!$AD$421),TEXT(Checks!$AD$421,"DD-MMM-YY HH:MM")&amp;" "&amp;Checks!$P$421,"")&amp;IF(Checks!$AE$421="","",CHAR(10)&amp;"Verifier: "&amp;Checks!$AE$421)&amp;IF(Checks!$T$421="","",CHAR(10)&amp;"PIC: "&amp;Checks!$T$421)</f>
        <v/>
      </c>
      <c r="H67" s="114" t="str">
        <f aca="false">IF(Checks!$AH$421="","",Checks!$AH$421)</f>
        <v>OPEN</v>
      </c>
    </row>
    <row r="68" customFormat="false" ht="114" hidden="false" customHeight="true" outlineLevel="0" collapsed="false">
      <c r="A68" s="113" t="str">
        <f aca="false">Checks!$A$422&amp;CHAR(10)&amp;IF(Checks!$I$422="","",Checks!$I$422&amp;": ")&amp;Checks!$J$422</f>
        <v>F12-UPL-12
Seat Linen: Seat pillow (BS &amp; BC) - on board</v>
      </c>
      <c r="B68" s="113" t="str">
        <f aca="false">Checks!$K$422&amp;IF(Checks!$O$422="","",IF(Checks!$K$422="","",CHAR(10))&amp;"Note: "&amp;Checks!$O$422)</f>
        <v>Available 100% (ticked in reference)</v>
      </c>
      <c r="C68" s="113" t="str">
        <f aca="false">Checks!$N$422&amp;CHAR(10)&amp;IF(ISNUMBER(Checks!$R$422),TEXT(Checks!$R$422,"DD-MMM-YY HH:MM"),"")&amp;" "&amp;Checks!$P$422</f>
        <v>Required
12-Oct-26 22:25 KUL</v>
      </c>
      <c r="D68" s="113" t="str">
        <f aca="false">IF(Checks!$U$422="","",Checks!$U$422)&amp;IF(Checks!$AB$422="","",CHAR(10)&amp;"CA: "&amp;Checks!$AB$422)</f>
        <v/>
      </c>
      <c r="E68" s="113" t="str">
        <f aca="false">IF(Checks!$V$422="","",Checks!$V$422)&amp;IF(Checks!$AC$422="","",IF(Checks!$V$422="","",CHAR(10))&amp;"N/A just.: "&amp;Checks!$AC$422)&amp;IF(Checks!$W$422="","",CHAR(10)&amp;"Batch: "&amp;Checks!$W$422)&amp;IF(AND(Checks!$X$422="",Checks!$Y$422=""),"",CHAR(10)&amp;"Exp: "&amp;Checks!$X$422&amp;"  /  Act: "&amp;Checks!$Y$422)</f>
        <v/>
      </c>
      <c r="F68" s="113" t="str">
        <f aca="false">IF(Checks!$Z$422="","","Evidence: "&amp;Checks!$Z$422)&amp;IF(Checks!$AA$422="","",IF(Checks!$Z$422="","",CHAR(10))&amp;"CA: "&amp;Checks!$AA$422)</f>
        <v/>
      </c>
      <c r="G68" s="113" t="str">
        <f aca="false">IF(ISNUMBER(Checks!$AD$422),TEXT(Checks!$AD$422,"DD-MMM-YY HH:MM")&amp;" "&amp;Checks!$P$422,"")&amp;IF(Checks!$AE$422="","",CHAR(10)&amp;"Verifier: "&amp;Checks!$AE$422)&amp;IF(Checks!$T$422="","",CHAR(10)&amp;"PIC: "&amp;Checks!$T$422)</f>
        <v/>
      </c>
      <c r="H68" s="114" t="str">
        <f aca="false">IF(Checks!$AH$422="","",Checks!$AH$422)</f>
        <v>OPEN</v>
      </c>
    </row>
    <row r="69" customFormat="false" ht="114" hidden="false" customHeight="true" outlineLevel="0" collapsed="false">
      <c r="A69" s="113" t="str">
        <f aca="false">Checks!$A$423&amp;CHAR(10)&amp;IF(Checks!$I$423="","",Checks!$I$423&amp;": ")&amp;Checks!$J$423</f>
        <v>F12-UPL-13
Seat Linen: Duvet (BS &amp; BC) - on board</v>
      </c>
      <c r="B69" s="113" t="str">
        <f aca="false">Checks!$K$423&amp;IF(Checks!$O$423="","",IF(Checks!$K$423="","",CHAR(10))&amp;"Note: "&amp;Checks!$O$423)</f>
        <v>Available 100% (ticked in reference)</v>
      </c>
      <c r="C69" s="113" t="str">
        <f aca="false">Checks!$N$423&amp;CHAR(10)&amp;IF(ISNUMBER(Checks!$R$423),TEXT(Checks!$R$423,"DD-MMM-YY HH:MM"),"")&amp;" "&amp;Checks!$P$423</f>
        <v>Required
12-Oct-26 22:25 KUL</v>
      </c>
      <c r="D69" s="113" t="str">
        <f aca="false">IF(Checks!$U$423="","",Checks!$U$423)&amp;IF(Checks!$AB$423="","",CHAR(10)&amp;"CA: "&amp;Checks!$AB$423)</f>
        <v/>
      </c>
      <c r="E69" s="113" t="str">
        <f aca="false">IF(Checks!$V$423="","",Checks!$V$423)&amp;IF(Checks!$AC$423="","",IF(Checks!$V$423="","",CHAR(10))&amp;"N/A just.: "&amp;Checks!$AC$423)&amp;IF(Checks!$W$423="","",CHAR(10)&amp;"Batch: "&amp;Checks!$W$423)&amp;IF(AND(Checks!$X$423="",Checks!$Y$423=""),"",CHAR(10)&amp;"Exp: "&amp;Checks!$X$423&amp;"  /  Act: "&amp;Checks!$Y$423)</f>
        <v/>
      </c>
      <c r="F69" s="113" t="str">
        <f aca="false">IF(Checks!$Z$423="","","Evidence: "&amp;Checks!$Z$423)&amp;IF(Checks!$AA$423="","",IF(Checks!$Z$423="","",CHAR(10))&amp;"CA: "&amp;Checks!$AA$423)</f>
        <v/>
      </c>
      <c r="G69" s="113" t="str">
        <f aca="false">IF(ISNUMBER(Checks!$AD$423),TEXT(Checks!$AD$423,"DD-MMM-YY HH:MM")&amp;" "&amp;Checks!$P$423,"")&amp;IF(Checks!$AE$423="","",CHAR(10)&amp;"Verifier: "&amp;Checks!$AE$423)&amp;IF(Checks!$T$423="","",CHAR(10)&amp;"PIC: "&amp;Checks!$T$423)</f>
        <v/>
      </c>
      <c r="H69" s="114" t="str">
        <f aca="false">IF(Checks!$AH$423="","",Checks!$AH$423)</f>
        <v>OPEN</v>
      </c>
    </row>
    <row r="70" customFormat="false" ht="114" hidden="false" customHeight="true" outlineLevel="0" collapsed="false">
      <c r="A70" s="113" t="str">
        <f aca="false">Checks!$A$424&amp;CHAR(10)&amp;IF(Checks!$I$424="","",Checks!$I$424&amp;": ")&amp;Checks!$J$424</f>
        <v>F12-UPL-14
Seat Linen: Mattress (BS &amp; BC) - on board</v>
      </c>
      <c r="B70" s="113" t="str">
        <f aca="false">Checks!$K$424&amp;IF(Checks!$O$424="","",IF(Checks!$K$424="","",CHAR(10))&amp;"Note: "&amp;Checks!$O$424)</f>
        <v>Available 100% (ticked in reference)</v>
      </c>
      <c r="C70" s="113" t="str">
        <f aca="false">Checks!$N$424&amp;CHAR(10)&amp;IF(ISNUMBER(Checks!$R$424),TEXT(Checks!$R$424,"DD-MMM-YY HH:MM"),"")&amp;" "&amp;Checks!$P$424</f>
        <v>Required
12-Oct-26 22:25 KUL</v>
      </c>
      <c r="D70" s="113" t="str">
        <f aca="false">IF(Checks!$U$424="","",Checks!$U$424)&amp;IF(Checks!$AB$424="","",CHAR(10)&amp;"CA: "&amp;Checks!$AB$424)</f>
        <v/>
      </c>
      <c r="E70" s="113" t="str">
        <f aca="false">IF(Checks!$V$424="","",Checks!$V$424)&amp;IF(Checks!$AC$424="","",IF(Checks!$V$424="","",CHAR(10))&amp;"N/A just.: "&amp;Checks!$AC$424)&amp;IF(Checks!$W$424="","",CHAR(10)&amp;"Batch: "&amp;Checks!$W$424)&amp;IF(AND(Checks!$X$424="",Checks!$Y$424=""),"",CHAR(10)&amp;"Exp: "&amp;Checks!$X$424&amp;"  /  Act: "&amp;Checks!$Y$424)</f>
        <v/>
      </c>
      <c r="F70" s="113" t="str">
        <f aca="false">IF(Checks!$Z$424="","","Evidence: "&amp;Checks!$Z$424)&amp;IF(Checks!$AA$424="","",IF(Checks!$Z$424="","",CHAR(10))&amp;"CA: "&amp;Checks!$AA$424)</f>
        <v/>
      </c>
      <c r="G70" s="113" t="str">
        <f aca="false">IF(ISNUMBER(Checks!$AD$424),TEXT(Checks!$AD$424,"DD-MMM-YY HH:MM")&amp;" "&amp;Checks!$P$424,"")&amp;IF(Checks!$AE$424="","",CHAR(10)&amp;"Verifier: "&amp;Checks!$AE$424)&amp;IF(Checks!$T$424="","",CHAR(10)&amp;"PIC: "&amp;Checks!$T$424)</f>
        <v/>
      </c>
      <c r="H70" s="114" t="str">
        <f aca="false">IF(Checks!$AH$424="","",Checks!$AH$424)</f>
        <v>OPEN</v>
      </c>
    </row>
    <row r="71" customFormat="false" ht="114" hidden="false" customHeight="true" outlineLevel="0" collapsed="false">
      <c r="A71" s="113" t="str">
        <f aca="false">Checks!$A$425&amp;CHAR(10)&amp;IF(Checks!$I$425="","",Checks!$I$425&amp;": ")&amp;Checks!$J$425</f>
        <v>F12-UPL-15
Signature Drinks: Signature drink &amp; garnish (BC) - on board</v>
      </c>
      <c r="B71" s="113" t="str">
        <f aca="false">Checks!$K$425&amp;IF(Checks!$O$425="","",IF(Checks!$K$425="","",CHAR(10))&amp;"Note: "&amp;Checks!$O$425)</f>
        <v>Available (ticked in reference)
Note: Signature drinks &amp; garnish uplifted from KUL (note D79).</v>
      </c>
      <c r="C71" s="113" t="str">
        <f aca="false">Checks!$N$425&amp;CHAR(10)&amp;IF(ISNUMBER(Checks!$R$425),TEXT(Checks!$R$425,"DD-MMM-YY HH:MM"),"")&amp;" "&amp;Checks!$P$425</f>
        <v>Required
12-Oct-26 22:25 KUL</v>
      </c>
      <c r="D71" s="113" t="str">
        <f aca="false">IF(Checks!$U$425="","",Checks!$U$425)&amp;IF(Checks!$AB$425="","",CHAR(10)&amp;"CA: "&amp;Checks!$AB$425)</f>
        <v/>
      </c>
      <c r="E71" s="113" t="str">
        <f aca="false">IF(Checks!$V$425="","",Checks!$V$425)&amp;IF(Checks!$AC$425="","",IF(Checks!$V$425="","",CHAR(10))&amp;"N/A just.: "&amp;Checks!$AC$425)&amp;IF(Checks!$W$425="","",CHAR(10)&amp;"Batch: "&amp;Checks!$W$425)&amp;IF(AND(Checks!$X$425="",Checks!$Y$425=""),"",CHAR(10)&amp;"Exp: "&amp;Checks!$X$425&amp;"  /  Act: "&amp;Checks!$Y$425)</f>
        <v/>
      </c>
      <c r="F71" s="113" t="str">
        <f aca="false">IF(Checks!$Z$425="","","Evidence: "&amp;Checks!$Z$425)&amp;IF(Checks!$AA$425="","",IF(Checks!$Z$425="","",CHAR(10))&amp;"CA: "&amp;Checks!$AA$425)</f>
        <v/>
      </c>
      <c r="G71" s="113" t="str">
        <f aca="false">IF(ISNUMBER(Checks!$AD$425),TEXT(Checks!$AD$425,"DD-MMM-YY HH:MM")&amp;" "&amp;Checks!$P$425,"")&amp;IF(Checks!$AE$425="","",CHAR(10)&amp;"Verifier: "&amp;Checks!$AE$425)&amp;IF(Checks!$T$425="","",CHAR(10)&amp;"PIC: "&amp;Checks!$T$425)</f>
        <v/>
      </c>
      <c r="H71" s="114" t="str">
        <f aca="false">IF(Checks!$AH$425="","",Checks!$AH$425)</f>
        <v>OPEN</v>
      </c>
    </row>
    <row r="72" customFormat="false" ht="114" hidden="false" customHeight="true" outlineLevel="0" collapsed="false">
      <c r="A72" s="113" t="str">
        <f aca="false">Checks!$A$426&amp;CHAR(10)&amp;IF(Checks!$I$426="","",Checks!$I$426&amp;": ")&amp;Checks!$J$426</f>
        <v>F12-UPL-16
Sales Cart: Sales cart (caterer PASB) - on board</v>
      </c>
      <c r="B72" s="113" t="str">
        <f aca="false">Checks!$K$426&amp;IF(Checks!$O$426="","",IF(Checks!$K$426="","",CHAR(10))&amp;"Note: "&amp;Checks!$O$426)</f>
        <v>Location 241 &amp; 947 (A339)
Note: Block 7.08 h &gt;= 4 h.</v>
      </c>
      <c r="C72" s="113" t="str">
        <f aca="false">Checks!$N$426&amp;CHAR(10)&amp;IF(ISNUMBER(Checks!$R$426),TEXT(Checks!$R$426,"DD-MMM-YY HH:MM"),"")&amp;" "&amp;Checks!$P$426</f>
        <v>Required
12-Oct-26 22:25 KUL</v>
      </c>
      <c r="D72" s="113" t="str">
        <f aca="false">IF(Checks!$U$426="","",Checks!$U$426)&amp;IF(Checks!$AB$426="","",CHAR(10)&amp;"CA: "&amp;Checks!$AB$426)</f>
        <v/>
      </c>
      <c r="E72" s="113" t="str">
        <f aca="false">IF(Checks!$V$426="","",Checks!$V$426)&amp;IF(Checks!$AC$426="","",IF(Checks!$V$426="","",CHAR(10))&amp;"N/A just.: "&amp;Checks!$AC$426)&amp;IF(Checks!$W$426="","",CHAR(10)&amp;"Batch: "&amp;Checks!$W$426)&amp;IF(AND(Checks!$X$426="",Checks!$Y$426=""),"",CHAR(10)&amp;"Exp: "&amp;Checks!$X$426&amp;"  /  Act: "&amp;Checks!$Y$426)</f>
        <v/>
      </c>
      <c r="F72" s="113" t="str">
        <f aca="false">IF(Checks!$Z$426="","","Evidence: "&amp;Checks!$Z$426)&amp;IF(Checks!$AA$426="","",IF(Checks!$Z$426="","",CHAR(10))&amp;"CA: "&amp;Checks!$AA$426)</f>
        <v/>
      </c>
      <c r="G72" s="113" t="str">
        <f aca="false">IF(ISNUMBER(Checks!$AD$426),TEXT(Checks!$AD$426,"DD-MMM-YY HH:MM")&amp;" "&amp;Checks!$P$426,"")&amp;IF(Checks!$AE$426="","",CHAR(10)&amp;"Verifier: "&amp;Checks!$AE$426)&amp;IF(Checks!$T$426="","",CHAR(10)&amp;"PIC: "&amp;Checks!$T$426)</f>
        <v/>
      </c>
      <c r="H72" s="114" t="str">
        <f aca="false">IF(Checks!$AH$426="","",Checks!$AH$426)</f>
        <v>OPEN</v>
      </c>
    </row>
    <row r="74" customFormat="false" ht="24" hidden="false" customHeight="true" outlineLevel="0" collapsed="false">
      <c r="A74" s="115" t="s">
        <v>1650</v>
      </c>
      <c r="B74" s="115"/>
      <c r="C74" s="115"/>
      <c r="D74" s="115"/>
      <c r="E74" s="115" t="s">
        <v>1651</v>
      </c>
      <c r="F74" s="115"/>
      <c r="G74" s="115"/>
      <c r="H74" s="115"/>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F13  "&amp;Flights!$F$17&amp;"  "&amp;TEXT(Flights!$D$17,"DD-MMM-YY")&amp;" ("&amp;Flights!$E$17&amp;")  "&amp;Flights!$G$17&amp;" → "&amp;Flights!$H$17&amp;"  |  Class "&amp;Flights!$K$17</f>
        <v>SKYTRAX 2026 CATERING READINESS CHECKLIST  |  F13  MH0138  14-Oct-26 (WED)  ADL → KUL  |  Class EY</v>
      </c>
      <c r="B1" s="91"/>
      <c r="C1" s="91"/>
      <c r="D1" s="91"/>
      <c r="E1" s="91"/>
      <c r="F1" s="91"/>
      <c r="G1" s="91"/>
      <c r="H1" s="91"/>
    </row>
    <row r="2" customFormat="false" ht="12.75" hidden="false" customHeight="true" outlineLevel="0" collapsed="false">
      <c r="A2" s="92" t="s">
        <v>1605</v>
      </c>
      <c r="B2" s="93" t="str">
        <f aca="false">Flights!$F$17&amp;"   "&amp;TEXT(Flights!$D$17,"DD-MMM-YY")&amp;" ("&amp;Flights!$E$17&amp;")"</f>
        <v>MH0138   14-Oct-26 (WED)</v>
      </c>
      <c r="C2" s="93"/>
      <c r="D2" s="93"/>
      <c r="E2" s="94" t="s">
        <v>1606</v>
      </c>
      <c r="F2" s="95" t="str">
        <f aca="false">Flights!$AT$17</f>
        <v>NOT READY – DOCUMENTS</v>
      </c>
      <c r="G2" s="95"/>
      <c r="H2" s="95"/>
    </row>
    <row r="3" customFormat="false" ht="24" hidden="false" customHeight="true" outlineLevel="0" collapsed="false">
      <c r="A3" s="92" t="s">
        <v>1607</v>
      </c>
      <c r="B3" s="93" t="str">
        <f aca="false">Flights!$G$17&amp;" → "&amp;Flights!$H$17&amp;"   Class "&amp;Flights!$K$17&amp;"   Seat "&amp;Flights!$O$17</f>
        <v>ADL → KUL   Class EY   Seat 11K</v>
      </c>
      <c r="C3" s="93"/>
      <c r="D3" s="93"/>
      <c r="E3" s="94" t="s">
        <v>68</v>
      </c>
      <c r="F3" s="94" t="s">
        <v>1608</v>
      </c>
      <c r="G3" s="94" t="s">
        <v>1609</v>
      </c>
      <c r="H3" s="94"/>
    </row>
    <row r="4" customFormat="false" ht="24" hidden="false" customHeight="true" outlineLevel="0" collapsed="false">
      <c r="A4" s="92" t="s">
        <v>1610</v>
      </c>
      <c r="B4" s="93" t="str">
        <f aca="false">IF(ISNUMBER(Flights!$I$17),TEXT(Flights!$I$17,"DD-MMM-YY HH:MM"),"")&amp;" "&amp;Flights!$G$17&amp;"  →  "&amp;IF(ISNUMBER(Flights!$J$17),TEXT(Flights!$J$17,"DD-MMM-YY HH:MM"),"")&amp;" "&amp;Flights!$H$17</f>
        <v>14-Oct-26 10:45 ADL  →  14-Oct-26 16:00 KUL</v>
      </c>
      <c r="C4" s="93"/>
      <c r="D4" s="93"/>
      <c r="E4" s="92" t="s">
        <v>1611</v>
      </c>
      <c r="F4" s="96" t="str">
        <f aca="false">IF(ISNUMBER(Flights!$AG$17),TEXT(Flights!$AG$17,"DD-MMM-YY HH:MM"),"")&amp;" "&amp;Flights!$V$17</f>
        <v>07-Oct-26 10:45 ADL</v>
      </c>
      <c r="G4" s="97" t="n">
        <f aca="false">Flights!$AJ$17</f>
        <v>0</v>
      </c>
      <c r="H4" s="97"/>
    </row>
    <row r="5" customFormat="false" ht="24" hidden="false" customHeight="true" outlineLevel="0" collapsed="false">
      <c r="A5" s="92" t="s">
        <v>1612</v>
      </c>
      <c r="B5" s="93" t="str">
        <f aca="false">Flights!$L$17&amp;" – "&amp;Flights!$M$17</f>
        <v>A339 – A330-900 (A339)</v>
      </c>
      <c r="C5" s="93"/>
      <c r="D5" s="93"/>
      <c r="E5" s="92" t="s">
        <v>1613</v>
      </c>
      <c r="F5" s="96" t="str">
        <f aca="false">IF(ISNUMBER(Flights!$AH$17),TEXT(Flights!$AH$17,"DD-MMM-YY HH:MM"),"")&amp;" "&amp;Flights!$V$17</f>
        <v>13-Oct-26 10:45 ADL</v>
      </c>
      <c r="G5" s="97" t="n">
        <f aca="false">Flights!$AK$17</f>
        <v>0</v>
      </c>
      <c r="H5" s="97"/>
    </row>
    <row r="6" customFormat="false" ht="24" hidden="false" customHeight="true" outlineLevel="0" collapsed="false">
      <c r="A6" s="92" t="s">
        <v>1614</v>
      </c>
      <c r="B6" s="93" t="str">
        <f aca="false">IF(TRIM(Flights!$N$17)="","__________________",Flights!$N$17)</f>
        <v>__________________</v>
      </c>
      <c r="C6" s="93"/>
      <c r="D6" s="93"/>
      <c r="E6" s="92" t="s">
        <v>1615</v>
      </c>
      <c r="F6" s="96" t="str">
        <f aca="false">IF(ISNUMBER(Flights!$AI$17),TEXT(Flights!$AI$17,"DD-MMM-YY HH:MM"),"")&amp;" "&amp;Flights!$V$17&amp;IF(Flights!$AI$17=Flights!$AH$17,"  (= T-24H due)","")</f>
        <v>13-Oct-26 22:45 ADL</v>
      </c>
      <c r="G6" s="97" t="n">
        <f aca="false">Flights!$AL$17</f>
        <v>0</v>
      </c>
      <c r="H6" s="97"/>
    </row>
    <row r="7" customFormat="false" ht="24" hidden="false" customHeight="true" outlineLevel="0" collapsed="false">
      <c r="A7" s="92" t="s">
        <v>1616</v>
      </c>
      <c r="B7" s="93" t="str">
        <f aca="false">Flights!$T$17</f>
        <v>1.5 Meal (Meal)</v>
      </c>
      <c r="C7" s="93"/>
      <c r="D7" s="93"/>
      <c r="E7" s="92" t="s">
        <v>1617</v>
      </c>
      <c r="F7" s="96" t="str">
        <f aca="false">"STD "&amp;IF(ISNUMBER(Flights!$I$17),TEXT(Flights!$I$17,"DD-MMM-YY HH:MM"),"")&amp;" "&amp;Flights!$G$17&amp;" (dep stn)"</f>
        <v>STD 14-Oct-26 10:45 ADL (dep stn)</v>
      </c>
      <c r="G7" s="97" t="n">
        <f aca="false">Flights!$AM$17</f>
        <v>0</v>
      </c>
      <c r="H7" s="97"/>
    </row>
    <row r="8" customFormat="false" ht="12.75" hidden="false" customHeight="true" outlineLevel="0" collapsed="false">
      <c r="A8" s="92" t="s">
        <v>150</v>
      </c>
      <c r="B8" s="93" t="str">
        <f aca="false">Flights!$V$17&amp;"   (reference uplift stns: "&amp;Flights!$U$17&amp;")"</f>
        <v>ADL   (reference uplift stns: KUL/ADL)</v>
      </c>
      <c r="C8" s="93"/>
      <c r="D8" s="93"/>
      <c r="E8" s="92" t="s">
        <v>1618</v>
      </c>
      <c r="F8" s="98" t="s">
        <v>1619</v>
      </c>
      <c r="G8" s="97" t="n">
        <f aca="false">Flights!$AN$17</f>
        <v>0</v>
      </c>
      <c r="H8" s="97"/>
    </row>
    <row r="9" customFormat="false" ht="12.75" hidden="false" customHeight="true" outlineLevel="0" collapsed="false">
      <c r="A9" s="92" t="s">
        <v>1620</v>
      </c>
      <c r="B9" s="93" t="str">
        <f aca="false">TRIM(Flights!$P$17&amp;"  "&amp;Flights!$Q$17)</f>
        <v>- Overnight KUL</v>
      </c>
      <c r="C9" s="93"/>
      <c r="D9" s="93"/>
      <c r="E9" s="92" t="s">
        <v>1621</v>
      </c>
      <c r="F9" s="99" t="n">
        <f aca="false">Flights!$AP$17</f>
        <v>0</v>
      </c>
      <c r="G9" s="99" t="n">
        <f aca="false">Flights!$AQ$17</f>
        <v>0</v>
      </c>
      <c r="H9" s="99" t="n">
        <f aca="false">Flights!$AU$17</f>
        <v>0</v>
      </c>
    </row>
    <row r="10" customFormat="false" ht="24" hidden="false" customHeight="true" outlineLevel="0" collapsed="false">
      <c r="A10" s="92" t="s">
        <v>1622</v>
      </c>
      <c r="B10" s="93" t="str">
        <f aca="false">IF(TRIM(Flights!$X$17)="","__________________",Flights!$X$17)</f>
        <v>__________________</v>
      </c>
      <c r="C10" s="93"/>
      <c r="D10" s="93"/>
      <c r="E10" s="92" t="s">
        <v>1623</v>
      </c>
      <c r="F10" s="99" t="n">
        <f aca="false">Flights!$AO$17</f>
        <v>29</v>
      </c>
      <c r="G10" s="99" t="n">
        <f aca="false">Flights!$AS$17</f>
        <v>5</v>
      </c>
      <c r="H10" s="99" t="n">
        <f aca="false">Flights!$AR$17</f>
        <v>2</v>
      </c>
    </row>
    <row r="11" customFormat="false" ht="21" hidden="false" customHeight="true" outlineLevel="0" collapsed="false">
      <c r="A11" s="92" t="s">
        <v>1624</v>
      </c>
      <c r="B11" s="93" t="str">
        <f aca="false">IF(TRIM(Flights!$Y$17)="","__________________",Flights!$Y$17)</f>
        <v>__________________</v>
      </c>
      <c r="C11" s="93"/>
      <c r="D11" s="93"/>
      <c r="E11" s="92" t="s">
        <v>1625</v>
      </c>
      <c r="F11" s="99" t="str">
        <f aca="false">Flights!$AV$17&amp;" / "&amp;Flights!$AW$17</f>
        <v>0 / 29</v>
      </c>
      <c r="G11" s="100" t="str">
        <f aca="false">IF(ISNUMBER(Settings!$B$6),TEXT(Settings!$B$6,"DD-MMM-YY HH:MM"),"")</f>
        <v>28-Sep-26 03:19</v>
      </c>
      <c r="H11" s="100"/>
    </row>
    <row r="12" customFormat="false" ht="34.5" hidden="false" customHeight="true" outlineLevel="0" collapsed="false">
      <c r="A12" s="101" t="s">
        <v>1626</v>
      </c>
      <c r="B12" s="101"/>
      <c r="C12" s="101"/>
      <c r="D12" s="101"/>
      <c r="E12" s="102" t="s">
        <v>1627</v>
      </c>
      <c r="F12" s="103" t="s">
        <v>1628</v>
      </c>
      <c r="G12" s="104" t="s">
        <v>89</v>
      </c>
      <c r="H12" s="105" t="s">
        <v>1629</v>
      </c>
    </row>
    <row r="13" customFormat="false" ht="45.75" hidden="false" customHeight="true" outlineLevel="0" collapsed="false">
      <c r="A13" s="117"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"&amp;IF(ISNUMBER(Flights!$AY$17),TEXT(Flights!$AY$17+IFERROR(INDEX(Settings!$C$13:$C$22,MATCH("KUL",Settings!$A$13:$A$22,0)),8)/24,"DD-MMM-YY HH:MM")&amp;" KUL","(not set)")&amp;"   |   Carrying flight KUL departure (loading confirmed by): "&amp;IF(ISNUMBER(Flights!$AY$17),TEXT(Flights!$AY$17+UpliftWindowH/24+IFERROR(INDEX(Settings!$C$13:$C$22,MATCH("KUL",Settings!$A$13:$A$22,0)),8)/24,"DD-MMM-YY HH:MM")&amp;" KUL","(not set)")&amp;IF(ISNUMBER(Flights!$AX$17),""," (estimated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12-Oct-26 16:25 KUL   |   Carrying flight KUL departure (loading confirmed by): 12-Oct-26 22:25 KUL (estimated – enter actual on Flights AX)</v>
      </c>
      <c r="B13" s="117"/>
      <c r="C13" s="117"/>
      <c r="D13" s="117"/>
      <c r="E13" s="117"/>
      <c r="F13" s="117"/>
      <c r="G13" s="117"/>
      <c r="H13" s="117"/>
    </row>
    <row r="14" customFormat="false" ht="13.5" hidden="false" customHeight="true" outlineLevel="0" collapsed="false">
      <c r="A14" s="94" t="s">
        <v>1630</v>
      </c>
      <c r="B14" s="94" t="s">
        <v>1631</v>
      </c>
      <c r="C14" s="94" t="s">
        <v>1632</v>
      </c>
      <c r="D14" s="94"/>
      <c r="E14" s="94" t="s">
        <v>1633</v>
      </c>
      <c r="F14" s="94" t="s">
        <v>1634</v>
      </c>
      <c r="G14" s="94"/>
      <c r="H14" s="94"/>
    </row>
    <row r="15" customFormat="false" ht="36" hidden="false" customHeight="true" outlineLevel="0" collapsed="false">
      <c r="A15" s="92" t="s">
        <v>1635</v>
      </c>
      <c r="B15" s="93" t="str">
        <f aca="false">IF(Documents!$F$17="","",Documents!$F$17)</f>
        <v/>
      </c>
      <c r="C15" s="98" t="str">
        <f aca="false">IF(Documents!$G$17="","",Documents!$G$17)&amp;IF(ISNUMBER(Documents!$H$17),"  "&amp;TEXT(Documents!$H$17,"DD-MMM-YY"),"")</f>
        <v/>
      </c>
      <c r="D15" s="98"/>
      <c r="E15" s="106" t="str">
        <f aca="false">IF(Documents!$J$17="OUTSTANDING","OUTSTANDING – attach before T-7D (due "&amp;IF(ISNUMBER(Flights!$AG$17),TEXT(Flights!$AG$17,"DD-MMM-YY HH:MM"),"")&amp;" "&amp;Flights!$V$17&amp;")",IF(Documents!$J$17="","Status not recorded",Documents!$J$17))</f>
        <v>OUTSTANDING – attach before T-7D (due 07-Oct-26 10:45 ADL)</v>
      </c>
      <c r="F15" s="107" t="str">
        <f aca="false">"Staple behind this sheet as page A1."&amp;IF(Documents!$I$17="",""," Location: "&amp;Documents!$I$17)</f>
        <v>Staple behind this sheet as page A1.</v>
      </c>
      <c r="G15" s="107"/>
      <c r="H15" s="107"/>
    </row>
    <row r="16" customFormat="false" ht="36" hidden="false" customHeight="true" outlineLevel="0" collapsed="false">
      <c r="A16" s="92" t="s">
        <v>1636</v>
      </c>
      <c r="B16" s="93" t="str">
        <f aca="false">IF(Documents!$K$17="","",Documents!$K$17)</f>
        <v/>
      </c>
      <c r="C16" s="98" t="str">
        <f aca="false">IF(Documents!$L$17="","",Documents!$L$17)&amp;IF(ISNUMBER(Documents!$M$17),"  "&amp;TEXT(Documents!$M$17,"DD-MMM-YY"),"")</f>
        <v/>
      </c>
      <c r="D16" s="98"/>
      <c r="E16" s="106" t="str">
        <f aca="false">IF(Documents!$O$17="OUTSTANDING","OUTSTANDING – attach before T-7D (due "&amp;IF(ISNUMBER(Flights!$AG$17),TEXT(Flights!$AG$17,"DD-MMM-YY HH:MM"),"")&amp;" "&amp;Flights!$V$17&amp;")",IF(Documents!$O$17="","Status not recorded",Documents!$O$17))</f>
        <v>OUTSTANDING – attach before T-7D (due 07-Oct-26 10:45 ADL)</v>
      </c>
      <c r="F16" s="107" t="str">
        <f aca="false">"Staple behind this sheet as page A2."&amp;IF(Documents!$N$17="",""," Location: "&amp;Documents!$N$17)</f>
        <v>Staple behind this sheet as page A2.</v>
      </c>
      <c r="G16" s="107"/>
      <c r="H16" s="107"/>
    </row>
    <row r="17" customFormat="false" ht="22.5" hidden="false" customHeight="true" outlineLevel="0" collapsed="false">
      <c r="A17" s="92" t="s">
        <v>1637</v>
      </c>
      <c r="B17" s="108" t="str">
        <f aca="false">IF(Documents!$Q$17="","",Documents!$Q$17)</f>
        <v>Not supplied with brief – obtain from caterer / MAGCS.</v>
      </c>
      <c r="C17" s="108"/>
      <c r="D17" s="108"/>
      <c r="E17" s="108"/>
      <c r="F17" s="108"/>
      <c r="G17" s="108"/>
      <c r="H17" s="108"/>
    </row>
    <row r="18" customFormat="false" ht="13.5" hidden="false" customHeight="true" outlineLevel="0" collapsed="false">
      <c r="A18" s="109" t="s">
        <v>1638</v>
      </c>
      <c r="B18" s="109"/>
      <c r="C18" s="109" t="s">
        <v>1639</v>
      </c>
      <c r="D18" s="109"/>
      <c r="E18" s="109"/>
      <c r="F18" s="109" t="s">
        <v>1640</v>
      </c>
      <c r="G18" s="109"/>
      <c r="H18" s="109"/>
    </row>
    <row r="19" customFormat="false" ht="18" hidden="false" customHeight="true" outlineLevel="0" collapsed="false">
      <c r="A19" s="93" t="str">
        <f aca="false">"Name: "&amp;IF(TRIM(Flights!$Y$17)="","__________________",Flights!$Y$17)</f>
        <v>Name: __________________</v>
      </c>
      <c r="B19" s="93"/>
      <c r="C19" s="93" t="str">
        <f aca="false">"Name: __________________"</f>
        <v>Name: __________________</v>
      </c>
      <c r="D19" s="93"/>
      <c r="E19" s="93"/>
      <c r="F19" s="93" t="str">
        <f aca="false">"Name: __________________"&amp;"   Station: "&amp;Flights!$V$17</f>
        <v>Name: __________________   Station: ADL</v>
      </c>
      <c r="G19" s="93"/>
      <c r="H19" s="93"/>
    </row>
    <row r="20" customFormat="false" ht="30" hidden="false" customHeight="true" outlineLevel="0" collapsed="false">
      <c r="A20" s="110" t="s">
        <v>1641</v>
      </c>
      <c r="B20" s="110"/>
      <c r="C20" s="110" t="s">
        <v>1641</v>
      </c>
      <c r="D20" s="110"/>
      <c r="E20" s="110"/>
      <c r="F20" s="110" t="s">
        <v>1641</v>
      </c>
      <c r="G20" s="110"/>
      <c r="H20" s="110"/>
    </row>
    <row r="21" customFormat="false" ht="13.5" hidden="false" customHeight="true" outlineLevel="0" collapsed="false">
      <c r="A21" s="111" t="s">
        <v>1642</v>
      </c>
      <c r="B21" s="111"/>
      <c r="C21" s="111"/>
      <c r="D21" s="111"/>
      <c r="E21" s="111"/>
      <c r="F21" s="111"/>
      <c r="G21" s="111"/>
      <c r="H21" s="111"/>
    </row>
    <row r="22" customFormat="false" ht="24" hidden="false" customHeight="true" outlineLevel="0" collapsed="false">
      <c r="A22" s="94" t="s">
        <v>1643</v>
      </c>
      <c r="B22" s="94" t="s">
        <v>1644</v>
      </c>
      <c r="C22" s="94" t="s">
        <v>1645</v>
      </c>
      <c r="D22" s="94" t="s">
        <v>1646</v>
      </c>
      <c r="E22" s="94" t="s">
        <v>1647</v>
      </c>
      <c r="F22" s="94" t="s">
        <v>1648</v>
      </c>
      <c r="G22" s="94" t="s">
        <v>1649</v>
      </c>
      <c r="H22" s="94" t="s">
        <v>121</v>
      </c>
    </row>
    <row r="23" customFormat="false" ht="25.5" hidden="false" customHeight="true" outlineLevel="0" collapsed="false">
      <c r="A23" s="112"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Checks!$A$427&amp;CHAR(10)&amp;IF(Checks!$I$427="","",Checks!$I$427&amp;": ")&amp;Checks!$J$427</f>
        <v>F13-T7-01
Meal: Meal sensory testing completed for this flight's menu cycle (assessed class)</v>
      </c>
      <c r="B24" s="113" t="str">
        <f aca="false">Checks!$K$427&amp;IF(Checks!$O$427="","",IF(Checks!$K$427="","",CHAR(10))&amp;"Note: "&amp;Checks!$O$427)</f>
        <v>Record panel result / score in Result</v>
      </c>
      <c r="C24" s="113" t="str">
        <f aca="false">Checks!$N$427&amp;CHAR(10)&amp;IF(ISNUMBER(Checks!$R$427),TEXT(Checks!$R$427,"DD-MMM-YY HH:MM"),"")&amp;" "&amp;Checks!$P$427</f>
        <v>Required
07-Oct-26 10:45 ADL</v>
      </c>
      <c r="D24" s="113" t="str">
        <f aca="false">IF(Checks!$U$427="","",Checks!$U$427)&amp;IF(Checks!$AB$427="","",CHAR(10)&amp;"CA: "&amp;Checks!$AB$427)</f>
        <v/>
      </c>
      <c r="E24" s="113" t="str">
        <f aca="false">IF(Checks!$V$427="","",Checks!$V$427)&amp;IF(Checks!$AC$427="","",IF(Checks!$V$427="","",CHAR(10))&amp;"N/A just.: "&amp;Checks!$AC$427)&amp;IF(Checks!$W$427="","",CHAR(10)&amp;"Batch: "&amp;Checks!$W$427)&amp;IF(AND(Checks!$X$427="",Checks!$Y$427=""),"",CHAR(10)&amp;"Exp: "&amp;Checks!$X$427&amp;"  /  Act: "&amp;Checks!$Y$427)</f>
        <v/>
      </c>
      <c r="F24" s="113" t="str">
        <f aca="false">IF(Checks!$Z$427="","","Evidence: "&amp;Checks!$Z$427)&amp;IF(Checks!$AA$427="","",IF(Checks!$Z$427="","",CHAR(10))&amp;"CA: "&amp;Checks!$AA$427)</f>
        <v/>
      </c>
      <c r="G24" s="113" t="str">
        <f aca="false">IF(ISNUMBER(Checks!$AD$427),TEXT(Checks!$AD$427,"DD-MMM-YY HH:MM")&amp;" "&amp;Checks!$P$427,"")&amp;IF(Checks!$AE$427="","",CHAR(10)&amp;"Verifier: "&amp;Checks!$AE$427)&amp;IF(Checks!$T$427="","",CHAR(10)&amp;"PIC: "&amp;Checks!$T$427)</f>
        <v/>
      </c>
      <c r="H24" s="114" t="str">
        <f aca="false">IF(Checks!$AH$427="","",Checks!$AH$427)</f>
        <v>OPEN</v>
      </c>
    </row>
    <row r="25" customFormat="false" ht="114" hidden="false" customHeight="true" outlineLevel="0" collapsed="false">
      <c r="A25" s="113" t="str">
        <f aca="false">Checks!$A$428&amp;CHAR(10)&amp;IF(Checks!$I$428="","",Checks!$I$428&amp;": ")&amp;Checks!$J$428</f>
        <v>F13-T7-02
Menu: Printed menu cards confirmed (content, cycle, language, quantity)</v>
      </c>
      <c r="B25" s="113" t="str">
        <f aca="false">Checks!$K$428&amp;IF(Checks!$O$428="","",IF(Checks!$K$428="","",CHAR(10))&amp;"Note: "&amp;Checks!$O$428)</f>
        <v>Menu card matches approved menu for this flight</v>
      </c>
      <c r="C25" s="113" t="str">
        <f aca="false">Checks!$N$428&amp;CHAR(10)&amp;IF(ISNUMBER(Checks!$R$428),TEXT(Checks!$R$428,"DD-MMM-YY HH:MM"),"")&amp;" "&amp;Checks!$P$428</f>
        <v>Required
07-Oct-26 10:45 ADL</v>
      </c>
      <c r="D25" s="113" t="str">
        <f aca="false">IF(Checks!$U$428="","",Checks!$U$428)&amp;IF(Checks!$AB$428="","",CHAR(10)&amp;"CA: "&amp;Checks!$AB$428)</f>
        <v/>
      </c>
      <c r="E25" s="113" t="str">
        <f aca="false">IF(Checks!$V$428="","",Checks!$V$428)&amp;IF(Checks!$AC$428="","",IF(Checks!$V$428="","",CHAR(10))&amp;"N/A just.: "&amp;Checks!$AC$428)&amp;IF(Checks!$W$428="","",CHAR(10)&amp;"Batch: "&amp;Checks!$W$428)&amp;IF(AND(Checks!$X$428="",Checks!$Y$428=""),"",CHAR(10)&amp;"Exp: "&amp;Checks!$X$428&amp;"  /  Act: "&amp;Checks!$Y$428)</f>
        <v/>
      </c>
      <c r="F25" s="113" t="str">
        <f aca="false">IF(Checks!$Z$428="","","Evidence: "&amp;Checks!$Z$428)&amp;IF(Checks!$AA$428="","",IF(Checks!$Z$428="","",CHAR(10))&amp;"CA: "&amp;Checks!$AA$428)</f>
        <v/>
      </c>
      <c r="G25" s="113" t="str">
        <f aca="false">IF(ISNUMBER(Checks!$AD$428),TEXT(Checks!$AD$428,"DD-MMM-YY HH:MM")&amp;" "&amp;Checks!$P$428,"")&amp;IF(Checks!$AE$428="","",CHAR(10)&amp;"Verifier: "&amp;Checks!$AE$428)&amp;IF(Checks!$T$428="","",CHAR(10)&amp;"PIC: "&amp;Checks!$T$428)</f>
        <v/>
      </c>
      <c r="H25" s="114" t="str">
        <f aca="false">IF(Checks!$AH$428="","",Checks!$AH$428)</f>
        <v>OPEN</v>
      </c>
    </row>
    <row r="26" customFormat="false" ht="114" hidden="false" customHeight="true" outlineLevel="0" collapsed="false">
      <c r="A26" s="113" t="str">
        <f aca="false">Checks!$A$429&amp;CHAR(10)&amp;IF(Checks!$I$429="","",Checks!$I$429&amp;": ")&amp;Checks!$J$429</f>
        <v>F13-T7-03
IFE: Digital menu in IFE confirmed (A339 only)</v>
      </c>
      <c r="B26" s="113" t="str">
        <f aca="false">Checks!$K$429&amp;IF(Checks!$O$429="","",IF(Checks!$K$429="","",CHAR(10))&amp;"Note: "&amp;Checks!$O$429)</f>
        <v>Applies when fleet = A339
Note: Digital IFE menu applies to A339 only (user brief). Applicability follows the Fleet cell on Flights.</v>
      </c>
      <c r="C26" s="113" t="str">
        <f aca="false">Checks!$N$429&amp;CHAR(10)&amp;IF(ISNUMBER(Checks!$R$429),TEXT(Checks!$R$429,"DD-MMM-YY HH:MM"),"")&amp;" "&amp;Checks!$P$429</f>
        <v>Required
07-Oct-26 10:45 ADL</v>
      </c>
      <c r="D26" s="113" t="str">
        <f aca="false">IF(Checks!$U$429="","",Checks!$U$429)&amp;IF(Checks!$AB$429="","",CHAR(10)&amp;"CA: "&amp;Checks!$AB$429)</f>
        <v/>
      </c>
      <c r="E26" s="113" t="str">
        <f aca="false">IF(Checks!$V$429="","",Checks!$V$429)&amp;IF(Checks!$AC$429="","",IF(Checks!$V$429="","",CHAR(10))&amp;"N/A just.: "&amp;Checks!$AC$429)&amp;IF(Checks!$W$429="","",CHAR(10)&amp;"Batch: "&amp;Checks!$W$429)&amp;IF(AND(Checks!$X$429="",Checks!$Y$429=""),"",CHAR(10)&amp;"Exp: "&amp;Checks!$X$429&amp;"  /  Act: "&amp;Checks!$Y$429)</f>
        <v/>
      </c>
      <c r="F26" s="113" t="str">
        <f aca="false">IF(Checks!$Z$429="","","Evidence: "&amp;Checks!$Z$429)&amp;IF(Checks!$AA$429="","",IF(Checks!$Z$429="","",CHAR(10))&amp;"CA: "&amp;Checks!$AA$429)</f>
        <v/>
      </c>
      <c r="G26" s="113" t="str">
        <f aca="false">IF(ISNUMBER(Checks!$AD$429),TEXT(Checks!$AD$429,"DD-MMM-YY HH:MM")&amp;" "&amp;Checks!$P$429,"")&amp;IF(Checks!$AE$429="","",CHAR(10)&amp;"Verifier: "&amp;Checks!$AE$429)&amp;IF(Checks!$T$429="","",CHAR(10)&amp;"PIC: "&amp;Checks!$T$429)</f>
        <v/>
      </c>
      <c r="H26" s="114" t="str">
        <f aca="false">IF(Checks!$AH$429="","",Checks!$AH$429)</f>
        <v>OPEN</v>
      </c>
    </row>
    <row r="27" customFormat="false" ht="114" hidden="false" customHeight="true" outlineLevel="0" collapsed="false">
      <c r="A27" s="113" t="str">
        <f aca="false">Checks!$A$430&amp;CHAR(10)&amp;IF(Checks!$I$430="","",Checks!$I$430&amp;": ")&amp;Checks!$J$430</f>
        <v>F13-T7-04
Staffing: Experienced catering officer assigned to this flight</v>
      </c>
      <c r="B27" s="113" t="str">
        <f aca="false">Checks!$K$430&amp;IF(Checks!$O$430="","",IF(Checks!$K$430="","",CHAR(10))&amp;"Note: "&amp;Checks!$O$430)</f>
        <v>Record officer name in Result</v>
      </c>
      <c r="C27" s="113" t="str">
        <f aca="false">Checks!$N$430&amp;CHAR(10)&amp;IF(ISNUMBER(Checks!$R$430),TEXT(Checks!$R$430,"DD-MMM-YY HH:MM"),"")&amp;" "&amp;Checks!$P$430</f>
        <v>Required
07-Oct-26 10:45 ADL</v>
      </c>
      <c r="D27" s="113" t="str">
        <f aca="false">IF(Checks!$U$430="","",Checks!$U$430)&amp;IF(Checks!$AB$430="","",CHAR(10)&amp;"CA: "&amp;Checks!$AB$430)</f>
        <v/>
      </c>
      <c r="E27" s="113" t="str">
        <f aca="false">IF(Checks!$V$430="","",Checks!$V$430)&amp;IF(Checks!$AC$430="","",IF(Checks!$V$430="","",CHAR(10))&amp;"N/A just.: "&amp;Checks!$AC$430)&amp;IF(Checks!$W$430="","",CHAR(10)&amp;"Batch: "&amp;Checks!$W$430)&amp;IF(AND(Checks!$X$430="",Checks!$Y$430=""),"",CHAR(10)&amp;"Exp: "&amp;Checks!$X$430&amp;"  /  Act: "&amp;Checks!$Y$430)</f>
        <v/>
      </c>
      <c r="F27" s="113" t="str">
        <f aca="false">IF(Checks!$Z$430="","","Evidence: "&amp;Checks!$Z$430)&amp;IF(Checks!$AA$430="","",IF(Checks!$Z$430="","",CHAR(10))&amp;"CA: "&amp;Checks!$AA$430)</f>
        <v/>
      </c>
      <c r="G27" s="113" t="str">
        <f aca="false">IF(ISNUMBER(Checks!$AD$430),TEXT(Checks!$AD$430,"DD-MMM-YY HH:MM")&amp;" "&amp;Checks!$P$430,"")&amp;IF(Checks!$AE$430="","",CHAR(10)&amp;"Verifier: "&amp;Checks!$AE$430)&amp;IF(Checks!$T$430="","",CHAR(10)&amp;"PIC: "&amp;Checks!$T$430)</f>
        <v/>
      </c>
      <c r="H27" s="114" t="str">
        <f aca="false">IF(Checks!$AH$430="","",Checks!$AH$430)</f>
        <v>OPEN</v>
      </c>
    </row>
    <row r="28" customFormat="false" ht="114" hidden="false" customHeight="true" outlineLevel="0" collapsed="false">
      <c r="A28" s="113" t="str">
        <f aca="false">Checks!$A$431&amp;CHAR(10)&amp;IF(Checks!$I$431="","",Checks!$I$431&amp;": ")&amp;Checks!$J$431</f>
        <v>F13-T7-05
ISOP: All latest applicable ISOP revisions communicated to caterer</v>
      </c>
      <c r="B28" s="113" t="str">
        <f aca="false">Checks!$K$431&amp;IF(Checks!$O$431="","",IF(Checks!$K$431="","",CHAR(10))&amp;"Note: "&amp;Checks!$O$431)</f>
        <v>List revision numbers in Result (see ISOP register)</v>
      </c>
      <c r="C28" s="113" t="str">
        <f aca="false">Checks!$N$431&amp;CHAR(10)&amp;IF(ISNUMBER(Checks!$R$431),TEXT(Checks!$R$431,"DD-MMM-YY HH:MM"),"")&amp;" "&amp;Checks!$P$431</f>
        <v>Required
07-Oct-26 10:45 ADL</v>
      </c>
      <c r="D28" s="113" t="str">
        <f aca="false">IF(Checks!$U$431="","",Checks!$U$431)&amp;IF(Checks!$AB$431="","",CHAR(10)&amp;"CA: "&amp;Checks!$AB$431)</f>
        <v/>
      </c>
      <c r="E28" s="113" t="str">
        <f aca="false">IF(Checks!$V$431="","",Checks!$V$431)&amp;IF(Checks!$AC$431="","",IF(Checks!$V$431="","",CHAR(10))&amp;"N/A just.: "&amp;Checks!$AC$431)&amp;IF(Checks!$W$431="","",CHAR(10)&amp;"Batch: "&amp;Checks!$W$431)&amp;IF(AND(Checks!$X$431="",Checks!$Y$431=""),"",CHAR(10)&amp;"Exp: "&amp;Checks!$X$431&amp;"  /  Act: "&amp;Checks!$Y$431)</f>
        <v/>
      </c>
      <c r="F28" s="113" t="str">
        <f aca="false">IF(Checks!$Z$431="","","Evidence: "&amp;Checks!$Z$431)&amp;IF(Checks!$AA$431="","",IF(Checks!$Z$431="","",CHAR(10))&amp;"CA: "&amp;Checks!$AA$431)</f>
        <v/>
      </c>
      <c r="G28" s="113" t="str">
        <f aca="false">IF(ISNUMBER(Checks!$AD$431),TEXT(Checks!$AD$431,"DD-MMM-YY HH:MM")&amp;" "&amp;Checks!$P$431,"")&amp;IF(Checks!$AE$431="","",CHAR(10)&amp;"Verifier: "&amp;Checks!$AE$431)&amp;IF(Checks!$T$431="","",CHAR(10)&amp;"PIC: "&amp;Checks!$T$431)</f>
        <v/>
      </c>
      <c r="H28" s="114" t="str">
        <f aca="false">IF(Checks!$AH$431="","",Checks!$AH$431)</f>
        <v>OPEN</v>
      </c>
    </row>
    <row r="29" customFormat="false" ht="114" hidden="false" customHeight="true" outlineLevel="0" collapsed="false">
      <c r="A29" s="113" t="str">
        <f aca="false">Checks!$A$432&amp;CHAR(10)&amp;IF(Checks!$I$432="","",Checks!$I$432&amp;": ")&amp;Checks!$J$432</f>
        <v>F13-T7-06
ISOP: Caterer acknowledgement of ISOP revisions recorded</v>
      </c>
      <c r="B29" s="113" t="str">
        <f aca="false">Checks!$K$432&amp;IF(Checks!$O$432="","",IF(Checks!$K$432="","",CHAR(10))&amp;"Note: "&amp;Checks!$O$432)</f>
        <v>Record acknowledgement ref in Evidence</v>
      </c>
      <c r="C29" s="113" t="str">
        <f aca="false">Checks!$N$432&amp;CHAR(10)&amp;IF(ISNUMBER(Checks!$R$432),TEXT(Checks!$R$432,"DD-MMM-YY HH:MM"),"")&amp;" "&amp;Checks!$P$432</f>
        <v>Required
07-Oct-26 10:45 ADL</v>
      </c>
      <c r="D29" s="113" t="str">
        <f aca="false">IF(Checks!$U$432="","",Checks!$U$432)&amp;IF(Checks!$AB$432="","",CHAR(10)&amp;"CA: "&amp;Checks!$AB$432)</f>
        <v/>
      </c>
      <c r="E29" s="113" t="str">
        <f aca="false">IF(Checks!$V$432="","",Checks!$V$432)&amp;IF(Checks!$AC$432="","",IF(Checks!$V$432="","",CHAR(10))&amp;"N/A just.: "&amp;Checks!$AC$432)&amp;IF(Checks!$W$432="","",CHAR(10)&amp;"Batch: "&amp;Checks!$W$432)&amp;IF(AND(Checks!$X$432="",Checks!$Y$432=""),"",CHAR(10)&amp;"Exp: "&amp;Checks!$X$432&amp;"  /  Act: "&amp;Checks!$Y$432)</f>
        <v/>
      </c>
      <c r="F29" s="113" t="str">
        <f aca="false">IF(Checks!$Z$432="","","Evidence: "&amp;Checks!$Z$432)&amp;IF(Checks!$AA$432="","",IF(Checks!$Z$432="","",CHAR(10))&amp;"CA: "&amp;Checks!$AA$432)</f>
        <v/>
      </c>
      <c r="G29" s="113" t="str">
        <f aca="false">IF(ISNUMBER(Checks!$AD$432),TEXT(Checks!$AD$432,"DD-MMM-YY HH:MM")&amp;" "&amp;Checks!$P$432,"")&amp;IF(Checks!$AE$432="","",CHAR(10)&amp;"Verifier: "&amp;Checks!$AE$432)&amp;IF(Checks!$T$432="","",CHAR(10)&amp;"PIC: "&amp;Checks!$T$432)</f>
        <v/>
      </c>
      <c r="H29" s="114" t="str">
        <f aca="false">IF(Checks!$AH$432="","",Checks!$AH$432)</f>
        <v>OPEN</v>
      </c>
    </row>
    <row r="30" customFormat="false" ht="114" hidden="false" customHeight="true" outlineLevel="0" collapsed="false">
      <c r="A30" s="113" t="str">
        <f aca="false">Checks!$A$433&amp;CHAR(10)&amp;IF(Checks!$I$433="","",Checks!$I$433&amp;": ")&amp;Checks!$J$433</f>
        <v>F13-T7-07
Documents: Galley loading diagram (GLD) received, revision recorded &amp; attached</v>
      </c>
      <c r="B30" s="113" t="str">
        <f aca="false">Checks!$K$433&amp;IF(Checks!$O$433="","",IF(Checks!$K$433="","",CHAR(10))&amp;"Note: "&amp;Checks!$O$433)</f>
        <v>Documents sheet row complete</v>
      </c>
      <c r="C30" s="113" t="str">
        <f aca="false">Checks!$N$433&amp;CHAR(10)&amp;IF(ISNUMBER(Checks!$R$433),TEXT(Checks!$R$433,"DD-MMM-YY HH:MM"),"")&amp;" "&amp;Checks!$P$433</f>
        <v>Required
07-Oct-26 10:45 ADL</v>
      </c>
      <c r="D30" s="113" t="str">
        <f aca="false">IF(Checks!$U$433="","",Checks!$U$433)&amp;IF(Checks!$AB$433="","",CHAR(10)&amp;"CA: "&amp;Checks!$AB$433)</f>
        <v/>
      </c>
      <c r="E30" s="113" t="str">
        <f aca="false">IF(Checks!$V$433="","",Checks!$V$433)&amp;IF(Checks!$AC$433="","",IF(Checks!$V$433="","",CHAR(10))&amp;"N/A just.: "&amp;Checks!$AC$433)&amp;IF(Checks!$W$433="","",CHAR(10)&amp;"Batch: "&amp;Checks!$W$433)&amp;IF(AND(Checks!$X$433="",Checks!$Y$433=""),"",CHAR(10)&amp;"Exp: "&amp;Checks!$X$433&amp;"  /  Act: "&amp;Checks!$Y$433)</f>
        <v/>
      </c>
      <c r="F30" s="113" t="str">
        <f aca="false">IF(Checks!$Z$433="","","Evidence: "&amp;Checks!$Z$433)&amp;IF(Checks!$AA$433="","",IF(Checks!$Z$433="","",CHAR(10))&amp;"CA: "&amp;Checks!$AA$433)</f>
        <v/>
      </c>
      <c r="G30" s="113" t="str">
        <f aca="false">IF(ISNUMBER(Checks!$AD$433),TEXT(Checks!$AD$433,"DD-MMM-YY HH:MM")&amp;" "&amp;Checks!$P$433,"")&amp;IF(Checks!$AE$433="","",CHAR(10)&amp;"Verifier: "&amp;Checks!$AE$433)&amp;IF(Checks!$T$433="","",CHAR(10)&amp;"PIC: "&amp;Checks!$T$433)</f>
        <v/>
      </c>
      <c r="H30" s="114" t="str">
        <f aca="false">IF(Checks!$AH$433="","",Checks!$AH$433)</f>
        <v>OPEN</v>
      </c>
    </row>
    <row r="31" customFormat="false" ht="114" hidden="false" customHeight="true" outlineLevel="0" collapsed="false">
      <c r="A31" s="113" t="str">
        <f aca="false">Checks!$A$434&amp;CHAR(10)&amp;IF(Checks!$I$434="","",Checks!$I$434&amp;": ")&amp;Checks!$J$434</f>
        <v>F13-T7-08
Documents: Menu checklist received, revision recorded &amp; attached</v>
      </c>
      <c r="B31" s="113" t="str">
        <f aca="false">Checks!$K$434&amp;IF(Checks!$O$434="","",IF(Checks!$K$434="","",CHAR(10))&amp;"Note: "&amp;Checks!$O$434)</f>
        <v>Documents sheet row complete</v>
      </c>
      <c r="C31" s="113" t="str">
        <f aca="false">Checks!$N$434&amp;CHAR(10)&amp;IF(ISNUMBER(Checks!$R$434),TEXT(Checks!$R$434,"DD-MMM-YY HH:MM"),"")&amp;" "&amp;Checks!$P$434</f>
        <v>Required
07-Oct-26 10:45 ADL</v>
      </c>
      <c r="D31" s="113" t="str">
        <f aca="false">IF(Checks!$U$434="","",Checks!$U$434)&amp;IF(Checks!$AB$434="","",CHAR(10)&amp;"CA: "&amp;Checks!$AB$434)</f>
        <v/>
      </c>
      <c r="E31" s="113" t="str">
        <f aca="false">IF(Checks!$V$434="","",Checks!$V$434)&amp;IF(Checks!$AC$434="","",IF(Checks!$V$434="","",CHAR(10))&amp;"N/A just.: "&amp;Checks!$AC$434)&amp;IF(Checks!$W$434="","",CHAR(10)&amp;"Batch: "&amp;Checks!$W$434)&amp;IF(AND(Checks!$X$434="",Checks!$Y$434=""),"",CHAR(10)&amp;"Exp: "&amp;Checks!$X$434&amp;"  /  Act: "&amp;Checks!$Y$434)</f>
        <v/>
      </c>
      <c r="F31" s="113" t="str">
        <f aca="false">IF(Checks!$Z$434="","","Evidence: "&amp;Checks!$Z$434)&amp;IF(Checks!$AA$434="","",IF(Checks!$Z$434="","",CHAR(10))&amp;"CA: "&amp;Checks!$AA$434)</f>
        <v/>
      </c>
      <c r="G31" s="113" t="str">
        <f aca="false">IF(ISNUMBER(Checks!$AD$434),TEXT(Checks!$AD$434,"DD-MMM-YY HH:MM")&amp;" "&amp;Checks!$P$434,"")&amp;IF(Checks!$AE$434="","",CHAR(10)&amp;"Verifier: "&amp;Checks!$AE$434)&amp;IF(Checks!$T$434="","",CHAR(10)&amp;"PIC: "&amp;Checks!$T$434)</f>
        <v/>
      </c>
      <c r="H31" s="114" t="str">
        <f aca="false">IF(Checks!$AH$434="","",Checks!$AH$434)</f>
        <v>OPEN</v>
      </c>
    </row>
    <row r="32" customFormat="false" ht="114" hidden="false" customHeight="true" outlineLevel="0" collapsed="false">
      <c r="A32" s="113" t="str">
        <f aca="false">Checks!$A$435&amp;CHAR(10)&amp;IF(Checks!$I$435="","",Checks!$I$435&amp;": ")&amp;Checks!$J$435</f>
        <v>F13-T7-09
Uplift plan: Uplift plan confirmed with caterer vs STD Uplift Information</v>
      </c>
      <c r="B32" s="113" t="str">
        <f aca="false">Checks!$K$435&amp;IF(Checks!$O$435="","",IF(Checks!$K$435="","",CHAR(10))&amp;"Note: "&amp;Checks!$O$435)</f>
        <v>Service: 1.5 Meal (Meal); meal uplift stn ADL (ref lists KUL/ADL)</v>
      </c>
      <c r="C32" s="113" t="str">
        <f aca="false">Checks!$N$435&amp;CHAR(10)&amp;IF(ISNUMBER(Checks!$R$435),TEXT(Checks!$R$435,"DD-MMM-YY HH:MM"),"")&amp;" "&amp;Checks!$P$435</f>
        <v>Required
07-Oct-26 10:45 ADL</v>
      </c>
      <c r="D32" s="113" t="str">
        <f aca="false">IF(Checks!$U$435="","",Checks!$U$435)&amp;IF(Checks!$AB$435="","",CHAR(10)&amp;"CA: "&amp;Checks!$AB$435)</f>
        <v/>
      </c>
      <c r="E32" s="113" t="str">
        <f aca="false">IF(Checks!$V$435="","",Checks!$V$435)&amp;IF(Checks!$AC$435="","",IF(Checks!$V$435="","",CHAR(10))&amp;"N/A just.: "&amp;Checks!$AC$435)&amp;IF(Checks!$W$435="","",CHAR(10)&amp;"Batch: "&amp;Checks!$W$435)&amp;IF(AND(Checks!$X$435="",Checks!$Y$435=""),"",CHAR(10)&amp;"Exp: "&amp;Checks!$X$435&amp;"  /  Act: "&amp;Checks!$Y$435)</f>
        <v/>
      </c>
      <c r="F32" s="113" t="str">
        <f aca="false">IF(Checks!$Z$435="","","Evidence: "&amp;Checks!$Z$435)&amp;IF(Checks!$AA$435="","",IF(Checks!$Z$435="","",CHAR(10))&amp;"CA: "&amp;Checks!$AA$435)</f>
        <v/>
      </c>
      <c r="G32" s="113" t="str">
        <f aca="false">IF(ISNUMBER(Checks!$AD$435),TEXT(Checks!$AD$435,"DD-MMM-YY HH:MM")&amp;" "&amp;Checks!$P$435,"")&amp;IF(Checks!$AE$435="","",CHAR(10)&amp;"Verifier: "&amp;Checks!$AE$435)&amp;IF(Checks!$T$435="","",CHAR(10)&amp;"PIC: "&amp;Checks!$T$435)</f>
        <v/>
      </c>
      <c r="H32" s="114" t="str">
        <f aca="false">IF(Checks!$AH$435="","",Checks!$AH$435)</f>
        <v>OPEN</v>
      </c>
    </row>
    <row r="33" customFormat="false" ht="256.5" hidden="false" customHeight="true" outlineLevel="0" collapsed="false">
      <c r="A33" s="113" t="str">
        <f aca="false">Checks!$A$436&amp;CHAR(10)&amp;IF(Checks!$I$436="","",Checks!$I$436&amp;": ")&amp;Checks!$J$436</f>
        <v>F13-T7-10
Uplift plan: Inbound KUL-ADL flight carrying KUL-sourced items identified and its KUL departure (UTC) entered on Flights col AX</v>
      </c>
      <c r="B33" s="113" t="str">
        <f aca="false">Checks!$K$436&amp;IF(Checks!$O$436="","",IF(Checks!$K$436="","",CHAR(10))&amp;"Note: "&amp;Checks!$O$436)</f>
        <v>KUL-sourced items (Toiletry kits) travel on the inbound KUL-ADL sector
Note: Cannot be passed until Flights AX holds the carrying flight's KUL departure (agenda candidate MH0139 12-Oct (F12)). Until then the prep and KUL-loading dues assume the agenda candidate's KUL departure, or if none, the latest possible one (STD minus the shortest agenda KUL-ADL block).</v>
      </c>
      <c r="C33" s="113" t="str">
        <f aca="false">Checks!$N$436&amp;CHAR(10)&amp;IF(ISNUMBER(Checks!$R$436),TEXT(Checks!$R$436,"DD-MMM-YY HH:MM"),"")&amp;" "&amp;Checks!$P$436</f>
        <v>Clarification required
07-Oct-26 08:15 KUL</v>
      </c>
      <c r="D33" s="113" t="str">
        <f aca="false">IF(Checks!$U$436="","",Checks!$U$436)&amp;IF(Checks!$AB$436="","",CHAR(10)&amp;"CA: "&amp;Checks!$AB$436)</f>
        <v/>
      </c>
      <c r="E33" s="113" t="str">
        <f aca="false">IF(Checks!$V$436="","",Checks!$V$436)&amp;IF(Checks!$AC$436="","",IF(Checks!$V$436="","",CHAR(10))&amp;"N/A just.: "&amp;Checks!$AC$436)&amp;IF(Checks!$W$436="","",CHAR(10)&amp;"Batch: "&amp;Checks!$W$436)&amp;IF(AND(Checks!$X$436="",Checks!$Y$436=""),"",CHAR(10)&amp;"Exp: "&amp;Checks!$X$436&amp;"  /  Act: "&amp;Checks!$Y$436)</f>
        <v/>
      </c>
      <c r="F33" s="113" t="str">
        <f aca="false">IF(Checks!$Z$436="","","Evidence: "&amp;Checks!$Z$436)&amp;IF(Checks!$AA$436="","",IF(Checks!$Z$436="","",CHAR(10))&amp;"CA: "&amp;Checks!$AA$436)</f>
        <v/>
      </c>
      <c r="G33" s="113" t="str">
        <f aca="false">IF(ISNUMBER(Checks!$AD$436),TEXT(Checks!$AD$436,"DD-MMM-YY HH:MM")&amp;" "&amp;Checks!$P$436,"")&amp;IF(Checks!$AE$436="","",CHAR(10)&amp;"Verifier: "&amp;Checks!$AE$436)&amp;IF(Checks!$T$436="","",CHAR(10)&amp;"PIC: "&amp;Checks!$T$436)</f>
        <v/>
      </c>
      <c r="H33" s="114" t="str">
        <f aca="false">IF(Checks!$AH$436="","",Checks!$AH$436)</f>
        <v>OPEN – CLARIFICATION</v>
      </c>
    </row>
    <row r="34" customFormat="false" ht="25.5" hidden="false" customHeight="true" outlineLevel="0" collapsed="false">
      <c r="A34" s="112"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Checks!$A$437&amp;CHAR(10)&amp;IF(Checks!$I$437="","",Checks!$I$437&amp;": ")&amp;Checks!$J$437</f>
        <v>F13-T24-01
Meal: Sensory test repeated on ACTUAL production batch for this flight</v>
      </c>
      <c r="B35" s="113" t="str">
        <f aca="false">Checks!$K$437&amp;IF(Checks!$O$437="","",IF(Checks!$K$437="","",CHAR(10))&amp;"Note: "&amp;Checks!$O$437)</f>
        <v>Batch ID, result, CA and acceptance mandatory</v>
      </c>
      <c r="C35" s="113" t="str">
        <f aca="false">Checks!$N$437&amp;CHAR(10)&amp;IF(ISNUMBER(Checks!$R$437),TEXT(Checks!$R$437,"DD-MMM-YY HH:MM"),"")&amp;" "&amp;Checks!$P$437</f>
        <v>Required
13-Oct-26 10:45 ADL</v>
      </c>
      <c r="D35" s="113" t="str">
        <f aca="false">IF(Checks!$U$437="","",Checks!$U$437)&amp;IF(Checks!$AB$437="","",CHAR(10)&amp;"CA: "&amp;Checks!$AB$437)</f>
        <v/>
      </c>
      <c r="E35" s="113" t="str">
        <f aca="false">IF(Checks!$V$437="","",Checks!$V$437)&amp;IF(Checks!$AC$437="","",IF(Checks!$V$437="","",CHAR(10))&amp;"N/A just.: "&amp;Checks!$AC$437)&amp;IF(Checks!$W$437="","",CHAR(10)&amp;"Batch: "&amp;Checks!$W$437)&amp;IF(AND(Checks!$X$437="",Checks!$Y$437=""),"",CHAR(10)&amp;"Exp: "&amp;Checks!$X$437&amp;"  /  Act: "&amp;Checks!$Y$437)</f>
        <v/>
      </c>
      <c r="F35" s="113" t="str">
        <f aca="false">IF(Checks!$Z$437="","","Evidence: "&amp;Checks!$Z$437)&amp;IF(Checks!$AA$437="","",IF(Checks!$Z$437="","",CHAR(10))&amp;"CA: "&amp;Checks!$AA$437)</f>
        <v/>
      </c>
      <c r="G35" s="113" t="str">
        <f aca="false">IF(ISNUMBER(Checks!$AD$437),TEXT(Checks!$AD$437,"DD-MMM-YY HH:MM")&amp;" "&amp;Checks!$P$437,"")&amp;IF(Checks!$AE$437="","",CHAR(10)&amp;"Verifier: "&amp;Checks!$AE$437)&amp;IF(Checks!$T$437="","",CHAR(10)&amp;"PIC: "&amp;Checks!$T$437)</f>
        <v/>
      </c>
      <c r="H35" s="114" t="str">
        <f aca="false">IF(Checks!$AH$437="","",Checks!$AH$437)</f>
        <v>OPEN</v>
      </c>
    </row>
    <row r="36" customFormat="false" ht="25.5" hidden="false" customHeight="true" outlineLevel="0" collapsed="false">
      <c r="A36" s="112"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2"/>
      <c r="C36" s="112"/>
      <c r="D36" s="112"/>
      <c r="E36" s="112"/>
      <c r="F36" s="112"/>
      <c r="G36" s="112"/>
      <c r="H36" s="112"/>
    </row>
    <row r="37" customFormat="false" ht="114" hidden="false" customHeight="true" outlineLevel="0" collapsed="false">
      <c r="A37" s="113" t="str">
        <f aca="false">Checks!$A$438&amp;CHAR(10)&amp;IF(Checks!$I$438="","",Checks!$I$438&amp;": ")&amp;Checks!$J$438</f>
        <v>F13-T12-01
Meal: Meal quality vs menu checklist</v>
      </c>
      <c r="B37" s="113" t="str">
        <f aca="false">Checks!$K$438&amp;IF(Checks!$O$438="","",IF(Checks!$K$438="","",CHAR(10))&amp;"Note: "&amp;Checks!$O$438)</f>
        <v>Note: Preparation check at caterer - does NOT confirm loading.</v>
      </c>
      <c r="C37" s="113" t="str">
        <f aca="false">Checks!$N$438&amp;CHAR(10)&amp;IF(ISNUMBER(Checks!$R$438),TEXT(Checks!$R$438,"DD-MMM-YY HH:MM"),"")&amp;" "&amp;Checks!$P$438</f>
        <v>Required
13-Oct-26 22:45 ADL</v>
      </c>
      <c r="D37" s="113" t="str">
        <f aca="false">IF(Checks!$U$438="","",Checks!$U$438)&amp;IF(Checks!$AB$438="","",CHAR(10)&amp;"CA: "&amp;Checks!$AB$438)</f>
        <v/>
      </c>
      <c r="E37" s="113" t="str">
        <f aca="false">IF(Checks!$V$438="","",Checks!$V$438)&amp;IF(Checks!$AC$438="","",IF(Checks!$V$438="","",CHAR(10))&amp;"N/A just.: "&amp;Checks!$AC$438)&amp;IF(Checks!$W$438="","",CHAR(10)&amp;"Batch: "&amp;Checks!$W$438)&amp;IF(AND(Checks!$X$438="",Checks!$Y$438=""),"",CHAR(10)&amp;"Exp: "&amp;Checks!$X$438&amp;"  /  Act: "&amp;Checks!$Y$438)</f>
        <v/>
      </c>
      <c r="F37" s="113" t="str">
        <f aca="false">IF(Checks!$Z$438="","","Evidence: "&amp;Checks!$Z$438)&amp;IF(Checks!$AA$438="","",IF(Checks!$Z$438="","",CHAR(10))&amp;"CA: "&amp;Checks!$AA$438)</f>
        <v/>
      </c>
      <c r="G37" s="113" t="str">
        <f aca="false">IF(ISNUMBER(Checks!$AD$438),TEXT(Checks!$AD$438,"DD-MMM-YY HH:MM")&amp;" "&amp;Checks!$P$438,"")&amp;IF(Checks!$AE$438="","",CHAR(10)&amp;"Verifier: "&amp;Checks!$AE$438)&amp;IF(Checks!$T$438="","",CHAR(10)&amp;"PIC: "&amp;Checks!$T$438)</f>
        <v/>
      </c>
      <c r="H37" s="114" t="str">
        <f aca="false">IF(Checks!$AH$438="","",Checks!$AH$438)</f>
        <v>OPEN</v>
      </c>
    </row>
    <row r="38" customFormat="false" ht="114" hidden="false" customHeight="true" outlineLevel="0" collapsed="false">
      <c r="A38" s="113" t="str">
        <f aca="false">Checks!$A$439&amp;CHAR(10)&amp;IF(Checks!$I$439="","",Checks!$I$439&amp;": ")&amp;Checks!$J$439</f>
        <v>F13-T12-02
Meal: Meal quantities vs menu checklist</v>
      </c>
      <c r="B38" s="113" t="str">
        <f aca="false">Checks!$K$439&amp;IF(Checks!$O$439="","",IF(Checks!$K$439="","",CHAR(10))&amp;"Note: "&amp;Checks!$O$439)</f>
        <v>Enter expected &amp; actual
Note: Preparation check at caterer - does NOT confirm loading.</v>
      </c>
      <c r="C38" s="113" t="str">
        <f aca="false">Checks!$N$439&amp;CHAR(10)&amp;IF(ISNUMBER(Checks!$R$439),TEXT(Checks!$R$439,"DD-MMM-YY HH:MM"),"")&amp;" "&amp;Checks!$P$439</f>
        <v>Required
13-Oct-26 22:45 ADL</v>
      </c>
      <c r="D38" s="113" t="str">
        <f aca="false">IF(Checks!$U$439="","",Checks!$U$439)&amp;IF(Checks!$AB$439="","",CHAR(10)&amp;"CA: "&amp;Checks!$AB$439)</f>
        <v/>
      </c>
      <c r="E38" s="113" t="str">
        <f aca="false">IF(Checks!$V$439="","",Checks!$V$439)&amp;IF(Checks!$AC$439="","",IF(Checks!$V$439="","",CHAR(10))&amp;"N/A just.: "&amp;Checks!$AC$439)&amp;IF(Checks!$W$439="","",CHAR(10)&amp;"Batch: "&amp;Checks!$W$439)&amp;IF(AND(Checks!$X$439="",Checks!$Y$439=""),"",CHAR(10)&amp;"Exp: "&amp;Checks!$X$439&amp;"  /  Act: "&amp;Checks!$Y$439)</f>
        <v/>
      </c>
      <c r="F38" s="113" t="str">
        <f aca="false">IF(Checks!$Z$439="","","Evidence: "&amp;Checks!$Z$439)&amp;IF(Checks!$AA$439="","",IF(Checks!$Z$439="","",CHAR(10))&amp;"CA: "&amp;Checks!$AA$439)</f>
        <v/>
      </c>
      <c r="G38" s="113" t="str">
        <f aca="false">IF(ISNUMBER(Checks!$AD$439),TEXT(Checks!$AD$439,"DD-MMM-YY HH:MM")&amp;" "&amp;Checks!$P$439,"")&amp;IF(Checks!$AE$439="","",CHAR(10)&amp;"Verifier: "&amp;Checks!$AE$439)&amp;IF(Checks!$T$439="","",CHAR(10)&amp;"PIC: "&amp;Checks!$T$439)</f>
        <v/>
      </c>
      <c r="H38" s="114" t="str">
        <f aca="false">IF(Checks!$AH$439="","",Checks!$AH$439)</f>
        <v>OPEN</v>
      </c>
    </row>
    <row r="39" customFormat="false" ht="114" hidden="false" customHeight="true" outlineLevel="0" collapsed="false">
      <c r="A39" s="113" t="str">
        <f aca="false">Checks!$A$440&amp;CHAR(10)&amp;IF(Checks!$I$440="","",Checks!$I$440&amp;": ")&amp;Checks!$J$440</f>
        <v>F13-T12-03
Equipment: Equipment cleanliness vs GLD</v>
      </c>
      <c r="B39" s="113" t="str">
        <f aca="false">Checks!$K$440&amp;IF(Checks!$O$440="","",IF(Checks!$K$440="","",CHAR(10))&amp;"Note: "&amp;Checks!$O$440)</f>
        <v>Note: Preparation check at caterer - does NOT confirm loading.</v>
      </c>
      <c r="C39" s="113" t="str">
        <f aca="false">Checks!$N$440&amp;CHAR(10)&amp;IF(ISNUMBER(Checks!$R$440),TEXT(Checks!$R$440,"DD-MMM-YY HH:MM"),"")&amp;" "&amp;Checks!$P$440</f>
        <v>Required
13-Oct-26 22:45 ADL</v>
      </c>
      <c r="D39" s="113" t="str">
        <f aca="false">IF(Checks!$U$440="","",Checks!$U$440)&amp;IF(Checks!$AB$440="","",CHAR(10)&amp;"CA: "&amp;Checks!$AB$440)</f>
        <v/>
      </c>
      <c r="E39" s="113" t="str">
        <f aca="false">IF(Checks!$V$440="","",Checks!$V$440)&amp;IF(Checks!$AC$440="","",IF(Checks!$V$440="","",CHAR(10))&amp;"N/A just.: "&amp;Checks!$AC$440)&amp;IF(Checks!$W$440="","",CHAR(10)&amp;"Batch: "&amp;Checks!$W$440)&amp;IF(AND(Checks!$X$440="",Checks!$Y$440=""),"",CHAR(10)&amp;"Exp: "&amp;Checks!$X$440&amp;"  /  Act: "&amp;Checks!$Y$440)</f>
        <v/>
      </c>
      <c r="F39" s="113" t="str">
        <f aca="false">IF(Checks!$Z$440="","","Evidence: "&amp;Checks!$Z$440)&amp;IF(Checks!$AA$440="","",IF(Checks!$Z$440="","",CHAR(10))&amp;"CA: "&amp;Checks!$AA$440)</f>
        <v/>
      </c>
      <c r="G39" s="113" t="str">
        <f aca="false">IF(ISNUMBER(Checks!$AD$440),TEXT(Checks!$AD$440,"DD-MMM-YY HH:MM")&amp;" "&amp;Checks!$P$440,"")&amp;IF(Checks!$AE$440="","",CHAR(10)&amp;"Verifier: "&amp;Checks!$AE$440)&amp;IF(Checks!$T$440="","",CHAR(10)&amp;"PIC: "&amp;Checks!$T$440)</f>
        <v/>
      </c>
      <c r="H39" s="114" t="str">
        <f aca="false">IF(Checks!$AH$440="","",Checks!$AH$440)</f>
        <v>OPEN</v>
      </c>
    </row>
    <row r="40" customFormat="false" ht="114" hidden="false" customHeight="true" outlineLevel="0" collapsed="false">
      <c r="A40" s="113" t="str">
        <f aca="false">Checks!$A$441&amp;CHAR(10)&amp;IF(Checks!$I$441="","",Checks!$I$441&amp;": ")&amp;Checks!$J$441</f>
        <v>F13-T12-04
Equipment: Equipment presentation vs GLD</v>
      </c>
      <c r="B40" s="113" t="str">
        <f aca="false">Checks!$K$441&amp;IF(Checks!$O$441="","",IF(Checks!$K$441="","",CHAR(10))&amp;"Note: "&amp;Checks!$O$441)</f>
        <v>Note: Preparation check at caterer - does NOT confirm loading.</v>
      </c>
      <c r="C40" s="113" t="str">
        <f aca="false">Checks!$N$441&amp;CHAR(10)&amp;IF(ISNUMBER(Checks!$R$441),TEXT(Checks!$R$441,"DD-MMM-YY HH:MM"),"")&amp;" "&amp;Checks!$P$441</f>
        <v>Required
13-Oct-26 22:45 ADL</v>
      </c>
      <c r="D40" s="113" t="str">
        <f aca="false">IF(Checks!$U$441="","",Checks!$U$441)&amp;IF(Checks!$AB$441="","",CHAR(10)&amp;"CA: "&amp;Checks!$AB$441)</f>
        <v/>
      </c>
      <c r="E40" s="113" t="str">
        <f aca="false">IF(Checks!$V$441="","",Checks!$V$441)&amp;IF(Checks!$AC$441="","",IF(Checks!$V$441="","",CHAR(10))&amp;"N/A just.: "&amp;Checks!$AC$441)&amp;IF(Checks!$W$441="","",CHAR(10)&amp;"Batch: "&amp;Checks!$W$441)&amp;IF(AND(Checks!$X$441="",Checks!$Y$441=""),"",CHAR(10)&amp;"Exp: "&amp;Checks!$X$441&amp;"  /  Act: "&amp;Checks!$Y$441)</f>
        <v/>
      </c>
      <c r="F40" s="113" t="str">
        <f aca="false">IF(Checks!$Z$441="","","Evidence: "&amp;Checks!$Z$441)&amp;IF(Checks!$AA$441="","",IF(Checks!$Z$441="","",CHAR(10))&amp;"CA: "&amp;Checks!$AA$441)</f>
        <v/>
      </c>
      <c r="G40" s="113" t="str">
        <f aca="false">IF(ISNUMBER(Checks!$AD$441),TEXT(Checks!$AD$441,"DD-MMM-YY HH:MM")&amp;" "&amp;Checks!$P$441,"")&amp;IF(Checks!$AE$441="","",CHAR(10)&amp;"Verifier: "&amp;Checks!$AE$441)&amp;IF(Checks!$T$441="","",CHAR(10)&amp;"PIC: "&amp;Checks!$T$441)</f>
        <v/>
      </c>
      <c r="H40" s="114" t="str">
        <f aca="false">IF(Checks!$AH$441="","",Checks!$AH$441)</f>
        <v>OPEN</v>
      </c>
    </row>
    <row r="41" customFormat="false" ht="114" hidden="false" customHeight="true" outlineLevel="0" collapsed="false">
      <c r="A41" s="113" t="str">
        <f aca="false">Checks!$A$442&amp;CHAR(10)&amp;IF(Checks!$I$442="","",Checks!$I$442&amp;": ")&amp;Checks!$J$442</f>
        <v>F13-T12-05
Equipment: Equipment serviceability vs GLD</v>
      </c>
      <c r="B41" s="113" t="str">
        <f aca="false">Checks!$K$442&amp;IF(Checks!$O$442="","",IF(Checks!$K$442="","",CHAR(10))&amp;"Note: "&amp;Checks!$O$442)</f>
        <v>Note: Preparation check at caterer - does NOT confirm loading.</v>
      </c>
      <c r="C41" s="113" t="str">
        <f aca="false">Checks!$N$442&amp;CHAR(10)&amp;IF(ISNUMBER(Checks!$R$442),TEXT(Checks!$R$442,"DD-MMM-YY HH:MM"),"")&amp;" "&amp;Checks!$P$442</f>
        <v>Required
13-Oct-26 22:45 ADL</v>
      </c>
      <c r="D41" s="113" t="str">
        <f aca="false">IF(Checks!$U$442="","",Checks!$U$442)&amp;IF(Checks!$AB$442="","",CHAR(10)&amp;"CA: "&amp;Checks!$AB$442)</f>
        <v/>
      </c>
      <c r="E41" s="113" t="str">
        <f aca="false">IF(Checks!$V$442="","",Checks!$V$442)&amp;IF(Checks!$AC$442="","",IF(Checks!$V$442="","",CHAR(10))&amp;"N/A just.: "&amp;Checks!$AC$442)&amp;IF(Checks!$W$442="","",CHAR(10)&amp;"Batch: "&amp;Checks!$W$442)&amp;IF(AND(Checks!$X$442="",Checks!$Y$442=""),"",CHAR(10)&amp;"Exp: "&amp;Checks!$X$442&amp;"  /  Act: "&amp;Checks!$Y$442)</f>
        <v/>
      </c>
      <c r="F41" s="113" t="str">
        <f aca="false">IF(Checks!$Z$442="","","Evidence: "&amp;Checks!$Z$442)&amp;IF(Checks!$AA$442="","",IF(Checks!$Z$442="","",CHAR(10))&amp;"CA: "&amp;Checks!$AA$442)</f>
        <v/>
      </c>
      <c r="G41" s="113" t="str">
        <f aca="false">IF(ISNUMBER(Checks!$AD$442),TEXT(Checks!$AD$442,"DD-MMM-YY HH:MM")&amp;" "&amp;Checks!$P$442,"")&amp;IF(Checks!$AE$442="","",CHAR(10)&amp;"Verifier: "&amp;Checks!$AE$442)&amp;IF(Checks!$T$442="","",CHAR(10)&amp;"PIC: "&amp;Checks!$T$442)</f>
        <v/>
      </c>
      <c r="H41" s="114" t="str">
        <f aca="false">IF(Checks!$AH$442="","",Checks!$AH$442)</f>
        <v>OPEN</v>
      </c>
    </row>
    <row r="42" customFormat="false" ht="201.75" hidden="false" customHeight="true" outlineLevel="0" collapsed="false">
      <c r="A42" s="113" t="str">
        <f aca="false">Checks!$A$443&amp;CHAR(10)&amp;IF(Checks!$I$443="","",Checks!$I$443&amp;": ")&amp;Checks!$J$443</f>
        <v>F13-T12-06
Equipment: Equipment quantities vs GLD</v>
      </c>
      <c r="B42" s="113" t="str">
        <f aca="false">SUBSTITUTE(Checks!$K$443&amp;IF(Checks!$O$443="","",IF(Checks!$K$443="","",CHAR(10))&amp;"Note: "&amp;Checks!$O$443),"AIRCRAFT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2" s="113" t="str">
        <f aca="false">Checks!$N$443&amp;CHAR(10)&amp;IF(ISNUMBER(Checks!$R$443),TEXT(Checks!$R$443,"DD-MMM-YY HH:MM"),"")&amp;" "&amp;Checks!$P$443</f>
        <v>Required
13-Oct-26 22:45 ADL</v>
      </c>
      <c r="D42" s="113" t="str">
        <f aca="false">IF(Checks!$U$443="","",Checks!$U$443)&amp;IF(Checks!$AB$443="","",CHAR(10)&amp;"CA: "&amp;Checks!$AB$443)</f>
        <v/>
      </c>
      <c r="E42" s="113" t="str">
        <f aca="false">IF(Checks!$V$443="","",Checks!$V$443)&amp;IF(Checks!$AC$443="","",IF(Checks!$V$443="","",CHAR(10))&amp;"N/A just.: "&amp;Checks!$AC$443)&amp;IF(Checks!$W$443="","",CHAR(10)&amp;"Batch: "&amp;Checks!$W$443)&amp;IF(AND(Checks!$X$443="",Checks!$Y$443=""),"",CHAR(10)&amp;"Exp: "&amp;Checks!$X$443&amp;"  /  Act: "&amp;Checks!$Y$443)</f>
        <v/>
      </c>
      <c r="F42" s="113" t="str">
        <f aca="false">IF(Checks!$Z$443="","","Evidence: "&amp;Checks!$Z$443)&amp;IF(Checks!$AA$443="","",IF(Checks!$Z$443="","",CHAR(10))&amp;"CA: "&amp;Checks!$AA$443)</f>
        <v/>
      </c>
      <c r="G42" s="113" t="str">
        <f aca="false">IF(ISNUMBER(Checks!$AD$443),TEXT(Checks!$AD$443,"DD-MMM-YY HH:MM")&amp;" "&amp;Checks!$P$443,"")&amp;IF(Checks!$AE$443="","",CHAR(10)&amp;"Verifier: "&amp;Checks!$AE$443)&amp;IF(Checks!$T$443="","",CHAR(10)&amp;"PIC: "&amp;Checks!$T$443)</f>
        <v/>
      </c>
      <c r="H42" s="114" t="str">
        <f aca="false">IF(Checks!$AH$443="","",Checks!$AH$443)</f>
        <v>OPEN</v>
      </c>
    </row>
    <row r="43" customFormat="false" ht="114" hidden="false" customHeight="true" outlineLevel="0" collapsed="false">
      <c r="A43" s="113" t="str">
        <f aca="false">Checks!$A$444&amp;CHAR(10)&amp;IF(Checks!$I$444="","",Checks!$I$444&amp;": ")&amp;Checks!$J$444</f>
        <v>F13-T12-07
Equipment: Loading positions planned vs GLD</v>
      </c>
      <c r="B43" s="113" t="str">
        <f aca="false">Checks!$K$444&amp;IF(Checks!$O$444="","",IF(Checks!$K$444="","",CHAR(10))&amp;"Note: "&amp;Checks!$O$444)</f>
        <v>Note: Preparation check at caterer - does NOT confirm loading.</v>
      </c>
      <c r="C43" s="113" t="str">
        <f aca="false">Checks!$N$444&amp;CHAR(10)&amp;IF(ISNUMBER(Checks!$R$444),TEXT(Checks!$R$444,"DD-MMM-YY HH:MM"),"")&amp;" "&amp;Checks!$P$444</f>
        <v>Required
13-Oct-26 22:45 ADL</v>
      </c>
      <c r="D43" s="113" t="str">
        <f aca="false">IF(Checks!$U$444="","",Checks!$U$444)&amp;IF(Checks!$AB$444="","",CHAR(10)&amp;"CA: "&amp;Checks!$AB$444)</f>
        <v/>
      </c>
      <c r="E43" s="113" t="str">
        <f aca="false">IF(Checks!$V$444="","",Checks!$V$444)&amp;IF(Checks!$AC$444="","",IF(Checks!$V$444="","",CHAR(10))&amp;"N/A just.: "&amp;Checks!$AC$444)&amp;IF(Checks!$W$444="","",CHAR(10)&amp;"Batch: "&amp;Checks!$W$444)&amp;IF(AND(Checks!$X$444="",Checks!$Y$444=""),"",CHAR(10)&amp;"Exp: "&amp;Checks!$X$444&amp;"  /  Act: "&amp;Checks!$Y$444)</f>
        <v/>
      </c>
      <c r="F43" s="113" t="str">
        <f aca="false">IF(Checks!$Z$444="","","Evidence: "&amp;Checks!$Z$444)&amp;IF(Checks!$AA$444="","",IF(Checks!$Z$444="","",CHAR(10))&amp;"CA: "&amp;Checks!$AA$444)</f>
        <v/>
      </c>
      <c r="G43" s="113" t="str">
        <f aca="false">IF(ISNUMBER(Checks!$AD$444),TEXT(Checks!$AD$444,"DD-MMM-YY HH:MM")&amp;" "&amp;Checks!$P$444,"")&amp;IF(Checks!$AE$444="","",CHAR(10)&amp;"Verifier: "&amp;Checks!$AE$444)&amp;IF(Checks!$T$444="","",CHAR(10)&amp;"PIC: "&amp;Checks!$T$444)</f>
        <v/>
      </c>
      <c r="H43" s="114" t="str">
        <f aca="false">IF(Checks!$AH$444="","",Checks!$AH$444)</f>
        <v>OPEN</v>
      </c>
    </row>
    <row r="44" customFormat="false" ht="213" hidden="false" customHeight="true" outlineLevel="0" collapsed="false">
      <c r="A44" s="113" t="str">
        <f aca="false">Checks!$A$445&amp;CHAR(10)&amp;IF(Checks!$I$445="","",Checks!$I$445&amp;": ")&amp;Checks!$J$445</f>
        <v>F13-T12-08
Amenities: Toiletry kits - prepared</v>
      </c>
      <c r="B44" s="113"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44" s="113" t="str">
        <f aca="false">Checks!$N$445&amp;CHAR(10)&amp;IF(ISNUMBER(Checks!$R$445),TEXT(Checks!$R$445,"DD-MMM-YY HH:MM"),"")&amp;" "&amp;Checks!$P$445</f>
        <v>Clarification required
12-Oct-26 16:25 KUL</v>
      </c>
      <c r="D44" s="113" t="str">
        <f aca="false">IF(Checks!$U$445="","",Checks!$U$445)&amp;IF(Checks!$AB$445="","",CHAR(10)&amp;"CA: "&amp;Checks!$AB$445)</f>
        <v/>
      </c>
      <c r="E44" s="113" t="str">
        <f aca="false">IF(Checks!$V$445="","",Checks!$V$445)&amp;IF(Checks!$AC$445="","",IF(Checks!$V$445="","",CHAR(10))&amp;"N/A just.: "&amp;Checks!$AC$445)&amp;IF(Checks!$W$445="","",CHAR(10)&amp;"Batch: "&amp;Checks!$W$445)&amp;IF(AND(Checks!$X$445="",Checks!$Y$445=""),"",CHAR(10)&amp;"Exp: "&amp;Checks!$X$445&amp;"  /  Act: "&amp;Checks!$Y$445)</f>
        <v/>
      </c>
      <c r="F44" s="113" t="str">
        <f aca="false">IF(Checks!$Z$445="","","Evidence: "&amp;Checks!$Z$445)&amp;IF(Checks!$AA$445="","",IF(Checks!$Z$445="","",CHAR(10))&amp;"CA: "&amp;Checks!$AA$445)</f>
        <v/>
      </c>
      <c r="G44" s="113" t="str">
        <f aca="false">IF(ISNUMBER(Checks!$AD$445),TEXT(Checks!$AD$445,"DD-MMM-YY HH:MM")&amp;" "&amp;Checks!$P$445,"")&amp;IF(Checks!$AE$445="","",CHAR(10)&amp;"Verifier: "&amp;Checks!$AE$445)&amp;IF(Checks!$T$445="","",CHAR(10)&amp;"PIC: "&amp;Checks!$T$445)</f>
        <v/>
      </c>
      <c r="H44" s="114" t="str">
        <f aca="false">IF(Checks!$AH$445="","",Checks!$AH$445)</f>
        <v>OPEN – CLARIFICATION</v>
      </c>
    </row>
    <row r="45" customFormat="false" ht="114" hidden="false" customHeight="true" outlineLevel="0" collapsed="false">
      <c r="A45" s="113" t="str">
        <f aca="false">Checks!$A$446&amp;CHAR(10)&amp;IF(Checks!$I$446="","",Checks!$I$446&amp;": ")&amp;Checks!$J$446</f>
        <v>F13-T12-09
Seat Linen: Seat pillow (EY) - prepared</v>
      </c>
      <c r="B45" s="113" t="str">
        <f aca="false">Checks!$K$446&amp;IF(Checks!$O$446="","",IF(Checks!$K$446="","",CHAR(10))&amp;"Note: "&amp;Checks!$O$446)</f>
        <v>Available 100% (ticked in reference)
Note: Reference gives no uplift stn for this item: preparation checked at the meal uplift stn (ADL) - confirm with caterer.</v>
      </c>
      <c r="C45" s="113" t="str">
        <f aca="false">Checks!$N$446&amp;CHAR(10)&amp;IF(ISNUMBER(Checks!$R$446),TEXT(Checks!$R$446,"DD-MMM-YY HH:MM"),"")&amp;" "&amp;Checks!$P$446</f>
        <v>Required
13-Oct-26 22:45 ADL</v>
      </c>
      <c r="D45" s="113" t="str">
        <f aca="false">IF(Checks!$U$446="","",Checks!$U$446)&amp;IF(Checks!$AB$446="","",CHAR(10)&amp;"CA: "&amp;Checks!$AB$446)</f>
        <v/>
      </c>
      <c r="E45" s="113" t="str">
        <f aca="false">IF(Checks!$V$446="","",Checks!$V$446)&amp;IF(Checks!$AC$446="","",IF(Checks!$V$446="","",CHAR(10))&amp;"N/A just.: "&amp;Checks!$AC$446)&amp;IF(Checks!$W$446="","",CHAR(10)&amp;"Batch: "&amp;Checks!$W$446)&amp;IF(AND(Checks!$X$446="",Checks!$Y$446=""),"",CHAR(10)&amp;"Exp: "&amp;Checks!$X$446&amp;"  /  Act: "&amp;Checks!$Y$446)</f>
        <v/>
      </c>
      <c r="F45" s="113" t="str">
        <f aca="false">IF(Checks!$Z$446="","","Evidence: "&amp;Checks!$Z$446)&amp;IF(Checks!$AA$446="","",IF(Checks!$Z$446="","",CHAR(10))&amp;"CA: "&amp;Checks!$AA$446)</f>
        <v/>
      </c>
      <c r="G45" s="113" t="str">
        <f aca="false">IF(ISNUMBER(Checks!$AD$446),TEXT(Checks!$AD$446,"DD-MMM-YY HH:MM")&amp;" "&amp;Checks!$P$446,"")&amp;IF(Checks!$AE$446="","",CHAR(10)&amp;"Verifier: "&amp;Checks!$AE$446)&amp;IF(Checks!$T$446="","",CHAR(10)&amp;"PIC: "&amp;Checks!$T$446)</f>
        <v/>
      </c>
      <c r="H45" s="114" t="str">
        <f aca="false">IF(Checks!$AH$446="","",Checks!$AH$446)</f>
        <v>OPEN</v>
      </c>
    </row>
    <row r="46" customFormat="false" ht="213" hidden="false" customHeight="true" outlineLevel="0" collapsed="false">
      <c r="A46" s="113" t="str">
        <f aca="false">Checks!$A$447&amp;CHAR(10)&amp;IF(Checks!$I$447="","",Checks!$I$447&amp;": ")&amp;Checks!$J$447</f>
        <v>F13-T12-10
Seat Linen: Blanket (EY) - prepared</v>
      </c>
      <c r="B46" s="113" t="str">
        <f aca="false">SUBSTITUTE(Checks!$K$447&amp;IF(Checks!$O$447="","",IF(Checks!$K$447="","",CHAR(10))&amp;"Note: "&amp;Checks!$O$447),"SEAT LINEN!","Ref: SEAT LINEN!")</f>
        <v>Available 100% (ticked in reference); qty 280
Note: EY blanket: flight above 3 hours excl. Regional (Ref: SEAT LINEN!B74:C74); block 7.75 h. Qty 280 pcs (14 bundles) for A332/A333/A339 (Ref: SEAT LINEN!B75:C75). Reference gives no uplift stn for this item: preparation checked at the meal uplift stn (ADL) - confirm with caterer.</v>
      </c>
      <c r="C46" s="113" t="str">
        <f aca="false">Checks!$N$447&amp;CHAR(10)&amp;IF(ISNUMBER(Checks!$R$447),TEXT(Checks!$R$447,"DD-MMM-YY HH:MM"),"")&amp;" "&amp;Checks!$P$447</f>
        <v>Required
13-Oct-26 22:45 ADL</v>
      </c>
      <c r="D46" s="113" t="str">
        <f aca="false">IF(Checks!$U$447="","",Checks!$U$447)&amp;IF(Checks!$AB$447="","",CHAR(10)&amp;"CA: "&amp;Checks!$AB$447)</f>
        <v/>
      </c>
      <c r="E46" s="113" t="str">
        <f aca="false">IF(Checks!$V$447="","",Checks!$V$447)&amp;IF(Checks!$AC$447="","",IF(Checks!$V$447="","",CHAR(10))&amp;"N/A just.: "&amp;Checks!$AC$447)&amp;IF(Checks!$W$447="","",CHAR(10)&amp;"Batch: "&amp;Checks!$W$447)&amp;IF(AND(Checks!$X$447="",Checks!$Y$447=""),"",CHAR(10)&amp;"Exp: "&amp;Checks!$X$447&amp;"  /  Act: "&amp;Checks!$Y$447)</f>
        <v>
Exp: 280  /  Act: </v>
      </c>
      <c r="F46" s="113" t="str">
        <f aca="false">IF(Checks!$Z$447="","","Evidence: "&amp;Checks!$Z$447)&amp;IF(Checks!$AA$447="","",IF(Checks!$Z$447="","",CHAR(10))&amp;"CA: "&amp;Checks!$AA$447)</f>
        <v/>
      </c>
      <c r="G46" s="113" t="str">
        <f aca="false">IF(ISNUMBER(Checks!$AD$447),TEXT(Checks!$AD$447,"DD-MMM-YY HH:MM")&amp;" "&amp;Checks!$P$447,"")&amp;IF(Checks!$AE$447="","",CHAR(10)&amp;"Verifier: "&amp;Checks!$AE$447)&amp;IF(Checks!$T$447="","",CHAR(10)&amp;"PIC: "&amp;Checks!$T$447)</f>
        <v/>
      </c>
      <c r="H46" s="114" t="str">
        <f aca="false">IF(Checks!$AH$447="","",Checks!$AH$447)</f>
        <v>OPEN</v>
      </c>
    </row>
    <row r="47" customFormat="false" ht="201.75" hidden="false" customHeight="true" outlineLevel="0" collapsed="false">
      <c r="A47" s="113" t="str">
        <f aca="false">Checks!$A$448&amp;CHAR(10)&amp;IF(Checks!$I$448="","",Checks!$I$448&amp;": ")&amp;Checks!$J$448</f>
        <v>F13-T12-11
Sales Cart: Sales cart (caterer PASB) - prepared</v>
      </c>
      <c r="B47" s="113"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13" t="str">
        <f aca="false">Checks!$N$448&amp;CHAR(10)&amp;IF(ISNUMBER(Checks!$R$448),TEXT(Checks!$R$448,"DD-MMM-YY HH:MM"),"")&amp;" "&amp;Checks!$P$448</f>
        <v>Clarification required
13-Oct-26 22:45 ADL</v>
      </c>
      <c r="D47" s="113" t="str">
        <f aca="false">IF(Checks!$U$448="","",Checks!$U$448)&amp;IF(Checks!$AB$448="","",CHAR(10)&amp;"CA: "&amp;Checks!$AB$448)</f>
        <v/>
      </c>
      <c r="E47" s="113" t="str">
        <f aca="false">IF(Checks!$V$448="","",Checks!$V$448)&amp;IF(Checks!$AC$448="","",IF(Checks!$V$448="","",CHAR(10))&amp;"N/A just.: "&amp;Checks!$AC$448)&amp;IF(Checks!$W$448="","",CHAR(10)&amp;"Batch: "&amp;Checks!$W$448)&amp;IF(AND(Checks!$X$448="",Checks!$Y$448=""),"",CHAR(10)&amp;"Exp: "&amp;Checks!$X$448&amp;"  /  Act: "&amp;Checks!$Y$448)</f>
        <v/>
      </c>
      <c r="F47" s="113" t="str">
        <f aca="false">IF(Checks!$Z$448="","","Evidence: "&amp;Checks!$Z$448)&amp;IF(Checks!$AA$448="","",IF(Checks!$Z$448="","",CHAR(10))&amp;"CA: "&amp;Checks!$AA$448)</f>
        <v/>
      </c>
      <c r="G47" s="113" t="str">
        <f aca="false">IF(ISNUMBER(Checks!$AD$448),TEXT(Checks!$AD$448,"DD-MMM-YY HH:MM")&amp;" "&amp;Checks!$P$448,"")&amp;IF(Checks!$AE$448="","",CHAR(10)&amp;"Verifier: "&amp;Checks!$AE$448)&amp;IF(Checks!$T$448="","",CHAR(10)&amp;"PIC: "&amp;Checks!$T$448)</f>
        <v/>
      </c>
      <c r="H47" s="114" t="str">
        <f aca="false">IF(Checks!$AH$448="","",Checks!$AH$448)</f>
        <v>OPEN – CLARIFICATION</v>
      </c>
    </row>
    <row r="48" customFormat="false" ht="25.5" hidden="false" customHeight="true" outlineLevel="0" collapsed="false">
      <c r="A48" s="112"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2"/>
      <c r="C48" s="112"/>
      <c r="D48" s="112"/>
      <c r="E48" s="112"/>
      <c r="F48" s="112"/>
      <c r="G48" s="112"/>
      <c r="H48" s="112"/>
    </row>
    <row r="49" customFormat="false" ht="114" hidden="false" customHeight="true" outlineLevel="0" collapsed="false">
      <c r="A49" s="113" t="str">
        <f aca="false">Checks!$A$449&amp;CHAR(10)&amp;IF(Checks!$I$449="","",Checks!$I$449&amp;": ")&amp;Checks!$J$449</f>
        <v>F13-UPL-01
Meal: Meals physically uplifted on board - quantity vs menu checklist</v>
      </c>
      <c r="B49" s="113" t="str">
        <f aca="false">Checks!$K$449&amp;IF(Checks!$O$449="","",IF(Checks!$K$449="","",CHAR(10))&amp;"Note: "&amp;Checks!$O$449)</f>
        <v>Enter expected &amp; actual
Note: Confirm on board before departure; completion time must fall inside the uplift window.</v>
      </c>
      <c r="C49" s="113" t="str">
        <f aca="false">Checks!$N$449&amp;CHAR(10)&amp;IF(ISNUMBER(Checks!$R$449),TEXT(Checks!$R$449,"DD-MMM-YY HH:MM"),"")&amp;" "&amp;Checks!$P$449</f>
        <v>Required
14-Oct-26 10:45 ADL</v>
      </c>
      <c r="D49" s="113" t="str">
        <f aca="false">IF(Checks!$U$449="","",Checks!$U$449)&amp;IF(Checks!$AB$449="","",CHAR(10)&amp;"CA: "&amp;Checks!$AB$449)</f>
        <v/>
      </c>
      <c r="E49" s="113" t="str">
        <f aca="false">IF(Checks!$V$449="","",Checks!$V$449)&amp;IF(Checks!$AC$449="","",IF(Checks!$V$449="","",CHAR(10))&amp;"N/A just.: "&amp;Checks!$AC$449)&amp;IF(Checks!$W$449="","",CHAR(10)&amp;"Batch: "&amp;Checks!$W$449)&amp;IF(AND(Checks!$X$449="",Checks!$Y$449=""),"",CHAR(10)&amp;"Exp: "&amp;Checks!$X$449&amp;"  /  Act: "&amp;Checks!$Y$449)</f>
        <v/>
      </c>
      <c r="F49" s="113" t="str">
        <f aca="false">IF(Checks!$Z$449="","","Evidence: "&amp;Checks!$Z$449)&amp;IF(Checks!$AA$449="","",IF(Checks!$Z$449="","",CHAR(10))&amp;"CA: "&amp;Checks!$AA$449)</f>
        <v/>
      </c>
      <c r="G49" s="113" t="str">
        <f aca="false">IF(ISNUMBER(Checks!$AD$449),TEXT(Checks!$AD$449,"DD-MMM-YY HH:MM")&amp;" "&amp;Checks!$P$449,"")&amp;IF(Checks!$AE$449="","",CHAR(10)&amp;"Verifier: "&amp;Checks!$AE$449)&amp;IF(Checks!$T$449="","",CHAR(10)&amp;"PIC: "&amp;Checks!$T$449)</f>
        <v/>
      </c>
      <c r="H49" s="114" t="str">
        <f aca="false">IF(Checks!$AH$449="","",Checks!$AH$449)</f>
        <v>OPEN</v>
      </c>
    </row>
    <row r="50" customFormat="false" ht="114" hidden="false" customHeight="true" outlineLevel="0" collapsed="false">
      <c r="A50" s="113" t="str">
        <f aca="false">Checks!$A$450&amp;CHAR(10)&amp;IF(Checks!$I$450="","",Checks!$I$450&amp;": ")&amp;Checks!$J$450</f>
        <v>F13-UPL-02
Equipment: Equipment physically loaded at GLD positions - quantity &amp; positions</v>
      </c>
      <c r="B50" s="113" t="str">
        <f aca="false">Checks!$K$450&amp;IF(Checks!$O$450="","",IF(Checks!$K$450="","",CHAR(10))&amp;"Note: "&amp;Checks!$O$450)</f>
        <v>Enter expected &amp; actual
Note: Confirm on board before departure; completion time must fall inside the uplift window.</v>
      </c>
      <c r="C50" s="113" t="str">
        <f aca="false">Checks!$N$450&amp;CHAR(10)&amp;IF(ISNUMBER(Checks!$R$450),TEXT(Checks!$R$450,"DD-MMM-YY HH:MM"),"")&amp;" "&amp;Checks!$P$450</f>
        <v>Required
14-Oct-26 10:45 ADL</v>
      </c>
      <c r="D50" s="113" t="str">
        <f aca="false">IF(Checks!$U$450="","",Checks!$U$450)&amp;IF(Checks!$AB$450="","",CHAR(10)&amp;"CA: "&amp;Checks!$AB$450)</f>
        <v/>
      </c>
      <c r="E50" s="113" t="str">
        <f aca="false">IF(Checks!$V$450="","",Checks!$V$450)&amp;IF(Checks!$AC$450="","",IF(Checks!$V$450="","",CHAR(10))&amp;"N/A just.: "&amp;Checks!$AC$450)&amp;IF(Checks!$W$450="","",CHAR(10)&amp;"Batch: "&amp;Checks!$W$450)&amp;IF(AND(Checks!$X$450="",Checks!$Y$450=""),"",CHAR(10)&amp;"Exp: "&amp;Checks!$X$450&amp;"  /  Act: "&amp;Checks!$Y$450)</f>
        <v/>
      </c>
      <c r="F50" s="113" t="str">
        <f aca="false">IF(Checks!$Z$450="","","Evidence: "&amp;Checks!$Z$450)&amp;IF(Checks!$AA$450="","",IF(Checks!$Z$450="","",CHAR(10))&amp;"CA: "&amp;Checks!$AA$450)</f>
        <v/>
      </c>
      <c r="G50" s="113" t="str">
        <f aca="false">IF(ISNUMBER(Checks!$AD$450),TEXT(Checks!$AD$450,"DD-MMM-YY HH:MM")&amp;" "&amp;Checks!$P$450,"")&amp;IF(Checks!$AE$450="","",CHAR(10)&amp;"Verifier: "&amp;Checks!$AE$450)&amp;IF(Checks!$T$450="","",CHAR(10)&amp;"PIC: "&amp;Checks!$T$450)</f>
        <v/>
      </c>
      <c r="H50" s="114" t="str">
        <f aca="false">IF(Checks!$AH$450="","",Checks!$AH$450)</f>
        <v>OPEN</v>
      </c>
    </row>
    <row r="51" customFormat="false" ht="114" hidden="false" customHeight="true" outlineLevel="0" collapsed="false">
      <c r="A51" s="113" t="str">
        <f aca="false">Checks!$A$451&amp;CHAR(10)&amp;IF(Checks!$I$451="","",Checks!$I$451&amp;": ")&amp;Checks!$J$451</f>
        <v>F13-UPL-03
Uplift plan: KUL-sourced items physically loaded at KUL on the inbound KUL-ADL flight</v>
      </c>
      <c r="B51" s="113" t="str">
        <f aca="false">Checks!$K$451&amp;IF(Checks!$O$451="","",IF(Checks!$K$451="","",CHAR(10))&amp;"Note: "&amp;Checks!$O$451)</f>
        <v>Items: Toiletry kits. Quantities as per Requirements
Note: Confirmed at KUL inside the uplift window before the carrying flight's KUL departure (Flights AX).</v>
      </c>
      <c r="C51" s="113" t="str">
        <f aca="false">Checks!$N$451&amp;CHAR(10)&amp;IF(ISNUMBER(Checks!$R$451),TEXT(Checks!$R$451,"DD-MMM-YY HH:MM"),"")&amp;" "&amp;Checks!$P$451</f>
        <v>Required
12-Oct-26 22:25 KUL</v>
      </c>
      <c r="D51" s="113" t="str">
        <f aca="false">IF(Checks!$U$451="","",Checks!$U$451)&amp;IF(Checks!$AB$451="","",CHAR(10)&amp;"CA: "&amp;Checks!$AB$451)</f>
        <v/>
      </c>
      <c r="E51" s="113" t="str">
        <f aca="false">IF(Checks!$V$451="","",Checks!$V$451)&amp;IF(Checks!$AC$451="","",IF(Checks!$V$451="","",CHAR(10))&amp;"N/A just.: "&amp;Checks!$AC$451)&amp;IF(Checks!$W$451="","",CHAR(10)&amp;"Batch: "&amp;Checks!$W$451)&amp;IF(AND(Checks!$X$451="",Checks!$Y$451=""),"",CHAR(10)&amp;"Exp: "&amp;Checks!$X$451&amp;"  /  Act: "&amp;Checks!$Y$451)</f>
        <v/>
      </c>
      <c r="F51" s="113" t="str">
        <f aca="false">IF(Checks!$Z$451="","","Evidence: "&amp;Checks!$Z$451)&amp;IF(Checks!$AA$451="","",IF(Checks!$Z$451="","",CHAR(10))&amp;"CA: "&amp;Checks!$AA$451)</f>
        <v/>
      </c>
      <c r="G51" s="113" t="str">
        <f aca="false">IF(ISNUMBER(Checks!$AD$451),TEXT(Checks!$AD$451,"DD-MMM-YY HH:MM")&amp;" "&amp;Checks!$P$451,"")&amp;IF(Checks!$AE$451="","",CHAR(10)&amp;"Verifier: "&amp;Checks!$AE$451)&amp;IF(Checks!$T$451="","",CHAR(10)&amp;"PIC: "&amp;Checks!$T$451)</f>
        <v/>
      </c>
      <c r="H51" s="114" t="str">
        <f aca="false">IF(Checks!$AH$451="","",Checks!$AH$451)</f>
        <v>OPEN</v>
      </c>
    </row>
    <row r="52" customFormat="false" ht="135.75" hidden="false" customHeight="true" outlineLevel="0" collapsed="false">
      <c r="A52" s="113" t="str">
        <f aca="false">Checks!$A$452&amp;CHAR(10)&amp;IF(Checks!$I$452="","",Checks!$I$452&amp;": ")&amp;Checks!$J$452</f>
        <v>F13-UPL-04
Amenities: Toiletry kits - on board</v>
      </c>
      <c r="B52" s="113"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13" t="str">
        <f aca="false">Checks!$N$452&amp;CHAR(10)&amp;IF(ISNUMBER(Checks!$R$452),TEXT(Checks!$R$452,"DD-MMM-YY HH:MM"),"")&amp;" "&amp;Checks!$P$452</f>
        <v>Clarification required
14-Oct-26 10:45 ADL</v>
      </c>
      <c r="D52" s="113" t="str">
        <f aca="false">IF(Checks!$U$452="","",Checks!$U$452)&amp;IF(Checks!$AB$452="","",CHAR(10)&amp;"CA: "&amp;Checks!$AB$452)</f>
        <v/>
      </c>
      <c r="E52" s="113" t="str">
        <f aca="false">IF(Checks!$V$452="","",Checks!$V$452)&amp;IF(Checks!$AC$452="","",IF(Checks!$V$452="","",CHAR(10))&amp;"N/A just.: "&amp;Checks!$AC$452)&amp;IF(Checks!$W$452="","",CHAR(10)&amp;"Batch: "&amp;Checks!$W$452)&amp;IF(AND(Checks!$X$452="",Checks!$Y$452=""),"",CHAR(10)&amp;"Exp: "&amp;Checks!$X$452&amp;"  /  Act: "&amp;Checks!$Y$452)</f>
        <v/>
      </c>
      <c r="F52" s="113" t="str">
        <f aca="false">IF(Checks!$Z$452="","","Evidence: "&amp;Checks!$Z$452)&amp;IF(Checks!$AA$452="","",IF(Checks!$Z$452="","",CHAR(10))&amp;"CA: "&amp;Checks!$AA$452)</f>
        <v/>
      </c>
      <c r="G52" s="113" t="str">
        <f aca="false">IF(ISNUMBER(Checks!$AD$452),TEXT(Checks!$AD$452,"DD-MMM-YY HH:MM")&amp;" "&amp;Checks!$P$452,"")&amp;IF(Checks!$AE$452="","",CHAR(10)&amp;"Verifier: "&amp;Checks!$AE$452)&amp;IF(Checks!$T$452="","",CHAR(10)&amp;"PIC: "&amp;Checks!$T$452)</f>
        <v/>
      </c>
      <c r="H52" s="114" t="str">
        <f aca="false">IF(Checks!$AH$452="","",Checks!$AH$452)</f>
        <v>OPEN – CLARIFICATION</v>
      </c>
    </row>
    <row r="53" customFormat="false" ht="114" hidden="false" customHeight="true" outlineLevel="0" collapsed="false">
      <c r="A53" s="113" t="str">
        <f aca="false">Checks!$A$453&amp;CHAR(10)&amp;IF(Checks!$I$453="","",Checks!$I$453&amp;": ")&amp;Checks!$J$453</f>
        <v>F13-UPL-05
Seat Linen: Seat pillow (EY) - on board</v>
      </c>
      <c r="B53" s="113" t="str">
        <f aca="false">Checks!$K$453&amp;IF(Checks!$O$453="","",IF(Checks!$K$453="","",CHAR(10))&amp;"Note: "&amp;Checks!$O$453)</f>
        <v>Available 100% (ticked in reference)</v>
      </c>
      <c r="C53" s="113" t="str">
        <f aca="false">Checks!$N$453&amp;CHAR(10)&amp;IF(ISNUMBER(Checks!$R$453),TEXT(Checks!$R$453,"DD-MMM-YY HH:MM"),"")&amp;" "&amp;Checks!$P$453</f>
        <v>Required
14-Oct-26 10:45 ADL</v>
      </c>
      <c r="D53" s="113" t="str">
        <f aca="false">IF(Checks!$U$453="","",Checks!$U$453)&amp;IF(Checks!$AB$453="","",CHAR(10)&amp;"CA: "&amp;Checks!$AB$453)</f>
        <v/>
      </c>
      <c r="E53" s="113" t="str">
        <f aca="false">IF(Checks!$V$453="","",Checks!$V$453)&amp;IF(Checks!$AC$453="","",IF(Checks!$V$453="","",CHAR(10))&amp;"N/A just.: "&amp;Checks!$AC$453)&amp;IF(Checks!$W$453="","",CHAR(10)&amp;"Batch: "&amp;Checks!$W$453)&amp;IF(AND(Checks!$X$453="",Checks!$Y$453=""),"",CHAR(10)&amp;"Exp: "&amp;Checks!$X$453&amp;"  /  Act: "&amp;Checks!$Y$453)</f>
        <v/>
      </c>
      <c r="F53" s="113" t="str">
        <f aca="false">IF(Checks!$Z$453="","","Evidence: "&amp;Checks!$Z$453)&amp;IF(Checks!$AA$453="","",IF(Checks!$Z$453="","",CHAR(10))&amp;"CA: "&amp;Checks!$AA$453)</f>
        <v/>
      </c>
      <c r="G53" s="113" t="str">
        <f aca="false">IF(ISNUMBER(Checks!$AD$453),TEXT(Checks!$AD$453,"DD-MMM-YY HH:MM")&amp;" "&amp;Checks!$P$453,"")&amp;IF(Checks!$AE$453="","",CHAR(10)&amp;"Verifier: "&amp;Checks!$AE$453)&amp;IF(Checks!$T$453="","",CHAR(10)&amp;"PIC: "&amp;Checks!$T$453)</f>
        <v/>
      </c>
      <c r="H53" s="114" t="str">
        <f aca="false">IF(Checks!$AH$453="","",Checks!$AH$453)</f>
        <v>OPEN</v>
      </c>
    </row>
    <row r="54" customFormat="false" ht="135.75" hidden="false" customHeight="true" outlineLevel="0" collapsed="false">
      <c r="A54" s="113" t="str">
        <f aca="false">Checks!$A$454&amp;CHAR(10)&amp;IF(Checks!$I$454="","",Checks!$I$454&amp;": ")&amp;Checks!$J$454</f>
        <v>F13-UPL-06
Seat Linen: Blanket (EY) - on board</v>
      </c>
      <c r="B54" s="113" t="str">
        <f aca="false">SUBSTITUTE(Checks!$K$454&amp;IF(Checks!$O$454="","",IF(Checks!$K$454="","",CHAR(10))&amp;"Note: "&amp;Checks!$O$454),"SEAT LINEN!","Ref: SEAT LINEN!")</f>
        <v>Available 100% (ticked in reference); qty 280
Note: EY blanket: flight above 3 hours excl. Regional (Ref: SEAT LINEN!B74:C74); block 7.75 h. Qty 280 pcs (14 bundles) for A332/A333/A339 (Ref: SEAT LINEN!B75:C75).</v>
      </c>
      <c r="C54" s="113" t="str">
        <f aca="false">Checks!$N$454&amp;CHAR(10)&amp;IF(ISNUMBER(Checks!$R$454),TEXT(Checks!$R$454,"DD-MMM-YY HH:MM"),"")&amp;" "&amp;Checks!$P$454</f>
        <v>Required
14-Oct-26 10:45 ADL</v>
      </c>
      <c r="D54" s="113" t="str">
        <f aca="false">IF(Checks!$U$454="","",Checks!$U$454)&amp;IF(Checks!$AB$454="","",CHAR(10)&amp;"CA: "&amp;Checks!$AB$454)</f>
        <v/>
      </c>
      <c r="E54" s="113" t="str">
        <f aca="false">IF(Checks!$V$454="","",Checks!$V$454)&amp;IF(Checks!$AC$454="","",IF(Checks!$V$454="","",CHAR(10))&amp;"N/A just.: "&amp;Checks!$AC$454)&amp;IF(Checks!$W$454="","",CHAR(10)&amp;"Batch: "&amp;Checks!$W$454)&amp;IF(AND(Checks!$X$454="",Checks!$Y$454=""),"",CHAR(10)&amp;"Exp: "&amp;Checks!$X$454&amp;"  /  Act: "&amp;Checks!$Y$454)</f>
        <v>
Exp: 280  /  Act: </v>
      </c>
      <c r="F54" s="113" t="str">
        <f aca="false">IF(Checks!$Z$454="","","Evidence: "&amp;Checks!$Z$454)&amp;IF(Checks!$AA$454="","",IF(Checks!$Z$454="","",CHAR(10))&amp;"CA: "&amp;Checks!$AA$454)</f>
        <v/>
      </c>
      <c r="G54" s="113" t="str">
        <f aca="false">IF(ISNUMBER(Checks!$AD$454),TEXT(Checks!$AD$454,"DD-MMM-YY HH:MM")&amp;" "&amp;Checks!$P$454,"")&amp;IF(Checks!$AE$454="","",CHAR(10)&amp;"Verifier: "&amp;Checks!$AE$454)&amp;IF(Checks!$T$454="","",CHAR(10)&amp;"PIC: "&amp;Checks!$T$454)</f>
        <v/>
      </c>
      <c r="H54" s="114" t="str">
        <f aca="false">IF(Checks!$AH$454="","",Checks!$AH$454)</f>
        <v>OPEN</v>
      </c>
    </row>
    <row r="55" customFormat="false" ht="135.75" hidden="false" customHeight="true" outlineLevel="0" collapsed="false">
      <c r="A55" s="113" t="str">
        <f aca="false">Checks!$A$455&amp;CHAR(10)&amp;IF(Checks!$I$455="","",Checks!$I$455&amp;": ")&amp;Checks!$J$455</f>
        <v>F13-UPL-07
Sales Cart: Sales cart (caterer PASB) - on board</v>
      </c>
      <c r="B55" s="113"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13" t="str">
        <f aca="false">Checks!$N$455&amp;CHAR(10)&amp;IF(ISNUMBER(Checks!$R$455),TEXT(Checks!$R$455,"DD-MMM-YY HH:MM"),"")&amp;" "&amp;Checks!$P$455</f>
        <v>Clarification required
14-Oct-26 10:45 ADL</v>
      </c>
      <c r="D55" s="113" t="str">
        <f aca="false">IF(Checks!$U$455="","",Checks!$U$455)&amp;IF(Checks!$AB$455="","",CHAR(10)&amp;"CA: "&amp;Checks!$AB$455)</f>
        <v/>
      </c>
      <c r="E55" s="113" t="str">
        <f aca="false">IF(Checks!$V$455="","",Checks!$V$455)&amp;IF(Checks!$AC$455="","",IF(Checks!$V$455="","",CHAR(10))&amp;"N/A just.: "&amp;Checks!$AC$455)&amp;IF(Checks!$W$455="","",CHAR(10)&amp;"Batch: "&amp;Checks!$W$455)&amp;IF(AND(Checks!$X$455="",Checks!$Y$455=""),"",CHAR(10)&amp;"Exp: "&amp;Checks!$X$455&amp;"  /  Act: "&amp;Checks!$Y$455)</f>
        <v/>
      </c>
      <c r="F55" s="113" t="str">
        <f aca="false">IF(Checks!$Z$455="","","Evidence: "&amp;Checks!$Z$455)&amp;IF(Checks!$AA$455="","",IF(Checks!$Z$455="","",CHAR(10))&amp;"CA: "&amp;Checks!$AA$455)</f>
        <v/>
      </c>
      <c r="G55" s="113" t="str">
        <f aca="false">IF(ISNUMBER(Checks!$AD$455),TEXT(Checks!$AD$455,"DD-MMM-YY HH:MM")&amp;" "&amp;Checks!$P$455,"")&amp;IF(Checks!$AE$455="","",CHAR(10)&amp;"Verifier: "&amp;Checks!$AE$455)&amp;IF(Checks!$T$455="","",CHAR(10)&amp;"PIC: "&amp;Checks!$T$455)</f>
        <v/>
      </c>
      <c r="H55" s="114" t="str">
        <f aca="false">IF(Checks!$AH$455="","",Checks!$AH$455)</f>
        <v>OPEN – CLARIFICATION</v>
      </c>
    </row>
    <row r="57" customFormat="false" ht="24" hidden="false" customHeight="true" outlineLevel="0" collapsed="false">
      <c r="A57" s="115" t="s">
        <v>1650</v>
      </c>
      <c r="B57" s="115"/>
      <c r="C57" s="115"/>
      <c r="D57" s="115"/>
      <c r="E57" s="115" t="s">
        <v>1651</v>
      </c>
      <c r="F57" s="115"/>
      <c r="G57" s="115"/>
      <c r="H57" s="115"/>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row r="63" customFormat="false" ht="21.75" hidden="false" customHeight="true" outlineLevel="0" collapsed="false">
      <c r="A63" s="116"/>
      <c r="B63" s="116"/>
      <c r="C63" s="116"/>
      <c r="D63" s="116"/>
      <c r="E63" s="116"/>
      <c r="F63" s="116"/>
      <c r="G63" s="116"/>
      <c r="H63" s="116"/>
    </row>
    <row r="64" customFormat="false" ht="21.75" hidden="false" customHeight="true" outlineLevel="0" collapsed="false">
      <c r="A64" s="116"/>
      <c r="B64" s="116"/>
      <c r="C64" s="116"/>
      <c r="D64" s="116"/>
      <c r="E64" s="116"/>
      <c r="F64" s="116"/>
      <c r="G64" s="116"/>
      <c r="H64" s="116"/>
    </row>
    <row r="65" customFormat="false" ht="21.75" hidden="false" customHeight="true" outlineLevel="0" collapsed="false">
      <c r="A65" s="116"/>
      <c r="B65" s="116"/>
      <c r="C65" s="116"/>
      <c r="D65" s="116"/>
      <c r="E65" s="116"/>
      <c r="F65" s="116"/>
      <c r="G65" s="116"/>
      <c r="H65" s="116"/>
    </row>
    <row r="66" customFormat="false" ht="21.75" hidden="false" customHeight="true" outlineLevel="0" collapsed="false">
      <c r="A66" s="116"/>
      <c r="B66" s="116"/>
      <c r="C66" s="116"/>
      <c r="D66" s="116"/>
      <c r="E66" s="116"/>
      <c r="F66" s="116"/>
      <c r="G66" s="116"/>
      <c r="H66" s="116"/>
    </row>
    <row r="67" customFormat="false" ht="21.75" hidden="false" customHeight="true" outlineLevel="0" collapsed="false">
      <c r="A67" s="116"/>
      <c r="B67" s="116"/>
      <c r="C67" s="116"/>
      <c r="D67" s="116"/>
      <c r="E67" s="116"/>
      <c r="F67" s="116"/>
      <c r="G67" s="116"/>
      <c r="H67" s="116"/>
    </row>
  </sheetData>
  <sheetProtection sheet="true" formatCells="false" formatColumns="false" formatRows="false" sort="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55">
    <cfRule type="expression" priority="17" aboveAverage="0" equalAverage="0" bottom="0" percent="0" rank="0" text="" dxfId="34">
      <formula>LEFT($H24,3)="N/A"</formula>
    </cfRule>
  </conditionalFormatting>
  <conditionalFormatting sqref="D24:D5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F14  "&amp;Flights!$F$18&amp;"  "&amp;TEXT(Flights!$D$18,"DD-MMM-YY")&amp;" ("&amp;Flights!$E$18&amp;")  "&amp;Flights!$G$18&amp;" → "&amp;Flights!$H$18&amp;"  |  Class "&amp;Flights!$K$18</f>
        <v>SKYTRAX 2026 CATERING READINESS CHECKLIST  |  F14  MH0004  15-Oct-26 (THU)  KUL → LHR  |  Class EY</v>
      </c>
      <c r="B1" s="91"/>
      <c r="C1" s="91"/>
      <c r="D1" s="91"/>
      <c r="E1" s="91"/>
      <c r="F1" s="91"/>
      <c r="G1" s="91"/>
      <c r="H1" s="91"/>
    </row>
    <row r="2" customFormat="false" ht="12.75" hidden="false" customHeight="true" outlineLevel="0" collapsed="false">
      <c r="A2" s="92" t="s">
        <v>1605</v>
      </c>
      <c r="B2" s="93" t="str">
        <f aca="false">Flights!$F$18&amp;"   "&amp;TEXT(Flights!$D$18,"DD-MMM-YY")&amp;" ("&amp;Flights!$E$18&amp;")"</f>
        <v>MH0004   15-Oct-26 (THU)</v>
      </c>
      <c r="C2" s="93"/>
      <c r="D2" s="93"/>
      <c r="E2" s="94" t="s">
        <v>1606</v>
      </c>
      <c r="F2" s="95" t="str">
        <f aca="false">Flights!$AT$18</f>
        <v>NOT READY – DOCUMENTS</v>
      </c>
      <c r="G2" s="95"/>
      <c r="H2" s="95"/>
    </row>
    <row r="3" customFormat="false" ht="24" hidden="false" customHeight="true" outlineLevel="0" collapsed="false">
      <c r="A3" s="92" t="s">
        <v>1607</v>
      </c>
      <c r="B3" s="93" t="str">
        <f aca="false">Flights!$G$18&amp;" → "&amp;Flights!$H$18&amp;"   Class "&amp;Flights!$K$18&amp;"   Seat "&amp;Flights!$O$18</f>
        <v>KUL → LHR   Class EY   Seat 14C</v>
      </c>
      <c r="C3" s="93"/>
      <c r="D3" s="93"/>
      <c r="E3" s="94" t="s">
        <v>68</v>
      </c>
      <c r="F3" s="94" t="s">
        <v>1608</v>
      </c>
      <c r="G3" s="94" t="s">
        <v>1609</v>
      </c>
      <c r="H3" s="94"/>
    </row>
    <row r="4" customFormat="false" ht="24" hidden="false" customHeight="true" outlineLevel="0" collapsed="false">
      <c r="A4" s="92" t="s">
        <v>1610</v>
      </c>
      <c r="B4" s="93" t="str">
        <f aca="false">IF(ISNUMBER(Flights!$I$18),TEXT(Flights!$I$18,"DD-MMM-YY HH:MM"),"")&amp;" "&amp;Flights!$G$18&amp;"  →  "&amp;IF(ISNUMBER(Flights!$J$18),TEXT(Flights!$J$18,"DD-MMM-YY HH:MM"),"")&amp;" "&amp;Flights!$H$18</f>
        <v>15-Oct-26 09:50 KUL  →  15-Oct-26 16:35 LHR</v>
      </c>
      <c r="C4" s="93"/>
      <c r="D4" s="93"/>
      <c r="E4" s="92" t="s">
        <v>1611</v>
      </c>
      <c r="F4" s="96" t="str">
        <f aca="false">IF(ISNUMBER(Flights!$AG$18),TEXT(Flights!$AG$18,"DD-MMM-YY HH:MM"),"")&amp;" "&amp;Flights!$V$18</f>
        <v>08-Oct-26 09:50 KUL</v>
      </c>
      <c r="G4" s="97" t="n">
        <f aca="false">Flights!$AJ$18</f>
        <v>0</v>
      </c>
      <c r="H4" s="97"/>
    </row>
    <row r="5" customFormat="false" ht="24" hidden="false" customHeight="true" outlineLevel="0" collapsed="false">
      <c r="A5" s="92" t="s">
        <v>1612</v>
      </c>
      <c r="B5" s="93" t="str">
        <f aca="false">Flights!$L$18&amp;" – "&amp;Flights!$M$18</f>
        <v>A350 – A350-900: A359 (9M-MAB..MAG, row 6) or A350 9M-MAH (row 7) - tail to confirm</v>
      </c>
      <c r="C5" s="93"/>
      <c r="D5" s="93"/>
      <c r="E5" s="92" t="s">
        <v>1613</v>
      </c>
      <c r="F5" s="96" t="str">
        <f aca="false">IF(ISNUMBER(Flights!$AH$18),TEXT(Flights!$AH$18,"DD-MMM-YY HH:MM"),"")&amp;" "&amp;Flights!$V$18</f>
        <v>14-Oct-26 09:50 KUL</v>
      </c>
      <c r="G5" s="97" t="n">
        <f aca="false">Flights!$AK$18</f>
        <v>0</v>
      </c>
      <c r="H5" s="97"/>
    </row>
    <row r="6" customFormat="false" ht="24" hidden="false" customHeight="true" outlineLevel="0" collapsed="false">
      <c r="A6" s="92" t="s">
        <v>1614</v>
      </c>
      <c r="B6" s="93" t="str">
        <f aca="false">IF(TRIM(Flights!$N$18)="","__________________",Flights!$N$18)</f>
        <v>__________________</v>
      </c>
      <c r="C6" s="93"/>
      <c r="D6" s="93"/>
      <c r="E6" s="92" t="s">
        <v>1615</v>
      </c>
      <c r="F6" s="96" t="str">
        <f aca="false">IF(ISNUMBER(Flights!$AI$18),TEXT(Flights!$AI$18,"DD-MMM-YY HH:MM"),"")&amp;" "&amp;Flights!$V$18&amp;IF(Flights!$AI$18=Flights!$AH$18,"  (= T-24H due)","")</f>
        <v>14-Oct-26 21:50 KUL</v>
      </c>
      <c r="G6" s="97" t="n">
        <f aca="false">Flights!$AL$18</f>
        <v>0</v>
      </c>
      <c r="H6" s="97"/>
    </row>
    <row r="7" customFormat="false" ht="24" hidden="false" customHeight="true" outlineLevel="0" collapsed="false">
      <c r="A7" s="92" t="s">
        <v>1616</v>
      </c>
      <c r="B7" s="93" t="str">
        <f aca="false">Flights!$T$18</f>
        <v>2.5 Meal (Meal)</v>
      </c>
      <c r="C7" s="93"/>
      <c r="D7" s="93"/>
      <c r="E7" s="92" t="s">
        <v>1617</v>
      </c>
      <c r="F7" s="96" t="str">
        <f aca="false">"STD "&amp;IF(ISNUMBER(Flights!$I$18),TEXT(Flights!$I$18,"DD-MMM-YY HH:MM"),"")&amp;" "&amp;Flights!$G$18&amp;" (dep stn)"</f>
        <v>STD 15-Oct-26 09:50 KUL (dep stn)</v>
      </c>
      <c r="G7" s="97" t="n">
        <f aca="false">Flights!$AM$18</f>
        <v>0</v>
      </c>
      <c r="H7" s="97"/>
    </row>
    <row r="8" customFormat="false" ht="12.75" hidden="false" customHeight="true" outlineLevel="0" collapsed="false">
      <c r="A8" s="92" t="s">
        <v>150</v>
      </c>
      <c r="B8" s="93" t="str">
        <f aca="false">Flights!$V$18&amp;"   (reference uplift stns: "&amp;Flights!$U$18&amp;")"</f>
        <v>KUL   (reference uplift stns: KUL/LHR)</v>
      </c>
      <c r="C8" s="93"/>
      <c r="D8" s="93"/>
      <c r="E8" s="92" t="s">
        <v>1618</v>
      </c>
      <c r="F8" s="98" t="s">
        <v>1619</v>
      </c>
      <c r="G8" s="97" t="n">
        <f aca="false">Flights!$AN$18</f>
        <v>0</v>
      </c>
      <c r="H8" s="97"/>
    </row>
    <row r="9" customFormat="false" ht="12.75" hidden="false" customHeight="true" outlineLevel="0" collapsed="false">
      <c r="A9" s="92" t="s">
        <v>1620</v>
      </c>
      <c r="B9" s="93" t="str">
        <f aca="false">TRIM(Flights!$P$18&amp;"  "&amp;Flights!$Q$18)</f>
        <v>-</v>
      </c>
      <c r="C9" s="93"/>
      <c r="D9" s="93"/>
      <c r="E9" s="92" t="s">
        <v>1621</v>
      </c>
      <c r="F9" s="99" t="n">
        <f aca="false">Flights!$AP$18</f>
        <v>0</v>
      </c>
      <c r="G9" s="99" t="n">
        <f aca="false">Flights!$AQ$18</f>
        <v>0</v>
      </c>
      <c r="H9" s="99" t="n">
        <f aca="false">Flights!$AU$18</f>
        <v>0</v>
      </c>
    </row>
    <row r="10" customFormat="false" ht="24" hidden="false" customHeight="true" outlineLevel="0" collapsed="false">
      <c r="A10" s="92" t="s">
        <v>1622</v>
      </c>
      <c r="B10" s="93" t="str">
        <f aca="false">IF(TRIM(Flights!$X$18)="","__________________",Flights!$X$18)</f>
        <v>__________________</v>
      </c>
      <c r="C10" s="93"/>
      <c r="D10" s="93"/>
      <c r="E10" s="92" t="s">
        <v>1623</v>
      </c>
      <c r="F10" s="99" t="n">
        <f aca="false">Flights!$AO$18</f>
        <v>24</v>
      </c>
      <c r="G10" s="99" t="n">
        <f aca="false">Flights!$AS$18</f>
        <v>2</v>
      </c>
      <c r="H10" s="99" t="n">
        <f aca="false">Flights!$AR$18</f>
        <v>2</v>
      </c>
    </row>
    <row r="11" customFormat="false" ht="21" hidden="false" customHeight="true" outlineLevel="0" collapsed="false">
      <c r="A11" s="92" t="s">
        <v>1624</v>
      </c>
      <c r="B11" s="93" t="str">
        <f aca="false">IF(TRIM(Flights!$Y$18)="","__________________",Flights!$Y$18)</f>
        <v>__________________</v>
      </c>
      <c r="C11" s="93"/>
      <c r="D11" s="93"/>
      <c r="E11" s="92" t="s">
        <v>1625</v>
      </c>
      <c r="F11" s="99" t="str">
        <f aca="false">Flights!$AV$18&amp;" / "&amp;Flights!$AW$18</f>
        <v>0 / 24</v>
      </c>
      <c r="G11" s="100" t="str">
        <f aca="false">IF(ISNUMBER(Settings!$B$6),TEXT(Settings!$B$6,"DD-MMM-YY HH:MM"),"")</f>
        <v>28-Sep-26 03:19</v>
      </c>
      <c r="H11" s="100"/>
    </row>
    <row r="12" customFormat="false" ht="34.5" hidden="false" customHeight="true" outlineLevel="0" collapsed="false">
      <c r="A12" s="101" t="s">
        <v>1626</v>
      </c>
      <c r="B12" s="101"/>
      <c r="C12" s="101"/>
      <c r="D12" s="101"/>
      <c r="E12" s="102" t="s">
        <v>1627</v>
      </c>
      <c r="F12" s="103" t="s">
        <v>1628</v>
      </c>
      <c r="G12" s="104" t="s">
        <v>89</v>
      </c>
      <c r="H12" s="105" t="s">
        <v>1629</v>
      </c>
    </row>
    <row r="13" customFormat="false" ht="13.5" hidden="false" customHeight="true" outlineLevel="0" collapsed="false">
      <c r="A13" s="94" t="s">
        <v>1630</v>
      </c>
      <c r="B13" s="94" t="s">
        <v>1631</v>
      </c>
      <c r="C13" s="94" t="s">
        <v>1632</v>
      </c>
      <c r="D13" s="94"/>
      <c r="E13" s="94" t="s">
        <v>1633</v>
      </c>
      <c r="F13" s="94" t="s">
        <v>1634</v>
      </c>
      <c r="G13" s="94"/>
      <c r="H13" s="94"/>
    </row>
    <row r="14" customFormat="false" ht="36" hidden="false" customHeight="true" outlineLevel="0" collapsed="false">
      <c r="A14" s="92" t="s">
        <v>1635</v>
      </c>
      <c r="B14" s="93" t="str">
        <f aca="false">IF(Documents!$F$18="","",Documents!$F$18)</f>
        <v/>
      </c>
      <c r="C14" s="98" t="str">
        <f aca="false">IF(Documents!$G$18="","",Documents!$G$18)&amp;IF(ISNUMBER(Documents!$H$18),"  "&amp;TEXT(Documents!$H$18,"DD-MMM-YY"),"")</f>
        <v/>
      </c>
      <c r="D14" s="98"/>
      <c r="E14" s="106" t="str">
        <f aca="false">IF(Documents!$J$18="OUTSTANDING","OUTSTANDING – attach before T-7D (due "&amp;IF(ISNUMBER(Flights!$AG$18),TEXT(Flights!$AG$18,"DD-MMM-YY HH:MM"),"")&amp;" "&amp;Flights!$V$18&amp;")",IF(Documents!$J$18="","Status not recorded",Documents!$J$18))</f>
        <v>OUTSTANDING – attach before T-7D (due 08-Oct-26 09:50 KUL)</v>
      </c>
      <c r="F14" s="107" t="str">
        <f aca="false">"Staple behind this sheet as page A1."&amp;IF(Documents!$I$18="",""," Location: "&amp;Documents!$I$18)</f>
        <v>Staple behind this sheet as page A1.</v>
      </c>
      <c r="G14" s="107"/>
      <c r="H14" s="107"/>
    </row>
    <row r="15" customFormat="false" ht="36" hidden="false" customHeight="true" outlineLevel="0" collapsed="false">
      <c r="A15" s="92" t="s">
        <v>1636</v>
      </c>
      <c r="B15" s="93" t="str">
        <f aca="false">IF(Documents!$K$18="","",Documents!$K$18)</f>
        <v/>
      </c>
      <c r="C15" s="98" t="str">
        <f aca="false">IF(Documents!$L$18="","",Documents!$L$18)&amp;IF(ISNUMBER(Documents!$M$18),"  "&amp;TEXT(Documents!$M$18,"DD-MMM-YY"),"")</f>
        <v/>
      </c>
      <c r="D15" s="98"/>
      <c r="E15" s="106" t="str">
        <f aca="false">IF(Documents!$O$18="OUTSTANDING","OUTSTANDING – attach before T-7D (due "&amp;IF(ISNUMBER(Flights!$AG$18),TEXT(Flights!$AG$18,"DD-MMM-YY HH:MM"),"")&amp;" "&amp;Flights!$V$18&amp;")",IF(Documents!$O$18="","Status not recorded",Documents!$O$18))</f>
        <v>OUTSTANDING – attach before T-7D (due 08-Oct-26 09:50 KUL)</v>
      </c>
      <c r="F15" s="107" t="str">
        <f aca="false">"Staple behind this sheet as page A2."&amp;IF(Documents!$N$18="",""," Location: "&amp;Documents!$N$18)</f>
        <v>Staple behind this sheet as page A2.</v>
      </c>
      <c r="G15" s="107"/>
      <c r="H15" s="107"/>
    </row>
    <row r="16" customFormat="false" ht="22.5" hidden="false" customHeight="true" outlineLevel="0" collapsed="false">
      <c r="A16" s="92" t="s">
        <v>1637</v>
      </c>
      <c r="B16" s="108" t="str">
        <f aca="false">IF(Documents!$Q$18="","",Documents!$Q$18)</f>
        <v>Not supplied with brief – obtain from caterer / MAGCS.</v>
      </c>
      <c r="C16" s="108"/>
      <c r="D16" s="108"/>
      <c r="E16" s="108"/>
      <c r="F16" s="108"/>
      <c r="G16" s="108"/>
      <c r="H16" s="108"/>
    </row>
    <row r="17" customFormat="false" ht="13.5" hidden="false" customHeight="true" outlineLevel="0" collapsed="false">
      <c r="A17" s="109" t="s">
        <v>1638</v>
      </c>
      <c r="B17" s="109"/>
      <c r="C17" s="109" t="s">
        <v>1639</v>
      </c>
      <c r="D17" s="109"/>
      <c r="E17" s="109"/>
      <c r="F17" s="109" t="s">
        <v>1640</v>
      </c>
      <c r="G17" s="109"/>
      <c r="H17" s="109"/>
    </row>
    <row r="18" customFormat="false" ht="18" hidden="false" customHeight="true" outlineLevel="0" collapsed="false">
      <c r="A18" s="93" t="str">
        <f aca="false">"Name: "&amp;IF(TRIM(Flights!$Y$18)="","__________________",Flights!$Y$18)</f>
        <v>Name: __________________</v>
      </c>
      <c r="B18" s="93"/>
      <c r="C18" s="93" t="str">
        <f aca="false">"Name: __________________"</f>
        <v>Name: __________________</v>
      </c>
      <c r="D18" s="93"/>
      <c r="E18" s="93"/>
      <c r="F18" s="93" t="str">
        <f aca="false">"Name: __________________"&amp;"   Station: "&amp;Flights!$V$18</f>
        <v>Name: __________________   Station: KUL</v>
      </c>
      <c r="G18" s="93"/>
      <c r="H18" s="93"/>
    </row>
    <row r="19" customFormat="false" ht="30" hidden="false" customHeight="true" outlineLevel="0" collapsed="false">
      <c r="A19" s="110" t="s">
        <v>1641</v>
      </c>
      <c r="B19" s="110"/>
      <c r="C19" s="110" t="s">
        <v>1641</v>
      </c>
      <c r="D19" s="110"/>
      <c r="E19" s="110"/>
      <c r="F19" s="110" t="s">
        <v>1641</v>
      </c>
      <c r="G19" s="110"/>
      <c r="H19" s="110"/>
    </row>
    <row r="20" customFormat="false" ht="13.5" hidden="false" customHeight="true" outlineLevel="0" collapsed="false">
      <c r="A20" s="111" t="s">
        <v>1642</v>
      </c>
      <c r="B20" s="111"/>
      <c r="C20" s="111"/>
      <c r="D20" s="111"/>
      <c r="E20" s="111"/>
      <c r="F20" s="111"/>
      <c r="G20" s="111"/>
      <c r="H20" s="111"/>
    </row>
    <row r="21" customFormat="false" ht="24" hidden="false" customHeight="true" outlineLevel="0" collapsed="false">
      <c r="A21" s="94" t="s">
        <v>1643</v>
      </c>
      <c r="B21" s="94" t="s">
        <v>1644</v>
      </c>
      <c r="C21" s="94" t="s">
        <v>1645</v>
      </c>
      <c r="D21" s="94" t="s">
        <v>1646</v>
      </c>
      <c r="E21" s="94" t="s">
        <v>1647</v>
      </c>
      <c r="F21" s="94" t="s">
        <v>1648</v>
      </c>
      <c r="G21" s="94" t="s">
        <v>1649</v>
      </c>
      <c r="H21" s="94" t="s">
        <v>121</v>
      </c>
    </row>
    <row r="22" customFormat="false" ht="25.5" hidden="false" customHeight="true" outlineLevel="0" collapsed="false">
      <c r="A22" s="112"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Checks!$A$456&amp;CHAR(10)&amp;IF(Checks!$I$456="","",Checks!$I$456&amp;": ")&amp;Checks!$J$456</f>
        <v>F14-T7-01
Meal: Meal sensory testing completed for this flight's menu cycle (assessed class)</v>
      </c>
      <c r="B23" s="113" t="str">
        <f aca="false">Checks!$K$456&amp;IF(Checks!$O$456="","",IF(Checks!$K$456="","",CHAR(10))&amp;"Note: "&amp;Checks!$O$456)</f>
        <v>Record panel result / score in Result</v>
      </c>
      <c r="C23" s="113" t="str">
        <f aca="false">Checks!$N$456&amp;CHAR(10)&amp;IF(ISNUMBER(Checks!$R$456),TEXT(Checks!$R$456,"DD-MMM-YY HH:MM"),"")&amp;" "&amp;Checks!$P$456</f>
        <v>Required
08-Oct-26 09:50 KUL</v>
      </c>
      <c r="D23" s="113" t="str">
        <f aca="false">IF(Checks!$U$456="","",Checks!$U$456)&amp;IF(Checks!$AB$456="","",CHAR(10)&amp;"CA: "&amp;Checks!$AB$456)</f>
        <v/>
      </c>
      <c r="E23" s="113" t="str">
        <f aca="false">IF(Checks!$V$456="","",Checks!$V$456)&amp;IF(Checks!$AC$456="","",IF(Checks!$V$456="","",CHAR(10))&amp;"N/A just.: "&amp;Checks!$AC$456)&amp;IF(Checks!$W$456="","",CHAR(10)&amp;"Batch: "&amp;Checks!$W$456)&amp;IF(AND(Checks!$X$456="",Checks!$Y$456=""),"",CHAR(10)&amp;"Exp: "&amp;Checks!$X$456&amp;"  /  Act: "&amp;Checks!$Y$456)</f>
        <v/>
      </c>
      <c r="F23" s="113" t="str">
        <f aca="false">IF(Checks!$Z$456="","","Evidence: "&amp;Checks!$Z$456)&amp;IF(Checks!$AA$456="","",IF(Checks!$Z$456="","",CHAR(10))&amp;"CA: "&amp;Checks!$AA$456)</f>
        <v/>
      </c>
      <c r="G23" s="113" t="str">
        <f aca="false">IF(ISNUMBER(Checks!$AD$456),TEXT(Checks!$AD$456,"DD-MMM-YY HH:MM")&amp;" "&amp;Checks!$P$456,"")&amp;IF(Checks!$AE$456="","",CHAR(10)&amp;"Verifier: "&amp;Checks!$AE$456)&amp;IF(Checks!$T$456="","",CHAR(10)&amp;"PIC: "&amp;Checks!$T$456)</f>
        <v/>
      </c>
      <c r="H23" s="114" t="str">
        <f aca="false">IF(Checks!$AH$456="","",Checks!$AH$456)</f>
        <v>OPEN</v>
      </c>
    </row>
    <row r="24" customFormat="false" ht="114" hidden="false" customHeight="true" outlineLevel="0" collapsed="false">
      <c r="A24" s="113" t="str">
        <f aca="false">Checks!$A$457&amp;CHAR(10)&amp;IF(Checks!$I$457="","",Checks!$I$457&amp;": ")&amp;Checks!$J$457</f>
        <v>F14-T7-02
Menu: Printed menu cards confirmed (content, cycle, language, quantity)</v>
      </c>
      <c r="B24" s="113" t="str">
        <f aca="false">Checks!$K$457&amp;IF(Checks!$O$457="","",IF(Checks!$K$457="","",CHAR(10))&amp;"Note: "&amp;Checks!$O$457)</f>
        <v>Menu card matches approved menu for this flight</v>
      </c>
      <c r="C24" s="113" t="str">
        <f aca="false">Checks!$N$457&amp;CHAR(10)&amp;IF(ISNUMBER(Checks!$R$457),TEXT(Checks!$R$457,"DD-MMM-YY HH:MM"),"")&amp;" "&amp;Checks!$P$457</f>
        <v>Required
08-Oct-26 09:50 KUL</v>
      </c>
      <c r="D24" s="113" t="str">
        <f aca="false">IF(Checks!$U$457="","",Checks!$U$457)&amp;IF(Checks!$AB$457="","",CHAR(10)&amp;"CA: "&amp;Checks!$AB$457)</f>
        <v/>
      </c>
      <c r="E24" s="113" t="str">
        <f aca="false">IF(Checks!$V$457="","",Checks!$V$457)&amp;IF(Checks!$AC$457="","",IF(Checks!$V$457="","",CHAR(10))&amp;"N/A just.: "&amp;Checks!$AC$457)&amp;IF(Checks!$W$457="","",CHAR(10)&amp;"Batch: "&amp;Checks!$W$457)&amp;IF(AND(Checks!$X$457="",Checks!$Y$457=""),"",CHAR(10)&amp;"Exp: "&amp;Checks!$X$457&amp;"  /  Act: "&amp;Checks!$Y$457)</f>
        <v/>
      </c>
      <c r="F24" s="113" t="str">
        <f aca="false">IF(Checks!$Z$457="","","Evidence: "&amp;Checks!$Z$457)&amp;IF(Checks!$AA$457="","",IF(Checks!$Z$457="","",CHAR(10))&amp;"CA: "&amp;Checks!$AA$457)</f>
        <v/>
      </c>
      <c r="G24" s="113" t="str">
        <f aca="false">IF(ISNUMBER(Checks!$AD$457),TEXT(Checks!$AD$457,"DD-MMM-YY HH:MM")&amp;" "&amp;Checks!$P$457,"")&amp;IF(Checks!$AE$457="","",CHAR(10)&amp;"Verifier: "&amp;Checks!$AE$457)&amp;IF(Checks!$T$457="","",CHAR(10)&amp;"PIC: "&amp;Checks!$T$457)</f>
        <v/>
      </c>
      <c r="H24" s="114" t="str">
        <f aca="false">IF(Checks!$AH$457="","",Checks!$AH$457)</f>
        <v>OPEN</v>
      </c>
    </row>
    <row r="25" customFormat="false" ht="114" hidden="false" customHeight="true" outlineLevel="0" collapsed="false">
      <c r="A25" s="113" t="str">
        <f aca="false">Checks!$A$458&amp;CHAR(10)&amp;IF(Checks!$I$458="","",Checks!$I$458&amp;": ")&amp;Checks!$J$458</f>
        <v>F14-T7-03
IFE: Digital menu in IFE confirmed (A339 only)</v>
      </c>
      <c r="B25" s="113" t="str">
        <f aca="false">Checks!$K$458&amp;IF(Checks!$O$458="","",IF(Checks!$K$458="","",CHAR(10))&amp;"Note: "&amp;Checks!$O$458)</f>
        <v>Applies when fleet = A339
Note: Digital IFE menu applies to A339 only (user brief). Applicability follows the Fleet cell on Flights.</v>
      </c>
      <c r="C25" s="113" t="str">
        <f aca="false">Checks!$N$458&amp;CHAR(10)&amp;IF(ISNUMBER(Checks!$R$458),TEXT(Checks!$R$458,"DD-MMM-YY HH:MM"),"")&amp;" "&amp;Checks!$P$458</f>
        <v>N/A – rule
08-Oct-26 09:50 KUL</v>
      </c>
      <c r="D25" s="113" t="str">
        <f aca="false">IF(Checks!$U$458="","",Checks!$U$458)&amp;IF(Checks!$AB$458="","",CHAR(10)&amp;"CA: "&amp;Checks!$AB$458)</f>
        <v/>
      </c>
      <c r="E25" s="113" t="str">
        <f aca="false">IF(Checks!$V$458="","",Checks!$V$458)&amp;IF(Checks!$AC$458="","",IF(Checks!$V$458="","",CHAR(10))&amp;"N/A just.: "&amp;Checks!$AC$458)&amp;IF(Checks!$W$458="","",CHAR(10)&amp;"Batch: "&amp;Checks!$W$458)&amp;IF(AND(Checks!$X$458="",Checks!$Y$458=""),"",CHAR(10)&amp;"Exp: "&amp;Checks!$X$458&amp;"  /  Act: "&amp;Checks!$Y$458)</f>
        <v/>
      </c>
      <c r="F25" s="113" t="str">
        <f aca="false">IF(Checks!$Z$458="","","Evidence: "&amp;Checks!$Z$458)&amp;IF(Checks!$AA$458="","",IF(Checks!$Z$458="","",CHAR(10))&amp;"CA: "&amp;Checks!$AA$458)</f>
        <v/>
      </c>
      <c r="G25" s="113" t="str">
        <f aca="false">IF(ISNUMBER(Checks!$AD$458),TEXT(Checks!$AD$458,"DD-MMM-YY HH:MM")&amp;" "&amp;Checks!$P$458,"")&amp;IF(Checks!$AE$458="","",CHAR(10)&amp;"Verifier: "&amp;Checks!$AE$458)&amp;IF(Checks!$T$458="","",CHAR(10)&amp;"PIC: "&amp;Checks!$T$458)</f>
        <v/>
      </c>
      <c r="H25" s="114" t="str">
        <f aca="false">IF(Checks!$AH$458="","",Checks!$AH$458)</f>
        <v>N/A – RULE</v>
      </c>
    </row>
    <row r="26" customFormat="false" ht="114" hidden="false" customHeight="true" outlineLevel="0" collapsed="false">
      <c r="A26" s="113" t="str">
        <f aca="false">Checks!$A$459&amp;CHAR(10)&amp;IF(Checks!$I$459="","",Checks!$I$459&amp;": ")&amp;Checks!$J$459</f>
        <v>F14-T7-04
Staffing: Experienced catering officer assigned to this flight</v>
      </c>
      <c r="B26" s="113" t="str">
        <f aca="false">Checks!$K$459&amp;IF(Checks!$O$459="","",IF(Checks!$K$459="","",CHAR(10))&amp;"Note: "&amp;Checks!$O$459)</f>
        <v>Record officer name in Result</v>
      </c>
      <c r="C26" s="113" t="str">
        <f aca="false">Checks!$N$459&amp;CHAR(10)&amp;IF(ISNUMBER(Checks!$R$459),TEXT(Checks!$R$459,"DD-MMM-YY HH:MM"),"")&amp;" "&amp;Checks!$P$459</f>
        <v>Required
08-Oct-26 09:50 KUL</v>
      </c>
      <c r="D26" s="113" t="str">
        <f aca="false">IF(Checks!$U$459="","",Checks!$U$459)&amp;IF(Checks!$AB$459="","",CHAR(10)&amp;"CA: "&amp;Checks!$AB$459)</f>
        <v/>
      </c>
      <c r="E26" s="113" t="str">
        <f aca="false">IF(Checks!$V$459="","",Checks!$V$459)&amp;IF(Checks!$AC$459="","",IF(Checks!$V$459="","",CHAR(10))&amp;"N/A just.: "&amp;Checks!$AC$459)&amp;IF(Checks!$W$459="","",CHAR(10)&amp;"Batch: "&amp;Checks!$W$459)&amp;IF(AND(Checks!$X$459="",Checks!$Y$459=""),"",CHAR(10)&amp;"Exp: "&amp;Checks!$X$459&amp;"  /  Act: "&amp;Checks!$Y$459)</f>
        <v/>
      </c>
      <c r="F26" s="113" t="str">
        <f aca="false">IF(Checks!$Z$459="","","Evidence: "&amp;Checks!$Z$459)&amp;IF(Checks!$AA$459="","",IF(Checks!$Z$459="","",CHAR(10))&amp;"CA: "&amp;Checks!$AA$459)</f>
        <v/>
      </c>
      <c r="G26" s="113" t="str">
        <f aca="false">IF(ISNUMBER(Checks!$AD$459),TEXT(Checks!$AD$459,"DD-MMM-YY HH:MM")&amp;" "&amp;Checks!$P$459,"")&amp;IF(Checks!$AE$459="","",CHAR(10)&amp;"Verifier: "&amp;Checks!$AE$459)&amp;IF(Checks!$T$459="","",CHAR(10)&amp;"PIC: "&amp;Checks!$T$459)</f>
        <v/>
      </c>
      <c r="H26" s="114" t="str">
        <f aca="false">IF(Checks!$AH$459="","",Checks!$AH$459)</f>
        <v>OPEN</v>
      </c>
    </row>
    <row r="27" customFormat="false" ht="114" hidden="false" customHeight="true" outlineLevel="0" collapsed="false">
      <c r="A27" s="113" t="str">
        <f aca="false">Checks!$A$460&amp;CHAR(10)&amp;IF(Checks!$I$460="","",Checks!$I$460&amp;": ")&amp;Checks!$J$460</f>
        <v>F14-T7-05
ISOP: All latest applicable ISOP revisions communicated to caterer</v>
      </c>
      <c r="B27" s="113" t="str">
        <f aca="false">Checks!$K$460&amp;IF(Checks!$O$460="","",IF(Checks!$K$460="","",CHAR(10))&amp;"Note: "&amp;Checks!$O$460)</f>
        <v>List revision numbers in Result (see ISOP register)</v>
      </c>
      <c r="C27" s="113" t="str">
        <f aca="false">Checks!$N$460&amp;CHAR(10)&amp;IF(ISNUMBER(Checks!$R$460),TEXT(Checks!$R$460,"DD-MMM-YY HH:MM"),"")&amp;" "&amp;Checks!$P$460</f>
        <v>Required
08-Oct-26 09:50 KUL</v>
      </c>
      <c r="D27" s="113" t="str">
        <f aca="false">IF(Checks!$U$460="","",Checks!$U$460)&amp;IF(Checks!$AB$460="","",CHAR(10)&amp;"CA: "&amp;Checks!$AB$460)</f>
        <v/>
      </c>
      <c r="E27" s="113" t="str">
        <f aca="false">IF(Checks!$V$460="","",Checks!$V$460)&amp;IF(Checks!$AC$460="","",IF(Checks!$V$460="","",CHAR(10))&amp;"N/A just.: "&amp;Checks!$AC$460)&amp;IF(Checks!$W$460="","",CHAR(10)&amp;"Batch: "&amp;Checks!$W$460)&amp;IF(AND(Checks!$X$460="",Checks!$Y$460=""),"",CHAR(10)&amp;"Exp: "&amp;Checks!$X$460&amp;"  /  Act: "&amp;Checks!$Y$460)</f>
        <v/>
      </c>
      <c r="F27" s="113" t="str">
        <f aca="false">IF(Checks!$Z$460="","","Evidence: "&amp;Checks!$Z$460)&amp;IF(Checks!$AA$460="","",IF(Checks!$Z$460="","",CHAR(10))&amp;"CA: "&amp;Checks!$AA$460)</f>
        <v/>
      </c>
      <c r="G27" s="113" t="str">
        <f aca="false">IF(ISNUMBER(Checks!$AD$460),TEXT(Checks!$AD$460,"DD-MMM-YY HH:MM")&amp;" "&amp;Checks!$P$460,"")&amp;IF(Checks!$AE$460="","",CHAR(10)&amp;"Verifier: "&amp;Checks!$AE$460)&amp;IF(Checks!$T$460="","",CHAR(10)&amp;"PIC: "&amp;Checks!$T$460)</f>
        <v/>
      </c>
      <c r="H27" s="114" t="str">
        <f aca="false">IF(Checks!$AH$460="","",Checks!$AH$460)</f>
        <v>OPEN</v>
      </c>
    </row>
    <row r="28" customFormat="false" ht="114" hidden="false" customHeight="true" outlineLevel="0" collapsed="false">
      <c r="A28" s="113" t="str">
        <f aca="false">Checks!$A$461&amp;CHAR(10)&amp;IF(Checks!$I$461="","",Checks!$I$461&amp;": ")&amp;Checks!$J$461</f>
        <v>F14-T7-06
ISOP: Caterer acknowledgement of ISOP revisions recorded</v>
      </c>
      <c r="B28" s="113" t="str">
        <f aca="false">Checks!$K$461&amp;IF(Checks!$O$461="","",IF(Checks!$K$461="","",CHAR(10))&amp;"Note: "&amp;Checks!$O$461)</f>
        <v>Record acknowledgement ref in Evidence</v>
      </c>
      <c r="C28" s="113" t="str">
        <f aca="false">Checks!$N$461&amp;CHAR(10)&amp;IF(ISNUMBER(Checks!$R$461),TEXT(Checks!$R$461,"DD-MMM-YY HH:MM"),"")&amp;" "&amp;Checks!$P$461</f>
        <v>Required
08-Oct-26 09:50 KUL</v>
      </c>
      <c r="D28" s="113" t="str">
        <f aca="false">IF(Checks!$U$461="","",Checks!$U$461)&amp;IF(Checks!$AB$461="","",CHAR(10)&amp;"CA: "&amp;Checks!$AB$461)</f>
        <v/>
      </c>
      <c r="E28" s="113" t="str">
        <f aca="false">IF(Checks!$V$461="","",Checks!$V$461)&amp;IF(Checks!$AC$461="","",IF(Checks!$V$461="","",CHAR(10))&amp;"N/A just.: "&amp;Checks!$AC$461)&amp;IF(Checks!$W$461="","",CHAR(10)&amp;"Batch: "&amp;Checks!$W$461)&amp;IF(AND(Checks!$X$461="",Checks!$Y$461=""),"",CHAR(10)&amp;"Exp: "&amp;Checks!$X$461&amp;"  /  Act: "&amp;Checks!$Y$461)</f>
        <v/>
      </c>
      <c r="F28" s="113" t="str">
        <f aca="false">IF(Checks!$Z$461="","","Evidence: "&amp;Checks!$Z$461)&amp;IF(Checks!$AA$461="","",IF(Checks!$Z$461="","",CHAR(10))&amp;"CA: "&amp;Checks!$AA$461)</f>
        <v/>
      </c>
      <c r="G28" s="113" t="str">
        <f aca="false">IF(ISNUMBER(Checks!$AD$461),TEXT(Checks!$AD$461,"DD-MMM-YY HH:MM")&amp;" "&amp;Checks!$P$461,"")&amp;IF(Checks!$AE$461="","",CHAR(10)&amp;"Verifier: "&amp;Checks!$AE$461)&amp;IF(Checks!$T$461="","",CHAR(10)&amp;"PIC: "&amp;Checks!$T$461)</f>
        <v/>
      </c>
      <c r="H28" s="114" t="str">
        <f aca="false">IF(Checks!$AH$461="","",Checks!$AH$461)</f>
        <v>OPEN</v>
      </c>
    </row>
    <row r="29" customFormat="false" ht="114" hidden="false" customHeight="true" outlineLevel="0" collapsed="false">
      <c r="A29" s="113" t="str">
        <f aca="false">Checks!$A$462&amp;CHAR(10)&amp;IF(Checks!$I$462="","",Checks!$I$462&amp;": ")&amp;Checks!$J$462</f>
        <v>F14-T7-07
Documents: Galley loading diagram (GLD) received, revision recorded &amp; attached</v>
      </c>
      <c r="B29" s="113" t="str">
        <f aca="false">Checks!$K$462&amp;IF(Checks!$O$462="","",IF(Checks!$K$462="","",CHAR(10))&amp;"Note: "&amp;Checks!$O$462)</f>
        <v>Documents sheet row complete</v>
      </c>
      <c r="C29" s="113" t="str">
        <f aca="false">Checks!$N$462&amp;CHAR(10)&amp;IF(ISNUMBER(Checks!$R$462),TEXT(Checks!$R$462,"DD-MMM-YY HH:MM"),"")&amp;" "&amp;Checks!$P$462</f>
        <v>Required
08-Oct-26 09:50 KUL</v>
      </c>
      <c r="D29" s="113" t="str">
        <f aca="false">IF(Checks!$U$462="","",Checks!$U$462)&amp;IF(Checks!$AB$462="","",CHAR(10)&amp;"CA: "&amp;Checks!$AB$462)</f>
        <v/>
      </c>
      <c r="E29" s="113" t="str">
        <f aca="false">IF(Checks!$V$462="","",Checks!$V$462)&amp;IF(Checks!$AC$462="","",IF(Checks!$V$462="","",CHAR(10))&amp;"N/A just.: "&amp;Checks!$AC$462)&amp;IF(Checks!$W$462="","",CHAR(10)&amp;"Batch: "&amp;Checks!$W$462)&amp;IF(AND(Checks!$X$462="",Checks!$Y$462=""),"",CHAR(10)&amp;"Exp: "&amp;Checks!$X$462&amp;"  /  Act: "&amp;Checks!$Y$462)</f>
        <v/>
      </c>
      <c r="F29" s="113" t="str">
        <f aca="false">IF(Checks!$Z$462="","","Evidence: "&amp;Checks!$Z$462)&amp;IF(Checks!$AA$462="","",IF(Checks!$Z$462="","",CHAR(10))&amp;"CA: "&amp;Checks!$AA$462)</f>
        <v/>
      </c>
      <c r="G29" s="113" t="str">
        <f aca="false">IF(ISNUMBER(Checks!$AD$462),TEXT(Checks!$AD$462,"DD-MMM-YY HH:MM")&amp;" "&amp;Checks!$P$462,"")&amp;IF(Checks!$AE$462="","",CHAR(10)&amp;"Verifier: "&amp;Checks!$AE$462)&amp;IF(Checks!$T$462="","",CHAR(10)&amp;"PIC: "&amp;Checks!$T$462)</f>
        <v/>
      </c>
      <c r="H29" s="114" t="str">
        <f aca="false">IF(Checks!$AH$462="","",Checks!$AH$462)</f>
        <v>OPEN</v>
      </c>
    </row>
    <row r="30" customFormat="false" ht="114" hidden="false" customHeight="true" outlineLevel="0" collapsed="false">
      <c r="A30" s="113" t="str">
        <f aca="false">Checks!$A$463&amp;CHAR(10)&amp;IF(Checks!$I$463="","",Checks!$I$463&amp;": ")&amp;Checks!$J$463</f>
        <v>F14-T7-08
Documents: Menu checklist received, revision recorded &amp; attached</v>
      </c>
      <c r="B30" s="113" t="str">
        <f aca="false">Checks!$K$463&amp;IF(Checks!$O$463="","",IF(Checks!$K$463="","",CHAR(10))&amp;"Note: "&amp;Checks!$O$463)</f>
        <v>Documents sheet row complete</v>
      </c>
      <c r="C30" s="113" t="str">
        <f aca="false">Checks!$N$463&amp;CHAR(10)&amp;IF(ISNUMBER(Checks!$R$463),TEXT(Checks!$R$463,"DD-MMM-YY HH:MM"),"")&amp;" "&amp;Checks!$P$463</f>
        <v>Required
08-Oct-26 09:50 KUL</v>
      </c>
      <c r="D30" s="113" t="str">
        <f aca="false">IF(Checks!$U$463="","",Checks!$U$463)&amp;IF(Checks!$AB$463="","",CHAR(10)&amp;"CA: "&amp;Checks!$AB$463)</f>
        <v/>
      </c>
      <c r="E30" s="113" t="str">
        <f aca="false">IF(Checks!$V$463="","",Checks!$V$463)&amp;IF(Checks!$AC$463="","",IF(Checks!$V$463="","",CHAR(10))&amp;"N/A just.: "&amp;Checks!$AC$463)&amp;IF(Checks!$W$463="","",CHAR(10)&amp;"Batch: "&amp;Checks!$W$463)&amp;IF(AND(Checks!$X$463="",Checks!$Y$463=""),"",CHAR(10)&amp;"Exp: "&amp;Checks!$X$463&amp;"  /  Act: "&amp;Checks!$Y$463)</f>
        <v/>
      </c>
      <c r="F30" s="113" t="str">
        <f aca="false">IF(Checks!$Z$463="","","Evidence: "&amp;Checks!$Z$463)&amp;IF(Checks!$AA$463="","",IF(Checks!$Z$463="","",CHAR(10))&amp;"CA: "&amp;Checks!$AA$463)</f>
        <v/>
      </c>
      <c r="G30" s="113" t="str">
        <f aca="false">IF(ISNUMBER(Checks!$AD$463),TEXT(Checks!$AD$463,"DD-MMM-YY HH:MM")&amp;" "&amp;Checks!$P$463,"")&amp;IF(Checks!$AE$463="","",CHAR(10)&amp;"Verifier: "&amp;Checks!$AE$463)&amp;IF(Checks!$T$463="","",CHAR(10)&amp;"PIC: "&amp;Checks!$T$463)</f>
        <v/>
      </c>
      <c r="H30" s="114" t="str">
        <f aca="false">IF(Checks!$AH$463="","",Checks!$AH$463)</f>
        <v>OPEN</v>
      </c>
    </row>
    <row r="31" customFormat="false" ht="114" hidden="false" customHeight="true" outlineLevel="0" collapsed="false">
      <c r="A31" s="113" t="str">
        <f aca="false">Checks!$A$464&amp;CHAR(10)&amp;IF(Checks!$I$464="","",Checks!$I$464&amp;": ")&amp;Checks!$J$464</f>
        <v>F14-T7-09
Uplift plan: Uplift plan confirmed with caterer vs STD Uplift Information</v>
      </c>
      <c r="B31" s="113" t="str">
        <f aca="false">Checks!$K$464&amp;IF(Checks!$O$464="","",IF(Checks!$K$464="","",CHAR(10))&amp;"Note: "&amp;Checks!$O$464)</f>
        <v>Service: 2.5 Meal (Meal); meal uplift stn KUL (ref lists KUL/LHR)</v>
      </c>
      <c r="C31" s="113" t="str">
        <f aca="false">Checks!$N$464&amp;CHAR(10)&amp;IF(ISNUMBER(Checks!$R$464),TEXT(Checks!$R$464,"DD-MMM-YY HH:MM"),"")&amp;" "&amp;Checks!$P$464</f>
        <v>Required
08-Oct-26 09:50 KUL</v>
      </c>
      <c r="D31" s="113" t="str">
        <f aca="false">IF(Checks!$U$464="","",Checks!$U$464)&amp;IF(Checks!$AB$464="","",CHAR(10)&amp;"CA: "&amp;Checks!$AB$464)</f>
        <v/>
      </c>
      <c r="E31" s="113" t="str">
        <f aca="false">IF(Checks!$V$464="","",Checks!$V$464)&amp;IF(Checks!$AC$464="","",IF(Checks!$V$464="","",CHAR(10))&amp;"N/A just.: "&amp;Checks!$AC$464)&amp;IF(Checks!$W$464="","",CHAR(10)&amp;"Batch: "&amp;Checks!$W$464)&amp;IF(AND(Checks!$X$464="",Checks!$Y$464=""),"",CHAR(10)&amp;"Exp: "&amp;Checks!$X$464&amp;"  /  Act: "&amp;Checks!$Y$464)</f>
        <v/>
      </c>
      <c r="F31" s="113" t="str">
        <f aca="false">IF(Checks!$Z$464="","","Evidence: "&amp;Checks!$Z$464)&amp;IF(Checks!$AA$464="","",IF(Checks!$Z$464="","",CHAR(10))&amp;"CA: "&amp;Checks!$AA$464)</f>
        <v/>
      </c>
      <c r="G31" s="113" t="str">
        <f aca="false">IF(ISNUMBER(Checks!$AD$464),TEXT(Checks!$AD$464,"DD-MMM-YY HH:MM")&amp;" "&amp;Checks!$P$464,"")&amp;IF(Checks!$AE$464="","",CHAR(10)&amp;"Verifier: "&amp;Checks!$AE$464)&amp;IF(Checks!$T$464="","",CHAR(10)&amp;"PIC: "&amp;Checks!$T$464)</f>
        <v/>
      </c>
      <c r="H31" s="114" t="str">
        <f aca="false">IF(Checks!$AH$464="","",Checks!$AH$464)</f>
        <v>OPEN</v>
      </c>
    </row>
    <row r="32" customFormat="false" ht="25.5" hidden="false" customHeight="true" outlineLevel="0" collapsed="false">
      <c r="A32" s="112"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Checks!$A$465&amp;CHAR(10)&amp;IF(Checks!$I$465="","",Checks!$I$465&amp;": ")&amp;Checks!$J$465</f>
        <v>F14-T24-01
Meal: Sensory test repeated on ACTUAL production batch for this flight</v>
      </c>
      <c r="B33" s="113" t="str">
        <f aca="false">Checks!$K$465&amp;IF(Checks!$O$465="","",IF(Checks!$K$465="","",CHAR(10))&amp;"Note: "&amp;Checks!$O$465)</f>
        <v>Batch ID, result, CA and acceptance mandatory</v>
      </c>
      <c r="C33" s="113" t="str">
        <f aca="false">Checks!$N$465&amp;CHAR(10)&amp;IF(ISNUMBER(Checks!$R$465),TEXT(Checks!$R$465,"DD-MMM-YY HH:MM"),"")&amp;" "&amp;Checks!$P$465</f>
        <v>Required
14-Oct-26 09:50 KUL</v>
      </c>
      <c r="D33" s="113" t="str">
        <f aca="false">IF(Checks!$U$465="","",Checks!$U$465)&amp;IF(Checks!$AB$465="","",CHAR(10)&amp;"CA: "&amp;Checks!$AB$465)</f>
        <v/>
      </c>
      <c r="E33" s="113" t="str">
        <f aca="false">IF(Checks!$V$465="","",Checks!$V$465)&amp;IF(Checks!$AC$465="","",IF(Checks!$V$465="","",CHAR(10))&amp;"N/A just.: "&amp;Checks!$AC$465)&amp;IF(Checks!$W$465="","",CHAR(10)&amp;"Batch: "&amp;Checks!$W$465)&amp;IF(AND(Checks!$X$465="",Checks!$Y$465=""),"",CHAR(10)&amp;"Exp: "&amp;Checks!$X$465&amp;"  /  Act: "&amp;Checks!$Y$465)</f>
        <v/>
      </c>
      <c r="F33" s="113" t="str">
        <f aca="false">IF(Checks!$Z$465="","","Evidence: "&amp;Checks!$Z$465)&amp;IF(Checks!$AA$465="","",IF(Checks!$Z$465="","",CHAR(10))&amp;"CA: "&amp;Checks!$AA$465)</f>
        <v/>
      </c>
      <c r="G33" s="113" t="str">
        <f aca="false">IF(ISNUMBER(Checks!$AD$465),TEXT(Checks!$AD$465,"DD-MMM-YY HH:MM")&amp;" "&amp;Checks!$P$465,"")&amp;IF(Checks!$AE$465="","",CHAR(10)&amp;"Verifier: "&amp;Checks!$AE$465)&amp;IF(Checks!$T$465="","",CHAR(10)&amp;"PIC: "&amp;Checks!$T$465)</f>
        <v/>
      </c>
      <c r="H33" s="114" t="str">
        <f aca="false">IF(Checks!$AH$465="","",Checks!$AH$465)</f>
        <v>OPEN</v>
      </c>
    </row>
    <row r="34" customFormat="false" ht="25.5" hidden="false" customHeight="true" outlineLevel="0" collapsed="false">
      <c r="A34" s="112"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2"/>
      <c r="C34" s="112"/>
      <c r="D34" s="112"/>
      <c r="E34" s="112"/>
      <c r="F34" s="112"/>
      <c r="G34" s="112"/>
      <c r="H34" s="112"/>
    </row>
    <row r="35" customFormat="false" ht="114" hidden="false" customHeight="true" outlineLevel="0" collapsed="false">
      <c r="A35" s="113" t="str">
        <f aca="false">Checks!$A$466&amp;CHAR(10)&amp;IF(Checks!$I$466="","",Checks!$I$466&amp;": ")&amp;Checks!$J$466</f>
        <v>F14-T12-01
Meal: Meal quality vs menu checklist</v>
      </c>
      <c r="B35" s="113" t="str">
        <f aca="false">Checks!$K$466&amp;IF(Checks!$O$466="","",IF(Checks!$K$466="","",CHAR(10))&amp;"Note: "&amp;Checks!$O$466)</f>
        <v>Note: Preparation check at caterer - does NOT confirm loading.</v>
      </c>
      <c r="C35" s="113" t="str">
        <f aca="false">Checks!$N$466&amp;CHAR(10)&amp;IF(ISNUMBER(Checks!$R$466),TEXT(Checks!$R$466,"DD-MMM-YY HH:MM"),"")&amp;" "&amp;Checks!$P$466</f>
        <v>Required
14-Oct-26 21:50 KUL</v>
      </c>
      <c r="D35" s="113" t="str">
        <f aca="false">IF(Checks!$U$466="","",Checks!$U$466)&amp;IF(Checks!$AB$466="","",CHAR(10)&amp;"CA: "&amp;Checks!$AB$466)</f>
        <v/>
      </c>
      <c r="E35" s="113" t="str">
        <f aca="false">IF(Checks!$V$466="","",Checks!$V$466)&amp;IF(Checks!$AC$466="","",IF(Checks!$V$466="","",CHAR(10))&amp;"N/A just.: "&amp;Checks!$AC$466)&amp;IF(Checks!$W$466="","",CHAR(10)&amp;"Batch: "&amp;Checks!$W$466)&amp;IF(AND(Checks!$X$466="",Checks!$Y$466=""),"",CHAR(10)&amp;"Exp: "&amp;Checks!$X$466&amp;"  /  Act: "&amp;Checks!$Y$466)</f>
        <v/>
      </c>
      <c r="F35" s="113" t="str">
        <f aca="false">IF(Checks!$Z$466="","","Evidence: "&amp;Checks!$Z$466)&amp;IF(Checks!$AA$466="","",IF(Checks!$Z$466="","",CHAR(10))&amp;"CA: "&amp;Checks!$AA$466)</f>
        <v/>
      </c>
      <c r="G35" s="113" t="str">
        <f aca="false">IF(ISNUMBER(Checks!$AD$466),TEXT(Checks!$AD$466,"DD-MMM-YY HH:MM")&amp;" "&amp;Checks!$P$466,"")&amp;IF(Checks!$AE$466="","",CHAR(10)&amp;"Verifier: "&amp;Checks!$AE$466)&amp;IF(Checks!$T$466="","",CHAR(10)&amp;"PIC: "&amp;Checks!$T$466)</f>
        <v/>
      </c>
      <c r="H35" s="114" t="str">
        <f aca="false">IF(Checks!$AH$466="","",Checks!$AH$466)</f>
        <v>OPEN</v>
      </c>
    </row>
    <row r="36" customFormat="false" ht="114" hidden="false" customHeight="true" outlineLevel="0" collapsed="false">
      <c r="A36" s="113" t="str">
        <f aca="false">Checks!$A$467&amp;CHAR(10)&amp;IF(Checks!$I$467="","",Checks!$I$467&amp;": ")&amp;Checks!$J$467</f>
        <v>F14-T12-02
Meal: Meal quantities vs menu checklist</v>
      </c>
      <c r="B36" s="113" t="str">
        <f aca="false">Checks!$K$467&amp;IF(Checks!$O$467="","",IF(Checks!$K$467="","",CHAR(10))&amp;"Note: "&amp;Checks!$O$467)</f>
        <v>Enter expected &amp; actual
Note: Preparation check at caterer - does NOT confirm loading.</v>
      </c>
      <c r="C36" s="113" t="str">
        <f aca="false">Checks!$N$467&amp;CHAR(10)&amp;IF(ISNUMBER(Checks!$R$467),TEXT(Checks!$R$467,"DD-MMM-YY HH:MM"),"")&amp;" "&amp;Checks!$P$467</f>
        <v>Required
14-Oct-26 21:50 KUL</v>
      </c>
      <c r="D36" s="113" t="str">
        <f aca="false">IF(Checks!$U$467="","",Checks!$U$467)&amp;IF(Checks!$AB$467="","",CHAR(10)&amp;"CA: "&amp;Checks!$AB$467)</f>
        <v/>
      </c>
      <c r="E36" s="113" t="str">
        <f aca="false">IF(Checks!$V$467="","",Checks!$V$467)&amp;IF(Checks!$AC$467="","",IF(Checks!$V$467="","",CHAR(10))&amp;"N/A just.: "&amp;Checks!$AC$467)&amp;IF(Checks!$W$467="","",CHAR(10)&amp;"Batch: "&amp;Checks!$W$467)&amp;IF(AND(Checks!$X$467="",Checks!$Y$467=""),"",CHAR(10)&amp;"Exp: "&amp;Checks!$X$467&amp;"  /  Act: "&amp;Checks!$Y$467)</f>
        <v/>
      </c>
      <c r="F36" s="113" t="str">
        <f aca="false">IF(Checks!$Z$467="","","Evidence: "&amp;Checks!$Z$467)&amp;IF(Checks!$AA$467="","",IF(Checks!$Z$467="","",CHAR(10))&amp;"CA: "&amp;Checks!$AA$467)</f>
        <v/>
      </c>
      <c r="G36" s="113" t="str">
        <f aca="false">IF(ISNUMBER(Checks!$AD$467),TEXT(Checks!$AD$467,"DD-MMM-YY HH:MM")&amp;" "&amp;Checks!$P$467,"")&amp;IF(Checks!$AE$467="","",CHAR(10)&amp;"Verifier: "&amp;Checks!$AE$467)&amp;IF(Checks!$T$467="","",CHAR(10)&amp;"PIC: "&amp;Checks!$T$467)</f>
        <v/>
      </c>
      <c r="H36" s="114" t="str">
        <f aca="false">IF(Checks!$AH$467="","",Checks!$AH$467)</f>
        <v>OPEN</v>
      </c>
    </row>
    <row r="37" customFormat="false" ht="114" hidden="false" customHeight="true" outlineLevel="0" collapsed="false">
      <c r="A37" s="113" t="str">
        <f aca="false">Checks!$A$468&amp;CHAR(10)&amp;IF(Checks!$I$468="","",Checks!$I$468&amp;": ")&amp;Checks!$J$468</f>
        <v>F14-T12-03
Equipment: Equipment cleanliness vs GLD</v>
      </c>
      <c r="B37" s="113" t="str">
        <f aca="false">Checks!$K$468&amp;IF(Checks!$O$468="","",IF(Checks!$K$468="","",CHAR(10))&amp;"Note: "&amp;Checks!$O$468)</f>
        <v>Note: Preparation check at caterer - does NOT confirm loading.</v>
      </c>
      <c r="C37" s="113" t="str">
        <f aca="false">Checks!$N$468&amp;CHAR(10)&amp;IF(ISNUMBER(Checks!$R$468),TEXT(Checks!$R$468,"DD-MMM-YY HH:MM"),"")&amp;" "&amp;Checks!$P$468</f>
        <v>Required
14-Oct-26 21:50 KUL</v>
      </c>
      <c r="D37" s="113" t="str">
        <f aca="false">IF(Checks!$U$468="","",Checks!$U$468)&amp;IF(Checks!$AB$468="","",CHAR(10)&amp;"CA: "&amp;Checks!$AB$468)</f>
        <v/>
      </c>
      <c r="E37" s="113" t="str">
        <f aca="false">IF(Checks!$V$468="","",Checks!$V$468)&amp;IF(Checks!$AC$468="","",IF(Checks!$V$468="","",CHAR(10))&amp;"N/A just.: "&amp;Checks!$AC$468)&amp;IF(Checks!$W$468="","",CHAR(10)&amp;"Batch: "&amp;Checks!$W$468)&amp;IF(AND(Checks!$X$468="",Checks!$Y$468=""),"",CHAR(10)&amp;"Exp: "&amp;Checks!$X$468&amp;"  /  Act: "&amp;Checks!$Y$468)</f>
        <v/>
      </c>
      <c r="F37" s="113" t="str">
        <f aca="false">IF(Checks!$Z$468="","","Evidence: "&amp;Checks!$Z$468)&amp;IF(Checks!$AA$468="","",IF(Checks!$Z$468="","",CHAR(10))&amp;"CA: "&amp;Checks!$AA$468)</f>
        <v/>
      </c>
      <c r="G37" s="113" t="str">
        <f aca="false">IF(ISNUMBER(Checks!$AD$468),TEXT(Checks!$AD$468,"DD-MMM-YY HH:MM")&amp;" "&amp;Checks!$P$468,"")&amp;IF(Checks!$AE$468="","",CHAR(10)&amp;"Verifier: "&amp;Checks!$AE$468)&amp;IF(Checks!$T$468="","",CHAR(10)&amp;"PIC: "&amp;Checks!$T$468)</f>
        <v/>
      </c>
      <c r="H37" s="114" t="str">
        <f aca="false">IF(Checks!$AH$468="","",Checks!$AH$468)</f>
        <v>OPEN</v>
      </c>
    </row>
    <row r="38" customFormat="false" ht="114" hidden="false" customHeight="true" outlineLevel="0" collapsed="false">
      <c r="A38" s="113" t="str">
        <f aca="false">Checks!$A$469&amp;CHAR(10)&amp;IF(Checks!$I$469="","",Checks!$I$469&amp;": ")&amp;Checks!$J$469</f>
        <v>F14-T12-04
Equipment: Equipment presentation vs GLD</v>
      </c>
      <c r="B38" s="113" t="str">
        <f aca="false">Checks!$K$469&amp;IF(Checks!$O$469="","",IF(Checks!$K$469="","",CHAR(10))&amp;"Note: "&amp;Checks!$O$469)</f>
        <v>Note: Preparation check at caterer - does NOT confirm loading.</v>
      </c>
      <c r="C38" s="113" t="str">
        <f aca="false">Checks!$N$469&amp;CHAR(10)&amp;IF(ISNUMBER(Checks!$R$469),TEXT(Checks!$R$469,"DD-MMM-YY HH:MM"),"")&amp;" "&amp;Checks!$P$469</f>
        <v>Required
14-Oct-26 21:50 KUL</v>
      </c>
      <c r="D38" s="113" t="str">
        <f aca="false">IF(Checks!$U$469="","",Checks!$U$469)&amp;IF(Checks!$AB$469="","",CHAR(10)&amp;"CA: "&amp;Checks!$AB$469)</f>
        <v/>
      </c>
      <c r="E38" s="113" t="str">
        <f aca="false">IF(Checks!$V$469="","",Checks!$V$469)&amp;IF(Checks!$AC$469="","",IF(Checks!$V$469="","",CHAR(10))&amp;"N/A just.: "&amp;Checks!$AC$469)&amp;IF(Checks!$W$469="","",CHAR(10)&amp;"Batch: "&amp;Checks!$W$469)&amp;IF(AND(Checks!$X$469="",Checks!$Y$469=""),"",CHAR(10)&amp;"Exp: "&amp;Checks!$X$469&amp;"  /  Act: "&amp;Checks!$Y$469)</f>
        <v/>
      </c>
      <c r="F38" s="113" t="str">
        <f aca="false">IF(Checks!$Z$469="","","Evidence: "&amp;Checks!$Z$469)&amp;IF(Checks!$AA$469="","",IF(Checks!$Z$469="","",CHAR(10))&amp;"CA: "&amp;Checks!$AA$469)</f>
        <v/>
      </c>
      <c r="G38" s="113" t="str">
        <f aca="false">IF(ISNUMBER(Checks!$AD$469),TEXT(Checks!$AD$469,"DD-MMM-YY HH:MM")&amp;" "&amp;Checks!$P$469,"")&amp;IF(Checks!$AE$469="","",CHAR(10)&amp;"Verifier: "&amp;Checks!$AE$469)&amp;IF(Checks!$T$469="","",CHAR(10)&amp;"PIC: "&amp;Checks!$T$469)</f>
        <v/>
      </c>
      <c r="H38" s="114" t="str">
        <f aca="false">IF(Checks!$AH$469="","",Checks!$AH$469)</f>
        <v>OPEN</v>
      </c>
    </row>
    <row r="39" customFormat="false" ht="114" hidden="false" customHeight="true" outlineLevel="0" collapsed="false">
      <c r="A39" s="113" t="str">
        <f aca="false">Checks!$A$470&amp;CHAR(10)&amp;IF(Checks!$I$470="","",Checks!$I$470&amp;": ")&amp;Checks!$J$470</f>
        <v>F14-T12-05
Equipment: Equipment serviceability vs GLD</v>
      </c>
      <c r="B39" s="113" t="str">
        <f aca="false">Checks!$K$470&amp;IF(Checks!$O$470="","",IF(Checks!$K$470="","",CHAR(10))&amp;"Note: "&amp;Checks!$O$470)</f>
        <v>Note: Preparation check at caterer - does NOT confirm loading.</v>
      </c>
      <c r="C39" s="113" t="str">
        <f aca="false">Checks!$N$470&amp;CHAR(10)&amp;IF(ISNUMBER(Checks!$R$470),TEXT(Checks!$R$470,"DD-MMM-YY HH:MM"),"")&amp;" "&amp;Checks!$P$470</f>
        <v>Required
14-Oct-26 21:50 KUL</v>
      </c>
      <c r="D39" s="113" t="str">
        <f aca="false">IF(Checks!$U$470="","",Checks!$U$470)&amp;IF(Checks!$AB$470="","",CHAR(10)&amp;"CA: "&amp;Checks!$AB$470)</f>
        <v/>
      </c>
      <c r="E39" s="113" t="str">
        <f aca="false">IF(Checks!$V$470="","",Checks!$V$470)&amp;IF(Checks!$AC$470="","",IF(Checks!$V$470="","",CHAR(10))&amp;"N/A just.: "&amp;Checks!$AC$470)&amp;IF(Checks!$W$470="","",CHAR(10)&amp;"Batch: "&amp;Checks!$W$470)&amp;IF(AND(Checks!$X$470="",Checks!$Y$470=""),"",CHAR(10)&amp;"Exp: "&amp;Checks!$X$470&amp;"  /  Act: "&amp;Checks!$Y$470)</f>
        <v/>
      </c>
      <c r="F39" s="113" t="str">
        <f aca="false">IF(Checks!$Z$470="","","Evidence: "&amp;Checks!$Z$470)&amp;IF(Checks!$AA$470="","",IF(Checks!$Z$470="","",CHAR(10))&amp;"CA: "&amp;Checks!$AA$470)</f>
        <v/>
      </c>
      <c r="G39" s="113" t="str">
        <f aca="false">IF(ISNUMBER(Checks!$AD$470),TEXT(Checks!$AD$470,"DD-MMM-YY HH:MM")&amp;" "&amp;Checks!$P$470,"")&amp;IF(Checks!$AE$470="","",CHAR(10)&amp;"Verifier: "&amp;Checks!$AE$470)&amp;IF(Checks!$T$470="","",CHAR(10)&amp;"PIC: "&amp;Checks!$T$470)</f>
        <v/>
      </c>
      <c r="H39" s="114" t="str">
        <f aca="false">IF(Checks!$AH$470="","",Checks!$AH$470)</f>
        <v>OPEN</v>
      </c>
    </row>
    <row r="40" customFormat="false" ht="322.5" hidden="false" customHeight="true" outlineLevel="0" collapsed="false">
      <c r="A40" s="113" t="str">
        <f aca="false">Checks!$A$471&amp;CHAR(10)&amp;IF(Checks!$I$471="","",Checks!$I$471&amp;": ")&amp;Checks!$J$471</f>
        <v>F14-T12-06
Equipment: Equipment quantities vs GLD</v>
      </c>
      <c r="B40" s="113" t="str">
        <f aca="false">SUBSTITUTE(Checks!$K$471&amp;IF(Checks!$O$471="","",IF(Checks!$K$471="","",CHAR(10))&amp;"Note: "&amp;Checks!$O$471),"AIRCRAFT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Checks!$N$471&amp;CHAR(10)&amp;IF(ISNUMBER(Checks!$R$471),TEXT(Checks!$R$471,"DD-MMM-YY HH:MM"),"")&amp;" "&amp;Checks!$P$471</f>
        <v>Required
14-Oct-26 21:50 KUL</v>
      </c>
      <c r="D40" s="113" t="str">
        <f aca="false">IF(Checks!$U$471="","",Checks!$U$471)&amp;IF(Checks!$AB$471="","",CHAR(10)&amp;"CA: "&amp;Checks!$AB$471)</f>
        <v/>
      </c>
      <c r="E40" s="113" t="str">
        <f aca="false">IF(Checks!$V$471="","",Checks!$V$471)&amp;IF(Checks!$AC$471="","",IF(Checks!$V$471="","",CHAR(10))&amp;"N/A just.: "&amp;Checks!$AC$471)&amp;IF(Checks!$W$471="","",CHAR(10)&amp;"Batch: "&amp;Checks!$W$471)&amp;IF(AND(Checks!$X$471="",Checks!$Y$471=""),"",CHAR(10)&amp;"Exp: "&amp;Checks!$X$471&amp;"  /  Act: "&amp;Checks!$Y$471)</f>
        <v/>
      </c>
      <c r="F40" s="113" t="str">
        <f aca="false">IF(Checks!$Z$471="","","Evidence: "&amp;Checks!$Z$471)&amp;IF(Checks!$AA$471="","",IF(Checks!$Z$471="","",CHAR(10))&amp;"CA: "&amp;Checks!$AA$471)</f>
        <v/>
      </c>
      <c r="G40" s="113" t="str">
        <f aca="false">IF(ISNUMBER(Checks!$AD$471),TEXT(Checks!$AD$471,"DD-MMM-YY HH:MM")&amp;" "&amp;Checks!$P$471,"")&amp;IF(Checks!$AE$471="","",CHAR(10)&amp;"Verifier: "&amp;Checks!$AE$471)&amp;IF(Checks!$T$471="","",CHAR(10)&amp;"PIC: "&amp;Checks!$T$471)</f>
        <v/>
      </c>
      <c r="H40" s="114" t="str">
        <f aca="false">IF(Checks!$AH$471="","",Checks!$AH$471)</f>
        <v>OPEN</v>
      </c>
    </row>
    <row r="41" customFormat="false" ht="114" hidden="false" customHeight="true" outlineLevel="0" collapsed="false">
      <c r="A41" s="113" t="str">
        <f aca="false">Checks!$A$472&amp;CHAR(10)&amp;IF(Checks!$I$472="","",Checks!$I$472&amp;": ")&amp;Checks!$J$472</f>
        <v>F14-T12-07
Equipment: Loading positions planned vs GLD</v>
      </c>
      <c r="B41" s="113" t="str">
        <f aca="false">Checks!$K$472&amp;IF(Checks!$O$472="","",IF(Checks!$K$472="","",CHAR(10))&amp;"Note: "&amp;Checks!$O$472)</f>
        <v>Note: Preparation check at caterer - does NOT confirm loading.</v>
      </c>
      <c r="C41" s="113" t="str">
        <f aca="false">Checks!$N$472&amp;CHAR(10)&amp;IF(ISNUMBER(Checks!$R$472),TEXT(Checks!$R$472,"DD-MMM-YY HH:MM"),"")&amp;" "&amp;Checks!$P$472</f>
        <v>Required
14-Oct-26 21:50 KUL</v>
      </c>
      <c r="D41" s="113" t="str">
        <f aca="false">IF(Checks!$U$472="","",Checks!$U$472)&amp;IF(Checks!$AB$472="","",CHAR(10)&amp;"CA: "&amp;Checks!$AB$472)</f>
        <v/>
      </c>
      <c r="E41" s="113" t="str">
        <f aca="false">IF(Checks!$V$472="","",Checks!$V$472)&amp;IF(Checks!$AC$472="","",IF(Checks!$V$472="","",CHAR(10))&amp;"N/A just.: "&amp;Checks!$AC$472)&amp;IF(Checks!$W$472="","",CHAR(10)&amp;"Batch: "&amp;Checks!$W$472)&amp;IF(AND(Checks!$X$472="",Checks!$Y$472=""),"",CHAR(10)&amp;"Exp: "&amp;Checks!$X$472&amp;"  /  Act: "&amp;Checks!$Y$472)</f>
        <v/>
      </c>
      <c r="F41" s="113" t="str">
        <f aca="false">IF(Checks!$Z$472="","","Evidence: "&amp;Checks!$Z$472)&amp;IF(Checks!$AA$472="","",IF(Checks!$Z$472="","",CHAR(10))&amp;"CA: "&amp;Checks!$AA$472)</f>
        <v/>
      </c>
      <c r="G41" s="113" t="str">
        <f aca="false">IF(ISNUMBER(Checks!$AD$472),TEXT(Checks!$AD$472,"DD-MMM-YY HH:MM")&amp;" "&amp;Checks!$P$472,"")&amp;IF(Checks!$AE$472="","",CHAR(10)&amp;"Verifier: "&amp;Checks!$AE$472)&amp;IF(Checks!$T$472="","",CHAR(10)&amp;"PIC: "&amp;Checks!$T$472)</f>
        <v/>
      </c>
      <c r="H41" s="114" t="str">
        <f aca="false">IF(Checks!$AH$472="","",Checks!$AH$472)</f>
        <v>OPEN</v>
      </c>
    </row>
    <row r="42" customFormat="false" ht="279" hidden="false" customHeight="true" outlineLevel="0" collapsed="false">
      <c r="A42" s="113" t="str">
        <f aca="false">Checks!$A$473&amp;CHAR(10)&amp;IF(Checks!$I$473="","",Checks!$I$473&amp;": ")&amp;Checks!$J$473</f>
        <v>F14-T12-08
Amenities: Toiletry kits - prepared</v>
      </c>
      <c r="B42" s="113" t="str">
        <f aca="false">SUBSTITUTE(Checks!$K$473&amp;IF(Checks!$O$473="","",IF(Checks!$K$473="","",CHAR(10))&amp;"Note: "&amp;Checks!$O$473),"AMENITIES!","Ref: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13" t="str">
        <f aca="false">Checks!$N$473&amp;CHAR(10)&amp;IF(ISNUMBER(Checks!$R$473),TEXT(Checks!$R$473,"DD-MMM-YY HH:MM"),"")&amp;" "&amp;Checks!$P$473</f>
        <v>Clarification required
14-Oct-26 21:50 KUL</v>
      </c>
      <c r="D42" s="113" t="str">
        <f aca="false">IF(Checks!$U$473="","",Checks!$U$473)&amp;IF(Checks!$AB$473="","",CHAR(10)&amp;"CA: "&amp;Checks!$AB$473)</f>
        <v/>
      </c>
      <c r="E42" s="113" t="str">
        <f aca="false">IF(Checks!$V$473="","",Checks!$V$473)&amp;IF(Checks!$AC$473="","",IF(Checks!$V$473="","",CHAR(10))&amp;"N/A just.: "&amp;Checks!$AC$473)&amp;IF(Checks!$W$473="","",CHAR(10)&amp;"Batch: "&amp;Checks!$W$473)&amp;IF(AND(Checks!$X$473="",Checks!$Y$473=""),"",CHAR(10)&amp;"Exp: "&amp;Checks!$X$473&amp;"  /  Act: "&amp;Checks!$Y$473)</f>
        <v/>
      </c>
      <c r="F42" s="113" t="str">
        <f aca="false">IF(Checks!$Z$473="","","Evidence: "&amp;Checks!$Z$473)&amp;IF(Checks!$AA$473="","",IF(Checks!$Z$473="","",CHAR(10))&amp;"CA: "&amp;Checks!$AA$473)</f>
        <v/>
      </c>
      <c r="G42" s="113" t="str">
        <f aca="false">IF(ISNUMBER(Checks!$AD$473),TEXT(Checks!$AD$473,"DD-MMM-YY HH:MM")&amp;" "&amp;Checks!$P$473,"")&amp;IF(Checks!$AE$473="","",CHAR(10)&amp;"Verifier: "&amp;Checks!$AE$473)&amp;IF(Checks!$T$473="","",CHAR(10)&amp;"PIC: "&amp;Checks!$T$473)</f>
        <v/>
      </c>
      <c r="H42" s="114" t="str">
        <f aca="false">IF(Checks!$AH$473="","",Checks!$AH$473)</f>
        <v>OPEN – CLARIFICATION</v>
      </c>
    </row>
    <row r="43" customFormat="false" ht="114" hidden="false" customHeight="true" outlineLevel="0" collapsed="false">
      <c r="A43" s="113" t="str">
        <f aca="false">Checks!$A$474&amp;CHAR(10)&amp;IF(Checks!$I$474="","",Checks!$I$474&amp;": ")&amp;Checks!$J$474</f>
        <v>F14-T12-09
Seat Linen: Seat pillow (EY) - prepared</v>
      </c>
      <c r="B43" s="113" t="str">
        <f aca="false">Checks!$K$474&amp;IF(Checks!$O$474="","",IF(Checks!$K$474="","",CHAR(10))&amp;"Note: "&amp;Checks!$O$474)</f>
        <v>Available 100% (ticked in reference)
Note: Reference gives no uplift stn for this item: preparation checked at the meal uplift stn (KUL) - confirm with caterer.</v>
      </c>
      <c r="C43" s="113" t="str">
        <f aca="false">Checks!$N$474&amp;CHAR(10)&amp;IF(ISNUMBER(Checks!$R$474),TEXT(Checks!$R$474,"DD-MMM-YY HH:MM"),"")&amp;" "&amp;Checks!$P$474</f>
        <v>Required
14-Oct-26 21:50 KUL</v>
      </c>
      <c r="D43" s="113" t="str">
        <f aca="false">IF(Checks!$U$474="","",Checks!$U$474)&amp;IF(Checks!$AB$474="","",CHAR(10)&amp;"CA: "&amp;Checks!$AB$474)</f>
        <v/>
      </c>
      <c r="E43" s="113" t="str">
        <f aca="false">IF(Checks!$V$474="","",Checks!$V$474)&amp;IF(Checks!$AC$474="","",IF(Checks!$V$474="","",CHAR(10))&amp;"N/A just.: "&amp;Checks!$AC$474)&amp;IF(Checks!$W$474="","",CHAR(10)&amp;"Batch: "&amp;Checks!$W$474)&amp;IF(AND(Checks!$X$474="",Checks!$Y$474=""),"",CHAR(10)&amp;"Exp: "&amp;Checks!$X$474&amp;"  /  Act: "&amp;Checks!$Y$474)</f>
        <v/>
      </c>
      <c r="F43" s="113" t="str">
        <f aca="false">IF(Checks!$Z$474="","","Evidence: "&amp;Checks!$Z$474)&amp;IF(Checks!$AA$474="","",IF(Checks!$Z$474="","",CHAR(10))&amp;"CA: "&amp;Checks!$AA$474)</f>
        <v/>
      </c>
      <c r="G43" s="113" t="str">
        <f aca="false">IF(ISNUMBER(Checks!$AD$474),TEXT(Checks!$AD$474,"DD-MMM-YY HH:MM")&amp;" "&amp;Checks!$P$474,"")&amp;IF(Checks!$AE$474="","",CHAR(10)&amp;"Verifier: "&amp;Checks!$AE$474)&amp;IF(Checks!$T$474="","",CHAR(10)&amp;"PIC: "&amp;Checks!$T$474)</f>
        <v/>
      </c>
      <c r="H43" s="114" t="str">
        <f aca="false">IF(Checks!$AH$474="","",Checks!$AH$474)</f>
        <v>OPEN</v>
      </c>
    </row>
    <row r="44" customFormat="false" ht="246" hidden="false" customHeight="true" outlineLevel="0" collapsed="false">
      <c r="A44" s="113" t="str">
        <f aca="false">Checks!$A$475&amp;CHAR(10)&amp;IF(Checks!$I$475="","",Checks!$I$475&amp;": ")&amp;Checks!$J$475</f>
        <v>F14-T12-10
Seat Linen: Blanket (EY) - prepared</v>
      </c>
      <c r="B44" s="113" t="str">
        <f aca="false">SUBSTITUTE(Checks!$K$475&amp;IF(Checks!$O$475="","",IF(Checks!$K$475="","",CHAR(10))&amp;"Note: "&amp;Checks!$O$475),"SEAT LINEN!","Ref: SEAT LINEN!")</f>
        <v>Available 100% (ticked in reference); qty 280 (A350 9M-MAH) / 260 (A359) - per tail
Note: EY blanket: flight above 3 hours excl. Regional (Ref: SEAT LINEN!B74:C74); block 13.75 h. Qty per tail: A350 280 pcs (Ref: SEAT LINEN!B76:C76), A359 260 pcs (Ref: SEAT LINEN!B77:C77). Reference gives no uplift stn for this item: preparation checked at the meal uplift stn (KUL) - confirm with caterer.</v>
      </c>
      <c r="C44" s="113" t="str">
        <f aca="false">Checks!$N$475&amp;CHAR(10)&amp;IF(ISNUMBER(Checks!$R$475),TEXT(Checks!$R$475,"DD-MMM-YY HH:MM"),"")&amp;" "&amp;Checks!$P$475</f>
        <v>Required
14-Oct-26 21:50 KUL</v>
      </c>
      <c r="D44" s="113" t="str">
        <f aca="false">IF(Checks!$U$475="","",Checks!$U$475)&amp;IF(Checks!$AB$475="","",CHAR(10)&amp;"CA: "&amp;Checks!$AB$475)</f>
        <v/>
      </c>
      <c r="E44" s="113" t="str">
        <f aca="false">IF(Checks!$V$475="","",Checks!$V$475)&amp;IF(Checks!$AC$475="","",IF(Checks!$V$475="","",CHAR(10))&amp;"N/A just.: "&amp;Checks!$AC$475)&amp;IF(Checks!$W$475="","",CHAR(10)&amp;"Batch: "&amp;Checks!$W$475)&amp;IF(AND(Checks!$X$475="",Checks!$Y$475=""),"",CHAR(10)&amp;"Exp: "&amp;Checks!$X$475&amp;"  /  Act: "&amp;Checks!$Y$475)</f>
        <v/>
      </c>
      <c r="F44" s="113" t="str">
        <f aca="false">IF(Checks!$Z$475="","","Evidence: "&amp;Checks!$Z$475)&amp;IF(Checks!$AA$475="","",IF(Checks!$Z$475="","",CHAR(10))&amp;"CA: "&amp;Checks!$AA$475)</f>
        <v/>
      </c>
      <c r="G44" s="113" t="str">
        <f aca="false">IF(ISNUMBER(Checks!$AD$475),TEXT(Checks!$AD$475,"DD-MMM-YY HH:MM")&amp;" "&amp;Checks!$P$475,"")&amp;IF(Checks!$AE$475="","",CHAR(10)&amp;"Verifier: "&amp;Checks!$AE$475)&amp;IF(Checks!$T$475="","",CHAR(10)&amp;"PIC: "&amp;Checks!$T$475)</f>
        <v/>
      </c>
      <c r="H44" s="114" t="str">
        <f aca="false">IF(Checks!$AH$475="","",Checks!$AH$475)</f>
        <v>OPEN</v>
      </c>
    </row>
    <row r="45" customFormat="false" ht="25.5" hidden="false" customHeight="true" outlineLevel="0" collapsed="false">
      <c r="A45" s="112"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2"/>
      <c r="C45" s="112"/>
      <c r="D45" s="112"/>
      <c r="E45" s="112"/>
      <c r="F45" s="112"/>
      <c r="G45" s="112"/>
      <c r="H45" s="112"/>
    </row>
    <row r="46" customFormat="false" ht="114" hidden="false" customHeight="true" outlineLevel="0" collapsed="false">
      <c r="A46" s="113" t="str">
        <f aca="false">Checks!$A$476&amp;CHAR(10)&amp;IF(Checks!$I$476="","",Checks!$I$476&amp;": ")&amp;Checks!$J$476</f>
        <v>F14-UPL-01
Meal: Meals physically uplifted on board - quantity vs menu checklist</v>
      </c>
      <c r="B46" s="113" t="str">
        <f aca="false">Checks!$K$476&amp;IF(Checks!$O$476="","",IF(Checks!$K$476="","",CHAR(10))&amp;"Note: "&amp;Checks!$O$476)</f>
        <v>Enter expected &amp; actual
Note: Confirm on board before departure; completion time must fall inside the uplift window.</v>
      </c>
      <c r="C46" s="113" t="str">
        <f aca="false">Checks!$N$476&amp;CHAR(10)&amp;IF(ISNUMBER(Checks!$R$476),TEXT(Checks!$R$476,"DD-MMM-YY HH:MM"),"")&amp;" "&amp;Checks!$P$476</f>
        <v>Required
15-Oct-26 09:50 KUL</v>
      </c>
      <c r="D46" s="113" t="str">
        <f aca="false">IF(Checks!$U$476="","",Checks!$U$476)&amp;IF(Checks!$AB$476="","",CHAR(10)&amp;"CA: "&amp;Checks!$AB$476)</f>
        <v/>
      </c>
      <c r="E46" s="113" t="str">
        <f aca="false">IF(Checks!$V$476="","",Checks!$V$476)&amp;IF(Checks!$AC$476="","",IF(Checks!$V$476="","",CHAR(10))&amp;"N/A just.: "&amp;Checks!$AC$476)&amp;IF(Checks!$W$476="","",CHAR(10)&amp;"Batch: "&amp;Checks!$W$476)&amp;IF(AND(Checks!$X$476="",Checks!$Y$476=""),"",CHAR(10)&amp;"Exp: "&amp;Checks!$X$476&amp;"  /  Act: "&amp;Checks!$Y$476)</f>
        <v/>
      </c>
      <c r="F46" s="113" t="str">
        <f aca="false">IF(Checks!$Z$476="","","Evidence: "&amp;Checks!$Z$476)&amp;IF(Checks!$AA$476="","",IF(Checks!$Z$476="","",CHAR(10))&amp;"CA: "&amp;Checks!$AA$476)</f>
        <v/>
      </c>
      <c r="G46" s="113" t="str">
        <f aca="false">IF(ISNUMBER(Checks!$AD$476),TEXT(Checks!$AD$476,"DD-MMM-YY HH:MM")&amp;" "&amp;Checks!$P$476,"")&amp;IF(Checks!$AE$476="","",CHAR(10)&amp;"Verifier: "&amp;Checks!$AE$476)&amp;IF(Checks!$T$476="","",CHAR(10)&amp;"PIC: "&amp;Checks!$T$476)</f>
        <v/>
      </c>
      <c r="H46" s="114" t="str">
        <f aca="false">IF(Checks!$AH$476="","",Checks!$AH$476)</f>
        <v>OPEN</v>
      </c>
    </row>
    <row r="47" customFormat="false" ht="114" hidden="false" customHeight="true" outlineLevel="0" collapsed="false">
      <c r="A47" s="113" t="str">
        <f aca="false">Checks!$A$477&amp;CHAR(10)&amp;IF(Checks!$I$477="","",Checks!$I$477&amp;": ")&amp;Checks!$J$477</f>
        <v>F14-UPL-02
Equipment: Equipment physically loaded at GLD positions - quantity &amp; positions</v>
      </c>
      <c r="B47" s="113" t="str">
        <f aca="false">Checks!$K$477&amp;IF(Checks!$O$477="","",IF(Checks!$K$477="","",CHAR(10))&amp;"Note: "&amp;Checks!$O$477)</f>
        <v>Enter expected &amp; actual
Note: Confirm on board before departure; completion time must fall inside the uplift window.</v>
      </c>
      <c r="C47" s="113" t="str">
        <f aca="false">Checks!$N$477&amp;CHAR(10)&amp;IF(ISNUMBER(Checks!$R$477),TEXT(Checks!$R$477,"DD-MMM-YY HH:MM"),"")&amp;" "&amp;Checks!$P$477</f>
        <v>Required
15-Oct-26 09:50 KUL</v>
      </c>
      <c r="D47" s="113" t="str">
        <f aca="false">IF(Checks!$U$477="","",Checks!$U$477)&amp;IF(Checks!$AB$477="","",CHAR(10)&amp;"CA: "&amp;Checks!$AB$477)</f>
        <v/>
      </c>
      <c r="E47" s="113" t="str">
        <f aca="false">IF(Checks!$V$477="","",Checks!$V$477)&amp;IF(Checks!$AC$477="","",IF(Checks!$V$477="","",CHAR(10))&amp;"N/A just.: "&amp;Checks!$AC$477)&amp;IF(Checks!$W$477="","",CHAR(10)&amp;"Batch: "&amp;Checks!$W$477)&amp;IF(AND(Checks!$X$477="",Checks!$Y$477=""),"",CHAR(10)&amp;"Exp: "&amp;Checks!$X$477&amp;"  /  Act: "&amp;Checks!$Y$477)</f>
        <v/>
      </c>
      <c r="F47" s="113" t="str">
        <f aca="false">IF(Checks!$Z$477="","","Evidence: "&amp;Checks!$Z$477)&amp;IF(Checks!$AA$477="","",IF(Checks!$Z$477="","",CHAR(10))&amp;"CA: "&amp;Checks!$AA$477)</f>
        <v/>
      </c>
      <c r="G47" s="113" t="str">
        <f aca="false">IF(ISNUMBER(Checks!$AD$477),TEXT(Checks!$AD$477,"DD-MMM-YY HH:MM")&amp;" "&amp;Checks!$P$477,"")&amp;IF(Checks!$AE$477="","",CHAR(10)&amp;"Verifier: "&amp;Checks!$AE$477)&amp;IF(Checks!$T$477="","",CHAR(10)&amp;"PIC: "&amp;Checks!$T$477)</f>
        <v/>
      </c>
      <c r="H47" s="114" t="str">
        <f aca="false">IF(Checks!$AH$477="","",Checks!$AH$477)</f>
        <v>OPEN</v>
      </c>
    </row>
    <row r="48" customFormat="false" ht="279" hidden="false" customHeight="true" outlineLevel="0" collapsed="false">
      <c r="A48" s="113" t="str">
        <f aca="false">Checks!$A$478&amp;CHAR(10)&amp;IF(Checks!$I$478="","",Checks!$I$478&amp;": ")&amp;Checks!$J$478</f>
        <v>F14-UPL-03
Amenities: Toiletry kits - on board</v>
      </c>
      <c r="B48" s="113" t="str">
        <f aca="false">SUBSTITUTE(Checks!$K$478&amp;IF(Checks!$O$478="","",IF(Checks!$K$478="","",CHAR(10))&amp;"Note: "&amp;Checks!$O$478),"AMENITIES!","Ref: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13" t="str">
        <f aca="false">Checks!$N$478&amp;CHAR(10)&amp;IF(ISNUMBER(Checks!$R$478),TEXT(Checks!$R$478,"DD-MMM-YY HH:MM"),"")&amp;" "&amp;Checks!$P$478</f>
        <v>Clarification required
15-Oct-26 09:50 KUL</v>
      </c>
      <c r="D48" s="113" t="str">
        <f aca="false">IF(Checks!$U$478="","",Checks!$U$478)&amp;IF(Checks!$AB$478="","",CHAR(10)&amp;"CA: "&amp;Checks!$AB$478)</f>
        <v/>
      </c>
      <c r="E48" s="113" t="str">
        <f aca="false">IF(Checks!$V$478="","",Checks!$V$478)&amp;IF(Checks!$AC$478="","",IF(Checks!$V$478="","",CHAR(10))&amp;"N/A just.: "&amp;Checks!$AC$478)&amp;IF(Checks!$W$478="","",CHAR(10)&amp;"Batch: "&amp;Checks!$W$478)&amp;IF(AND(Checks!$X$478="",Checks!$Y$478=""),"",CHAR(10)&amp;"Exp: "&amp;Checks!$X$478&amp;"  /  Act: "&amp;Checks!$Y$478)</f>
        <v/>
      </c>
      <c r="F48" s="113" t="str">
        <f aca="false">IF(Checks!$Z$478="","","Evidence: "&amp;Checks!$Z$478)&amp;IF(Checks!$AA$478="","",IF(Checks!$Z$478="","",CHAR(10))&amp;"CA: "&amp;Checks!$AA$478)</f>
        <v/>
      </c>
      <c r="G48" s="113" t="str">
        <f aca="false">IF(ISNUMBER(Checks!$AD$478),TEXT(Checks!$AD$478,"DD-MMM-YY HH:MM")&amp;" "&amp;Checks!$P$478,"")&amp;IF(Checks!$AE$478="","",CHAR(10)&amp;"Verifier: "&amp;Checks!$AE$478)&amp;IF(Checks!$T$478="","",CHAR(10)&amp;"PIC: "&amp;Checks!$T$478)</f>
        <v/>
      </c>
      <c r="H48" s="114" t="str">
        <f aca="false">IF(Checks!$AH$478="","",Checks!$AH$478)</f>
        <v>OPEN – CLARIFICATION</v>
      </c>
    </row>
    <row r="49" customFormat="false" ht="114" hidden="false" customHeight="true" outlineLevel="0" collapsed="false">
      <c r="A49" s="113" t="str">
        <f aca="false">Checks!$A$479&amp;CHAR(10)&amp;IF(Checks!$I$479="","",Checks!$I$479&amp;": ")&amp;Checks!$J$479</f>
        <v>F14-UPL-04
Seat Linen: Seat pillow (EY) - on board</v>
      </c>
      <c r="B49" s="113" t="str">
        <f aca="false">Checks!$K$479&amp;IF(Checks!$O$479="","",IF(Checks!$K$479="","",CHAR(10))&amp;"Note: "&amp;Checks!$O$479)</f>
        <v>Available 100% (ticked in reference)</v>
      </c>
      <c r="C49" s="113" t="str">
        <f aca="false">Checks!$N$479&amp;CHAR(10)&amp;IF(ISNUMBER(Checks!$R$479),TEXT(Checks!$R$479,"DD-MMM-YY HH:MM"),"")&amp;" "&amp;Checks!$P$479</f>
        <v>Required
15-Oct-26 09:50 KUL</v>
      </c>
      <c r="D49" s="113" t="str">
        <f aca="false">IF(Checks!$U$479="","",Checks!$U$479)&amp;IF(Checks!$AB$479="","",CHAR(10)&amp;"CA: "&amp;Checks!$AB$479)</f>
        <v/>
      </c>
      <c r="E49" s="113" t="str">
        <f aca="false">IF(Checks!$V$479="","",Checks!$V$479)&amp;IF(Checks!$AC$479="","",IF(Checks!$V$479="","",CHAR(10))&amp;"N/A just.: "&amp;Checks!$AC$479)&amp;IF(Checks!$W$479="","",CHAR(10)&amp;"Batch: "&amp;Checks!$W$479)&amp;IF(AND(Checks!$X$479="",Checks!$Y$479=""),"",CHAR(10)&amp;"Exp: "&amp;Checks!$X$479&amp;"  /  Act: "&amp;Checks!$Y$479)</f>
        <v/>
      </c>
      <c r="F49" s="113" t="str">
        <f aca="false">IF(Checks!$Z$479="","","Evidence: "&amp;Checks!$Z$479)&amp;IF(Checks!$AA$479="","",IF(Checks!$Z$479="","",CHAR(10))&amp;"CA: "&amp;Checks!$AA$479)</f>
        <v/>
      </c>
      <c r="G49" s="113" t="str">
        <f aca="false">IF(ISNUMBER(Checks!$AD$479),TEXT(Checks!$AD$479,"DD-MMM-YY HH:MM")&amp;" "&amp;Checks!$P$479,"")&amp;IF(Checks!$AE$479="","",CHAR(10)&amp;"Verifier: "&amp;Checks!$AE$479)&amp;IF(Checks!$T$479="","",CHAR(10)&amp;"PIC: "&amp;Checks!$T$479)</f>
        <v/>
      </c>
      <c r="H49" s="114" t="str">
        <f aca="false">IF(Checks!$AH$479="","",Checks!$AH$479)</f>
        <v>OPEN</v>
      </c>
    </row>
    <row r="50" customFormat="false" ht="168.75" hidden="false" customHeight="true" outlineLevel="0" collapsed="false">
      <c r="A50" s="113" t="str">
        <f aca="false">Checks!$A$480&amp;CHAR(10)&amp;IF(Checks!$I$480="","",Checks!$I$480&amp;": ")&amp;Checks!$J$480</f>
        <v>F14-UPL-05
Seat Linen: Blanket (EY) - on board</v>
      </c>
      <c r="B50" s="113" t="str">
        <f aca="false">SUBSTITUTE(Checks!$K$480&amp;IF(Checks!$O$480="","",IF(Checks!$K$480="","",CHAR(10))&amp;"Note: "&amp;Checks!$O$480),"SEAT LINEN!","Ref: SEAT LINEN!")</f>
        <v>Available 100% (ticked in reference); qty 280 (A350 9M-MAH) / 260 (A359) - per tail
Note: EY blanket: flight above 3 hours excl. Regional (Ref: SEAT LINEN!B74:C74); block 13.75 h. Qty per tail: A350 280 pcs (Ref: SEAT LINEN!B76:C76), A359 260 pcs (Ref: SEAT LINEN!B77:C77).</v>
      </c>
      <c r="C50" s="113" t="str">
        <f aca="false">Checks!$N$480&amp;CHAR(10)&amp;IF(ISNUMBER(Checks!$R$480),TEXT(Checks!$R$480,"DD-MMM-YY HH:MM"),"")&amp;" "&amp;Checks!$P$480</f>
        <v>Required
15-Oct-26 09:50 KUL</v>
      </c>
      <c r="D50" s="113" t="str">
        <f aca="false">IF(Checks!$U$480="","",Checks!$U$480)&amp;IF(Checks!$AB$480="","",CHAR(10)&amp;"CA: "&amp;Checks!$AB$480)</f>
        <v/>
      </c>
      <c r="E50" s="113" t="str">
        <f aca="false">IF(Checks!$V$480="","",Checks!$V$480)&amp;IF(Checks!$AC$480="","",IF(Checks!$V$480="","",CHAR(10))&amp;"N/A just.: "&amp;Checks!$AC$480)&amp;IF(Checks!$W$480="","",CHAR(10)&amp;"Batch: "&amp;Checks!$W$480)&amp;IF(AND(Checks!$X$480="",Checks!$Y$480=""),"",CHAR(10)&amp;"Exp: "&amp;Checks!$X$480&amp;"  /  Act: "&amp;Checks!$Y$480)</f>
        <v/>
      </c>
      <c r="F50" s="113" t="str">
        <f aca="false">IF(Checks!$Z$480="","","Evidence: "&amp;Checks!$Z$480)&amp;IF(Checks!$AA$480="","",IF(Checks!$Z$480="","",CHAR(10))&amp;"CA: "&amp;Checks!$AA$480)</f>
        <v/>
      </c>
      <c r="G50" s="113" t="str">
        <f aca="false">IF(ISNUMBER(Checks!$AD$480),TEXT(Checks!$AD$480,"DD-MMM-YY HH:MM")&amp;" "&amp;Checks!$P$480,"")&amp;IF(Checks!$AE$480="","",CHAR(10)&amp;"Verifier: "&amp;Checks!$AE$480)&amp;IF(Checks!$T$480="","",CHAR(10)&amp;"PIC: "&amp;Checks!$T$480)</f>
        <v/>
      </c>
      <c r="H50" s="114" t="str">
        <f aca="false">IF(Checks!$AH$480="","",Checks!$AH$480)</f>
        <v>OPEN</v>
      </c>
    </row>
    <row r="52" customFormat="false" ht="24" hidden="false" customHeight="true" outlineLevel="0" collapsed="false">
      <c r="A52" s="115" t="s">
        <v>1650</v>
      </c>
      <c r="B52" s="115"/>
      <c r="C52" s="115"/>
      <c r="D52" s="115"/>
      <c r="E52" s="115" t="s">
        <v>1651</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6" man="true" max="16383" min="0"/>
    <brk id="48"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F15  "&amp;Flights!$F$19&amp;"  "&amp;TEXT(Flights!$D$19,"DD-MMM-YY")&amp;" ("&amp;Flights!$E$19&amp;")  "&amp;Flights!$G$19&amp;" → "&amp;Flights!$H$19&amp;"  |  Class "&amp;Flights!$K$19</f>
        <v>SKYTRAX 2026 CATERING READINESS CHECKLIST  |  F15  MH0003  25-Oct-26 (SUN)  LHR → KUL  |  Class EY</v>
      </c>
      <c r="B1" s="91"/>
      <c r="C1" s="91"/>
      <c r="D1" s="91"/>
      <c r="E1" s="91"/>
      <c r="F1" s="91"/>
      <c r="G1" s="91"/>
      <c r="H1" s="91"/>
    </row>
    <row r="2" customFormat="false" ht="12.75" hidden="false" customHeight="true" outlineLevel="0" collapsed="false">
      <c r="A2" s="92" t="s">
        <v>1605</v>
      </c>
      <c r="B2" s="93" t="str">
        <f aca="false">Flights!$F$19&amp;"   "&amp;TEXT(Flights!$D$19,"DD-MMM-YY")&amp;" ("&amp;Flights!$E$19&amp;")"</f>
        <v>MH0003   25-Oct-26 (SUN)</v>
      </c>
      <c r="C2" s="93"/>
      <c r="D2" s="93"/>
      <c r="E2" s="94" t="s">
        <v>1606</v>
      </c>
      <c r="F2" s="95" t="str">
        <f aca="false">Flights!$AT$19</f>
        <v>NOT READY – DOCUMENTS</v>
      </c>
      <c r="G2" s="95"/>
      <c r="H2" s="95"/>
    </row>
    <row r="3" customFormat="false" ht="24" hidden="false" customHeight="true" outlineLevel="0" collapsed="false">
      <c r="A3" s="92" t="s">
        <v>1607</v>
      </c>
      <c r="B3" s="93" t="str">
        <f aca="false">Flights!$G$19&amp;" → "&amp;Flights!$H$19&amp;"   Class "&amp;Flights!$K$19&amp;"   Seat "&amp;Flights!$O$19</f>
        <v>LHR → KUL   Class EY   Seat 12H</v>
      </c>
      <c r="C3" s="93"/>
      <c r="D3" s="93"/>
      <c r="E3" s="94" t="s">
        <v>68</v>
      </c>
      <c r="F3" s="94" t="s">
        <v>1608</v>
      </c>
      <c r="G3" s="94" t="s">
        <v>1609</v>
      </c>
      <c r="H3" s="94"/>
    </row>
    <row r="4" customFormat="false" ht="24" hidden="false" customHeight="true" outlineLevel="0" collapsed="false">
      <c r="A4" s="92" t="s">
        <v>1610</v>
      </c>
      <c r="B4" s="93" t="str">
        <f aca="false">IF(ISNUMBER(Flights!$I$19),TEXT(Flights!$I$19,"DD-MMM-YY HH:MM"),"")&amp;" "&amp;Flights!$G$19&amp;"  →  "&amp;IF(ISNUMBER(Flights!$J$19),TEXT(Flights!$J$19,"DD-MMM-YY HH:MM"),"")&amp;" "&amp;Flights!$H$19</f>
        <v>25-Oct-26 11:00 LHR  →  26-Oct-26 06:45 KUL</v>
      </c>
      <c r="C4" s="93"/>
      <c r="D4" s="93"/>
      <c r="E4" s="92" t="s">
        <v>1611</v>
      </c>
      <c r="F4" s="96" t="str">
        <f aca="false">IF(ISNUMBER(Flights!$AG$19),TEXT(Flights!$AG$19,"DD-MMM-YY HH:MM"),"")&amp;" "&amp;Flights!$V$19</f>
        <v>18-Oct-26 12:00 LHR</v>
      </c>
      <c r="G4" s="97" t="n">
        <f aca="false">Flights!$AJ$19</f>
        <v>0</v>
      </c>
      <c r="H4" s="97"/>
    </row>
    <row r="5" customFormat="false" ht="24" hidden="false" customHeight="true" outlineLevel="0" collapsed="false">
      <c r="A5" s="92" t="s">
        <v>1612</v>
      </c>
      <c r="B5" s="93" t="str">
        <f aca="false">Flights!$L$19&amp;" – "&amp;Flights!$M$19</f>
        <v>A350 – A350-900: A359 (9M-MAB..MAG, row 6) or A350 9M-MAH (row 7) - tail to confirm</v>
      </c>
      <c r="C5" s="93"/>
      <c r="D5" s="93"/>
      <c r="E5" s="92" t="s">
        <v>1613</v>
      </c>
      <c r="F5" s="96" t="str">
        <f aca="false">IF(ISNUMBER(Flights!$AH$19),TEXT(Flights!$AH$19,"DD-MMM-YY HH:MM"),"")&amp;" "&amp;Flights!$V$19</f>
        <v>24-Oct-26 12:00 LHR</v>
      </c>
      <c r="G5" s="97" t="n">
        <f aca="false">Flights!$AK$19</f>
        <v>0</v>
      </c>
      <c r="H5" s="97"/>
    </row>
    <row r="6" customFormat="false" ht="24" hidden="false" customHeight="true" outlineLevel="0" collapsed="false">
      <c r="A6" s="92" t="s">
        <v>1614</v>
      </c>
      <c r="B6" s="93" t="str">
        <f aca="false">IF(TRIM(Flights!$N$19)="","__________________",Flights!$N$19)</f>
        <v>__________________</v>
      </c>
      <c r="C6" s="93"/>
      <c r="D6" s="93"/>
      <c r="E6" s="92" t="s">
        <v>1615</v>
      </c>
      <c r="F6" s="96" t="str">
        <f aca="false">IF(ISNUMBER(Flights!$AI$19),TEXT(Flights!$AI$19,"DD-MMM-YY HH:MM"),"")&amp;" "&amp;Flights!$V$19&amp;IF(Flights!$AI$19=Flights!$AH$19,"  (= T-24H due)","")</f>
        <v>25-Oct-26 00:00 LHR</v>
      </c>
      <c r="G6" s="97" t="n">
        <f aca="false">Flights!$AL$19</f>
        <v>0</v>
      </c>
      <c r="H6" s="97"/>
    </row>
    <row r="7" customFormat="false" ht="24" hidden="false" customHeight="true" outlineLevel="0" collapsed="false">
      <c r="A7" s="92" t="s">
        <v>1616</v>
      </c>
      <c r="B7" s="93" t="str">
        <f aca="false">Flights!$T$19</f>
        <v>2.5 Meal (Meal)</v>
      </c>
      <c r="C7" s="93"/>
      <c r="D7" s="93"/>
      <c r="E7" s="92" t="s">
        <v>1617</v>
      </c>
      <c r="F7" s="96" t="str">
        <f aca="false">"STD "&amp;IF(ISNUMBER(Flights!$I$19),TEXT(Flights!$I$19,"DD-MMM-YY HH:MM"),"")&amp;" "&amp;Flights!$G$19&amp;" (dep stn)"</f>
        <v>STD 25-Oct-26 11:00 LHR (dep stn)</v>
      </c>
      <c r="G7" s="97" t="n">
        <f aca="false">Flights!$AM$19</f>
        <v>0</v>
      </c>
      <c r="H7" s="97"/>
    </row>
    <row r="8" customFormat="false" ht="12.75" hidden="false" customHeight="true" outlineLevel="0" collapsed="false">
      <c r="A8" s="92" t="s">
        <v>150</v>
      </c>
      <c r="B8" s="93" t="str">
        <f aca="false">Flights!$V$19&amp;"   (reference uplift stns: "&amp;Flights!$U$19&amp;")"</f>
        <v>LHR   (reference uplift stns: KUL/LHR)</v>
      </c>
      <c r="C8" s="93"/>
      <c r="D8" s="93"/>
      <c r="E8" s="92" t="s">
        <v>1618</v>
      </c>
      <c r="F8" s="98" t="s">
        <v>1619</v>
      </c>
      <c r="G8" s="97" t="n">
        <f aca="false">Flights!$AN$19</f>
        <v>0</v>
      </c>
      <c r="H8" s="97"/>
    </row>
    <row r="9" customFormat="false" ht="12.75" hidden="false" customHeight="true" outlineLevel="0" collapsed="false">
      <c r="A9" s="92" t="s">
        <v>1620</v>
      </c>
      <c r="B9" s="93" t="str">
        <f aca="false">TRIM(Flights!$P$19&amp;"  "&amp;Flights!$Q$19)</f>
        <v>-</v>
      </c>
      <c r="C9" s="93"/>
      <c r="D9" s="93"/>
      <c r="E9" s="92" t="s">
        <v>1621</v>
      </c>
      <c r="F9" s="99" t="n">
        <f aca="false">Flights!$AP$19</f>
        <v>0</v>
      </c>
      <c r="G9" s="99" t="n">
        <f aca="false">Flights!$AQ$19</f>
        <v>0</v>
      </c>
      <c r="H9" s="99" t="n">
        <f aca="false">Flights!$AU$19</f>
        <v>0</v>
      </c>
    </row>
    <row r="10" customFormat="false" ht="24" hidden="false" customHeight="true" outlineLevel="0" collapsed="false">
      <c r="A10" s="92" t="s">
        <v>1622</v>
      </c>
      <c r="B10" s="93" t="str">
        <f aca="false">IF(TRIM(Flights!$X$19)="","__________________",Flights!$X$19)</f>
        <v>__________________</v>
      </c>
      <c r="C10" s="93"/>
      <c r="D10" s="93"/>
      <c r="E10" s="92" t="s">
        <v>1623</v>
      </c>
      <c r="F10" s="99" t="n">
        <f aca="false">Flights!$AO$19</f>
        <v>24</v>
      </c>
      <c r="G10" s="99" t="n">
        <f aca="false">Flights!$AS$19</f>
        <v>2</v>
      </c>
      <c r="H10" s="99" t="n">
        <f aca="false">Flights!$AR$19</f>
        <v>2</v>
      </c>
    </row>
    <row r="11" customFormat="false" ht="21" hidden="false" customHeight="true" outlineLevel="0" collapsed="false">
      <c r="A11" s="92" t="s">
        <v>1624</v>
      </c>
      <c r="B11" s="93" t="str">
        <f aca="false">IF(TRIM(Flights!$Y$19)="","__________________",Flights!$Y$19)</f>
        <v>__________________</v>
      </c>
      <c r="C11" s="93"/>
      <c r="D11" s="93"/>
      <c r="E11" s="92" t="s">
        <v>1625</v>
      </c>
      <c r="F11" s="99" t="str">
        <f aca="false">Flights!$AV$19&amp;" / "&amp;Flights!$AW$19</f>
        <v>0 / 24</v>
      </c>
      <c r="G11" s="100" t="str">
        <f aca="false">IF(ISNUMBER(Settings!$B$6),TEXT(Settings!$B$6,"DD-MMM-YY HH:MM"),"")</f>
        <v>28-Sep-26 03:19</v>
      </c>
      <c r="H11" s="100"/>
    </row>
    <row r="12" customFormat="false" ht="34.5" hidden="false" customHeight="true" outlineLevel="0" collapsed="false">
      <c r="A12" s="101" t="s">
        <v>1626</v>
      </c>
      <c r="B12" s="101"/>
      <c r="C12" s="101"/>
      <c r="D12" s="101"/>
      <c r="E12" s="102" t="s">
        <v>1627</v>
      </c>
      <c r="F12" s="103" t="s">
        <v>1628</v>
      </c>
      <c r="G12" s="104" t="s">
        <v>89</v>
      </c>
      <c r="H12" s="105" t="s">
        <v>1629</v>
      </c>
    </row>
    <row r="13" customFormat="false" ht="13.5" hidden="false" customHeight="true" outlineLevel="0" collapsed="false">
      <c r="A13" s="94" t="s">
        <v>1630</v>
      </c>
      <c r="B13" s="94" t="s">
        <v>1631</v>
      </c>
      <c r="C13" s="94" t="s">
        <v>1632</v>
      </c>
      <c r="D13" s="94"/>
      <c r="E13" s="94" t="s">
        <v>1633</v>
      </c>
      <c r="F13" s="94" t="s">
        <v>1634</v>
      </c>
      <c r="G13" s="94"/>
      <c r="H13" s="94"/>
    </row>
    <row r="14" customFormat="false" ht="36" hidden="false" customHeight="true" outlineLevel="0" collapsed="false">
      <c r="A14" s="92" t="s">
        <v>1635</v>
      </c>
      <c r="B14" s="93" t="str">
        <f aca="false">IF(Documents!$F$19="","",Documents!$F$19)</f>
        <v/>
      </c>
      <c r="C14" s="98" t="str">
        <f aca="false">IF(Documents!$G$19="","",Documents!$G$19)&amp;IF(ISNUMBER(Documents!$H$19),"  "&amp;TEXT(Documents!$H$19,"DD-MMM-YY"),"")</f>
        <v/>
      </c>
      <c r="D14" s="98"/>
      <c r="E14" s="106" t="str">
        <f aca="false">IF(Documents!$J$19="OUTSTANDING","OUTSTANDING – attach before T-7D (due "&amp;IF(ISNUMBER(Flights!$AG$19),TEXT(Flights!$AG$19,"DD-MMM-YY HH:MM"),"")&amp;" "&amp;Flights!$V$19&amp;")",IF(Documents!$J$19="","Status not recorded",Documents!$J$19))</f>
        <v>OUTSTANDING – attach before T-7D (due 18-Oct-26 12:00 LHR)</v>
      </c>
      <c r="F14" s="107" t="str">
        <f aca="false">"Staple behind this sheet as page A1."&amp;IF(Documents!$I$19="",""," Location: "&amp;Documents!$I$19)</f>
        <v>Staple behind this sheet as page A1.</v>
      </c>
      <c r="G14" s="107"/>
      <c r="H14" s="107"/>
    </row>
    <row r="15" customFormat="false" ht="36" hidden="false" customHeight="true" outlineLevel="0" collapsed="false">
      <c r="A15" s="92" t="s">
        <v>1636</v>
      </c>
      <c r="B15" s="93" t="str">
        <f aca="false">IF(Documents!$K$19="","",Documents!$K$19)</f>
        <v/>
      </c>
      <c r="C15" s="98" t="str">
        <f aca="false">IF(Documents!$L$19="","",Documents!$L$19)&amp;IF(ISNUMBER(Documents!$M$19),"  "&amp;TEXT(Documents!$M$19,"DD-MMM-YY"),"")</f>
        <v/>
      </c>
      <c r="D15" s="98"/>
      <c r="E15" s="106" t="str">
        <f aca="false">IF(Documents!$O$19="OUTSTANDING","OUTSTANDING – attach before T-7D (due "&amp;IF(ISNUMBER(Flights!$AG$19),TEXT(Flights!$AG$19,"DD-MMM-YY HH:MM"),"")&amp;" "&amp;Flights!$V$19&amp;")",IF(Documents!$O$19="","Status not recorded",Documents!$O$19))</f>
        <v>OUTSTANDING – attach before T-7D (due 18-Oct-26 12:00 LHR)</v>
      </c>
      <c r="F15" s="107" t="str">
        <f aca="false">"Staple behind this sheet as page A2."&amp;IF(Documents!$N$19="",""," Location: "&amp;Documents!$N$19)</f>
        <v>Staple behind this sheet as page A2.</v>
      </c>
      <c r="G15" s="107"/>
      <c r="H15" s="107"/>
    </row>
    <row r="16" customFormat="false" ht="22.5" hidden="false" customHeight="true" outlineLevel="0" collapsed="false">
      <c r="A16" s="92" t="s">
        <v>1637</v>
      </c>
      <c r="B16" s="108" t="str">
        <f aca="false">IF(Documents!$Q$19="","",Documents!$Q$19)</f>
        <v>Not supplied with brief – obtain from caterer / MAGCS.</v>
      </c>
      <c r="C16" s="108"/>
      <c r="D16" s="108"/>
      <c r="E16" s="108"/>
      <c r="F16" s="108"/>
      <c r="G16" s="108"/>
      <c r="H16" s="108"/>
    </row>
    <row r="17" customFormat="false" ht="13.5" hidden="false" customHeight="true" outlineLevel="0" collapsed="false">
      <c r="A17" s="109" t="s">
        <v>1638</v>
      </c>
      <c r="B17" s="109"/>
      <c r="C17" s="109" t="s">
        <v>1639</v>
      </c>
      <c r="D17" s="109"/>
      <c r="E17" s="109"/>
      <c r="F17" s="109" t="s">
        <v>1640</v>
      </c>
      <c r="G17" s="109"/>
      <c r="H17" s="109"/>
    </row>
    <row r="18" customFormat="false" ht="18" hidden="false" customHeight="true" outlineLevel="0" collapsed="false">
      <c r="A18" s="93" t="str">
        <f aca="false">"Name: "&amp;IF(TRIM(Flights!$Y$19)="","__________________",Flights!$Y$19)</f>
        <v>Name: __________________</v>
      </c>
      <c r="B18" s="93"/>
      <c r="C18" s="93" t="str">
        <f aca="false">"Name: __________________"</f>
        <v>Name: __________________</v>
      </c>
      <c r="D18" s="93"/>
      <c r="E18" s="93"/>
      <c r="F18" s="93" t="str">
        <f aca="false">"Name: __________________"&amp;"   Station: "&amp;Flights!$V$19</f>
        <v>Name: __________________   Station: LHR</v>
      </c>
      <c r="G18" s="93"/>
      <c r="H18" s="93"/>
    </row>
    <row r="19" customFormat="false" ht="30" hidden="false" customHeight="true" outlineLevel="0" collapsed="false">
      <c r="A19" s="110" t="s">
        <v>1641</v>
      </c>
      <c r="B19" s="110"/>
      <c r="C19" s="110" t="s">
        <v>1641</v>
      </c>
      <c r="D19" s="110"/>
      <c r="E19" s="110"/>
      <c r="F19" s="110" t="s">
        <v>1641</v>
      </c>
      <c r="G19" s="110"/>
      <c r="H19" s="110"/>
    </row>
    <row r="20" customFormat="false" ht="13.5" hidden="false" customHeight="true" outlineLevel="0" collapsed="false">
      <c r="A20" s="111" t="s">
        <v>1642</v>
      </c>
      <c r="B20" s="111"/>
      <c r="C20" s="111"/>
      <c r="D20" s="111"/>
      <c r="E20" s="111"/>
      <c r="F20" s="111"/>
      <c r="G20" s="111"/>
      <c r="H20" s="111"/>
    </row>
    <row r="21" customFormat="false" ht="24" hidden="false" customHeight="true" outlineLevel="0" collapsed="false">
      <c r="A21" s="94" t="s">
        <v>1643</v>
      </c>
      <c r="B21" s="94" t="s">
        <v>1644</v>
      </c>
      <c r="C21" s="94" t="s">
        <v>1645</v>
      </c>
      <c r="D21" s="94" t="s">
        <v>1646</v>
      </c>
      <c r="E21" s="94" t="s">
        <v>1647</v>
      </c>
      <c r="F21" s="94" t="s">
        <v>1648</v>
      </c>
      <c r="G21" s="94" t="s">
        <v>1649</v>
      </c>
      <c r="H21" s="94" t="s">
        <v>121</v>
      </c>
    </row>
    <row r="22" customFormat="false" ht="25.5" hidden="false" customHeight="true" outlineLevel="0" collapsed="false">
      <c r="A22" s="112"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Checks!$A$481&amp;CHAR(10)&amp;IF(Checks!$I$481="","",Checks!$I$481&amp;": ")&amp;Checks!$J$481</f>
        <v>F15-T7-01
Meal: Meal sensory testing completed for this flight's menu cycle (assessed class)</v>
      </c>
      <c r="B23" s="113" t="str">
        <f aca="false">Checks!$K$481&amp;IF(Checks!$O$481="","",IF(Checks!$K$481="","",CHAR(10))&amp;"Note: "&amp;Checks!$O$481)</f>
        <v>Record panel result / score in Result</v>
      </c>
      <c r="C23" s="113" t="str">
        <f aca="false">Checks!$N$481&amp;CHAR(10)&amp;IF(ISNUMBER(Checks!$R$481),TEXT(Checks!$R$481,"DD-MMM-YY HH:MM"),"")&amp;" "&amp;Checks!$P$481</f>
        <v>Required
18-Oct-26 12:00 LHR</v>
      </c>
      <c r="D23" s="113" t="str">
        <f aca="false">IF(Checks!$U$481="","",Checks!$U$481)&amp;IF(Checks!$AB$481="","",CHAR(10)&amp;"CA: "&amp;Checks!$AB$481)</f>
        <v/>
      </c>
      <c r="E23" s="113" t="str">
        <f aca="false">IF(Checks!$V$481="","",Checks!$V$481)&amp;IF(Checks!$AC$481="","",IF(Checks!$V$481="","",CHAR(10))&amp;"N/A just.: "&amp;Checks!$AC$481)&amp;IF(Checks!$W$481="","",CHAR(10)&amp;"Batch: "&amp;Checks!$W$481)&amp;IF(AND(Checks!$X$481="",Checks!$Y$481=""),"",CHAR(10)&amp;"Exp: "&amp;Checks!$X$481&amp;"  /  Act: "&amp;Checks!$Y$481)</f>
        <v/>
      </c>
      <c r="F23" s="113" t="str">
        <f aca="false">IF(Checks!$Z$481="","","Evidence: "&amp;Checks!$Z$481)&amp;IF(Checks!$AA$481="","",IF(Checks!$Z$481="","",CHAR(10))&amp;"CA: "&amp;Checks!$AA$481)</f>
        <v/>
      </c>
      <c r="G23" s="113" t="str">
        <f aca="false">IF(ISNUMBER(Checks!$AD$481),TEXT(Checks!$AD$481,"DD-MMM-YY HH:MM")&amp;" "&amp;Checks!$P$481,"")&amp;IF(Checks!$AE$481="","",CHAR(10)&amp;"Verifier: "&amp;Checks!$AE$481)&amp;IF(Checks!$T$481="","",CHAR(10)&amp;"PIC: "&amp;Checks!$T$481)</f>
        <v/>
      </c>
      <c r="H23" s="114" t="str">
        <f aca="false">IF(Checks!$AH$481="","",Checks!$AH$481)</f>
        <v>OPEN</v>
      </c>
    </row>
    <row r="24" customFormat="false" ht="114" hidden="false" customHeight="true" outlineLevel="0" collapsed="false">
      <c r="A24" s="113" t="str">
        <f aca="false">Checks!$A$482&amp;CHAR(10)&amp;IF(Checks!$I$482="","",Checks!$I$482&amp;": ")&amp;Checks!$J$482</f>
        <v>F15-T7-02
Menu: Printed menu cards confirmed (content, cycle, language, quantity)</v>
      </c>
      <c r="B24" s="113" t="str">
        <f aca="false">Checks!$K$482&amp;IF(Checks!$O$482="","",IF(Checks!$K$482="","",CHAR(10))&amp;"Note: "&amp;Checks!$O$482)</f>
        <v>Menu card matches approved menu for this flight</v>
      </c>
      <c r="C24" s="113" t="str">
        <f aca="false">Checks!$N$482&amp;CHAR(10)&amp;IF(ISNUMBER(Checks!$R$482),TEXT(Checks!$R$482,"DD-MMM-YY HH:MM"),"")&amp;" "&amp;Checks!$P$482</f>
        <v>Required
18-Oct-26 12:00 LHR</v>
      </c>
      <c r="D24" s="113" t="str">
        <f aca="false">IF(Checks!$U$482="","",Checks!$U$482)&amp;IF(Checks!$AB$482="","",CHAR(10)&amp;"CA: "&amp;Checks!$AB$482)</f>
        <v/>
      </c>
      <c r="E24" s="113" t="str">
        <f aca="false">IF(Checks!$V$482="","",Checks!$V$482)&amp;IF(Checks!$AC$482="","",IF(Checks!$V$482="","",CHAR(10))&amp;"N/A just.: "&amp;Checks!$AC$482)&amp;IF(Checks!$W$482="","",CHAR(10)&amp;"Batch: "&amp;Checks!$W$482)&amp;IF(AND(Checks!$X$482="",Checks!$Y$482=""),"",CHAR(10)&amp;"Exp: "&amp;Checks!$X$482&amp;"  /  Act: "&amp;Checks!$Y$482)</f>
        <v/>
      </c>
      <c r="F24" s="113" t="str">
        <f aca="false">IF(Checks!$Z$482="","","Evidence: "&amp;Checks!$Z$482)&amp;IF(Checks!$AA$482="","",IF(Checks!$Z$482="","",CHAR(10))&amp;"CA: "&amp;Checks!$AA$482)</f>
        <v/>
      </c>
      <c r="G24" s="113" t="str">
        <f aca="false">IF(ISNUMBER(Checks!$AD$482),TEXT(Checks!$AD$482,"DD-MMM-YY HH:MM")&amp;" "&amp;Checks!$P$482,"")&amp;IF(Checks!$AE$482="","",CHAR(10)&amp;"Verifier: "&amp;Checks!$AE$482)&amp;IF(Checks!$T$482="","",CHAR(10)&amp;"PIC: "&amp;Checks!$T$482)</f>
        <v/>
      </c>
      <c r="H24" s="114" t="str">
        <f aca="false">IF(Checks!$AH$482="","",Checks!$AH$482)</f>
        <v>OPEN</v>
      </c>
    </row>
    <row r="25" customFormat="false" ht="114" hidden="false" customHeight="true" outlineLevel="0" collapsed="false">
      <c r="A25" s="113" t="str">
        <f aca="false">Checks!$A$483&amp;CHAR(10)&amp;IF(Checks!$I$483="","",Checks!$I$483&amp;": ")&amp;Checks!$J$483</f>
        <v>F15-T7-03
IFE: Digital menu in IFE confirmed (A339 only)</v>
      </c>
      <c r="B25" s="113" t="str">
        <f aca="false">Checks!$K$483&amp;IF(Checks!$O$483="","",IF(Checks!$K$483="","",CHAR(10))&amp;"Note: "&amp;Checks!$O$483)</f>
        <v>Applies when fleet = A339
Note: Digital IFE menu applies to A339 only (user brief). Applicability follows the Fleet cell on Flights.</v>
      </c>
      <c r="C25" s="113" t="str">
        <f aca="false">Checks!$N$483&amp;CHAR(10)&amp;IF(ISNUMBER(Checks!$R$483),TEXT(Checks!$R$483,"DD-MMM-YY HH:MM"),"")&amp;" "&amp;Checks!$P$483</f>
        <v>N/A – rule
18-Oct-26 12:00 LHR</v>
      </c>
      <c r="D25" s="113" t="str">
        <f aca="false">IF(Checks!$U$483="","",Checks!$U$483)&amp;IF(Checks!$AB$483="","",CHAR(10)&amp;"CA: "&amp;Checks!$AB$483)</f>
        <v/>
      </c>
      <c r="E25" s="113" t="str">
        <f aca="false">IF(Checks!$V$483="","",Checks!$V$483)&amp;IF(Checks!$AC$483="","",IF(Checks!$V$483="","",CHAR(10))&amp;"N/A just.: "&amp;Checks!$AC$483)&amp;IF(Checks!$W$483="","",CHAR(10)&amp;"Batch: "&amp;Checks!$W$483)&amp;IF(AND(Checks!$X$483="",Checks!$Y$483=""),"",CHAR(10)&amp;"Exp: "&amp;Checks!$X$483&amp;"  /  Act: "&amp;Checks!$Y$483)</f>
        <v/>
      </c>
      <c r="F25" s="113" t="str">
        <f aca="false">IF(Checks!$Z$483="","","Evidence: "&amp;Checks!$Z$483)&amp;IF(Checks!$AA$483="","",IF(Checks!$Z$483="","",CHAR(10))&amp;"CA: "&amp;Checks!$AA$483)</f>
        <v/>
      </c>
      <c r="G25" s="113" t="str">
        <f aca="false">IF(ISNUMBER(Checks!$AD$483),TEXT(Checks!$AD$483,"DD-MMM-YY HH:MM")&amp;" "&amp;Checks!$P$483,"")&amp;IF(Checks!$AE$483="","",CHAR(10)&amp;"Verifier: "&amp;Checks!$AE$483)&amp;IF(Checks!$T$483="","",CHAR(10)&amp;"PIC: "&amp;Checks!$T$483)</f>
        <v/>
      </c>
      <c r="H25" s="114" t="str">
        <f aca="false">IF(Checks!$AH$483="","",Checks!$AH$483)</f>
        <v>N/A – RULE</v>
      </c>
    </row>
    <row r="26" customFormat="false" ht="114" hidden="false" customHeight="true" outlineLevel="0" collapsed="false">
      <c r="A26" s="113" t="str">
        <f aca="false">Checks!$A$484&amp;CHAR(10)&amp;IF(Checks!$I$484="","",Checks!$I$484&amp;": ")&amp;Checks!$J$484</f>
        <v>F15-T7-04
Staffing: Experienced catering officer assigned to this flight</v>
      </c>
      <c r="B26" s="113" t="str">
        <f aca="false">Checks!$K$484&amp;IF(Checks!$O$484="","",IF(Checks!$K$484="","",CHAR(10))&amp;"Note: "&amp;Checks!$O$484)</f>
        <v>Record officer name in Result</v>
      </c>
      <c r="C26" s="113" t="str">
        <f aca="false">Checks!$N$484&amp;CHAR(10)&amp;IF(ISNUMBER(Checks!$R$484),TEXT(Checks!$R$484,"DD-MMM-YY HH:MM"),"")&amp;" "&amp;Checks!$P$484</f>
        <v>Required
18-Oct-26 12:00 LHR</v>
      </c>
      <c r="D26" s="113" t="str">
        <f aca="false">IF(Checks!$U$484="","",Checks!$U$484)&amp;IF(Checks!$AB$484="","",CHAR(10)&amp;"CA: "&amp;Checks!$AB$484)</f>
        <v/>
      </c>
      <c r="E26" s="113" t="str">
        <f aca="false">IF(Checks!$V$484="","",Checks!$V$484)&amp;IF(Checks!$AC$484="","",IF(Checks!$V$484="","",CHAR(10))&amp;"N/A just.: "&amp;Checks!$AC$484)&amp;IF(Checks!$W$484="","",CHAR(10)&amp;"Batch: "&amp;Checks!$W$484)&amp;IF(AND(Checks!$X$484="",Checks!$Y$484=""),"",CHAR(10)&amp;"Exp: "&amp;Checks!$X$484&amp;"  /  Act: "&amp;Checks!$Y$484)</f>
        <v/>
      </c>
      <c r="F26" s="113" t="str">
        <f aca="false">IF(Checks!$Z$484="","","Evidence: "&amp;Checks!$Z$484)&amp;IF(Checks!$AA$484="","",IF(Checks!$Z$484="","",CHAR(10))&amp;"CA: "&amp;Checks!$AA$484)</f>
        <v/>
      </c>
      <c r="G26" s="113" t="str">
        <f aca="false">IF(ISNUMBER(Checks!$AD$484),TEXT(Checks!$AD$484,"DD-MMM-YY HH:MM")&amp;" "&amp;Checks!$P$484,"")&amp;IF(Checks!$AE$484="","",CHAR(10)&amp;"Verifier: "&amp;Checks!$AE$484)&amp;IF(Checks!$T$484="","",CHAR(10)&amp;"PIC: "&amp;Checks!$T$484)</f>
        <v/>
      </c>
      <c r="H26" s="114" t="str">
        <f aca="false">IF(Checks!$AH$484="","",Checks!$AH$484)</f>
        <v>OPEN</v>
      </c>
    </row>
    <row r="27" customFormat="false" ht="114" hidden="false" customHeight="true" outlineLevel="0" collapsed="false">
      <c r="A27" s="113" t="str">
        <f aca="false">Checks!$A$485&amp;CHAR(10)&amp;IF(Checks!$I$485="","",Checks!$I$485&amp;": ")&amp;Checks!$J$485</f>
        <v>F15-T7-05
ISOP: All latest applicable ISOP revisions communicated to caterer</v>
      </c>
      <c r="B27" s="113" t="str">
        <f aca="false">Checks!$K$485&amp;IF(Checks!$O$485="","",IF(Checks!$K$485="","",CHAR(10))&amp;"Note: "&amp;Checks!$O$485)</f>
        <v>List revision numbers in Result (see ISOP register)</v>
      </c>
      <c r="C27" s="113" t="str">
        <f aca="false">Checks!$N$485&amp;CHAR(10)&amp;IF(ISNUMBER(Checks!$R$485),TEXT(Checks!$R$485,"DD-MMM-YY HH:MM"),"")&amp;" "&amp;Checks!$P$485</f>
        <v>Required
18-Oct-26 12:00 LHR</v>
      </c>
      <c r="D27" s="113" t="str">
        <f aca="false">IF(Checks!$U$485="","",Checks!$U$485)&amp;IF(Checks!$AB$485="","",CHAR(10)&amp;"CA: "&amp;Checks!$AB$485)</f>
        <v/>
      </c>
      <c r="E27" s="113" t="str">
        <f aca="false">IF(Checks!$V$485="","",Checks!$V$485)&amp;IF(Checks!$AC$485="","",IF(Checks!$V$485="","",CHAR(10))&amp;"N/A just.: "&amp;Checks!$AC$485)&amp;IF(Checks!$W$485="","",CHAR(10)&amp;"Batch: "&amp;Checks!$W$485)&amp;IF(AND(Checks!$X$485="",Checks!$Y$485=""),"",CHAR(10)&amp;"Exp: "&amp;Checks!$X$485&amp;"  /  Act: "&amp;Checks!$Y$485)</f>
        <v/>
      </c>
      <c r="F27" s="113" t="str">
        <f aca="false">IF(Checks!$Z$485="","","Evidence: "&amp;Checks!$Z$485)&amp;IF(Checks!$AA$485="","",IF(Checks!$Z$485="","",CHAR(10))&amp;"CA: "&amp;Checks!$AA$485)</f>
        <v/>
      </c>
      <c r="G27" s="113" t="str">
        <f aca="false">IF(ISNUMBER(Checks!$AD$485),TEXT(Checks!$AD$485,"DD-MMM-YY HH:MM")&amp;" "&amp;Checks!$P$485,"")&amp;IF(Checks!$AE$485="","",CHAR(10)&amp;"Verifier: "&amp;Checks!$AE$485)&amp;IF(Checks!$T$485="","",CHAR(10)&amp;"PIC: "&amp;Checks!$T$485)</f>
        <v/>
      </c>
      <c r="H27" s="114" t="str">
        <f aca="false">IF(Checks!$AH$485="","",Checks!$AH$485)</f>
        <v>OPEN</v>
      </c>
    </row>
    <row r="28" customFormat="false" ht="114" hidden="false" customHeight="true" outlineLevel="0" collapsed="false">
      <c r="A28" s="113" t="str">
        <f aca="false">Checks!$A$486&amp;CHAR(10)&amp;IF(Checks!$I$486="","",Checks!$I$486&amp;": ")&amp;Checks!$J$486</f>
        <v>F15-T7-06
ISOP: Caterer acknowledgement of ISOP revisions recorded</v>
      </c>
      <c r="B28" s="113" t="str">
        <f aca="false">Checks!$K$486&amp;IF(Checks!$O$486="","",IF(Checks!$K$486="","",CHAR(10))&amp;"Note: "&amp;Checks!$O$486)</f>
        <v>Record acknowledgement ref in Evidence</v>
      </c>
      <c r="C28" s="113" t="str">
        <f aca="false">Checks!$N$486&amp;CHAR(10)&amp;IF(ISNUMBER(Checks!$R$486),TEXT(Checks!$R$486,"DD-MMM-YY HH:MM"),"")&amp;" "&amp;Checks!$P$486</f>
        <v>Required
18-Oct-26 12:00 LHR</v>
      </c>
      <c r="D28" s="113" t="str">
        <f aca="false">IF(Checks!$U$486="","",Checks!$U$486)&amp;IF(Checks!$AB$486="","",CHAR(10)&amp;"CA: "&amp;Checks!$AB$486)</f>
        <v/>
      </c>
      <c r="E28" s="113" t="str">
        <f aca="false">IF(Checks!$V$486="","",Checks!$V$486)&amp;IF(Checks!$AC$486="","",IF(Checks!$V$486="","",CHAR(10))&amp;"N/A just.: "&amp;Checks!$AC$486)&amp;IF(Checks!$W$486="","",CHAR(10)&amp;"Batch: "&amp;Checks!$W$486)&amp;IF(AND(Checks!$X$486="",Checks!$Y$486=""),"",CHAR(10)&amp;"Exp: "&amp;Checks!$X$486&amp;"  /  Act: "&amp;Checks!$Y$486)</f>
        <v/>
      </c>
      <c r="F28" s="113" t="str">
        <f aca="false">IF(Checks!$Z$486="","","Evidence: "&amp;Checks!$Z$486)&amp;IF(Checks!$AA$486="","",IF(Checks!$Z$486="","",CHAR(10))&amp;"CA: "&amp;Checks!$AA$486)</f>
        <v/>
      </c>
      <c r="G28" s="113" t="str">
        <f aca="false">IF(ISNUMBER(Checks!$AD$486),TEXT(Checks!$AD$486,"DD-MMM-YY HH:MM")&amp;" "&amp;Checks!$P$486,"")&amp;IF(Checks!$AE$486="","",CHAR(10)&amp;"Verifier: "&amp;Checks!$AE$486)&amp;IF(Checks!$T$486="","",CHAR(10)&amp;"PIC: "&amp;Checks!$T$486)</f>
        <v/>
      </c>
      <c r="H28" s="114" t="str">
        <f aca="false">IF(Checks!$AH$486="","",Checks!$AH$486)</f>
        <v>OPEN</v>
      </c>
    </row>
    <row r="29" customFormat="false" ht="114" hidden="false" customHeight="true" outlineLevel="0" collapsed="false">
      <c r="A29" s="113" t="str">
        <f aca="false">Checks!$A$487&amp;CHAR(10)&amp;IF(Checks!$I$487="","",Checks!$I$487&amp;": ")&amp;Checks!$J$487</f>
        <v>F15-T7-07
Documents: Galley loading diagram (GLD) received, revision recorded &amp; attached</v>
      </c>
      <c r="B29" s="113" t="str">
        <f aca="false">Checks!$K$487&amp;IF(Checks!$O$487="","",IF(Checks!$K$487="","",CHAR(10))&amp;"Note: "&amp;Checks!$O$487)</f>
        <v>Documents sheet row complete</v>
      </c>
      <c r="C29" s="113" t="str">
        <f aca="false">Checks!$N$487&amp;CHAR(10)&amp;IF(ISNUMBER(Checks!$R$487),TEXT(Checks!$R$487,"DD-MMM-YY HH:MM"),"")&amp;" "&amp;Checks!$P$487</f>
        <v>Required
18-Oct-26 12:00 LHR</v>
      </c>
      <c r="D29" s="113" t="str">
        <f aca="false">IF(Checks!$U$487="","",Checks!$U$487)&amp;IF(Checks!$AB$487="","",CHAR(10)&amp;"CA: "&amp;Checks!$AB$487)</f>
        <v/>
      </c>
      <c r="E29" s="113" t="str">
        <f aca="false">IF(Checks!$V$487="","",Checks!$V$487)&amp;IF(Checks!$AC$487="","",IF(Checks!$V$487="","",CHAR(10))&amp;"N/A just.: "&amp;Checks!$AC$487)&amp;IF(Checks!$W$487="","",CHAR(10)&amp;"Batch: "&amp;Checks!$W$487)&amp;IF(AND(Checks!$X$487="",Checks!$Y$487=""),"",CHAR(10)&amp;"Exp: "&amp;Checks!$X$487&amp;"  /  Act: "&amp;Checks!$Y$487)</f>
        <v/>
      </c>
      <c r="F29" s="113" t="str">
        <f aca="false">IF(Checks!$Z$487="","","Evidence: "&amp;Checks!$Z$487)&amp;IF(Checks!$AA$487="","",IF(Checks!$Z$487="","",CHAR(10))&amp;"CA: "&amp;Checks!$AA$487)</f>
        <v/>
      </c>
      <c r="G29" s="113" t="str">
        <f aca="false">IF(ISNUMBER(Checks!$AD$487),TEXT(Checks!$AD$487,"DD-MMM-YY HH:MM")&amp;" "&amp;Checks!$P$487,"")&amp;IF(Checks!$AE$487="","",CHAR(10)&amp;"Verifier: "&amp;Checks!$AE$487)&amp;IF(Checks!$T$487="","",CHAR(10)&amp;"PIC: "&amp;Checks!$T$487)</f>
        <v/>
      </c>
      <c r="H29" s="114" t="str">
        <f aca="false">IF(Checks!$AH$487="","",Checks!$AH$487)</f>
        <v>OPEN</v>
      </c>
    </row>
    <row r="30" customFormat="false" ht="114" hidden="false" customHeight="true" outlineLevel="0" collapsed="false">
      <c r="A30" s="113" t="str">
        <f aca="false">Checks!$A$488&amp;CHAR(10)&amp;IF(Checks!$I$488="","",Checks!$I$488&amp;": ")&amp;Checks!$J$488</f>
        <v>F15-T7-08
Documents: Menu checklist received, revision recorded &amp; attached</v>
      </c>
      <c r="B30" s="113" t="str">
        <f aca="false">Checks!$K$488&amp;IF(Checks!$O$488="","",IF(Checks!$K$488="","",CHAR(10))&amp;"Note: "&amp;Checks!$O$488)</f>
        <v>Documents sheet row complete</v>
      </c>
      <c r="C30" s="113" t="str">
        <f aca="false">Checks!$N$488&amp;CHAR(10)&amp;IF(ISNUMBER(Checks!$R$488),TEXT(Checks!$R$488,"DD-MMM-YY HH:MM"),"")&amp;" "&amp;Checks!$P$488</f>
        <v>Required
18-Oct-26 12:00 LHR</v>
      </c>
      <c r="D30" s="113" t="str">
        <f aca="false">IF(Checks!$U$488="","",Checks!$U$488)&amp;IF(Checks!$AB$488="","",CHAR(10)&amp;"CA: "&amp;Checks!$AB$488)</f>
        <v/>
      </c>
      <c r="E30" s="113" t="str">
        <f aca="false">IF(Checks!$V$488="","",Checks!$V$488)&amp;IF(Checks!$AC$488="","",IF(Checks!$V$488="","",CHAR(10))&amp;"N/A just.: "&amp;Checks!$AC$488)&amp;IF(Checks!$W$488="","",CHAR(10)&amp;"Batch: "&amp;Checks!$W$488)&amp;IF(AND(Checks!$X$488="",Checks!$Y$488=""),"",CHAR(10)&amp;"Exp: "&amp;Checks!$X$488&amp;"  /  Act: "&amp;Checks!$Y$488)</f>
        <v/>
      </c>
      <c r="F30" s="113" t="str">
        <f aca="false">IF(Checks!$Z$488="","","Evidence: "&amp;Checks!$Z$488)&amp;IF(Checks!$AA$488="","",IF(Checks!$Z$488="","",CHAR(10))&amp;"CA: "&amp;Checks!$AA$488)</f>
        <v/>
      </c>
      <c r="G30" s="113" t="str">
        <f aca="false">IF(ISNUMBER(Checks!$AD$488),TEXT(Checks!$AD$488,"DD-MMM-YY HH:MM")&amp;" "&amp;Checks!$P$488,"")&amp;IF(Checks!$AE$488="","",CHAR(10)&amp;"Verifier: "&amp;Checks!$AE$488)&amp;IF(Checks!$T$488="","",CHAR(10)&amp;"PIC: "&amp;Checks!$T$488)</f>
        <v/>
      </c>
      <c r="H30" s="114" t="str">
        <f aca="false">IF(Checks!$AH$488="","",Checks!$AH$488)</f>
        <v>OPEN</v>
      </c>
    </row>
    <row r="31" customFormat="false" ht="114" hidden="false" customHeight="true" outlineLevel="0" collapsed="false">
      <c r="A31" s="113" t="str">
        <f aca="false">Checks!$A$489&amp;CHAR(10)&amp;IF(Checks!$I$489="","",Checks!$I$489&amp;": ")&amp;Checks!$J$489</f>
        <v>F15-T7-09
Uplift plan: Uplift plan confirmed with caterer vs STD Uplift Information</v>
      </c>
      <c r="B31" s="113" t="str">
        <f aca="false">Checks!$K$489&amp;IF(Checks!$O$489="","",IF(Checks!$K$489="","",CHAR(10))&amp;"Note: "&amp;Checks!$O$489)</f>
        <v>Service: 2.5 Meal (Meal); meal uplift stn LHR (ref lists KUL/LHR)</v>
      </c>
      <c r="C31" s="113" t="str">
        <f aca="false">Checks!$N$489&amp;CHAR(10)&amp;IF(ISNUMBER(Checks!$R$489),TEXT(Checks!$R$489,"DD-MMM-YY HH:MM"),"")&amp;" "&amp;Checks!$P$489</f>
        <v>Required
18-Oct-26 12:00 LHR</v>
      </c>
      <c r="D31" s="113" t="str">
        <f aca="false">IF(Checks!$U$489="","",Checks!$U$489)&amp;IF(Checks!$AB$489="","",CHAR(10)&amp;"CA: "&amp;Checks!$AB$489)</f>
        <v/>
      </c>
      <c r="E31" s="113" t="str">
        <f aca="false">IF(Checks!$V$489="","",Checks!$V$489)&amp;IF(Checks!$AC$489="","",IF(Checks!$V$489="","",CHAR(10))&amp;"N/A just.: "&amp;Checks!$AC$489)&amp;IF(Checks!$W$489="","",CHAR(10)&amp;"Batch: "&amp;Checks!$W$489)&amp;IF(AND(Checks!$X$489="",Checks!$Y$489=""),"",CHAR(10)&amp;"Exp: "&amp;Checks!$X$489&amp;"  /  Act: "&amp;Checks!$Y$489)</f>
        <v/>
      </c>
      <c r="F31" s="113" t="str">
        <f aca="false">IF(Checks!$Z$489="","","Evidence: "&amp;Checks!$Z$489)&amp;IF(Checks!$AA$489="","",IF(Checks!$Z$489="","",CHAR(10))&amp;"CA: "&amp;Checks!$AA$489)</f>
        <v/>
      </c>
      <c r="G31" s="113" t="str">
        <f aca="false">IF(ISNUMBER(Checks!$AD$489),TEXT(Checks!$AD$489,"DD-MMM-YY HH:MM")&amp;" "&amp;Checks!$P$489,"")&amp;IF(Checks!$AE$489="","",CHAR(10)&amp;"Verifier: "&amp;Checks!$AE$489)&amp;IF(Checks!$T$489="","",CHAR(10)&amp;"PIC: "&amp;Checks!$T$489)</f>
        <v/>
      </c>
      <c r="H31" s="114" t="str">
        <f aca="false">IF(Checks!$AH$489="","",Checks!$AH$489)</f>
        <v>OPEN</v>
      </c>
    </row>
    <row r="32" customFormat="false" ht="25.5" hidden="false" customHeight="true" outlineLevel="0" collapsed="false">
      <c r="A32" s="112"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Checks!$A$490&amp;CHAR(10)&amp;IF(Checks!$I$490="","",Checks!$I$490&amp;": ")&amp;Checks!$J$490</f>
        <v>F15-T24-01
Meal: Sensory test repeated on ACTUAL production batch for this flight</v>
      </c>
      <c r="B33" s="113" t="str">
        <f aca="false">Checks!$K$490&amp;IF(Checks!$O$490="","",IF(Checks!$K$490="","",CHAR(10))&amp;"Note: "&amp;Checks!$O$490)</f>
        <v>Batch ID, result, CA and acceptance mandatory</v>
      </c>
      <c r="C33" s="113" t="str">
        <f aca="false">Checks!$N$490&amp;CHAR(10)&amp;IF(ISNUMBER(Checks!$R$490),TEXT(Checks!$R$490,"DD-MMM-YY HH:MM"),"")&amp;" "&amp;Checks!$P$490</f>
        <v>Required
24-Oct-26 12:00 LHR</v>
      </c>
      <c r="D33" s="113" t="str">
        <f aca="false">IF(Checks!$U$490="","",Checks!$U$490)&amp;IF(Checks!$AB$490="","",CHAR(10)&amp;"CA: "&amp;Checks!$AB$490)</f>
        <v/>
      </c>
      <c r="E33" s="113" t="str">
        <f aca="false">IF(Checks!$V$490="","",Checks!$V$490)&amp;IF(Checks!$AC$490="","",IF(Checks!$V$490="","",CHAR(10))&amp;"N/A just.: "&amp;Checks!$AC$490)&amp;IF(Checks!$W$490="","",CHAR(10)&amp;"Batch: "&amp;Checks!$W$490)&amp;IF(AND(Checks!$X$490="",Checks!$Y$490=""),"",CHAR(10)&amp;"Exp: "&amp;Checks!$X$490&amp;"  /  Act: "&amp;Checks!$Y$490)</f>
        <v/>
      </c>
      <c r="F33" s="113" t="str">
        <f aca="false">IF(Checks!$Z$490="","","Evidence: "&amp;Checks!$Z$490)&amp;IF(Checks!$AA$490="","",IF(Checks!$Z$490="","",CHAR(10))&amp;"CA: "&amp;Checks!$AA$490)</f>
        <v/>
      </c>
      <c r="G33" s="113" t="str">
        <f aca="false">IF(ISNUMBER(Checks!$AD$490),TEXT(Checks!$AD$490,"DD-MMM-YY HH:MM")&amp;" "&amp;Checks!$P$490,"")&amp;IF(Checks!$AE$490="","",CHAR(10)&amp;"Verifier: "&amp;Checks!$AE$490)&amp;IF(Checks!$T$490="","",CHAR(10)&amp;"PIC: "&amp;Checks!$T$490)</f>
        <v/>
      </c>
      <c r="H33" s="114" t="str">
        <f aca="false">IF(Checks!$AH$490="","",Checks!$AH$490)</f>
        <v>OPEN</v>
      </c>
    </row>
    <row r="34" customFormat="false" ht="25.5" hidden="false" customHeight="true" outlineLevel="0" collapsed="false">
      <c r="A34" s="112"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2"/>
      <c r="C34" s="112"/>
      <c r="D34" s="112"/>
      <c r="E34" s="112"/>
      <c r="F34" s="112"/>
      <c r="G34" s="112"/>
      <c r="H34" s="112"/>
    </row>
    <row r="35" customFormat="false" ht="114" hidden="false" customHeight="true" outlineLevel="0" collapsed="false">
      <c r="A35" s="113" t="str">
        <f aca="false">Checks!$A$491&amp;CHAR(10)&amp;IF(Checks!$I$491="","",Checks!$I$491&amp;": ")&amp;Checks!$J$491</f>
        <v>F15-T12-01
Meal: Meal quality vs menu checklist</v>
      </c>
      <c r="B35" s="113" t="str">
        <f aca="false">Checks!$K$491&amp;IF(Checks!$O$491="","",IF(Checks!$K$491="","",CHAR(10))&amp;"Note: "&amp;Checks!$O$491)</f>
        <v>Note: Preparation check at caterer - does NOT confirm loading.</v>
      </c>
      <c r="C35" s="113" t="str">
        <f aca="false">Checks!$N$491&amp;CHAR(10)&amp;IF(ISNUMBER(Checks!$R$491),TEXT(Checks!$R$491,"DD-MMM-YY HH:MM"),"")&amp;" "&amp;Checks!$P$491</f>
        <v>Required
25-Oct-26 00:00 LHR</v>
      </c>
      <c r="D35" s="113" t="str">
        <f aca="false">IF(Checks!$U$491="","",Checks!$U$491)&amp;IF(Checks!$AB$491="","",CHAR(10)&amp;"CA: "&amp;Checks!$AB$491)</f>
        <v/>
      </c>
      <c r="E35" s="113" t="str">
        <f aca="false">IF(Checks!$V$491="","",Checks!$V$491)&amp;IF(Checks!$AC$491="","",IF(Checks!$V$491="","",CHAR(10))&amp;"N/A just.: "&amp;Checks!$AC$491)&amp;IF(Checks!$W$491="","",CHAR(10)&amp;"Batch: "&amp;Checks!$W$491)&amp;IF(AND(Checks!$X$491="",Checks!$Y$491=""),"",CHAR(10)&amp;"Exp: "&amp;Checks!$X$491&amp;"  /  Act: "&amp;Checks!$Y$491)</f>
        <v/>
      </c>
      <c r="F35" s="113" t="str">
        <f aca="false">IF(Checks!$Z$491="","","Evidence: "&amp;Checks!$Z$491)&amp;IF(Checks!$AA$491="","",IF(Checks!$Z$491="","",CHAR(10))&amp;"CA: "&amp;Checks!$AA$491)</f>
        <v/>
      </c>
      <c r="G35" s="113" t="str">
        <f aca="false">IF(ISNUMBER(Checks!$AD$491),TEXT(Checks!$AD$491,"DD-MMM-YY HH:MM")&amp;" "&amp;Checks!$P$491,"")&amp;IF(Checks!$AE$491="","",CHAR(10)&amp;"Verifier: "&amp;Checks!$AE$491)&amp;IF(Checks!$T$491="","",CHAR(10)&amp;"PIC: "&amp;Checks!$T$491)</f>
        <v/>
      </c>
      <c r="H35" s="114" t="str">
        <f aca="false">IF(Checks!$AH$491="","",Checks!$AH$491)</f>
        <v>OPEN</v>
      </c>
    </row>
    <row r="36" customFormat="false" ht="114" hidden="false" customHeight="true" outlineLevel="0" collapsed="false">
      <c r="A36" s="113" t="str">
        <f aca="false">Checks!$A$492&amp;CHAR(10)&amp;IF(Checks!$I$492="","",Checks!$I$492&amp;": ")&amp;Checks!$J$492</f>
        <v>F15-T12-02
Meal: Meal quantities vs menu checklist</v>
      </c>
      <c r="B36" s="113" t="str">
        <f aca="false">Checks!$K$492&amp;IF(Checks!$O$492="","",IF(Checks!$K$492="","",CHAR(10))&amp;"Note: "&amp;Checks!$O$492)</f>
        <v>Enter expected &amp; actual
Note: Preparation check at caterer - does NOT confirm loading.</v>
      </c>
      <c r="C36" s="113" t="str">
        <f aca="false">Checks!$N$492&amp;CHAR(10)&amp;IF(ISNUMBER(Checks!$R$492),TEXT(Checks!$R$492,"DD-MMM-YY HH:MM"),"")&amp;" "&amp;Checks!$P$492</f>
        <v>Required
25-Oct-26 00:00 LHR</v>
      </c>
      <c r="D36" s="113" t="str">
        <f aca="false">IF(Checks!$U$492="","",Checks!$U$492)&amp;IF(Checks!$AB$492="","",CHAR(10)&amp;"CA: "&amp;Checks!$AB$492)</f>
        <v/>
      </c>
      <c r="E36" s="113" t="str">
        <f aca="false">IF(Checks!$V$492="","",Checks!$V$492)&amp;IF(Checks!$AC$492="","",IF(Checks!$V$492="","",CHAR(10))&amp;"N/A just.: "&amp;Checks!$AC$492)&amp;IF(Checks!$W$492="","",CHAR(10)&amp;"Batch: "&amp;Checks!$W$492)&amp;IF(AND(Checks!$X$492="",Checks!$Y$492=""),"",CHAR(10)&amp;"Exp: "&amp;Checks!$X$492&amp;"  /  Act: "&amp;Checks!$Y$492)</f>
        <v/>
      </c>
      <c r="F36" s="113" t="str">
        <f aca="false">IF(Checks!$Z$492="","","Evidence: "&amp;Checks!$Z$492)&amp;IF(Checks!$AA$492="","",IF(Checks!$Z$492="","",CHAR(10))&amp;"CA: "&amp;Checks!$AA$492)</f>
        <v/>
      </c>
      <c r="G36" s="113" t="str">
        <f aca="false">IF(ISNUMBER(Checks!$AD$492),TEXT(Checks!$AD$492,"DD-MMM-YY HH:MM")&amp;" "&amp;Checks!$P$492,"")&amp;IF(Checks!$AE$492="","",CHAR(10)&amp;"Verifier: "&amp;Checks!$AE$492)&amp;IF(Checks!$T$492="","",CHAR(10)&amp;"PIC: "&amp;Checks!$T$492)</f>
        <v/>
      </c>
      <c r="H36" s="114" t="str">
        <f aca="false">IF(Checks!$AH$492="","",Checks!$AH$492)</f>
        <v>OPEN</v>
      </c>
    </row>
    <row r="37" customFormat="false" ht="114" hidden="false" customHeight="true" outlineLevel="0" collapsed="false">
      <c r="A37" s="113" t="str">
        <f aca="false">Checks!$A$493&amp;CHAR(10)&amp;IF(Checks!$I$493="","",Checks!$I$493&amp;": ")&amp;Checks!$J$493</f>
        <v>F15-T12-03
Equipment: Equipment cleanliness vs GLD</v>
      </c>
      <c r="B37" s="113" t="str">
        <f aca="false">Checks!$K$493&amp;IF(Checks!$O$493="","",IF(Checks!$K$493="","",CHAR(10))&amp;"Note: "&amp;Checks!$O$493)</f>
        <v>Note: Preparation check at caterer - does NOT confirm loading.</v>
      </c>
      <c r="C37" s="113" t="str">
        <f aca="false">Checks!$N$493&amp;CHAR(10)&amp;IF(ISNUMBER(Checks!$R$493),TEXT(Checks!$R$493,"DD-MMM-YY HH:MM"),"")&amp;" "&amp;Checks!$P$493</f>
        <v>Required
25-Oct-26 00:00 LHR</v>
      </c>
      <c r="D37" s="113" t="str">
        <f aca="false">IF(Checks!$U$493="","",Checks!$U$493)&amp;IF(Checks!$AB$493="","",CHAR(10)&amp;"CA: "&amp;Checks!$AB$493)</f>
        <v/>
      </c>
      <c r="E37" s="113" t="str">
        <f aca="false">IF(Checks!$V$493="","",Checks!$V$493)&amp;IF(Checks!$AC$493="","",IF(Checks!$V$493="","",CHAR(10))&amp;"N/A just.: "&amp;Checks!$AC$493)&amp;IF(Checks!$W$493="","",CHAR(10)&amp;"Batch: "&amp;Checks!$W$493)&amp;IF(AND(Checks!$X$493="",Checks!$Y$493=""),"",CHAR(10)&amp;"Exp: "&amp;Checks!$X$493&amp;"  /  Act: "&amp;Checks!$Y$493)</f>
        <v/>
      </c>
      <c r="F37" s="113" t="str">
        <f aca="false">IF(Checks!$Z$493="","","Evidence: "&amp;Checks!$Z$493)&amp;IF(Checks!$AA$493="","",IF(Checks!$Z$493="","",CHAR(10))&amp;"CA: "&amp;Checks!$AA$493)</f>
        <v/>
      </c>
      <c r="G37" s="113" t="str">
        <f aca="false">IF(ISNUMBER(Checks!$AD$493),TEXT(Checks!$AD$493,"DD-MMM-YY HH:MM")&amp;" "&amp;Checks!$P$493,"")&amp;IF(Checks!$AE$493="","",CHAR(10)&amp;"Verifier: "&amp;Checks!$AE$493)&amp;IF(Checks!$T$493="","",CHAR(10)&amp;"PIC: "&amp;Checks!$T$493)</f>
        <v/>
      </c>
      <c r="H37" s="114" t="str">
        <f aca="false">IF(Checks!$AH$493="","",Checks!$AH$493)</f>
        <v>OPEN</v>
      </c>
    </row>
    <row r="38" customFormat="false" ht="114" hidden="false" customHeight="true" outlineLevel="0" collapsed="false">
      <c r="A38" s="113" t="str">
        <f aca="false">Checks!$A$494&amp;CHAR(10)&amp;IF(Checks!$I$494="","",Checks!$I$494&amp;": ")&amp;Checks!$J$494</f>
        <v>F15-T12-04
Equipment: Equipment presentation vs GLD</v>
      </c>
      <c r="B38" s="113" t="str">
        <f aca="false">Checks!$K$494&amp;IF(Checks!$O$494="","",IF(Checks!$K$494="","",CHAR(10))&amp;"Note: "&amp;Checks!$O$494)</f>
        <v>Note: Preparation check at caterer - does NOT confirm loading.</v>
      </c>
      <c r="C38" s="113" t="str">
        <f aca="false">Checks!$N$494&amp;CHAR(10)&amp;IF(ISNUMBER(Checks!$R$494),TEXT(Checks!$R$494,"DD-MMM-YY HH:MM"),"")&amp;" "&amp;Checks!$P$494</f>
        <v>Required
25-Oct-26 00:00 LHR</v>
      </c>
      <c r="D38" s="113" t="str">
        <f aca="false">IF(Checks!$U$494="","",Checks!$U$494)&amp;IF(Checks!$AB$494="","",CHAR(10)&amp;"CA: "&amp;Checks!$AB$494)</f>
        <v/>
      </c>
      <c r="E38" s="113" t="str">
        <f aca="false">IF(Checks!$V$494="","",Checks!$V$494)&amp;IF(Checks!$AC$494="","",IF(Checks!$V$494="","",CHAR(10))&amp;"N/A just.: "&amp;Checks!$AC$494)&amp;IF(Checks!$W$494="","",CHAR(10)&amp;"Batch: "&amp;Checks!$W$494)&amp;IF(AND(Checks!$X$494="",Checks!$Y$494=""),"",CHAR(10)&amp;"Exp: "&amp;Checks!$X$494&amp;"  /  Act: "&amp;Checks!$Y$494)</f>
        <v/>
      </c>
      <c r="F38" s="113" t="str">
        <f aca="false">IF(Checks!$Z$494="","","Evidence: "&amp;Checks!$Z$494)&amp;IF(Checks!$AA$494="","",IF(Checks!$Z$494="","",CHAR(10))&amp;"CA: "&amp;Checks!$AA$494)</f>
        <v/>
      </c>
      <c r="G38" s="113" t="str">
        <f aca="false">IF(ISNUMBER(Checks!$AD$494),TEXT(Checks!$AD$494,"DD-MMM-YY HH:MM")&amp;" "&amp;Checks!$P$494,"")&amp;IF(Checks!$AE$494="","",CHAR(10)&amp;"Verifier: "&amp;Checks!$AE$494)&amp;IF(Checks!$T$494="","",CHAR(10)&amp;"PIC: "&amp;Checks!$T$494)</f>
        <v/>
      </c>
      <c r="H38" s="114" t="str">
        <f aca="false">IF(Checks!$AH$494="","",Checks!$AH$494)</f>
        <v>OPEN</v>
      </c>
    </row>
    <row r="39" customFormat="false" ht="114" hidden="false" customHeight="true" outlineLevel="0" collapsed="false">
      <c r="A39" s="113" t="str">
        <f aca="false">Checks!$A$495&amp;CHAR(10)&amp;IF(Checks!$I$495="","",Checks!$I$495&amp;": ")&amp;Checks!$J$495</f>
        <v>F15-T12-05
Equipment: Equipment serviceability vs GLD</v>
      </c>
      <c r="B39" s="113" t="str">
        <f aca="false">Checks!$K$495&amp;IF(Checks!$O$495="","",IF(Checks!$K$495="","",CHAR(10))&amp;"Note: "&amp;Checks!$O$495)</f>
        <v>Note: Preparation check at caterer - does NOT confirm loading.</v>
      </c>
      <c r="C39" s="113" t="str">
        <f aca="false">Checks!$N$495&amp;CHAR(10)&amp;IF(ISNUMBER(Checks!$R$495),TEXT(Checks!$R$495,"DD-MMM-YY HH:MM"),"")&amp;" "&amp;Checks!$P$495</f>
        <v>Required
25-Oct-26 00:00 LHR</v>
      </c>
      <c r="D39" s="113" t="str">
        <f aca="false">IF(Checks!$U$495="","",Checks!$U$495)&amp;IF(Checks!$AB$495="","",CHAR(10)&amp;"CA: "&amp;Checks!$AB$495)</f>
        <v/>
      </c>
      <c r="E39" s="113" t="str">
        <f aca="false">IF(Checks!$V$495="","",Checks!$V$495)&amp;IF(Checks!$AC$495="","",IF(Checks!$V$495="","",CHAR(10))&amp;"N/A just.: "&amp;Checks!$AC$495)&amp;IF(Checks!$W$495="","",CHAR(10)&amp;"Batch: "&amp;Checks!$W$495)&amp;IF(AND(Checks!$X$495="",Checks!$Y$495=""),"",CHAR(10)&amp;"Exp: "&amp;Checks!$X$495&amp;"  /  Act: "&amp;Checks!$Y$495)</f>
        <v/>
      </c>
      <c r="F39" s="113" t="str">
        <f aca="false">IF(Checks!$Z$495="","","Evidence: "&amp;Checks!$Z$495)&amp;IF(Checks!$AA$495="","",IF(Checks!$Z$495="","",CHAR(10))&amp;"CA: "&amp;Checks!$AA$495)</f>
        <v/>
      </c>
      <c r="G39" s="113" t="str">
        <f aca="false">IF(ISNUMBER(Checks!$AD$495),TEXT(Checks!$AD$495,"DD-MMM-YY HH:MM")&amp;" "&amp;Checks!$P$495,"")&amp;IF(Checks!$AE$495="","",CHAR(10)&amp;"Verifier: "&amp;Checks!$AE$495)&amp;IF(Checks!$T$495="","",CHAR(10)&amp;"PIC: "&amp;Checks!$T$495)</f>
        <v/>
      </c>
      <c r="H39" s="114" t="str">
        <f aca="false">IF(Checks!$AH$495="","",Checks!$AH$495)</f>
        <v>OPEN</v>
      </c>
    </row>
    <row r="40" customFormat="false" ht="322.5" hidden="false" customHeight="true" outlineLevel="0" collapsed="false">
      <c r="A40" s="113" t="str">
        <f aca="false">Checks!$A$496&amp;CHAR(10)&amp;IF(Checks!$I$496="","",Checks!$I$496&amp;": ")&amp;Checks!$J$496</f>
        <v>F15-T12-06
Equipment: Equipment quantities vs GLD</v>
      </c>
      <c r="B40" s="113" t="str">
        <f aca="false">SUBSTITUTE(Checks!$K$496&amp;IF(Checks!$O$496="","",IF(Checks!$K$496="","",CHAR(10))&amp;"Note: "&amp;Checks!$O$496),"AIRCRAFT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Checks!$N$496&amp;CHAR(10)&amp;IF(ISNUMBER(Checks!$R$496),TEXT(Checks!$R$496,"DD-MMM-YY HH:MM"),"")&amp;" "&amp;Checks!$P$496</f>
        <v>Required
25-Oct-26 00:00 LHR</v>
      </c>
      <c r="D40" s="113" t="str">
        <f aca="false">IF(Checks!$U$496="","",Checks!$U$496)&amp;IF(Checks!$AB$496="","",CHAR(10)&amp;"CA: "&amp;Checks!$AB$496)</f>
        <v/>
      </c>
      <c r="E40" s="113" t="str">
        <f aca="false">IF(Checks!$V$496="","",Checks!$V$496)&amp;IF(Checks!$AC$496="","",IF(Checks!$V$496="","",CHAR(10))&amp;"N/A just.: "&amp;Checks!$AC$496)&amp;IF(Checks!$W$496="","",CHAR(10)&amp;"Batch: "&amp;Checks!$W$496)&amp;IF(AND(Checks!$X$496="",Checks!$Y$496=""),"",CHAR(10)&amp;"Exp: "&amp;Checks!$X$496&amp;"  /  Act: "&amp;Checks!$Y$496)</f>
        <v/>
      </c>
      <c r="F40" s="113" t="str">
        <f aca="false">IF(Checks!$Z$496="","","Evidence: "&amp;Checks!$Z$496)&amp;IF(Checks!$AA$496="","",IF(Checks!$Z$496="","",CHAR(10))&amp;"CA: "&amp;Checks!$AA$496)</f>
        <v/>
      </c>
      <c r="G40" s="113" t="str">
        <f aca="false">IF(ISNUMBER(Checks!$AD$496),TEXT(Checks!$AD$496,"DD-MMM-YY HH:MM")&amp;" "&amp;Checks!$P$496,"")&amp;IF(Checks!$AE$496="","",CHAR(10)&amp;"Verifier: "&amp;Checks!$AE$496)&amp;IF(Checks!$T$496="","",CHAR(10)&amp;"PIC: "&amp;Checks!$T$496)</f>
        <v/>
      </c>
      <c r="H40" s="114" t="str">
        <f aca="false">IF(Checks!$AH$496="","",Checks!$AH$496)</f>
        <v>OPEN</v>
      </c>
    </row>
    <row r="41" customFormat="false" ht="114" hidden="false" customHeight="true" outlineLevel="0" collapsed="false">
      <c r="A41" s="113" t="str">
        <f aca="false">Checks!$A$497&amp;CHAR(10)&amp;IF(Checks!$I$497="","",Checks!$I$497&amp;": ")&amp;Checks!$J$497</f>
        <v>F15-T12-07
Equipment: Loading positions planned vs GLD</v>
      </c>
      <c r="B41" s="113" t="str">
        <f aca="false">Checks!$K$497&amp;IF(Checks!$O$497="","",IF(Checks!$K$497="","",CHAR(10))&amp;"Note: "&amp;Checks!$O$497)</f>
        <v>Note: Preparation check at caterer - does NOT confirm loading.</v>
      </c>
      <c r="C41" s="113" t="str">
        <f aca="false">Checks!$N$497&amp;CHAR(10)&amp;IF(ISNUMBER(Checks!$R$497),TEXT(Checks!$R$497,"DD-MMM-YY HH:MM"),"")&amp;" "&amp;Checks!$P$497</f>
        <v>Required
25-Oct-26 00:00 LHR</v>
      </c>
      <c r="D41" s="113" t="str">
        <f aca="false">IF(Checks!$U$497="","",Checks!$U$497)&amp;IF(Checks!$AB$497="","",CHAR(10)&amp;"CA: "&amp;Checks!$AB$497)</f>
        <v/>
      </c>
      <c r="E41" s="113" t="str">
        <f aca="false">IF(Checks!$V$497="","",Checks!$V$497)&amp;IF(Checks!$AC$497="","",IF(Checks!$V$497="","",CHAR(10))&amp;"N/A just.: "&amp;Checks!$AC$497)&amp;IF(Checks!$W$497="","",CHAR(10)&amp;"Batch: "&amp;Checks!$W$497)&amp;IF(AND(Checks!$X$497="",Checks!$Y$497=""),"",CHAR(10)&amp;"Exp: "&amp;Checks!$X$497&amp;"  /  Act: "&amp;Checks!$Y$497)</f>
        <v/>
      </c>
      <c r="F41" s="113" t="str">
        <f aca="false">IF(Checks!$Z$497="","","Evidence: "&amp;Checks!$Z$497)&amp;IF(Checks!$AA$497="","",IF(Checks!$Z$497="","",CHAR(10))&amp;"CA: "&amp;Checks!$AA$497)</f>
        <v/>
      </c>
      <c r="G41" s="113" t="str">
        <f aca="false">IF(ISNUMBER(Checks!$AD$497),TEXT(Checks!$AD$497,"DD-MMM-YY HH:MM")&amp;" "&amp;Checks!$P$497,"")&amp;IF(Checks!$AE$497="","",CHAR(10)&amp;"Verifier: "&amp;Checks!$AE$497)&amp;IF(Checks!$T$497="","",CHAR(10)&amp;"PIC: "&amp;Checks!$T$497)</f>
        <v/>
      </c>
      <c r="H41" s="114" t="str">
        <f aca="false">IF(Checks!$AH$497="","",Checks!$AH$497)</f>
        <v>OPEN</v>
      </c>
    </row>
    <row r="42" customFormat="false" ht="135.75" hidden="false" customHeight="true" outlineLevel="0" collapsed="false">
      <c r="A42" s="113" t="str">
        <f aca="false">Checks!$A$498&amp;CHAR(10)&amp;IF(Checks!$I$498="","",Checks!$I$498&amp;": ")&amp;Checks!$J$498</f>
        <v>F15-T12-08
Amenities: Toiletry kits - prepared</v>
      </c>
      <c r="B42" s="113"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13" t="str">
        <f aca="false">Checks!$N$498&amp;CHAR(10)&amp;IF(ISNUMBER(Checks!$R$498),TEXT(Checks!$R$498,"DD-MMM-YY HH:MM"),"")&amp;" "&amp;Checks!$P$498</f>
        <v>Clarification required
25-Oct-26 00:00 LHR</v>
      </c>
      <c r="D42" s="113" t="str">
        <f aca="false">IF(Checks!$U$498="","",Checks!$U$498)&amp;IF(Checks!$AB$498="","",CHAR(10)&amp;"CA: "&amp;Checks!$AB$498)</f>
        <v/>
      </c>
      <c r="E42" s="113" t="str">
        <f aca="false">IF(Checks!$V$498="","",Checks!$V$498)&amp;IF(Checks!$AC$498="","",IF(Checks!$V$498="","",CHAR(10))&amp;"N/A just.: "&amp;Checks!$AC$498)&amp;IF(Checks!$W$498="","",CHAR(10)&amp;"Batch: "&amp;Checks!$W$498)&amp;IF(AND(Checks!$X$498="",Checks!$Y$498=""),"",CHAR(10)&amp;"Exp: "&amp;Checks!$X$498&amp;"  /  Act: "&amp;Checks!$Y$498)</f>
        <v/>
      </c>
      <c r="F42" s="113" t="str">
        <f aca="false">IF(Checks!$Z$498="","","Evidence: "&amp;Checks!$Z$498)&amp;IF(Checks!$AA$498="","",IF(Checks!$Z$498="","",CHAR(10))&amp;"CA: "&amp;Checks!$AA$498)</f>
        <v/>
      </c>
      <c r="G42" s="113" t="str">
        <f aca="false">IF(ISNUMBER(Checks!$AD$498),TEXT(Checks!$AD$498,"DD-MMM-YY HH:MM")&amp;" "&amp;Checks!$P$498,"")&amp;IF(Checks!$AE$498="","",CHAR(10)&amp;"Verifier: "&amp;Checks!$AE$498)&amp;IF(Checks!$T$498="","",CHAR(10)&amp;"PIC: "&amp;Checks!$T$498)</f>
        <v/>
      </c>
      <c r="H42" s="114" t="str">
        <f aca="false">IF(Checks!$AH$498="","",Checks!$AH$498)</f>
        <v>OPEN – CLARIFICATION</v>
      </c>
    </row>
    <row r="43" customFormat="false" ht="114" hidden="false" customHeight="true" outlineLevel="0" collapsed="false">
      <c r="A43" s="113" t="str">
        <f aca="false">Checks!$A$499&amp;CHAR(10)&amp;IF(Checks!$I$499="","",Checks!$I$499&amp;": ")&amp;Checks!$J$499</f>
        <v>F15-T12-09
Seat Linen: Seat pillow (EY) - prepared</v>
      </c>
      <c r="B43" s="113" t="str">
        <f aca="false">Checks!$K$499&amp;IF(Checks!$O$499="","",IF(Checks!$K$499="","",CHAR(10))&amp;"Note: "&amp;Checks!$O$499)</f>
        <v>Available 100% (ticked in reference)
Note: Reference gives no uplift stn for this item: preparation checked at the meal uplift stn (LHR) - confirm with caterer.</v>
      </c>
      <c r="C43" s="113" t="str">
        <f aca="false">Checks!$N$499&amp;CHAR(10)&amp;IF(ISNUMBER(Checks!$R$499),TEXT(Checks!$R$499,"DD-MMM-YY HH:MM"),"")&amp;" "&amp;Checks!$P$499</f>
        <v>Required
25-Oct-26 00:00 LHR</v>
      </c>
      <c r="D43" s="113" t="str">
        <f aca="false">IF(Checks!$U$499="","",Checks!$U$499)&amp;IF(Checks!$AB$499="","",CHAR(10)&amp;"CA: "&amp;Checks!$AB$499)</f>
        <v/>
      </c>
      <c r="E43" s="113" t="str">
        <f aca="false">IF(Checks!$V$499="","",Checks!$V$499)&amp;IF(Checks!$AC$499="","",IF(Checks!$V$499="","",CHAR(10))&amp;"N/A just.: "&amp;Checks!$AC$499)&amp;IF(Checks!$W$499="","",CHAR(10)&amp;"Batch: "&amp;Checks!$W$499)&amp;IF(AND(Checks!$X$499="",Checks!$Y$499=""),"",CHAR(10)&amp;"Exp: "&amp;Checks!$X$499&amp;"  /  Act: "&amp;Checks!$Y$499)</f>
        <v/>
      </c>
      <c r="F43" s="113" t="str">
        <f aca="false">IF(Checks!$Z$499="","","Evidence: "&amp;Checks!$Z$499)&amp;IF(Checks!$AA$499="","",IF(Checks!$Z$499="","",CHAR(10))&amp;"CA: "&amp;Checks!$AA$499)</f>
        <v/>
      </c>
      <c r="G43" s="113" t="str">
        <f aca="false">IF(ISNUMBER(Checks!$AD$499),TEXT(Checks!$AD$499,"DD-MMM-YY HH:MM")&amp;" "&amp;Checks!$P$499,"")&amp;IF(Checks!$AE$499="","",CHAR(10)&amp;"Verifier: "&amp;Checks!$AE$499)&amp;IF(Checks!$T$499="","",CHAR(10)&amp;"PIC: "&amp;Checks!$T$499)</f>
        <v/>
      </c>
      <c r="H43" s="114" t="str">
        <f aca="false">IF(Checks!$AH$499="","",Checks!$AH$499)</f>
        <v>OPEN</v>
      </c>
    </row>
    <row r="44" customFormat="false" ht="246" hidden="false" customHeight="true" outlineLevel="0" collapsed="false">
      <c r="A44" s="113" t="str">
        <f aca="false">Checks!$A$500&amp;CHAR(10)&amp;IF(Checks!$I$500="","",Checks!$I$500&amp;": ")&amp;Checks!$J$500</f>
        <v>F15-T12-10
Seat Linen: Blanket (EY) - prepared</v>
      </c>
      <c r="B44" s="113" t="str">
        <f aca="false">SUBSTITUTE(Checks!$K$500&amp;IF(Checks!$O$500="","",IF(Checks!$K$500="","",CHAR(10))&amp;"Note: "&amp;Checks!$O$500),"SEAT LINEN!","Ref: SEAT LINEN!")</f>
        <v>Available 100% (ticked in reference); qty 280 (A350 9M-MAH) / 260 (A359) - per tail
Note: EY blanket: flight above 3 hours excl. Regional (Ref: SEAT LINEN!B74:C74); block 11.75 h. Qty per tail: A350 280 pcs (Ref: SEAT LINEN!B76:C76), A359 260 pcs (Ref: SEAT LINEN!B77:C77). Reference gives no uplift stn for this item: preparation checked at the meal uplift stn (LHR) - confirm with caterer.</v>
      </c>
      <c r="C44" s="113" t="str">
        <f aca="false">Checks!$N$500&amp;CHAR(10)&amp;IF(ISNUMBER(Checks!$R$500),TEXT(Checks!$R$500,"DD-MMM-YY HH:MM"),"")&amp;" "&amp;Checks!$P$500</f>
        <v>Required
25-Oct-26 00:00 LHR</v>
      </c>
      <c r="D44" s="113" t="str">
        <f aca="false">IF(Checks!$U$500="","",Checks!$U$500)&amp;IF(Checks!$AB$500="","",CHAR(10)&amp;"CA: "&amp;Checks!$AB$500)</f>
        <v/>
      </c>
      <c r="E44" s="113" t="str">
        <f aca="false">IF(Checks!$V$500="","",Checks!$V$500)&amp;IF(Checks!$AC$500="","",IF(Checks!$V$500="","",CHAR(10))&amp;"N/A just.: "&amp;Checks!$AC$500)&amp;IF(Checks!$W$500="","",CHAR(10)&amp;"Batch: "&amp;Checks!$W$500)&amp;IF(AND(Checks!$X$500="",Checks!$Y$500=""),"",CHAR(10)&amp;"Exp: "&amp;Checks!$X$500&amp;"  /  Act: "&amp;Checks!$Y$500)</f>
        <v/>
      </c>
      <c r="F44" s="113" t="str">
        <f aca="false">IF(Checks!$Z$500="","","Evidence: "&amp;Checks!$Z$500)&amp;IF(Checks!$AA$500="","",IF(Checks!$Z$500="","",CHAR(10))&amp;"CA: "&amp;Checks!$AA$500)</f>
        <v/>
      </c>
      <c r="G44" s="113" t="str">
        <f aca="false">IF(ISNUMBER(Checks!$AD$500),TEXT(Checks!$AD$500,"DD-MMM-YY HH:MM")&amp;" "&amp;Checks!$P$500,"")&amp;IF(Checks!$AE$500="","",CHAR(10)&amp;"Verifier: "&amp;Checks!$AE$500)&amp;IF(Checks!$T$500="","",CHAR(10)&amp;"PIC: "&amp;Checks!$T$500)</f>
        <v/>
      </c>
      <c r="H44" s="114" t="str">
        <f aca="false">IF(Checks!$AH$500="","",Checks!$AH$500)</f>
        <v>OPEN</v>
      </c>
    </row>
    <row r="45" customFormat="false" ht="25.5" hidden="false" customHeight="true" outlineLevel="0" collapsed="false">
      <c r="A45" s="112"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2"/>
      <c r="C45" s="112"/>
      <c r="D45" s="112"/>
      <c r="E45" s="112"/>
      <c r="F45" s="112"/>
      <c r="G45" s="112"/>
      <c r="H45" s="112"/>
    </row>
    <row r="46" customFormat="false" ht="114" hidden="false" customHeight="true" outlineLevel="0" collapsed="false">
      <c r="A46" s="113" t="str">
        <f aca="false">Checks!$A$501&amp;CHAR(10)&amp;IF(Checks!$I$501="","",Checks!$I$501&amp;": ")&amp;Checks!$J$501</f>
        <v>F15-UPL-01
Meal: Meals physically uplifted on board - quantity vs menu checklist</v>
      </c>
      <c r="B46" s="113" t="str">
        <f aca="false">Checks!$K$501&amp;IF(Checks!$O$501="","",IF(Checks!$K$501="","",CHAR(10))&amp;"Note: "&amp;Checks!$O$501)</f>
        <v>Enter expected &amp; actual
Note: Confirm on board before departure; completion time must fall inside the uplift window.</v>
      </c>
      <c r="C46" s="113" t="str">
        <f aca="false">Checks!$N$501&amp;CHAR(10)&amp;IF(ISNUMBER(Checks!$R$501),TEXT(Checks!$R$501,"DD-MMM-YY HH:MM"),"")&amp;" "&amp;Checks!$P$501</f>
        <v>Required
25-Oct-26 11:00 LHR</v>
      </c>
      <c r="D46" s="113" t="str">
        <f aca="false">IF(Checks!$U$501="","",Checks!$U$501)&amp;IF(Checks!$AB$501="","",CHAR(10)&amp;"CA: "&amp;Checks!$AB$501)</f>
        <v/>
      </c>
      <c r="E46" s="113" t="str">
        <f aca="false">IF(Checks!$V$501="","",Checks!$V$501)&amp;IF(Checks!$AC$501="","",IF(Checks!$V$501="","",CHAR(10))&amp;"N/A just.: "&amp;Checks!$AC$501)&amp;IF(Checks!$W$501="","",CHAR(10)&amp;"Batch: "&amp;Checks!$W$501)&amp;IF(AND(Checks!$X$501="",Checks!$Y$501=""),"",CHAR(10)&amp;"Exp: "&amp;Checks!$X$501&amp;"  /  Act: "&amp;Checks!$Y$501)</f>
        <v/>
      </c>
      <c r="F46" s="113" t="str">
        <f aca="false">IF(Checks!$Z$501="","","Evidence: "&amp;Checks!$Z$501)&amp;IF(Checks!$AA$501="","",IF(Checks!$Z$501="","",CHAR(10))&amp;"CA: "&amp;Checks!$AA$501)</f>
        <v/>
      </c>
      <c r="G46" s="113" t="str">
        <f aca="false">IF(ISNUMBER(Checks!$AD$501),TEXT(Checks!$AD$501,"DD-MMM-YY HH:MM")&amp;" "&amp;Checks!$P$501,"")&amp;IF(Checks!$AE$501="","",CHAR(10)&amp;"Verifier: "&amp;Checks!$AE$501)&amp;IF(Checks!$T$501="","",CHAR(10)&amp;"PIC: "&amp;Checks!$T$501)</f>
        <v/>
      </c>
      <c r="H46" s="114" t="str">
        <f aca="false">IF(Checks!$AH$501="","",Checks!$AH$501)</f>
        <v>OPEN</v>
      </c>
    </row>
    <row r="47" customFormat="false" ht="114" hidden="false" customHeight="true" outlineLevel="0" collapsed="false">
      <c r="A47" s="113" t="str">
        <f aca="false">Checks!$A$502&amp;CHAR(10)&amp;IF(Checks!$I$502="","",Checks!$I$502&amp;": ")&amp;Checks!$J$502</f>
        <v>F15-UPL-02
Equipment: Equipment physically loaded at GLD positions - quantity &amp; positions</v>
      </c>
      <c r="B47" s="113" t="str">
        <f aca="false">Checks!$K$502&amp;IF(Checks!$O$502="","",IF(Checks!$K$502="","",CHAR(10))&amp;"Note: "&amp;Checks!$O$502)</f>
        <v>Enter expected &amp; actual
Note: Confirm on board before departure; completion time must fall inside the uplift window.</v>
      </c>
      <c r="C47" s="113" t="str">
        <f aca="false">Checks!$N$502&amp;CHAR(10)&amp;IF(ISNUMBER(Checks!$R$502),TEXT(Checks!$R$502,"DD-MMM-YY HH:MM"),"")&amp;" "&amp;Checks!$P$502</f>
        <v>Required
25-Oct-26 11:00 LHR</v>
      </c>
      <c r="D47" s="113" t="str">
        <f aca="false">IF(Checks!$U$502="","",Checks!$U$502)&amp;IF(Checks!$AB$502="","",CHAR(10)&amp;"CA: "&amp;Checks!$AB$502)</f>
        <v/>
      </c>
      <c r="E47" s="113" t="str">
        <f aca="false">IF(Checks!$V$502="","",Checks!$V$502)&amp;IF(Checks!$AC$502="","",IF(Checks!$V$502="","",CHAR(10))&amp;"N/A just.: "&amp;Checks!$AC$502)&amp;IF(Checks!$W$502="","",CHAR(10)&amp;"Batch: "&amp;Checks!$W$502)&amp;IF(AND(Checks!$X$502="",Checks!$Y$502=""),"",CHAR(10)&amp;"Exp: "&amp;Checks!$X$502&amp;"  /  Act: "&amp;Checks!$Y$502)</f>
        <v/>
      </c>
      <c r="F47" s="113" t="str">
        <f aca="false">IF(Checks!$Z$502="","","Evidence: "&amp;Checks!$Z$502)&amp;IF(Checks!$AA$502="","",IF(Checks!$Z$502="","",CHAR(10))&amp;"CA: "&amp;Checks!$AA$502)</f>
        <v/>
      </c>
      <c r="G47" s="113" t="str">
        <f aca="false">IF(ISNUMBER(Checks!$AD$502),TEXT(Checks!$AD$502,"DD-MMM-YY HH:MM")&amp;" "&amp;Checks!$P$502,"")&amp;IF(Checks!$AE$502="","",CHAR(10)&amp;"Verifier: "&amp;Checks!$AE$502)&amp;IF(Checks!$T$502="","",CHAR(10)&amp;"PIC: "&amp;Checks!$T$502)</f>
        <v/>
      </c>
      <c r="H47" s="114" t="str">
        <f aca="false">IF(Checks!$AH$502="","",Checks!$AH$502)</f>
        <v>OPEN</v>
      </c>
    </row>
    <row r="48" customFormat="false" ht="135.75" hidden="false" customHeight="true" outlineLevel="0" collapsed="false">
      <c r="A48" s="113" t="str">
        <f aca="false">Checks!$A$503&amp;CHAR(10)&amp;IF(Checks!$I$503="","",Checks!$I$503&amp;": ")&amp;Checks!$J$503</f>
        <v>F15-UPL-03
Amenities: Toiletry kits - on board</v>
      </c>
      <c r="B48" s="113"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13" t="str">
        <f aca="false">Checks!$N$503&amp;CHAR(10)&amp;IF(ISNUMBER(Checks!$R$503),TEXT(Checks!$R$503,"DD-MMM-YY HH:MM"),"")&amp;" "&amp;Checks!$P$503</f>
        <v>Clarification required
25-Oct-26 11:00 LHR</v>
      </c>
      <c r="D48" s="113" t="str">
        <f aca="false">IF(Checks!$U$503="","",Checks!$U$503)&amp;IF(Checks!$AB$503="","",CHAR(10)&amp;"CA: "&amp;Checks!$AB$503)</f>
        <v/>
      </c>
      <c r="E48" s="113" t="str">
        <f aca="false">IF(Checks!$V$503="","",Checks!$V$503)&amp;IF(Checks!$AC$503="","",IF(Checks!$V$503="","",CHAR(10))&amp;"N/A just.: "&amp;Checks!$AC$503)&amp;IF(Checks!$W$503="","",CHAR(10)&amp;"Batch: "&amp;Checks!$W$503)&amp;IF(AND(Checks!$X$503="",Checks!$Y$503=""),"",CHAR(10)&amp;"Exp: "&amp;Checks!$X$503&amp;"  /  Act: "&amp;Checks!$Y$503)</f>
        <v/>
      </c>
      <c r="F48" s="113" t="str">
        <f aca="false">IF(Checks!$Z$503="","","Evidence: "&amp;Checks!$Z$503)&amp;IF(Checks!$AA$503="","",IF(Checks!$Z$503="","",CHAR(10))&amp;"CA: "&amp;Checks!$AA$503)</f>
        <v/>
      </c>
      <c r="G48" s="113" t="str">
        <f aca="false">IF(ISNUMBER(Checks!$AD$503),TEXT(Checks!$AD$503,"DD-MMM-YY HH:MM")&amp;" "&amp;Checks!$P$503,"")&amp;IF(Checks!$AE$503="","",CHAR(10)&amp;"Verifier: "&amp;Checks!$AE$503)&amp;IF(Checks!$T$503="","",CHAR(10)&amp;"PIC: "&amp;Checks!$T$503)</f>
        <v/>
      </c>
      <c r="H48" s="114" t="str">
        <f aca="false">IF(Checks!$AH$503="","",Checks!$AH$503)</f>
        <v>OPEN – CLARIFICATION</v>
      </c>
    </row>
    <row r="49" customFormat="false" ht="114" hidden="false" customHeight="true" outlineLevel="0" collapsed="false">
      <c r="A49" s="113" t="str">
        <f aca="false">Checks!$A$504&amp;CHAR(10)&amp;IF(Checks!$I$504="","",Checks!$I$504&amp;": ")&amp;Checks!$J$504</f>
        <v>F15-UPL-04
Seat Linen: Seat pillow (EY) - on board</v>
      </c>
      <c r="B49" s="113" t="str">
        <f aca="false">Checks!$K$504&amp;IF(Checks!$O$504="","",IF(Checks!$K$504="","",CHAR(10))&amp;"Note: "&amp;Checks!$O$504)</f>
        <v>Available 100% (ticked in reference)</v>
      </c>
      <c r="C49" s="113" t="str">
        <f aca="false">Checks!$N$504&amp;CHAR(10)&amp;IF(ISNUMBER(Checks!$R$504),TEXT(Checks!$R$504,"DD-MMM-YY HH:MM"),"")&amp;" "&amp;Checks!$P$504</f>
        <v>Required
25-Oct-26 11:00 LHR</v>
      </c>
      <c r="D49" s="113" t="str">
        <f aca="false">IF(Checks!$U$504="","",Checks!$U$504)&amp;IF(Checks!$AB$504="","",CHAR(10)&amp;"CA: "&amp;Checks!$AB$504)</f>
        <v/>
      </c>
      <c r="E49" s="113" t="str">
        <f aca="false">IF(Checks!$V$504="","",Checks!$V$504)&amp;IF(Checks!$AC$504="","",IF(Checks!$V$504="","",CHAR(10))&amp;"N/A just.: "&amp;Checks!$AC$504)&amp;IF(Checks!$W$504="","",CHAR(10)&amp;"Batch: "&amp;Checks!$W$504)&amp;IF(AND(Checks!$X$504="",Checks!$Y$504=""),"",CHAR(10)&amp;"Exp: "&amp;Checks!$X$504&amp;"  /  Act: "&amp;Checks!$Y$504)</f>
        <v/>
      </c>
      <c r="F49" s="113" t="str">
        <f aca="false">IF(Checks!$Z$504="","","Evidence: "&amp;Checks!$Z$504)&amp;IF(Checks!$AA$504="","",IF(Checks!$Z$504="","",CHAR(10))&amp;"CA: "&amp;Checks!$AA$504)</f>
        <v/>
      </c>
      <c r="G49" s="113" t="str">
        <f aca="false">IF(ISNUMBER(Checks!$AD$504),TEXT(Checks!$AD$504,"DD-MMM-YY HH:MM")&amp;" "&amp;Checks!$P$504,"")&amp;IF(Checks!$AE$504="","",CHAR(10)&amp;"Verifier: "&amp;Checks!$AE$504)&amp;IF(Checks!$T$504="","",CHAR(10)&amp;"PIC: "&amp;Checks!$T$504)</f>
        <v/>
      </c>
      <c r="H49" s="114" t="str">
        <f aca="false">IF(Checks!$AH$504="","",Checks!$AH$504)</f>
        <v>OPEN</v>
      </c>
    </row>
    <row r="50" customFormat="false" ht="168.75" hidden="false" customHeight="true" outlineLevel="0" collapsed="false">
      <c r="A50" s="113" t="str">
        <f aca="false">Checks!$A$505&amp;CHAR(10)&amp;IF(Checks!$I$505="","",Checks!$I$505&amp;": ")&amp;Checks!$J$505</f>
        <v>F15-UPL-05
Seat Linen: Blanket (EY) - on board</v>
      </c>
      <c r="B50" s="113" t="str">
        <f aca="false">SUBSTITUTE(Checks!$K$505&amp;IF(Checks!$O$505="","",IF(Checks!$K$505="","",CHAR(10))&amp;"Note: "&amp;Checks!$O$505),"SEAT LINEN!","Ref: SEAT LINEN!")</f>
        <v>Available 100% (ticked in reference); qty 280 (A350 9M-MAH) / 260 (A359) - per tail
Note: EY blanket: flight above 3 hours excl. Regional (Ref: SEAT LINEN!B74:C74); block 11.75 h. Qty per tail: A350 280 pcs (Ref: SEAT LINEN!B76:C76), A359 260 pcs (Ref: SEAT LINEN!B77:C77).</v>
      </c>
      <c r="C50" s="113" t="str">
        <f aca="false">Checks!$N$505&amp;CHAR(10)&amp;IF(ISNUMBER(Checks!$R$505),TEXT(Checks!$R$505,"DD-MMM-YY HH:MM"),"")&amp;" "&amp;Checks!$P$505</f>
        <v>Required
25-Oct-26 11:00 LHR</v>
      </c>
      <c r="D50" s="113" t="str">
        <f aca="false">IF(Checks!$U$505="","",Checks!$U$505)&amp;IF(Checks!$AB$505="","",CHAR(10)&amp;"CA: "&amp;Checks!$AB$505)</f>
        <v/>
      </c>
      <c r="E50" s="113" t="str">
        <f aca="false">IF(Checks!$V$505="","",Checks!$V$505)&amp;IF(Checks!$AC$505="","",IF(Checks!$V$505="","",CHAR(10))&amp;"N/A just.: "&amp;Checks!$AC$505)&amp;IF(Checks!$W$505="","",CHAR(10)&amp;"Batch: "&amp;Checks!$W$505)&amp;IF(AND(Checks!$X$505="",Checks!$Y$505=""),"",CHAR(10)&amp;"Exp: "&amp;Checks!$X$505&amp;"  /  Act: "&amp;Checks!$Y$505)</f>
        <v/>
      </c>
      <c r="F50" s="113" t="str">
        <f aca="false">IF(Checks!$Z$505="","","Evidence: "&amp;Checks!$Z$505)&amp;IF(Checks!$AA$505="","",IF(Checks!$Z$505="","",CHAR(10))&amp;"CA: "&amp;Checks!$AA$505)</f>
        <v/>
      </c>
      <c r="G50" s="113" t="str">
        <f aca="false">IF(ISNUMBER(Checks!$AD$505),TEXT(Checks!$AD$505,"DD-MMM-YY HH:MM")&amp;" "&amp;Checks!$P$505,"")&amp;IF(Checks!$AE$505="","",CHAR(10)&amp;"Verifier: "&amp;Checks!$AE$505)&amp;IF(Checks!$T$505="","",CHAR(10)&amp;"PIC: "&amp;Checks!$T$505)</f>
        <v/>
      </c>
      <c r="H50" s="114" t="str">
        <f aca="false">IF(Checks!$AH$505="","",Checks!$AH$505)</f>
        <v>OPEN</v>
      </c>
    </row>
    <row r="52" customFormat="false" ht="24" hidden="false" customHeight="true" outlineLevel="0" collapsed="false">
      <c r="A52" s="115" t="s">
        <v>1650</v>
      </c>
      <c r="B52" s="115"/>
      <c r="C52" s="115"/>
      <c r="D52" s="115"/>
      <c r="E52" s="115" t="s">
        <v>1651</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F16  "&amp;Flights!$F$20&amp;"  "&amp;TEXT(Flights!$D$20,"DD-MMM-YY")&amp;" ("&amp;Flights!$E$20&amp;")  "&amp;Flights!$G$20&amp;" → "&amp;Flights!$H$20&amp;"  |  Class "&amp;Flights!$K$20</f>
        <v>SKYTRAX 2026 CATERING READINESS CHECKLIST  |  F16  MH0072  26-Oct-26 (MON)  KUL → HKG  |  Class EY</v>
      </c>
      <c r="B1" s="91"/>
      <c r="C1" s="91"/>
      <c r="D1" s="91"/>
      <c r="E1" s="91"/>
      <c r="F1" s="91"/>
      <c r="G1" s="91"/>
      <c r="H1" s="91"/>
    </row>
    <row r="2" customFormat="false" ht="12.75" hidden="false" customHeight="true" outlineLevel="0" collapsed="false">
      <c r="A2" s="92" t="s">
        <v>1605</v>
      </c>
      <c r="B2" s="93" t="str">
        <f aca="false">Flights!$F$20&amp;"   "&amp;TEXT(Flights!$D$20,"DD-MMM-YY")&amp;" ("&amp;Flights!$E$20&amp;")"</f>
        <v>MH0072   26-Oct-26 (MON)</v>
      </c>
      <c r="C2" s="93"/>
      <c r="D2" s="93"/>
      <c r="E2" s="94" t="s">
        <v>1606</v>
      </c>
      <c r="F2" s="95" t="str">
        <f aca="false">Flights!$AT$20</f>
        <v>NOT READY – DOCUMENTS</v>
      </c>
      <c r="G2" s="95"/>
      <c r="H2" s="95"/>
    </row>
    <row r="3" customFormat="false" ht="24" hidden="false" customHeight="true" outlineLevel="0" collapsed="false">
      <c r="A3" s="92" t="s">
        <v>1607</v>
      </c>
      <c r="B3" s="93" t="str">
        <f aca="false">Flights!$G$20&amp;" → "&amp;Flights!$H$20&amp;"   Class "&amp;Flights!$K$20&amp;"   Seat "&amp;Flights!$O$20</f>
        <v>KUL → HKG   Class EY   Seat 4C</v>
      </c>
      <c r="C3" s="93"/>
      <c r="D3" s="93"/>
      <c r="E3" s="94" t="s">
        <v>68</v>
      </c>
      <c r="F3" s="94" t="s">
        <v>1608</v>
      </c>
      <c r="G3" s="94" t="s">
        <v>1609</v>
      </c>
      <c r="H3" s="94"/>
    </row>
    <row r="4" customFormat="false" ht="24" hidden="false" customHeight="true" outlineLevel="0" collapsed="false">
      <c r="A4" s="92" t="s">
        <v>1610</v>
      </c>
      <c r="B4" s="93" t="str">
        <f aca="false">IF(ISNUMBER(Flights!$I$20),TEXT(Flights!$I$20,"DD-MMM-YY HH:MM"),"")&amp;" "&amp;Flights!$G$20&amp;"  →  "&amp;IF(ISNUMBER(Flights!$J$20),TEXT(Flights!$J$20,"DD-MMM-YY HH:MM"),"")&amp;" "&amp;Flights!$H$20</f>
        <v>26-Oct-26 09:10 KUL  →  26-Oct-26 13:15 HKG</v>
      </c>
      <c r="C4" s="93"/>
      <c r="D4" s="93"/>
      <c r="E4" s="92" t="s">
        <v>1611</v>
      </c>
      <c r="F4" s="96" t="str">
        <f aca="false">IF(ISNUMBER(Flights!$AG$20),TEXT(Flights!$AG$20,"DD-MMM-YY HH:MM"),"")&amp;" "&amp;Flights!$V$20</f>
        <v>19-Oct-26 09:10 KUL</v>
      </c>
      <c r="G4" s="97" t="n">
        <f aca="false">Flights!$AJ$20</f>
        <v>0</v>
      </c>
      <c r="H4" s="97"/>
    </row>
    <row r="5" customFormat="false" ht="24" hidden="false" customHeight="true" outlineLevel="0" collapsed="false">
      <c r="A5" s="92" t="s">
        <v>1612</v>
      </c>
      <c r="B5" s="93" t="str">
        <f aca="false">Flights!$L$20&amp;" – "&amp;Flights!$M$20</f>
        <v>B738MAX – B737-8 (B7M8)</v>
      </c>
      <c r="C5" s="93"/>
      <c r="D5" s="93"/>
      <c r="E5" s="92" t="s">
        <v>1613</v>
      </c>
      <c r="F5" s="96" t="str">
        <f aca="false">IF(ISNUMBER(Flights!$AH$20),TEXT(Flights!$AH$20,"DD-MMM-YY HH:MM"),"")&amp;" "&amp;Flights!$V$20</f>
        <v>25-Oct-26 09:10 KUL</v>
      </c>
      <c r="G5" s="97" t="n">
        <f aca="false">Flights!$AK$20</f>
        <v>0</v>
      </c>
      <c r="H5" s="97"/>
    </row>
    <row r="6" customFormat="false" ht="24" hidden="false" customHeight="true" outlineLevel="0" collapsed="false">
      <c r="A6" s="92" t="s">
        <v>1614</v>
      </c>
      <c r="B6" s="93" t="str">
        <f aca="false">IF(TRIM(Flights!$N$20)="","__________________",Flights!$N$20)</f>
        <v>__________________</v>
      </c>
      <c r="C6" s="93"/>
      <c r="D6" s="93"/>
      <c r="E6" s="92" t="s">
        <v>1615</v>
      </c>
      <c r="F6" s="96" t="str">
        <f aca="false">IF(ISNUMBER(Flights!$AI$20),TEXT(Flights!$AI$20,"DD-MMM-YY HH:MM"),"")&amp;" "&amp;Flights!$V$20&amp;IF(Flights!$AI$20=Flights!$AH$20,"  (= T-24H due)","")</f>
        <v>25-Oct-26 21:10 KUL</v>
      </c>
      <c r="G6" s="97" t="n">
        <f aca="false">Flights!$AL$20</f>
        <v>0</v>
      </c>
      <c r="H6" s="97"/>
    </row>
    <row r="7" customFormat="false" ht="24" hidden="false" customHeight="true" outlineLevel="0" collapsed="false">
      <c r="A7" s="92" t="s">
        <v>1616</v>
      </c>
      <c r="B7" s="93" t="str">
        <f aca="false">Flights!$T$20</f>
        <v>1 Meal + DAT(Noodles Svc) (Meal)</v>
      </c>
      <c r="C7" s="93"/>
      <c r="D7" s="93"/>
      <c r="E7" s="92" t="s">
        <v>1617</v>
      </c>
      <c r="F7" s="96" t="str">
        <f aca="false">"STD "&amp;IF(ISNUMBER(Flights!$I$20),TEXT(Flights!$I$20,"DD-MMM-YY HH:MM"),"")&amp;" "&amp;Flights!$G$20&amp;" (dep stn)"</f>
        <v>STD 26-Oct-26 09:10 KUL (dep stn)</v>
      </c>
      <c r="G7" s="97" t="n">
        <f aca="false">Flights!$AM$20</f>
        <v>0</v>
      </c>
      <c r="H7" s="97"/>
    </row>
    <row r="8" customFormat="false" ht="12.75" hidden="false" customHeight="true" outlineLevel="0" collapsed="false">
      <c r="A8" s="92" t="s">
        <v>150</v>
      </c>
      <c r="B8" s="93" t="str">
        <f aca="false">Flights!$V$20&amp;"   (reference uplift stns: "&amp;Flights!$U$20&amp;")"</f>
        <v>KUL   (reference uplift stns: KUL/HKG)</v>
      </c>
      <c r="C8" s="93"/>
      <c r="D8" s="93"/>
      <c r="E8" s="92" t="s">
        <v>1618</v>
      </c>
      <c r="F8" s="98" t="s">
        <v>1619</v>
      </c>
      <c r="G8" s="97" t="n">
        <f aca="false">Flights!$AN$20</f>
        <v>0</v>
      </c>
      <c r="H8" s="97"/>
    </row>
    <row r="9" customFormat="false" ht="12.75" hidden="false" customHeight="true" outlineLevel="0" collapsed="false">
      <c r="A9" s="92" t="s">
        <v>1620</v>
      </c>
      <c r="B9" s="93" t="str">
        <f aca="false">TRIM(Flights!$P$20&amp;"  "&amp;Flights!$Q$20)</f>
        <v>2H 25M Overnight HKG</v>
      </c>
      <c r="C9" s="93"/>
      <c r="D9" s="93"/>
      <c r="E9" s="92" t="s">
        <v>1621</v>
      </c>
      <c r="F9" s="99" t="n">
        <f aca="false">Flights!$AP$20</f>
        <v>0</v>
      </c>
      <c r="G9" s="99" t="n">
        <f aca="false">Flights!$AQ$20</f>
        <v>0</v>
      </c>
      <c r="H9" s="99" t="n">
        <f aca="false">Flights!$AU$20</f>
        <v>0</v>
      </c>
    </row>
    <row r="10" customFormat="false" ht="24" hidden="false" customHeight="true" outlineLevel="0" collapsed="false">
      <c r="A10" s="92" t="s">
        <v>1622</v>
      </c>
      <c r="B10" s="93" t="str">
        <f aca="false">IF(TRIM(Flights!$X$20)="","__________________",Flights!$X$20)</f>
        <v>__________________</v>
      </c>
      <c r="C10" s="93"/>
      <c r="D10" s="93"/>
      <c r="E10" s="92" t="s">
        <v>1623</v>
      </c>
      <c r="F10" s="99" t="n">
        <f aca="false">Flights!$AO$20</f>
        <v>24</v>
      </c>
      <c r="G10" s="99" t="n">
        <f aca="false">Flights!$AS$20</f>
        <v>2</v>
      </c>
      <c r="H10" s="99" t="n">
        <f aca="false">Flights!$AR$20</f>
        <v>2</v>
      </c>
    </row>
    <row r="11" customFormat="false" ht="21" hidden="false" customHeight="true" outlineLevel="0" collapsed="false">
      <c r="A11" s="92" t="s">
        <v>1624</v>
      </c>
      <c r="B11" s="93" t="str">
        <f aca="false">IF(TRIM(Flights!$Y$20)="","__________________",Flights!$Y$20)</f>
        <v>__________________</v>
      </c>
      <c r="C11" s="93"/>
      <c r="D11" s="93"/>
      <c r="E11" s="92" t="s">
        <v>1625</v>
      </c>
      <c r="F11" s="99" t="str">
        <f aca="false">Flights!$AV$20&amp;" / "&amp;Flights!$AW$20</f>
        <v>0 / 24</v>
      </c>
      <c r="G11" s="100" t="str">
        <f aca="false">IF(ISNUMBER(Settings!$B$6),TEXT(Settings!$B$6,"DD-MMM-YY HH:MM"),"")</f>
        <v>28-Sep-26 03:19</v>
      </c>
      <c r="H11" s="100"/>
    </row>
    <row r="12" customFormat="false" ht="34.5" hidden="false" customHeight="true" outlineLevel="0" collapsed="false">
      <c r="A12" s="101" t="s">
        <v>1626</v>
      </c>
      <c r="B12" s="101"/>
      <c r="C12" s="101"/>
      <c r="D12" s="101"/>
      <c r="E12" s="102" t="s">
        <v>1627</v>
      </c>
      <c r="F12" s="103" t="s">
        <v>1628</v>
      </c>
      <c r="G12" s="104" t="s">
        <v>89</v>
      </c>
      <c r="H12" s="105" t="s">
        <v>1629</v>
      </c>
    </row>
    <row r="13" customFormat="false" ht="13.5" hidden="false" customHeight="true" outlineLevel="0" collapsed="false">
      <c r="A13" s="94" t="s">
        <v>1630</v>
      </c>
      <c r="B13" s="94" t="s">
        <v>1631</v>
      </c>
      <c r="C13" s="94" t="s">
        <v>1632</v>
      </c>
      <c r="D13" s="94"/>
      <c r="E13" s="94" t="s">
        <v>1633</v>
      </c>
      <c r="F13" s="94" t="s">
        <v>1634</v>
      </c>
      <c r="G13" s="94"/>
      <c r="H13" s="94"/>
    </row>
    <row r="14" customFormat="false" ht="36" hidden="false" customHeight="true" outlineLevel="0" collapsed="false">
      <c r="A14" s="92" t="s">
        <v>1635</v>
      </c>
      <c r="B14" s="93" t="str">
        <f aca="false">IF(Documents!$F$20="","",Documents!$F$20)</f>
        <v/>
      </c>
      <c r="C14" s="98" t="str">
        <f aca="false">IF(Documents!$G$20="","",Documents!$G$20)&amp;IF(ISNUMBER(Documents!$H$20),"  "&amp;TEXT(Documents!$H$20,"DD-MMM-YY"),"")</f>
        <v/>
      </c>
      <c r="D14" s="98"/>
      <c r="E14" s="106" t="str">
        <f aca="false">IF(Documents!$J$20="OUTSTANDING","OUTSTANDING – attach before T-7D (due "&amp;IF(ISNUMBER(Flights!$AG$20),TEXT(Flights!$AG$20,"DD-MMM-YY HH:MM"),"")&amp;" "&amp;Flights!$V$20&amp;")",IF(Documents!$J$20="","Status not recorded",Documents!$J$20))</f>
        <v>OUTSTANDING – attach before T-7D (due 19-Oct-26 09:10 KUL)</v>
      </c>
      <c r="F14" s="107" t="str">
        <f aca="false">"Staple behind this sheet as page A1."&amp;IF(Documents!$I$20="",""," Location: "&amp;Documents!$I$20)</f>
        <v>Staple behind this sheet as page A1.</v>
      </c>
      <c r="G14" s="107"/>
      <c r="H14" s="107"/>
    </row>
    <row r="15" customFormat="false" ht="36" hidden="false" customHeight="true" outlineLevel="0" collapsed="false">
      <c r="A15" s="92" t="s">
        <v>1636</v>
      </c>
      <c r="B15" s="93" t="str">
        <f aca="false">IF(Documents!$K$20="","",Documents!$K$20)</f>
        <v/>
      </c>
      <c r="C15" s="98" t="str">
        <f aca="false">IF(Documents!$L$20="","",Documents!$L$20)&amp;IF(ISNUMBER(Documents!$M$20),"  "&amp;TEXT(Documents!$M$20,"DD-MMM-YY"),"")</f>
        <v/>
      </c>
      <c r="D15" s="98"/>
      <c r="E15" s="106" t="str">
        <f aca="false">IF(Documents!$O$20="OUTSTANDING","OUTSTANDING – attach before T-7D (due "&amp;IF(ISNUMBER(Flights!$AG$20),TEXT(Flights!$AG$20,"DD-MMM-YY HH:MM"),"")&amp;" "&amp;Flights!$V$20&amp;")",IF(Documents!$O$20="","Status not recorded",Documents!$O$20))</f>
        <v>OUTSTANDING – attach before T-7D (due 19-Oct-26 09:10 KUL)</v>
      </c>
      <c r="F15" s="107" t="str">
        <f aca="false">"Staple behind this sheet as page A2."&amp;IF(Documents!$N$20="",""," Location: "&amp;Documents!$N$20)</f>
        <v>Staple behind this sheet as page A2.</v>
      </c>
      <c r="G15" s="107"/>
      <c r="H15" s="107"/>
    </row>
    <row r="16" customFormat="false" ht="22.5" hidden="false" customHeight="true" outlineLevel="0" collapsed="false">
      <c r="A16" s="92" t="s">
        <v>1637</v>
      </c>
      <c r="B16" s="108" t="str">
        <f aca="false">IF(Documents!$Q$20="","",Documents!$Q$20)</f>
        <v>Not supplied with brief – obtain from caterer / MAGCS.</v>
      </c>
      <c r="C16" s="108"/>
      <c r="D16" s="108"/>
      <c r="E16" s="108"/>
      <c r="F16" s="108"/>
      <c r="G16" s="108"/>
      <c r="H16" s="108"/>
    </row>
    <row r="17" customFormat="false" ht="13.5" hidden="false" customHeight="true" outlineLevel="0" collapsed="false">
      <c r="A17" s="109" t="s">
        <v>1638</v>
      </c>
      <c r="B17" s="109"/>
      <c r="C17" s="109" t="s">
        <v>1639</v>
      </c>
      <c r="D17" s="109"/>
      <c r="E17" s="109"/>
      <c r="F17" s="109" t="s">
        <v>1640</v>
      </c>
      <c r="G17" s="109"/>
      <c r="H17" s="109"/>
    </row>
    <row r="18" customFormat="false" ht="18" hidden="false" customHeight="true" outlineLevel="0" collapsed="false">
      <c r="A18" s="93" t="str">
        <f aca="false">"Name: "&amp;IF(TRIM(Flights!$Y$20)="","__________________",Flights!$Y$20)</f>
        <v>Name: __________________</v>
      </c>
      <c r="B18" s="93"/>
      <c r="C18" s="93" t="str">
        <f aca="false">"Name: __________________"</f>
        <v>Name: __________________</v>
      </c>
      <c r="D18" s="93"/>
      <c r="E18" s="93"/>
      <c r="F18" s="93" t="str">
        <f aca="false">"Name: __________________"&amp;"   Station: "&amp;Flights!$V$20</f>
        <v>Name: __________________   Station: KUL</v>
      </c>
      <c r="G18" s="93"/>
      <c r="H18" s="93"/>
    </row>
    <row r="19" customFormat="false" ht="30" hidden="false" customHeight="true" outlineLevel="0" collapsed="false">
      <c r="A19" s="110" t="s">
        <v>1641</v>
      </c>
      <c r="B19" s="110"/>
      <c r="C19" s="110" t="s">
        <v>1641</v>
      </c>
      <c r="D19" s="110"/>
      <c r="E19" s="110"/>
      <c r="F19" s="110" t="s">
        <v>1641</v>
      </c>
      <c r="G19" s="110"/>
      <c r="H19" s="110"/>
    </row>
    <row r="20" customFormat="false" ht="13.5" hidden="false" customHeight="true" outlineLevel="0" collapsed="false">
      <c r="A20" s="111" t="s">
        <v>1642</v>
      </c>
      <c r="B20" s="111"/>
      <c r="C20" s="111"/>
      <c r="D20" s="111"/>
      <c r="E20" s="111"/>
      <c r="F20" s="111"/>
      <c r="G20" s="111"/>
      <c r="H20" s="111"/>
    </row>
    <row r="21" customFormat="false" ht="24" hidden="false" customHeight="true" outlineLevel="0" collapsed="false">
      <c r="A21" s="94" t="s">
        <v>1643</v>
      </c>
      <c r="B21" s="94" t="s">
        <v>1644</v>
      </c>
      <c r="C21" s="94" t="s">
        <v>1645</v>
      </c>
      <c r="D21" s="94" t="s">
        <v>1646</v>
      </c>
      <c r="E21" s="94" t="s">
        <v>1647</v>
      </c>
      <c r="F21" s="94" t="s">
        <v>1648</v>
      </c>
      <c r="G21" s="94" t="s">
        <v>1649</v>
      </c>
      <c r="H21" s="94" t="s">
        <v>121</v>
      </c>
    </row>
    <row r="22" customFormat="false" ht="25.5" hidden="false" customHeight="true" outlineLevel="0" collapsed="false">
      <c r="A22" s="112"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Checks!$A$506&amp;CHAR(10)&amp;IF(Checks!$I$506="","",Checks!$I$506&amp;": ")&amp;Checks!$J$506</f>
        <v>F16-T7-01
Meal: Meal sensory testing completed for this flight's menu cycle (assessed class)</v>
      </c>
      <c r="B23" s="113" t="str">
        <f aca="false">Checks!$K$506&amp;IF(Checks!$O$506="","",IF(Checks!$K$506="","",CHAR(10))&amp;"Note: "&amp;Checks!$O$506)</f>
        <v>Record panel result / score in Result</v>
      </c>
      <c r="C23" s="113" t="str">
        <f aca="false">Checks!$N$506&amp;CHAR(10)&amp;IF(ISNUMBER(Checks!$R$506),TEXT(Checks!$R$506,"DD-MMM-YY HH:MM"),"")&amp;" "&amp;Checks!$P$506</f>
        <v>Required
19-Oct-26 09:10 KUL</v>
      </c>
      <c r="D23" s="113" t="str">
        <f aca="false">IF(Checks!$U$506="","",Checks!$U$506)&amp;IF(Checks!$AB$506="","",CHAR(10)&amp;"CA: "&amp;Checks!$AB$506)</f>
        <v/>
      </c>
      <c r="E23" s="113" t="str">
        <f aca="false">IF(Checks!$V$506="","",Checks!$V$506)&amp;IF(Checks!$AC$506="","",IF(Checks!$V$506="","",CHAR(10))&amp;"N/A just.: "&amp;Checks!$AC$506)&amp;IF(Checks!$W$506="","",CHAR(10)&amp;"Batch: "&amp;Checks!$W$506)&amp;IF(AND(Checks!$X$506="",Checks!$Y$506=""),"",CHAR(10)&amp;"Exp: "&amp;Checks!$X$506&amp;"  /  Act: "&amp;Checks!$Y$506)</f>
        <v/>
      </c>
      <c r="F23" s="113" t="str">
        <f aca="false">IF(Checks!$Z$506="","","Evidence: "&amp;Checks!$Z$506)&amp;IF(Checks!$AA$506="","",IF(Checks!$Z$506="","",CHAR(10))&amp;"CA: "&amp;Checks!$AA$506)</f>
        <v/>
      </c>
      <c r="G23" s="113" t="str">
        <f aca="false">IF(ISNUMBER(Checks!$AD$506),TEXT(Checks!$AD$506,"DD-MMM-YY HH:MM")&amp;" "&amp;Checks!$P$506,"")&amp;IF(Checks!$AE$506="","",CHAR(10)&amp;"Verifier: "&amp;Checks!$AE$506)&amp;IF(Checks!$T$506="","",CHAR(10)&amp;"PIC: "&amp;Checks!$T$506)</f>
        <v/>
      </c>
      <c r="H23" s="114" t="str">
        <f aca="false">IF(Checks!$AH$506="","",Checks!$AH$506)</f>
        <v>OPEN</v>
      </c>
    </row>
    <row r="24" customFormat="false" ht="114" hidden="false" customHeight="true" outlineLevel="0" collapsed="false">
      <c r="A24" s="113" t="str">
        <f aca="false">Checks!$A$507&amp;CHAR(10)&amp;IF(Checks!$I$507="","",Checks!$I$507&amp;": ")&amp;Checks!$J$507</f>
        <v>F16-T7-02
Menu: Printed menu cards confirmed (content, cycle, language, quantity)</v>
      </c>
      <c r="B24" s="113" t="str">
        <f aca="false">Checks!$K$507&amp;IF(Checks!$O$507="","",IF(Checks!$K$507="","",CHAR(10))&amp;"Note: "&amp;Checks!$O$507)</f>
        <v>Menu card matches approved menu for this flight</v>
      </c>
      <c r="C24" s="113" t="str">
        <f aca="false">Checks!$N$507&amp;CHAR(10)&amp;IF(ISNUMBER(Checks!$R$507),TEXT(Checks!$R$507,"DD-MMM-YY HH:MM"),"")&amp;" "&amp;Checks!$P$507</f>
        <v>Required
19-Oct-26 09:10 KUL</v>
      </c>
      <c r="D24" s="113" t="str">
        <f aca="false">IF(Checks!$U$507="","",Checks!$U$507)&amp;IF(Checks!$AB$507="","",CHAR(10)&amp;"CA: "&amp;Checks!$AB$507)</f>
        <v/>
      </c>
      <c r="E24" s="113" t="str">
        <f aca="false">IF(Checks!$V$507="","",Checks!$V$507)&amp;IF(Checks!$AC$507="","",IF(Checks!$V$507="","",CHAR(10))&amp;"N/A just.: "&amp;Checks!$AC$507)&amp;IF(Checks!$W$507="","",CHAR(10)&amp;"Batch: "&amp;Checks!$W$507)&amp;IF(AND(Checks!$X$507="",Checks!$Y$507=""),"",CHAR(10)&amp;"Exp: "&amp;Checks!$X$507&amp;"  /  Act: "&amp;Checks!$Y$507)</f>
        <v/>
      </c>
      <c r="F24" s="113" t="str">
        <f aca="false">IF(Checks!$Z$507="","","Evidence: "&amp;Checks!$Z$507)&amp;IF(Checks!$AA$507="","",IF(Checks!$Z$507="","",CHAR(10))&amp;"CA: "&amp;Checks!$AA$507)</f>
        <v/>
      </c>
      <c r="G24" s="113" t="str">
        <f aca="false">IF(ISNUMBER(Checks!$AD$507),TEXT(Checks!$AD$507,"DD-MMM-YY HH:MM")&amp;" "&amp;Checks!$P$507,"")&amp;IF(Checks!$AE$507="","",CHAR(10)&amp;"Verifier: "&amp;Checks!$AE$507)&amp;IF(Checks!$T$507="","",CHAR(10)&amp;"PIC: "&amp;Checks!$T$507)</f>
        <v/>
      </c>
      <c r="H24" s="114" t="str">
        <f aca="false">IF(Checks!$AH$507="","",Checks!$AH$507)</f>
        <v>OPEN</v>
      </c>
    </row>
    <row r="25" customFormat="false" ht="114" hidden="false" customHeight="true" outlineLevel="0" collapsed="false">
      <c r="A25" s="113" t="str">
        <f aca="false">Checks!$A$508&amp;CHAR(10)&amp;IF(Checks!$I$508="","",Checks!$I$508&amp;": ")&amp;Checks!$J$508</f>
        <v>F16-T7-03
IFE: Digital menu in IFE confirmed (A339 only)</v>
      </c>
      <c r="B25" s="113" t="str">
        <f aca="false">Checks!$K$508&amp;IF(Checks!$O$508="","",IF(Checks!$K$508="","",CHAR(10))&amp;"Note: "&amp;Checks!$O$508)</f>
        <v>Applies when fleet = A339
Note: Digital IFE menu applies to A339 only (user brief). Applicability follows the Fleet cell on Flights.</v>
      </c>
      <c r="C25" s="113" t="str">
        <f aca="false">Checks!$N$508&amp;CHAR(10)&amp;IF(ISNUMBER(Checks!$R$508),TEXT(Checks!$R$508,"DD-MMM-YY HH:MM"),"")&amp;" "&amp;Checks!$P$508</f>
        <v>N/A – rule
19-Oct-26 09:10 KUL</v>
      </c>
      <c r="D25" s="113" t="str">
        <f aca="false">IF(Checks!$U$508="","",Checks!$U$508)&amp;IF(Checks!$AB$508="","",CHAR(10)&amp;"CA: "&amp;Checks!$AB$508)</f>
        <v/>
      </c>
      <c r="E25" s="113" t="str">
        <f aca="false">IF(Checks!$V$508="","",Checks!$V$508)&amp;IF(Checks!$AC$508="","",IF(Checks!$V$508="","",CHAR(10))&amp;"N/A just.: "&amp;Checks!$AC$508)&amp;IF(Checks!$W$508="","",CHAR(10)&amp;"Batch: "&amp;Checks!$W$508)&amp;IF(AND(Checks!$X$508="",Checks!$Y$508=""),"",CHAR(10)&amp;"Exp: "&amp;Checks!$X$508&amp;"  /  Act: "&amp;Checks!$Y$508)</f>
        <v/>
      </c>
      <c r="F25" s="113" t="str">
        <f aca="false">IF(Checks!$Z$508="","","Evidence: "&amp;Checks!$Z$508)&amp;IF(Checks!$AA$508="","",IF(Checks!$Z$508="","",CHAR(10))&amp;"CA: "&amp;Checks!$AA$508)</f>
        <v/>
      </c>
      <c r="G25" s="113" t="str">
        <f aca="false">IF(ISNUMBER(Checks!$AD$508),TEXT(Checks!$AD$508,"DD-MMM-YY HH:MM")&amp;" "&amp;Checks!$P$508,"")&amp;IF(Checks!$AE$508="","",CHAR(10)&amp;"Verifier: "&amp;Checks!$AE$508)&amp;IF(Checks!$T$508="","",CHAR(10)&amp;"PIC: "&amp;Checks!$T$508)</f>
        <v/>
      </c>
      <c r="H25" s="114" t="str">
        <f aca="false">IF(Checks!$AH$508="","",Checks!$AH$508)</f>
        <v>N/A – RULE</v>
      </c>
    </row>
    <row r="26" customFormat="false" ht="114" hidden="false" customHeight="true" outlineLevel="0" collapsed="false">
      <c r="A26" s="113" t="str">
        <f aca="false">Checks!$A$509&amp;CHAR(10)&amp;IF(Checks!$I$509="","",Checks!$I$509&amp;": ")&amp;Checks!$J$509</f>
        <v>F16-T7-04
Staffing: Experienced catering officer assigned to this flight</v>
      </c>
      <c r="B26" s="113" t="str">
        <f aca="false">Checks!$K$509&amp;IF(Checks!$O$509="","",IF(Checks!$K$509="","",CHAR(10))&amp;"Note: "&amp;Checks!$O$509)</f>
        <v>Record officer name in Result</v>
      </c>
      <c r="C26" s="113" t="str">
        <f aca="false">Checks!$N$509&amp;CHAR(10)&amp;IF(ISNUMBER(Checks!$R$509),TEXT(Checks!$R$509,"DD-MMM-YY HH:MM"),"")&amp;" "&amp;Checks!$P$509</f>
        <v>Required
19-Oct-26 09:10 KUL</v>
      </c>
      <c r="D26" s="113" t="str">
        <f aca="false">IF(Checks!$U$509="","",Checks!$U$509)&amp;IF(Checks!$AB$509="","",CHAR(10)&amp;"CA: "&amp;Checks!$AB$509)</f>
        <v/>
      </c>
      <c r="E26" s="113" t="str">
        <f aca="false">IF(Checks!$V$509="","",Checks!$V$509)&amp;IF(Checks!$AC$509="","",IF(Checks!$V$509="","",CHAR(10))&amp;"N/A just.: "&amp;Checks!$AC$509)&amp;IF(Checks!$W$509="","",CHAR(10)&amp;"Batch: "&amp;Checks!$W$509)&amp;IF(AND(Checks!$X$509="",Checks!$Y$509=""),"",CHAR(10)&amp;"Exp: "&amp;Checks!$X$509&amp;"  /  Act: "&amp;Checks!$Y$509)</f>
        <v/>
      </c>
      <c r="F26" s="113" t="str">
        <f aca="false">IF(Checks!$Z$509="","","Evidence: "&amp;Checks!$Z$509)&amp;IF(Checks!$AA$509="","",IF(Checks!$Z$509="","",CHAR(10))&amp;"CA: "&amp;Checks!$AA$509)</f>
        <v/>
      </c>
      <c r="G26" s="113" t="str">
        <f aca="false">IF(ISNUMBER(Checks!$AD$509),TEXT(Checks!$AD$509,"DD-MMM-YY HH:MM")&amp;" "&amp;Checks!$P$509,"")&amp;IF(Checks!$AE$509="","",CHAR(10)&amp;"Verifier: "&amp;Checks!$AE$509)&amp;IF(Checks!$T$509="","",CHAR(10)&amp;"PIC: "&amp;Checks!$T$509)</f>
        <v/>
      </c>
      <c r="H26" s="114" t="str">
        <f aca="false">IF(Checks!$AH$509="","",Checks!$AH$509)</f>
        <v>OPEN</v>
      </c>
    </row>
    <row r="27" customFormat="false" ht="114" hidden="false" customHeight="true" outlineLevel="0" collapsed="false">
      <c r="A27" s="113" t="str">
        <f aca="false">Checks!$A$510&amp;CHAR(10)&amp;IF(Checks!$I$510="","",Checks!$I$510&amp;": ")&amp;Checks!$J$510</f>
        <v>F16-T7-05
ISOP: All latest applicable ISOP revisions communicated to caterer</v>
      </c>
      <c r="B27" s="113" t="str">
        <f aca="false">Checks!$K$510&amp;IF(Checks!$O$510="","",IF(Checks!$K$510="","",CHAR(10))&amp;"Note: "&amp;Checks!$O$510)</f>
        <v>List revision numbers in Result (see ISOP register)</v>
      </c>
      <c r="C27" s="113" t="str">
        <f aca="false">Checks!$N$510&amp;CHAR(10)&amp;IF(ISNUMBER(Checks!$R$510),TEXT(Checks!$R$510,"DD-MMM-YY HH:MM"),"")&amp;" "&amp;Checks!$P$510</f>
        <v>Required
19-Oct-26 09:10 KUL</v>
      </c>
      <c r="D27" s="113" t="str">
        <f aca="false">IF(Checks!$U$510="","",Checks!$U$510)&amp;IF(Checks!$AB$510="","",CHAR(10)&amp;"CA: "&amp;Checks!$AB$510)</f>
        <v/>
      </c>
      <c r="E27" s="113" t="str">
        <f aca="false">IF(Checks!$V$510="","",Checks!$V$510)&amp;IF(Checks!$AC$510="","",IF(Checks!$V$510="","",CHAR(10))&amp;"N/A just.: "&amp;Checks!$AC$510)&amp;IF(Checks!$W$510="","",CHAR(10)&amp;"Batch: "&amp;Checks!$W$510)&amp;IF(AND(Checks!$X$510="",Checks!$Y$510=""),"",CHAR(10)&amp;"Exp: "&amp;Checks!$X$510&amp;"  /  Act: "&amp;Checks!$Y$510)</f>
        <v/>
      </c>
      <c r="F27" s="113" t="str">
        <f aca="false">IF(Checks!$Z$510="","","Evidence: "&amp;Checks!$Z$510)&amp;IF(Checks!$AA$510="","",IF(Checks!$Z$510="","",CHAR(10))&amp;"CA: "&amp;Checks!$AA$510)</f>
        <v/>
      </c>
      <c r="G27" s="113" t="str">
        <f aca="false">IF(ISNUMBER(Checks!$AD$510),TEXT(Checks!$AD$510,"DD-MMM-YY HH:MM")&amp;" "&amp;Checks!$P$510,"")&amp;IF(Checks!$AE$510="","",CHAR(10)&amp;"Verifier: "&amp;Checks!$AE$510)&amp;IF(Checks!$T$510="","",CHAR(10)&amp;"PIC: "&amp;Checks!$T$510)</f>
        <v/>
      </c>
      <c r="H27" s="114" t="str">
        <f aca="false">IF(Checks!$AH$510="","",Checks!$AH$510)</f>
        <v>OPEN</v>
      </c>
    </row>
    <row r="28" customFormat="false" ht="114" hidden="false" customHeight="true" outlineLevel="0" collapsed="false">
      <c r="A28" s="113" t="str">
        <f aca="false">Checks!$A$511&amp;CHAR(10)&amp;IF(Checks!$I$511="","",Checks!$I$511&amp;": ")&amp;Checks!$J$511</f>
        <v>F16-T7-06
ISOP: Caterer acknowledgement of ISOP revisions recorded</v>
      </c>
      <c r="B28" s="113" t="str">
        <f aca="false">Checks!$K$511&amp;IF(Checks!$O$511="","",IF(Checks!$K$511="","",CHAR(10))&amp;"Note: "&amp;Checks!$O$511)</f>
        <v>Record acknowledgement ref in Evidence</v>
      </c>
      <c r="C28" s="113" t="str">
        <f aca="false">Checks!$N$511&amp;CHAR(10)&amp;IF(ISNUMBER(Checks!$R$511),TEXT(Checks!$R$511,"DD-MMM-YY HH:MM"),"")&amp;" "&amp;Checks!$P$511</f>
        <v>Required
19-Oct-26 09:10 KUL</v>
      </c>
      <c r="D28" s="113" t="str">
        <f aca="false">IF(Checks!$U$511="","",Checks!$U$511)&amp;IF(Checks!$AB$511="","",CHAR(10)&amp;"CA: "&amp;Checks!$AB$511)</f>
        <v/>
      </c>
      <c r="E28" s="113" t="str">
        <f aca="false">IF(Checks!$V$511="","",Checks!$V$511)&amp;IF(Checks!$AC$511="","",IF(Checks!$V$511="","",CHAR(10))&amp;"N/A just.: "&amp;Checks!$AC$511)&amp;IF(Checks!$W$511="","",CHAR(10)&amp;"Batch: "&amp;Checks!$W$511)&amp;IF(AND(Checks!$X$511="",Checks!$Y$511=""),"",CHAR(10)&amp;"Exp: "&amp;Checks!$X$511&amp;"  /  Act: "&amp;Checks!$Y$511)</f>
        <v/>
      </c>
      <c r="F28" s="113" t="str">
        <f aca="false">IF(Checks!$Z$511="","","Evidence: "&amp;Checks!$Z$511)&amp;IF(Checks!$AA$511="","",IF(Checks!$Z$511="","",CHAR(10))&amp;"CA: "&amp;Checks!$AA$511)</f>
        <v/>
      </c>
      <c r="G28" s="113" t="str">
        <f aca="false">IF(ISNUMBER(Checks!$AD$511),TEXT(Checks!$AD$511,"DD-MMM-YY HH:MM")&amp;" "&amp;Checks!$P$511,"")&amp;IF(Checks!$AE$511="","",CHAR(10)&amp;"Verifier: "&amp;Checks!$AE$511)&amp;IF(Checks!$T$511="","",CHAR(10)&amp;"PIC: "&amp;Checks!$T$511)</f>
        <v/>
      </c>
      <c r="H28" s="114" t="str">
        <f aca="false">IF(Checks!$AH$511="","",Checks!$AH$511)</f>
        <v>OPEN</v>
      </c>
    </row>
    <row r="29" customFormat="false" ht="114" hidden="false" customHeight="true" outlineLevel="0" collapsed="false">
      <c r="A29" s="113" t="str">
        <f aca="false">Checks!$A$512&amp;CHAR(10)&amp;IF(Checks!$I$512="","",Checks!$I$512&amp;": ")&amp;Checks!$J$512</f>
        <v>F16-T7-07
Documents: Galley loading diagram (GLD) received, revision recorded &amp; attached</v>
      </c>
      <c r="B29" s="113" t="str">
        <f aca="false">Checks!$K$512&amp;IF(Checks!$O$512="","",IF(Checks!$K$512="","",CHAR(10))&amp;"Note: "&amp;Checks!$O$512)</f>
        <v>Documents sheet row complete</v>
      </c>
      <c r="C29" s="113" t="str">
        <f aca="false">Checks!$N$512&amp;CHAR(10)&amp;IF(ISNUMBER(Checks!$R$512),TEXT(Checks!$R$512,"DD-MMM-YY HH:MM"),"")&amp;" "&amp;Checks!$P$512</f>
        <v>Required
19-Oct-26 09:10 KUL</v>
      </c>
      <c r="D29" s="113" t="str">
        <f aca="false">IF(Checks!$U$512="","",Checks!$U$512)&amp;IF(Checks!$AB$512="","",CHAR(10)&amp;"CA: "&amp;Checks!$AB$512)</f>
        <v/>
      </c>
      <c r="E29" s="113" t="str">
        <f aca="false">IF(Checks!$V$512="","",Checks!$V$512)&amp;IF(Checks!$AC$512="","",IF(Checks!$V$512="","",CHAR(10))&amp;"N/A just.: "&amp;Checks!$AC$512)&amp;IF(Checks!$W$512="","",CHAR(10)&amp;"Batch: "&amp;Checks!$W$512)&amp;IF(AND(Checks!$X$512="",Checks!$Y$512=""),"",CHAR(10)&amp;"Exp: "&amp;Checks!$X$512&amp;"  /  Act: "&amp;Checks!$Y$512)</f>
        <v/>
      </c>
      <c r="F29" s="113" t="str">
        <f aca="false">IF(Checks!$Z$512="","","Evidence: "&amp;Checks!$Z$512)&amp;IF(Checks!$AA$512="","",IF(Checks!$Z$512="","",CHAR(10))&amp;"CA: "&amp;Checks!$AA$512)</f>
        <v/>
      </c>
      <c r="G29" s="113" t="str">
        <f aca="false">IF(ISNUMBER(Checks!$AD$512),TEXT(Checks!$AD$512,"DD-MMM-YY HH:MM")&amp;" "&amp;Checks!$P$512,"")&amp;IF(Checks!$AE$512="","",CHAR(10)&amp;"Verifier: "&amp;Checks!$AE$512)&amp;IF(Checks!$T$512="","",CHAR(10)&amp;"PIC: "&amp;Checks!$T$512)</f>
        <v/>
      </c>
      <c r="H29" s="114" t="str">
        <f aca="false">IF(Checks!$AH$512="","",Checks!$AH$512)</f>
        <v>OPEN</v>
      </c>
    </row>
    <row r="30" customFormat="false" ht="114" hidden="false" customHeight="true" outlineLevel="0" collapsed="false">
      <c r="A30" s="113" t="str">
        <f aca="false">Checks!$A$513&amp;CHAR(10)&amp;IF(Checks!$I$513="","",Checks!$I$513&amp;": ")&amp;Checks!$J$513</f>
        <v>F16-T7-08
Documents: Menu checklist received, revision recorded &amp; attached</v>
      </c>
      <c r="B30" s="113" t="str">
        <f aca="false">Checks!$K$513&amp;IF(Checks!$O$513="","",IF(Checks!$K$513="","",CHAR(10))&amp;"Note: "&amp;Checks!$O$513)</f>
        <v>Documents sheet row complete</v>
      </c>
      <c r="C30" s="113" t="str">
        <f aca="false">Checks!$N$513&amp;CHAR(10)&amp;IF(ISNUMBER(Checks!$R$513),TEXT(Checks!$R$513,"DD-MMM-YY HH:MM"),"")&amp;" "&amp;Checks!$P$513</f>
        <v>Required
19-Oct-26 09:10 KUL</v>
      </c>
      <c r="D30" s="113" t="str">
        <f aca="false">IF(Checks!$U$513="","",Checks!$U$513)&amp;IF(Checks!$AB$513="","",CHAR(10)&amp;"CA: "&amp;Checks!$AB$513)</f>
        <v/>
      </c>
      <c r="E30" s="113" t="str">
        <f aca="false">IF(Checks!$V$513="","",Checks!$V$513)&amp;IF(Checks!$AC$513="","",IF(Checks!$V$513="","",CHAR(10))&amp;"N/A just.: "&amp;Checks!$AC$513)&amp;IF(Checks!$W$513="","",CHAR(10)&amp;"Batch: "&amp;Checks!$W$513)&amp;IF(AND(Checks!$X$513="",Checks!$Y$513=""),"",CHAR(10)&amp;"Exp: "&amp;Checks!$X$513&amp;"  /  Act: "&amp;Checks!$Y$513)</f>
        <v/>
      </c>
      <c r="F30" s="113" t="str">
        <f aca="false">IF(Checks!$Z$513="","","Evidence: "&amp;Checks!$Z$513)&amp;IF(Checks!$AA$513="","",IF(Checks!$Z$513="","",CHAR(10))&amp;"CA: "&amp;Checks!$AA$513)</f>
        <v/>
      </c>
      <c r="G30" s="113" t="str">
        <f aca="false">IF(ISNUMBER(Checks!$AD$513),TEXT(Checks!$AD$513,"DD-MMM-YY HH:MM")&amp;" "&amp;Checks!$P$513,"")&amp;IF(Checks!$AE$513="","",CHAR(10)&amp;"Verifier: "&amp;Checks!$AE$513)&amp;IF(Checks!$T$513="","",CHAR(10)&amp;"PIC: "&amp;Checks!$T$513)</f>
        <v/>
      </c>
      <c r="H30" s="114" t="str">
        <f aca="false">IF(Checks!$AH$513="","",Checks!$AH$513)</f>
        <v>OPEN</v>
      </c>
    </row>
    <row r="31" customFormat="false" ht="114" hidden="false" customHeight="true" outlineLevel="0" collapsed="false">
      <c r="A31" s="113" t="str">
        <f aca="false">Checks!$A$514&amp;CHAR(10)&amp;IF(Checks!$I$514="","",Checks!$I$514&amp;": ")&amp;Checks!$J$514</f>
        <v>F16-T7-09
Uplift plan: Uplift plan confirmed with caterer vs STD Uplift Information</v>
      </c>
      <c r="B31" s="113" t="str">
        <f aca="false">Checks!$K$514&amp;IF(Checks!$O$514="","",IF(Checks!$K$514="","",CHAR(10))&amp;"Note: "&amp;Checks!$O$514)</f>
        <v>Service: 1 Meal + DAT(Noodles Svc) (Meal); meal uplift stn KUL (ref lists KUL/HKG)</v>
      </c>
      <c r="C31" s="113" t="str">
        <f aca="false">Checks!$N$514&amp;CHAR(10)&amp;IF(ISNUMBER(Checks!$R$514),TEXT(Checks!$R$514,"DD-MMM-YY HH:MM"),"")&amp;" "&amp;Checks!$P$514</f>
        <v>Required
19-Oct-26 09:10 KUL</v>
      </c>
      <c r="D31" s="113" t="str">
        <f aca="false">IF(Checks!$U$514="","",Checks!$U$514)&amp;IF(Checks!$AB$514="","",CHAR(10)&amp;"CA: "&amp;Checks!$AB$514)</f>
        <v/>
      </c>
      <c r="E31" s="113" t="str">
        <f aca="false">IF(Checks!$V$514="","",Checks!$V$514)&amp;IF(Checks!$AC$514="","",IF(Checks!$V$514="","",CHAR(10))&amp;"N/A just.: "&amp;Checks!$AC$514)&amp;IF(Checks!$W$514="","",CHAR(10)&amp;"Batch: "&amp;Checks!$W$514)&amp;IF(AND(Checks!$X$514="",Checks!$Y$514=""),"",CHAR(10)&amp;"Exp: "&amp;Checks!$X$514&amp;"  /  Act: "&amp;Checks!$Y$514)</f>
        <v/>
      </c>
      <c r="F31" s="113" t="str">
        <f aca="false">IF(Checks!$Z$514="","","Evidence: "&amp;Checks!$Z$514)&amp;IF(Checks!$AA$514="","",IF(Checks!$Z$514="","",CHAR(10))&amp;"CA: "&amp;Checks!$AA$514)</f>
        <v/>
      </c>
      <c r="G31" s="113" t="str">
        <f aca="false">IF(ISNUMBER(Checks!$AD$514),TEXT(Checks!$AD$514,"DD-MMM-YY HH:MM")&amp;" "&amp;Checks!$P$514,"")&amp;IF(Checks!$AE$514="","",CHAR(10)&amp;"Verifier: "&amp;Checks!$AE$514)&amp;IF(Checks!$T$514="","",CHAR(10)&amp;"PIC: "&amp;Checks!$T$514)</f>
        <v/>
      </c>
      <c r="H31" s="114" t="str">
        <f aca="false">IF(Checks!$AH$514="","",Checks!$AH$514)</f>
        <v>OPEN</v>
      </c>
    </row>
    <row r="32" customFormat="false" ht="25.5" hidden="false" customHeight="true" outlineLevel="0" collapsed="false">
      <c r="A32" s="112"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Checks!$A$515&amp;CHAR(10)&amp;IF(Checks!$I$515="","",Checks!$I$515&amp;": ")&amp;Checks!$J$515</f>
        <v>F16-T24-01
Meal: Sensory test repeated on ACTUAL production batch for this flight</v>
      </c>
      <c r="B33" s="113" t="str">
        <f aca="false">Checks!$K$515&amp;IF(Checks!$O$515="","",IF(Checks!$K$515="","",CHAR(10))&amp;"Note: "&amp;Checks!$O$515)</f>
        <v>Batch ID, result, CA and acceptance mandatory</v>
      </c>
      <c r="C33" s="113" t="str">
        <f aca="false">Checks!$N$515&amp;CHAR(10)&amp;IF(ISNUMBER(Checks!$R$515),TEXT(Checks!$R$515,"DD-MMM-YY HH:MM"),"")&amp;" "&amp;Checks!$P$515</f>
        <v>Required
25-Oct-26 09:10 KUL</v>
      </c>
      <c r="D33" s="113" t="str">
        <f aca="false">IF(Checks!$U$515="","",Checks!$U$515)&amp;IF(Checks!$AB$515="","",CHAR(10)&amp;"CA: "&amp;Checks!$AB$515)</f>
        <v/>
      </c>
      <c r="E33" s="113" t="str">
        <f aca="false">IF(Checks!$V$515="","",Checks!$V$515)&amp;IF(Checks!$AC$515="","",IF(Checks!$V$515="","",CHAR(10))&amp;"N/A just.: "&amp;Checks!$AC$515)&amp;IF(Checks!$W$515="","",CHAR(10)&amp;"Batch: "&amp;Checks!$W$515)&amp;IF(AND(Checks!$X$515="",Checks!$Y$515=""),"",CHAR(10)&amp;"Exp: "&amp;Checks!$X$515&amp;"  /  Act: "&amp;Checks!$Y$515)</f>
        <v/>
      </c>
      <c r="F33" s="113" t="str">
        <f aca="false">IF(Checks!$Z$515="","","Evidence: "&amp;Checks!$Z$515)&amp;IF(Checks!$AA$515="","",IF(Checks!$Z$515="","",CHAR(10))&amp;"CA: "&amp;Checks!$AA$515)</f>
        <v/>
      </c>
      <c r="G33" s="113" t="str">
        <f aca="false">IF(ISNUMBER(Checks!$AD$515),TEXT(Checks!$AD$515,"DD-MMM-YY HH:MM")&amp;" "&amp;Checks!$P$515,"")&amp;IF(Checks!$AE$515="","",CHAR(10)&amp;"Verifier: "&amp;Checks!$AE$515)&amp;IF(Checks!$T$515="","",CHAR(10)&amp;"PIC: "&amp;Checks!$T$515)</f>
        <v/>
      </c>
      <c r="H33" s="114" t="str">
        <f aca="false">IF(Checks!$AH$515="","",Checks!$AH$515)</f>
        <v>OPEN</v>
      </c>
    </row>
    <row r="34" customFormat="false" ht="25.5" hidden="false" customHeight="true" outlineLevel="0" collapsed="false">
      <c r="A34" s="112"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2"/>
      <c r="C34" s="112"/>
      <c r="D34" s="112"/>
      <c r="E34" s="112"/>
      <c r="F34" s="112"/>
      <c r="G34" s="112"/>
      <c r="H34" s="112"/>
    </row>
    <row r="35" customFormat="false" ht="114" hidden="false" customHeight="true" outlineLevel="0" collapsed="false">
      <c r="A35" s="113" t="str">
        <f aca="false">Checks!$A$516&amp;CHAR(10)&amp;IF(Checks!$I$516="","",Checks!$I$516&amp;": ")&amp;Checks!$J$516</f>
        <v>F16-T12-01
Meal: Meal quality vs menu checklist</v>
      </c>
      <c r="B35" s="113" t="str">
        <f aca="false">Checks!$K$516&amp;IF(Checks!$O$516="","",IF(Checks!$K$516="","",CHAR(10))&amp;"Note: "&amp;Checks!$O$516)</f>
        <v>Note: Preparation check at caterer - does NOT confirm loading.</v>
      </c>
      <c r="C35" s="113" t="str">
        <f aca="false">Checks!$N$516&amp;CHAR(10)&amp;IF(ISNUMBER(Checks!$R$516),TEXT(Checks!$R$516,"DD-MMM-YY HH:MM"),"")&amp;" "&amp;Checks!$P$516</f>
        <v>Required
25-Oct-26 21:10 KUL</v>
      </c>
      <c r="D35" s="113" t="str">
        <f aca="false">IF(Checks!$U$516="","",Checks!$U$516)&amp;IF(Checks!$AB$516="","",CHAR(10)&amp;"CA: "&amp;Checks!$AB$516)</f>
        <v/>
      </c>
      <c r="E35" s="113" t="str">
        <f aca="false">IF(Checks!$V$516="","",Checks!$V$516)&amp;IF(Checks!$AC$516="","",IF(Checks!$V$516="","",CHAR(10))&amp;"N/A just.: "&amp;Checks!$AC$516)&amp;IF(Checks!$W$516="","",CHAR(10)&amp;"Batch: "&amp;Checks!$W$516)&amp;IF(AND(Checks!$X$516="",Checks!$Y$516=""),"",CHAR(10)&amp;"Exp: "&amp;Checks!$X$516&amp;"  /  Act: "&amp;Checks!$Y$516)</f>
        <v/>
      </c>
      <c r="F35" s="113" t="str">
        <f aca="false">IF(Checks!$Z$516="","","Evidence: "&amp;Checks!$Z$516)&amp;IF(Checks!$AA$516="","",IF(Checks!$Z$516="","",CHAR(10))&amp;"CA: "&amp;Checks!$AA$516)</f>
        <v/>
      </c>
      <c r="G35" s="113" t="str">
        <f aca="false">IF(ISNUMBER(Checks!$AD$516),TEXT(Checks!$AD$516,"DD-MMM-YY HH:MM")&amp;" "&amp;Checks!$P$516,"")&amp;IF(Checks!$AE$516="","",CHAR(10)&amp;"Verifier: "&amp;Checks!$AE$516)&amp;IF(Checks!$T$516="","",CHAR(10)&amp;"PIC: "&amp;Checks!$T$516)</f>
        <v/>
      </c>
      <c r="H35" s="114" t="str">
        <f aca="false">IF(Checks!$AH$516="","",Checks!$AH$516)</f>
        <v>OPEN</v>
      </c>
    </row>
    <row r="36" customFormat="false" ht="114" hidden="false" customHeight="true" outlineLevel="0" collapsed="false">
      <c r="A36" s="113" t="str">
        <f aca="false">Checks!$A$517&amp;CHAR(10)&amp;IF(Checks!$I$517="","",Checks!$I$517&amp;": ")&amp;Checks!$J$517</f>
        <v>F16-T12-02
Meal: Meal quantities vs menu checklist</v>
      </c>
      <c r="B36" s="113" t="str">
        <f aca="false">Checks!$K$517&amp;IF(Checks!$O$517="","",IF(Checks!$K$517="","",CHAR(10))&amp;"Note: "&amp;Checks!$O$517)</f>
        <v>Enter expected &amp; actual
Note: Preparation check at caterer - does NOT confirm loading.</v>
      </c>
      <c r="C36" s="113" t="str">
        <f aca="false">Checks!$N$517&amp;CHAR(10)&amp;IF(ISNUMBER(Checks!$R$517),TEXT(Checks!$R$517,"DD-MMM-YY HH:MM"),"")&amp;" "&amp;Checks!$P$517</f>
        <v>Required
25-Oct-26 21:10 KUL</v>
      </c>
      <c r="D36" s="113" t="str">
        <f aca="false">IF(Checks!$U$517="","",Checks!$U$517)&amp;IF(Checks!$AB$517="","",CHAR(10)&amp;"CA: "&amp;Checks!$AB$517)</f>
        <v/>
      </c>
      <c r="E36" s="113" t="str">
        <f aca="false">IF(Checks!$V$517="","",Checks!$V$517)&amp;IF(Checks!$AC$517="","",IF(Checks!$V$517="","",CHAR(10))&amp;"N/A just.: "&amp;Checks!$AC$517)&amp;IF(Checks!$W$517="","",CHAR(10)&amp;"Batch: "&amp;Checks!$W$517)&amp;IF(AND(Checks!$X$517="",Checks!$Y$517=""),"",CHAR(10)&amp;"Exp: "&amp;Checks!$X$517&amp;"  /  Act: "&amp;Checks!$Y$517)</f>
        <v/>
      </c>
      <c r="F36" s="113" t="str">
        <f aca="false">IF(Checks!$Z$517="","","Evidence: "&amp;Checks!$Z$517)&amp;IF(Checks!$AA$517="","",IF(Checks!$Z$517="","",CHAR(10))&amp;"CA: "&amp;Checks!$AA$517)</f>
        <v/>
      </c>
      <c r="G36" s="113" t="str">
        <f aca="false">IF(ISNUMBER(Checks!$AD$517),TEXT(Checks!$AD$517,"DD-MMM-YY HH:MM")&amp;" "&amp;Checks!$P$517,"")&amp;IF(Checks!$AE$517="","",CHAR(10)&amp;"Verifier: "&amp;Checks!$AE$517)&amp;IF(Checks!$T$517="","",CHAR(10)&amp;"PIC: "&amp;Checks!$T$517)</f>
        <v/>
      </c>
      <c r="H36" s="114" t="str">
        <f aca="false">IF(Checks!$AH$517="","",Checks!$AH$517)</f>
        <v>OPEN</v>
      </c>
    </row>
    <row r="37" customFormat="false" ht="114" hidden="false" customHeight="true" outlineLevel="0" collapsed="false">
      <c r="A37" s="113" t="str">
        <f aca="false">Checks!$A$518&amp;CHAR(10)&amp;IF(Checks!$I$518="","",Checks!$I$518&amp;": ")&amp;Checks!$J$518</f>
        <v>F16-T12-03
Equipment: Equipment cleanliness vs GLD</v>
      </c>
      <c r="B37" s="113" t="str">
        <f aca="false">Checks!$K$518&amp;IF(Checks!$O$518="","",IF(Checks!$K$518="","",CHAR(10))&amp;"Note: "&amp;Checks!$O$518)</f>
        <v>Note: Preparation check at caterer - does NOT confirm loading.</v>
      </c>
      <c r="C37" s="113" t="str">
        <f aca="false">Checks!$N$518&amp;CHAR(10)&amp;IF(ISNUMBER(Checks!$R$518),TEXT(Checks!$R$518,"DD-MMM-YY HH:MM"),"")&amp;" "&amp;Checks!$P$518</f>
        <v>Required
25-Oct-26 21:10 KUL</v>
      </c>
      <c r="D37" s="113" t="str">
        <f aca="false">IF(Checks!$U$518="","",Checks!$U$518)&amp;IF(Checks!$AB$518="","",CHAR(10)&amp;"CA: "&amp;Checks!$AB$518)</f>
        <v/>
      </c>
      <c r="E37" s="113" t="str">
        <f aca="false">IF(Checks!$V$518="","",Checks!$V$518)&amp;IF(Checks!$AC$518="","",IF(Checks!$V$518="","",CHAR(10))&amp;"N/A just.: "&amp;Checks!$AC$518)&amp;IF(Checks!$W$518="","",CHAR(10)&amp;"Batch: "&amp;Checks!$W$518)&amp;IF(AND(Checks!$X$518="",Checks!$Y$518=""),"",CHAR(10)&amp;"Exp: "&amp;Checks!$X$518&amp;"  /  Act: "&amp;Checks!$Y$518)</f>
        <v/>
      </c>
      <c r="F37" s="113" t="str">
        <f aca="false">IF(Checks!$Z$518="","","Evidence: "&amp;Checks!$Z$518)&amp;IF(Checks!$AA$518="","",IF(Checks!$Z$518="","",CHAR(10))&amp;"CA: "&amp;Checks!$AA$518)</f>
        <v/>
      </c>
      <c r="G37" s="113" t="str">
        <f aca="false">IF(ISNUMBER(Checks!$AD$518),TEXT(Checks!$AD$518,"DD-MMM-YY HH:MM")&amp;" "&amp;Checks!$P$518,"")&amp;IF(Checks!$AE$518="","",CHAR(10)&amp;"Verifier: "&amp;Checks!$AE$518)&amp;IF(Checks!$T$518="","",CHAR(10)&amp;"PIC: "&amp;Checks!$T$518)</f>
        <v/>
      </c>
      <c r="H37" s="114" t="str">
        <f aca="false">IF(Checks!$AH$518="","",Checks!$AH$518)</f>
        <v>OPEN</v>
      </c>
    </row>
    <row r="38" customFormat="false" ht="114" hidden="false" customHeight="true" outlineLevel="0" collapsed="false">
      <c r="A38" s="113" t="str">
        <f aca="false">Checks!$A$519&amp;CHAR(10)&amp;IF(Checks!$I$519="","",Checks!$I$519&amp;": ")&amp;Checks!$J$519</f>
        <v>F16-T12-04
Equipment: Equipment presentation vs GLD</v>
      </c>
      <c r="B38" s="113" t="str">
        <f aca="false">Checks!$K$519&amp;IF(Checks!$O$519="","",IF(Checks!$K$519="","",CHAR(10))&amp;"Note: "&amp;Checks!$O$519)</f>
        <v>Note: Preparation check at caterer - does NOT confirm loading.</v>
      </c>
      <c r="C38" s="113" t="str">
        <f aca="false">Checks!$N$519&amp;CHAR(10)&amp;IF(ISNUMBER(Checks!$R$519),TEXT(Checks!$R$519,"DD-MMM-YY HH:MM"),"")&amp;" "&amp;Checks!$P$519</f>
        <v>Required
25-Oct-26 21:10 KUL</v>
      </c>
      <c r="D38" s="113" t="str">
        <f aca="false">IF(Checks!$U$519="","",Checks!$U$519)&amp;IF(Checks!$AB$519="","",CHAR(10)&amp;"CA: "&amp;Checks!$AB$519)</f>
        <v/>
      </c>
      <c r="E38" s="113" t="str">
        <f aca="false">IF(Checks!$V$519="","",Checks!$V$519)&amp;IF(Checks!$AC$519="","",IF(Checks!$V$519="","",CHAR(10))&amp;"N/A just.: "&amp;Checks!$AC$519)&amp;IF(Checks!$W$519="","",CHAR(10)&amp;"Batch: "&amp;Checks!$W$519)&amp;IF(AND(Checks!$X$519="",Checks!$Y$519=""),"",CHAR(10)&amp;"Exp: "&amp;Checks!$X$519&amp;"  /  Act: "&amp;Checks!$Y$519)</f>
        <v/>
      </c>
      <c r="F38" s="113" t="str">
        <f aca="false">IF(Checks!$Z$519="","","Evidence: "&amp;Checks!$Z$519)&amp;IF(Checks!$AA$519="","",IF(Checks!$Z$519="","",CHAR(10))&amp;"CA: "&amp;Checks!$AA$519)</f>
        <v/>
      </c>
      <c r="G38" s="113" t="str">
        <f aca="false">IF(ISNUMBER(Checks!$AD$519),TEXT(Checks!$AD$519,"DD-MMM-YY HH:MM")&amp;" "&amp;Checks!$P$519,"")&amp;IF(Checks!$AE$519="","",CHAR(10)&amp;"Verifier: "&amp;Checks!$AE$519)&amp;IF(Checks!$T$519="","",CHAR(10)&amp;"PIC: "&amp;Checks!$T$519)</f>
        <v/>
      </c>
      <c r="H38" s="114" t="str">
        <f aca="false">IF(Checks!$AH$519="","",Checks!$AH$519)</f>
        <v>OPEN</v>
      </c>
    </row>
    <row r="39" customFormat="false" ht="114" hidden="false" customHeight="true" outlineLevel="0" collapsed="false">
      <c r="A39" s="113" t="str">
        <f aca="false">Checks!$A$520&amp;CHAR(10)&amp;IF(Checks!$I$520="","",Checks!$I$520&amp;": ")&amp;Checks!$J$520</f>
        <v>F16-T12-05
Equipment: Equipment serviceability vs GLD</v>
      </c>
      <c r="B39" s="113" t="str">
        <f aca="false">Checks!$K$520&amp;IF(Checks!$O$520="","",IF(Checks!$K$520="","",CHAR(10))&amp;"Note: "&amp;Checks!$O$520)</f>
        <v>Note: Preparation check at caterer - does NOT confirm loading.</v>
      </c>
      <c r="C39" s="113" t="str">
        <f aca="false">Checks!$N$520&amp;CHAR(10)&amp;IF(ISNUMBER(Checks!$R$520),TEXT(Checks!$R$520,"DD-MMM-YY HH:MM"),"")&amp;" "&amp;Checks!$P$520</f>
        <v>Required
25-Oct-26 21:10 KUL</v>
      </c>
      <c r="D39" s="113" t="str">
        <f aca="false">IF(Checks!$U$520="","",Checks!$U$520)&amp;IF(Checks!$AB$520="","",CHAR(10)&amp;"CA: "&amp;Checks!$AB$520)</f>
        <v/>
      </c>
      <c r="E39" s="113" t="str">
        <f aca="false">IF(Checks!$V$520="","",Checks!$V$520)&amp;IF(Checks!$AC$520="","",IF(Checks!$V$520="","",CHAR(10))&amp;"N/A just.: "&amp;Checks!$AC$520)&amp;IF(Checks!$W$520="","",CHAR(10)&amp;"Batch: "&amp;Checks!$W$520)&amp;IF(AND(Checks!$X$520="",Checks!$Y$520=""),"",CHAR(10)&amp;"Exp: "&amp;Checks!$X$520&amp;"  /  Act: "&amp;Checks!$Y$520)</f>
        <v/>
      </c>
      <c r="F39" s="113" t="str">
        <f aca="false">IF(Checks!$Z$520="","","Evidence: "&amp;Checks!$Z$520)&amp;IF(Checks!$AA$520="","",IF(Checks!$Z$520="","",CHAR(10))&amp;"CA: "&amp;Checks!$AA$520)</f>
        <v/>
      </c>
      <c r="G39" s="113" t="str">
        <f aca="false">IF(ISNUMBER(Checks!$AD$520),TEXT(Checks!$AD$520,"DD-MMM-YY HH:MM")&amp;" "&amp;Checks!$P$520,"")&amp;IF(Checks!$AE$520="","",CHAR(10)&amp;"Verifier: "&amp;Checks!$AE$520)&amp;IF(Checks!$T$520="","",CHAR(10)&amp;"PIC: "&amp;Checks!$T$520)</f>
        <v/>
      </c>
      <c r="H39" s="114" t="str">
        <f aca="false">IF(Checks!$AH$520="","",Checks!$AH$520)</f>
        <v>OPEN</v>
      </c>
    </row>
    <row r="40" customFormat="false" ht="190.5" hidden="false" customHeight="true" outlineLevel="0" collapsed="false">
      <c r="A40" s="113" t="str">
        <f aca="false">Checks!$A$521&amp;CHAR(10)&amp;IF(Checks!$I$521="","",Checks!$I$521&amp;": ")&amp;Checks!$J$521</f>
        <v>F16-T12-06
Equipment: Equipment quantities vs GLD</v>
      </c>
      <c r="B40" s="113" t="str">
        <f aca="false">SUBSTITUTE(Checks!$K$521&amp;IF(Checks!$O$521="","",IF(Checks!$K$521="","",CHAR(10))&amp;"Note: "&amp;Checks!$O$521),"AIRCRAFT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Checks!$N$521&amp;CHAR(10)&amp;IF(ISNUMBER(Checks!$R$521),TEXT(Checks!$R$521,"DD-MMM-YY HH:MM"),"")&amp;" "&amp;Checks!$P$521</f>
        <v>Required
25-Oct-26 21:10 KUL</v>
      </c>
      <c r="D40" s="113" t="str">
        <f aca="false">IF(Checks!$U$521="","",Checks!$U$521)&amp;IF(Checks!$AB$521="","",CHAR(10)&amp;"CA: "&amp;Checks!$AB$521)</f>
        <v/>
      </c>
      <c r="E40" s="113" t="str">
        <f aca="false">IF(Checks!$V$521="","",Checks!$V$521)&amp;IF(Checks!$AC$521="","",IF(Checks!$V$521="","",CHAR(10))&amp;"N/A just.: "&amp;Checks!$AC$521)&amp;IF(Checks!$W$521="","",CHAR(10)&amp;"Batch: "&amp;Checks!$W$521)&amp;IF(AND(Checks!$X$521="",Checks!$Y$521=""),"",CHAR(10)&amp;"Exp: "&amp;Checks!$X$521&amp;"  /  Act: "&amp;Checks!$Y$521)</f>
        <v/>
      </c>
      <c r="F40" s="113" t="str">
        <f aca="false">IF(Checks!$Z$521="","","Evidence: "&amp;Checks!$Z$521)&amp;IF(Checks!$AA$521="","",IF(Checks!$Z$521="","",CHAR(10))&amp;"CA: "&amp;Checks!$AA$521)</f>
        <v/>
      </c>
      <c r="G40" s="113" t="str">
        <f aca="false">IF(ISNUMBER(Checks!$AD$521),TEXT(Checks!$AD$521,"DD-MMM-YY HH:MM")&amp;" "&amp;Checks!$P$521,"")&amp;IF(Checks!$AE$521="","",CHAR(10)&amp;"Verifier: "&amp;Checks!$AE$521)&amp;IF(Checks!$T$521="","",CHAR(10)&amp;"PIC: "&amp;Checks!$T$521)</f>
        <v/>
      </c>
      <c r="H40" s="114" t="str">
        <f aca="false">IF(Checks!$AH$521="","",Checks!$AH$521)</f>
        <v>OPEN</v>
      </c>
    </row>
    <row r="41" customFormat="false" ht="114" hidden="false" customHeight="true" outlineLevel="0" collapsed="false">
      <c r="A41" s="113" t="str">
        <f aca="false">Checks!$A$522&amp;CHAR(10)&amp;IF(Checks!$I$522="","",Checks!$I$522&amp;": ")&amp;Checks!$J$522</f>
        <v>F16-T12-07
Equipment: Loading positions planned vs GLD</v>
      </c>
      <c r="B41" s="113" t="str">
        <f aca="false">Checks!$K$522&amp;IF(Checks!$O$522="","",IF(Checks!$K$522="","",CHAR(10))&amp;"Note: "&amp;Checks!$O$522)</f>
        <v>Note: Preparation check at caterer - does NOT confirm loading.</v>
      </c>
      <c r="C41" s="113" t="str">
        <f aca="false">Checks!$N$522&amp;CHAR(10)&amp;IF(ISNUMBER(Checks!$R$522),TEXT(Checks!$R$522,"DD-MMM-YY HH:MM"),"")&amp;" "&amp;Checks!$P$522</f>
        <v>Required
25-Oct-26 21:10 KUL</v>
      </c>
      <c r="D41" s="113" t="str">
        <f aca="false">IF(Checks!$U$522="","",Checks!$U$522)&amp;IF(Checks!$AB$522="","",CHAR(10)&amp;"CA: "&amp;Checks!$AB$522)</f>
        <v/>
      </c>
      <c r="E41" s="113" t="str">
        <f aca="false">IF(Checks!$V$522="","",Checks!$V$522)&amp;IF(Checks!$AC$522="","",IF(Checks!$V$522="","",CHAR(10))&amp;"N/A just.: "&amp;Checks!$AC$522)&amp;IF(Checks!$W$522="","",CHAR(10)&amp;"Batch: "&amp;Checks!$W$522)&amp;IF(AND(Checks!$X$522="",Checks!$Y$522=""),"",CHAR(10)&amp;"Exp: "&amp;Checks!$X$522&amp;"  /  Act: "&amp;Checks!$Y$522)</f>
        <v/>
      </c>
      <c r="F41" s="113" t="str">
        <f aca="false">IF(Checks!$Z$522="","","Evidence: "&amp;Checks!$Z$522)&amp;IF(Checks!$AA$522="","",IF(Checks!$Z$522="","",CHAR(10))&amp;"CA: "&amp;Checks!$AA$522)</f>
        <v/>
      </c>
      <c r="G41" s="113" t="str">
        <f aca="false">IF(ISNUMBER(Checks!$AD$522),TEXT(Checks!$AD$522,"DD-MMM-YY HH:MM")&amp;" "&amp;Checks!$P$522,"")&amp;IF(Checks!$AE$522="","",CHAR(10)&amp;"Verifier: "&amp;Checks!$AE$522)&amp;IF(Checks!$T$522="","",CHAR(10)&amp;"PIC: "&amp;Checks!$T$522)</f>
        <v/>
      </c>
      <c r="H41" s="114" t="str">
        <f aca="false">IF(Checks!$AH$522="","",Checks!$AH$522)</f>
        <v>OPEN</v>
      </c>
    </row>
    <row r="42" customFormat="false" ht="114" hidden="false" customHeight="true" outlineLevel="0" collapsed="false">
      <c r="A42" s="113" t="str">
        <f aca="false">Checks!$A$523&amp;CHAR(10)&amp;IF(Checks!$I$523="","",Checks!$I$523&amp;": ")&amp;Checks!$J$523</f>
        <v>F16-T12-08
Seat Linen: Seat pillow (EY) - prepared</v>
      </c>
      <c r="B42" s="113" t="str">
        <f aca="false">Checks!$K$523&amp;IF(Checks!$O$523="","",IF(Checks!$K$523="","",CHAR(10))&amp;"Note: "&amp;Checks!$O$523)</f>
        <v>Available 100% (ticked in reference)
Note: Reference gives no uplift stn for this item: preparation checked at the meal uplift stn (KUL) - confirm with caterer.</v>
      </c>
      <c r="C42" s="113" t="str">
        <f aca="false">Checks!$N$523&amp;CHAR(10)&amp;IF(ISNUMBER(Checks!$R$523),TEXT(Checks!$R$523,"DD-MMM-YY HH:MM"),"")&amp;" "&amp;Checks!$P$523</f>
        <v>Required
25-Oct-26 21:10 KUL</v>
      </c>
      <c r="D42" s="113" t="str">
        <f aca="false">IF(Checks!$U$523="","",Checks!$U$523)&amp;IF(Checks!$AB$523="","",CHAR(10)&amp;"CA: "&amp;Checks!$AB$523)</f>
        <v/>
      </c>
      <c r="E42" s="113" t="str">
        <f aca="false">IF(Checks!$V$523="","",Checks!$V$523)&amp;IF(Checks!$AC$523="","",IF(Checks!$V$523="","",CHAR(10))&amp;"N/A just.: "&amp;Checks!$AC$523)&amp;IF(Checks!$W$523="","",CHAR(10)&amp;"Batch: "&amp;Checks!$W$523)&amp;IF(AND(Checks!$X$523="",Checks!$Y$523=""),"",CHAR(10)&amp;"Exp: "&amp;Checks!$X$523&amp;"  /  Act: "&amp;Checks!$Y$523)</f>
        <v/>
      </c>
      <c r="F42" s="113" t="str">
        <f aca="false">IF(Checks!$Z$523="","","Evidence: "&amp;Checks!$Z$523)&amp;IF(Checks!$AA$523="","",IF(Checks!$Z$523="","",CHAR(10))&amp;"CA: "&amp;Checks!$AA$523)</f>
        <v/>
      </c>
      <c r="G42" s="113" t="str">
        <f aca="false">IF(ISNUMBER(Checks!$AD$523),TEXT(Checks!$AD$523,"DD-MMM-YY HH:MM")&amp;" "&amp;Checks!$P$523,"")&amp;IF(Checks!$AE$523="","",CHAR(10)&amp;"Verifier: "&amp;Checks!$AE$523)&amp;IF(Checks!$T$523="","",CHAR(10)&amp;"PIC: "&amp;Checks!$T$523)</f>
        <v/>
      </c>
      <c r="H42" s="114" t="str">
        <f aca="false">IF(Checks!$AH$523="","",Checks!$AH$523)</f>
        <v>OPEN</v>
      </c>
    </row>
    <row r="43" customFormat="false" ht="289.5" hidden="false" customHeight="true" outlineLevel="0" collapsed="false">
      <c r="A43" s="113" t="str">
        <f aca="false">Checks!$A$524&amp;CHAR(10)&amp;IF(Checks!$I$524="","",Checks!$I$524&amp;": ")&amp;Checks!$J$524</f>
        <v>F16-T12-09
Seat Linen: Blanket (EY) - prepared</v>
      </c>
      <c r="B43" s="113" t="str">
        <f aca="false">SUBSTITUTE(Checks!$K$524&amp;IF(Checks!$O$524="","",IF(Checks!$K$524="","",CHAR(10))&amp;"Note: "&amp;Checks!$O$524),"SEAT LINEN!","Ref: SEAT LINEN!")</f>
        <v>Available 100% (ticked in reference)
Note: EY blanket: flight above 3 hours excl. Regional (Ref: SEAT LINEN!B74:C74); block 4.08 h. Matrix shows _/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43" s="113" t="str">
        <f aca="false">Checks!$N$524&amp;CHAR(10)&amp;IF(ISNUMBER(Checks!$R$524),TEXT(Checks!$R$524,"DD-MMM-YY HH:MM"),"")&amp;" "&amp;Checks!$P$524</f>
        <v>Clarification required
25-Oct-26 21:10 KUL</v>
      </c>
      <c r="D43" s="113" t="str">
        <f aca="false">IF(Checks!$U$524="","",Checks!$U$524)&amp;IF(Checks!$AB$524="","",CHAR(10)&amp;"CA: "&amp;Checks!$AB$524)</f>
        <v/>
      </c>
      <c r="E43" s="113" t="str">
        <f aca="false">IF(Checks!$V$524="","",Checks!$V$524)&amp;IF(Checks!$AC$524="","",IF(Checks!$V$524="","",CHAR(10))&amp;"N/A just.: "&amp;Checks!$AC$524)&amp;IF(Checks!$W$524="","",CHAR(10)&amp;"Batch: "&amp;Checks!$W$524)&amp;IF(AND(Checks!$X$524="",Checks!$Y$524=""),"",CHAR(10)&amp;"Exp: "&amp;Checks!$X$524&amp;"  /  Act: "&amp;Checks!$Y$524)</f>
        <v/>
      </c>
      <c r="F43" s="113" t="str">
        <f aca="false">IF(Checks!$Z$524="","","Evidence: "&amp;Checks!$Z$524)&amp;IF(Checks!$AA$524="","",IF(Checks!$Z$524="","",CHAR(10))&amp;"CA: "&amp;Checks!$AA$524)</f>
        <v/>
      </c>
      <c r="G43" s="113" t="str">
        <f aca="false">IF(ISNUMBER(Checks!$AD$524),TEXT(Checks!$AD$524,"DD-MMM-YY HH:MM")&amp;" "&amp;Checks!$P$524,"")&amp;IF(Checks!$AE$524="","",CHAR(10)&amp;"Verifier: "&amp;Checks!$AE$524)&amp;IF(Checks!$T$524="","",CHAR(10)&amp;"PIC: "&amp;Checks!$T$524)</f>
        <v/>
      </c>
      <c r="H43" s="114" t="str">
        <f aca="false">IF(Checks!$AH$524="","",Checks!$AH$524)</f>
        <v>OPEN – CLARIFICATION</v>
      </c>
    </row>
    <row r="44" customFormat="false" ht="124.5" hidden="false" customHeight="true" outlineLevel="0" collapsed="false">
      <c r="A44" s="113" t="str">
        <f aca="false">Checks!$A$525&amp;CHAR(10)&amp;IF(Checks!$I$525="","",Checks!$I$525&amp;": ")&amp;Checks!$J$525</f>
        <v>F16-T12-10
Sales Cart: Sales cart (caterer MCAT) - prepared</v>
      </c>
      <c r="B44" s="113" t="str">
        <f aca="false">SUBSTITUTE(Checks!$K$525&amp;IF(Checks!$O$525="","",IF(Checks!$K$525="","",CHAR(10))&amp;"Note: "&amp;Checks!$O$525),"SALES CART!","Ref: SALES CART!")</f>
        <v>Location 210A (B7M8)
Note: Block 4.08 h &gt;= 4 h (note Ref: SALES CART!C40). Reference gives no uplift stn for this item: preparation checked at the meal uplift stn (KUL) - confirm with caterer.</v>
      </c>
      <c r="C44" s="113" t="str">
        <f aca="false">Checks!$N$525&amp;CHAR(10)&amp;IF(ISNUMBER(Checks!$R$525),TEXT(Checks!$R$525,"DD-MMM-YY HH:MM"),"")&amp;" "&amp;Checks!$P$525</f>
        <v>Required
25-Oct-26 21:10 KUL</v>
      </c>
      <c r="D44" s="113" t="str">
        <f aca="false">IF(Checks!$U$525="","",Checks!$U$525)&amp;IF(Checks!$AB$525="","",CHAR(10)&amp;"CA: "&amp;Checks!$AB$525)</f>
        <v/>
      </c>
      <c r="E44" s="113" t="str">
        <f aca="false">IF(Checks!$V$525="","",Checks!$V$525)&amp;IF(Checks!$AC$525="","",IF(Checks!$V$525="","",CHAR(10))&amp;"N/A just.: "&amp;Checks!$AC$525)&amp;IF(Checks!$W$525="","",CHAR(10)&amp;"Batch: "&amp;Checks!$W$525)&amp;IF(AND(Checks!$X$525="",Checks!$Y$525=""),"",CHAR(10)&amp;"Exp: "&amp;Checks!$X$525&amp;"  /  Act: "&amp;Checks!$Y$525)</f>
        <v/>
      </c>
      <c r="F44" s="113" t="str">
        <f aca="false">IF(Checks!$Z$525="","","Evidence: "&amp;Checks!$Z$525)&amp;IF(Checks!$AA$525="","",IF(Checks!$Z$525="","",CHAR(10))&amp;"CA: "&amp;Checks!$AA$525)</f>
        <v/>
      </c>
      <c r="G44" s="113" t="str">
        <f aca="false">IF(ISNUMBER(Checks!$AD$525),TEXT(Checks!$AD$525,"DD-MMM-YY HH:MM")&amp;" "&amp;Checks!$P$525,"")&amp;IF(Checks!$AE$525="","",CHAR(10)&amp;"Verifier: "&amp;Checks!$AE$525)&amp;IF(Checks!$T$525="","",CHAR(10)&amp;"PIC: "&amp;Checks!$T$525)</f>
        <v/>
      </c>
      <c r="H44" s="114" t="str">
        <f aca="false">IF(Checks!$AH$525="","",Checks!$AH$525)</f>
        <v>OPEN</v>
      </c>
    </row>
    <row r="45" customFormat="false" ht="25.5" hidden="false" customHeight="true" outlineLevel="0" collapsed="false">
      <c r="A45" s="112"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2"/>
      <c r="C45" s="112"/>
      <c r="D45" s="112"/>
      <c r="E45" s="112"/>
      <c r="F45" s="112"/>
      <c r="G45" s="112"/>
      <c r="H45" s="112"/>
    </row>
    <row r="46" customFormat="false" ht="114" hidden="false" customHeight="true" outlineLevel="0" collapsed="false">
      <c r="A46" s="113" t="str">
        <f aca="false">Checks!$A$526&amp;CHAR(10)&amp;IF(Checks!$I$526="","",Checks!$I$526&amp;": ")&amp;Checks!$J$526</f>
        <v>F16-UPL-01
Meal: Meals physically uplifted on board - quantity vs menu checklist</v>
      </c>
      <c r="B46" s="113" t="str">
        <f aca="false">Checks!$K$526&amp;IF(Checks!$O$526="","",IF(Checks!$K$526="","",CHAR(10))&amp;"Note: "&amp;Checks!$O$526)</f>
        <v>Enter expected &amp; actual
Note: Confirm on board before departure; completion time must fall inside the uplift window.</v>
      </c>
      <c r="C46" s="113" t="str">
        <f aca="false">Checks!$N$526&amp;CHAR(10)&amp;IF(ISNUMBER(Checks!$R$526),TEXT(Checks!$R$526,"DD-MMM-YY HH:MM"),"")&amp;" "&amp;Checks!$P$526</f>
        <v>Required
26-Oct-26 09:10 KUL</v>
      </c>
      <c r="D46" s="113" t="str">
        <f aca="false">IF(Checks!$U$526="","",Checks!$U$526)&amp;IF(Checks!$AB$526="","",CHAR(10)&amp;"CA: "&amp;Checks!$AB$526)</f>
        <v/>
      </c>
      <c r="E46" s="113" t="str">
        <f aca="false">IF(Checks!$V$526="","",Checks!$V$526)&amp;IF(Checks!$AC$526="","",IF(Checks!$V$526="","",CHAR(10))&amp;"N/A just.: "&amp;Checks!$AC$526)&amp;IF(Checks!$W$526="","",CHAR(10)&amp;"Batch: "&amp;Checks!$W$526)&amp;IF(AND(Checks!$X$526="",Checks!$Y$526=""),"",CHAR(10)&amp;"Exp: "&amp;Checks!$X$526&amp;"  /  Act: "&amp;Checks!$Y$526)</f>
        <v/>
      </c>
      <c r="F46" s="113" t="str">
        <f aca="false">IF(Checks!$Z$526="","","Evidence: "&amp;Checks!$Z$526)&amp;IF(Checks!$AA$526="","",IF(Checks!$Z$526="","",CHAR(10))&amp;"CA: "&amp;Checks!$AA$526)</f>
        <v/>
      </c>
      <c r="G46" s="113" t="str">
        <f aca="false">IF(ISNUMBER(Checks!$AD$526),TEXT(Checks!$AD$526,"DD-MMM-YY HH:MM")&amp;" "&amp;Checks!$P$526,"")&amp;IF(Checks!$AE$526="","",CHAR(10)&amp;"Verifier: "&amp;Checks!$AE$526)&amp;IF(Checks!$T$526="","",CHAR(10)&amp;"PIC: "&amp;Checks!$T$526)</f>
        <v/>
      </c>
      <c r="H46" s="114" t="str">
        <f aca="false">IF(Checks!$AH$526="","",Checks!$AH$526)</f>
        <v>OPEN</v>
      </c>
    </row>
    <row r="47" customFormat="false" ht="114" hidden="false" customHeight="true" outlineLevel="0" collapsed="false">
      <c r="A47" s="113" t="str">
        <f aca="false">Checks!$A$527&amp;CHAR(10)&amp;IF(Checks!$I$527="","",Checks!$I$527&amp;": ")&amp;Checks!$J$527</f>
        <v>F16-UPL-02
Equipment: Equipment physically loaded at GLD positions - quantity &amp; positions</v>
      </c>
      <c r="B47" s="113" t="str">
        <f aca="false">Checks!$K$527&amp;IF(Checks!$O$527="","",IF(Checks!$K$527="","",CHAR(10))&amp;"Note: "&amp;Checks!$O$527)</f>
        <v>Enter expected &amp; actual
Note: Confirm on board before departure; completion time must fall inside the uplift window.</v>
      </c>
      <c r="C47" s="113" t="str">
        <f aca="false">Checks!$N$527&amp;CHAR(10)&amp;IF(ISNUMBER(Checks!$R$527),TEXT(Checks!$R$527,"DD-MMM-YY HH:MM"),"")&amp;" "&amp;Checks!$P$527</f>
        <v>Required
26-Oct-26 09:10 KUL</v>
      </c>
      <c r="D47" s="113" t="str">
        <f aca="false">IF(Checks!$U$527="","",Checks!$U$527)&amp;IF(Checks!$AB$527="","",CHAR(10)&amp;"CA: "&amp;Checks!$AB$527)</f>
        <v/>
      </c>
      <c r="E47" s="113" t="str">
        <f aca="false">IF(Checks!$V$527="","",Checks!$V$527)&amp;IF(Checks!$AC$527="","",IF(Checks!$V$527="","",CHAR(10))&amp;"N/A just.: "&amp;Checks!$AC$527)&amp;IF(Checks!$W$527="","",CHAR(10)&amp;"Batch: "&amp;Checks!$W$527)&amp;IF(AND(Checks!$X$527="",Checks!$Y$527=""),"",CHAR(10)&amp;"Exp: "&amp;Checks!$X$527&amp;"  /  Act: "&amp;Checks!$Y$527)</f>
        <v/>
      </c>
      <c r="F47" s="113" t="str">
        <f aca="false">IF(Checks!$Z$527="","","Evidence: "&amp;Checks!$Z$527)&amp;IF(Checks!$AA$527="","",IF(Checks!$Z$527="","",CHAR(10))&amp;"CA: "&amp;Checks!$AA$527)</f>
        <v/>
      </c>
      <c r="G47" s="113" t="str">
        <f aca="false">IF(ISNUMBER(Checks!$AD$527),TEXT(Checks!$AD$527,"DD-MMM-YY HH:MM")&amp;" "&amp;Checks!$P$527,"")&amp;IF(Checks!$AE$527="","",CHAR(10)&amp;"Verifier: "&amp;Checks!$AE$527)&amp;IF(Checks!$T$527="","",CHAR(10)&amp;"PIC: "&amp;Checks!$T$527)</f>
        <v/>
      </c>
      <c r="H47" s="114" t="str">
        <f aca="false">IF(Checks!$AH$527="","",Checks!$AH$527)</f>
        <v>OPEN</v>
      </c>
    </row>
    <row r="48" customFormat="false" ht="114" hidden="false" customHeight="true" outlineLevel="0" collapsed="false">
      <c r="A48" s="113" t="str">
        <f aca="false">Checks!$A$528&amp;CHAR(10)&amp;IF(Checks!$I$528="","",Checks!$I$528&amp;": ")&amp;Checks!$J$528</f>
        <v>F16-UPL-03
Seat Linen: Seat pillow (EY) - on board</v>
      </c>
      <c r="B48" s="113" t="str">
        <f aca="false">Checks!$K$528&amp;IF(Checks!$O$528="","",IF(Checks!$K$528="","",CHAR(10))&amp;"Note: "&amp;Checks!$O$528)</f>
        <v>Available 100% (ticked in reference)</v>
      </c>
      <c r="C48" s="113" t="str">
        <f aca="false">Checks!$N$528&amp;CHAR(10)&amp;IF(ISNUMBER(Checks!$R$528),TEXT(Checks!$R$528,"DD-MMM-YY HH:MM"),"")&amp;" "&amp;Checks!$P$528</f>
        <v>Required
26-Oct-26 09:10 KUL</v>
      </c>
      <c r="D48" s="113" t="str">
        <f aca="false">IF(Checks!$U$528="","",Checks!$U$528)&amp;IF(Checks!$AB$528="","",CHAR(10)&amp;"CA: "&amp;Checks!$AB$528)</f>
        <v/>
      </c>
      <c r="E48" s="113" t="str">
        <f aca="false">IF(Checks!$V$528="","",Checks!$V$528)&amp;IF(Checks!$AC$528="","",IF(Checks!$V$528="","",CHAR(10))&amp;"N/A just.: "&amp;Checks!$AC$528)&amp;IF(Checks!$W$528="","",CHAR(10)&amp;"Batch: "&amp;Checks!$W$528)&amp;IF(AND(Checks!$X$528="",Checks!$Y$528=""),"",CHAR(10)&amp;"Exp: "&amp;Checks!$X$528&amp;"  /  Act: "&amp;Checks!$Y$528)</f>
        <v/>
      </c>
      <c r="F48" s="113" t="str">
        <f aca="false">IF(Checks!$Z$528="","","Evidence: "&amp;Checks!$Z$528)&amp;IF(Checks!$AA$528="","",IF(Checks!$Z$528="","",CHAR(10))&amp;"CA: "&amp;Checks!$AA$528)</f>
        <v/>
      </c>
      <c r="G48" s="113" t="str">
        <f aca="false">IF(ISNUMBER(Checks!$AD$528),TEXT(Checks!$AD$528,"DD-MMM-YY HH:MM")&amp;" "&amp;Checks!$P$528,"")&amp;IF(Checks!$AE$528="","",CHAR(10)&amp;"Verifier: "&amp;Checks!$AE$528)&amp;IF(Checks!$T$528="","",CHAR(10)&amp;"PIC: "&amp;Checks!$T$528)</f>
        <v/>
      </c>
      <c r="H48" s="114" t="str">
        <f aca="false">IF(Checks!$AH$528="","",Checks!$AH$528)</f>
        <v>OPEN</v>
      </c>
    </row>
    <row r="49" customFormat="false" ht="213" hidden="false" customHeight="true" outlineLevel="0" collapsed="false">
      <c r="A49" s="113" t="str">
        <f aca="false">Checks!$A$529&amp;CHAR(10)&amp;IF(Checks!$I$529="","",Checks!$I$529&amp;": ")&amp;Checks!$J$529</f>
        <v>F16-UPL-04
Seat Linen: Blanket (EY) - on board</v>
      </c>
      <c r="B49" s="113" t="str">
        <f aca="false">SUBSTITUTE(Checks!$K$529&amp;IF(Checks!$O$529="","",IF(Checks!$K$529="","",CHAR(10))&amp;"Note: "&amp;Checks!$O$529),"SEAT LINEN!","Ref: SEAT LINEN!")</f>
        <v>Available 100% (ticked in reference)
Note: EY blanket: flight above 3 hours excl. Regional (Ref: SEAT LINEN!B74:C74); block 4.08 h. Matrix shows _/ for this ORIENTAL sector but B74 excludes 'Regional sectors' without defining them - confirm whether this sector counts as Regional. Quantity for this aircraft not stated in reference.</v>
      </c>
      <c r="C49" s="113" t="str">
        <f aca="false">Checks!$N$529&amp;CHAR(10)&amp;IF(ISNUMBER(Checks!$R$529),TEXT(Checks!$R$529,"DD-MMM-YY HH:MM"),"")&amp;" "&amp;Checks!$P$529</f>
        <v>Clarification required
26-Oct-26 09:10 KUL</v>
      </c>
      <c r="D49" s="113" t="str">
        <f aca="false">IF(Checks!$U$529="","",Checks!$U$529)&amp;IF(Checks!$AB$529="","",CHAR(10)&amp;"CA: "&amp;Checks!$AB$529)</f>
        <v/>
      </c>
      <c r="E49" s="113" t="str">
        <f aca="false">IF(Checks!$V$529="","",Checks!$V$529)&amp;IF(Checks!$AC$529="","",IF(Checks!$V$529="","",CHAR(10))&amp;"N/A just.: "&amp;Checks!$AC$529)&amp;IF(Checks!$W$529="","",CHAR(10)&amp;"Batch: "&amp;Checks!$W$529)&amp;IF(AND(Checks!$X$529="",Checks!$Y$529=""),"",CHAR(10)&amp;"Exp: "&amp;Checks!$X$529&amp;"  /  Act: "&amp;Checks!$Y$529)</f>
        <v/>
      </c>
      <c r="F49" s="113" t="str">
        <f aca="false">IF(Checks!$Z$529="","","Evidence: "&amp;Checks!$Z$529)&amp;IF(Checks!$AA$529="","",IF(Checks!$Z$529="","",CHAR(10))&amp;"CA: "&amp;Checks!$AA$529)</f>
        <v/>
      </c>
      <c r="G49" s="113" t="str">
        <f aca="false">IF(ISNUMBER(Checks!$AD$529),TEXT(Checks!$AD$529,"DD-MMM-YY HH:MM")&amp;" "&amp;Checks!$P$529,"")&amp;IF(Checks!$AE$529="","",CHAR(10)&amp;"Verifier: "&amp;Checks!$AE$529)&amp;IF(Checks!$T$529="","",CHAR(10)&amp;"PIC: "&amp;Checks!$T$529)</f>
        <v/>
      </c>
      <c r="H49" s="114" t="str">
        <f aca="false">IF(Checks!$AH$529="","",Checks!$AH$529)</f>
        <v>OPEN – CLARIFICATION</v>
      </c>
    </row>
    <row r="50" customFormat="false" ht="114" hidden="false" customHeight="true" outlineLevel="0" collapsed="false">
      <c r="A50" s="113" t="str">
        <f aca="false">Checks!$A$530&amp;CHAR(10)&amp;IF(Checks!$I$530="","",Checks!$I$530&amp;": ")&amp;Checks!$J$530</f>
        <v>F16-UPL-05
Sales Cart: Sales cart (caterer MCAT) - on board</v>
      </c>
      <c r="B50" s="113" t="str">
        <f aca="false">SUBSTITUTE(Checks!$K$530&amp;IF(Checks!$O$530="","",IF(Checks!$K$530="","",CHAR(10))&amp;"Note: "&amp;Checks!$O$530),"SALES CART!","Ref: SALES CART!")</f>
        <v>Location 210A (B7M8)
Note: Block 4.08 h &gt;= 4 h (note Ref: SALES CART!C40).</v>
      </c>
      <c r="C50" s="113" t="str">
        <f aca="false">Checks!$N$530&amp;CHAR(10)&amp;IF(ISNUMBER(Checks!$R$530),TEXT(Checks!$R$530,"DD-MMM-YY HH:MM"),"")&amp;" "&amp;Checks!$P$530</f>
        <v>Required
26-Oct-26 09:10 KUL</v>
      </c>
      <c r="D50" s="113" t="str">
        <f aca="false">IF(Checks!$U$530="","",Checks!$U$530)&amp;IF(Checks!$AB$530="","",CHAR(10)&amp;"CA: "&amp;Checks!$AB$530)</f>
        <v/>
      </c>
      <c r="E50" s="113" t="str">
        <f aca="false">IF(Checks!$V$530="","",Checks!$V$530)&amp;IF(Checks!$AC$530="","",IF(Checks!$V$530="","",CHAR(10))&amp;"N/A just.: "&amp;Checks!$AC$530)&amp;IF(Checks!$W$530="","",CHAR(10)&amp;"Batch: "&amp;Checks!$W$530)&amp;IF(AND(Checks!$X$530="",Checks!$Y$530=""),"",CHAR(10)&amp;"Exp: "&amp;Checks!$X$530&amp;"  /  Act: "&amp;Checks!$Y$530)</f>
        <v/>
      </c>
      <c r="F50" s="113" t="str">
        <f aca="false">IF(Checks!$Z$530="","","Evidence: "&amp;Checks!$Z$530)&amp;IF(Checks!$AA$530="","",IF(Checks!$Z$530="","",CHAR(10))&amp;"CA: "&amp;Checks!$AA$530)</f>
        <v/>
      </c>
      <c r="G50" s="113" t="str">
        <f aca="false">IF(ISNUMBER(Checks!$AD$530),TEXT(Checks!$AD$530,"DD-MMM-YY HH:MM")&amp;" "&amp;Checks!$P$530,"")&amp;IF(Checks!$AE$530="","",CHAR(10)&amp;"Verifier: "&amp;Checks!$AE$530)&amp;IF(Checks!$T$530="","",CHAR(10)&amp;"PIC: "&amp;Checks!$T$530)</f>
        <v/>
      </c>
      <c r="H50" s="114" t="str">
        <f aca="false">IF(Checks!$AH$530="","",Checks!$AH$530)</f>
        <v>OPEN</v>
      </c>
    </row>
    <row r="52" customFormat="false" ht="24" hidden="false" customHeight="true" outlineLevel="0" collapsed="false">
      <c r="A52" s="115" t="s">
        <v>1650</v>
      </c>
      <c r="B52" s="115"/>
      <c r="C52" s="115"/>
      <c r="D52" s="115"/>
      <c r="E52" s="115" t="s">
        <v>1651</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F17  "&amp;Flights!$F$21&amp;"  "&amp;TEXT(Flights!$D$21,"DD-MMM-YY")&amp;" ("&amp;Flights!$E$21&amp;")  "&amp;Flights!$G$21&amp;" → "&amp;Flights!$H$21&amp;"  |  Class "&amp;Flights!$K$21</f>
        <v>SKYTRAX 2026 CATERING READINESS CHECKLIST  |  F17  MH0073  27-Oct-26 (TUE)  HKG → KUL  |  Class BC</v>
      </c>
      <c r="B1" s="91"/>
      <c r="C1" s="91"/>
      <c r="D1" s="91"/>
      <c r="E1" s="91"/>
      <c r="F1" s="91"/>
      <c r="G1" s="91"/>
      <c r="H1" s="91"/>
    </row>
    <row r="2" customFormat="false" ht="12.75" hidden="false" customHeight="true" outlineLevel="0" collapsed="false">
      <c r="A2" s="92" t="s">
        <v>1605</v>
      </c>
      <c r="B2" s="93" t="str">
        <f aca="false">Flights!$F$21&amp;"   "&amp;TEXT(Flights!$D$21,"DD-MMM-YY")&amp;" ("&amp;Flights!$E$21&amp;")"</f>
        <v>MH0073   27-Oct-26 (TUE)</v>
      </c>
      <c r="C2" s="93"/>
      <c r="D2" s="93"/>
      <c r="E2" s="94" t="s">
        <v>1606</v>
      </c>
      <c r="F2" s="95" t="str">
        <f aca="false">Flights!$AT$21</f>
        <v>NOT READY – DOCUMENTS</v>
      </c>
      <c r="G2" s="95"/>
      <c r="H2" s="95"/>
    </row>
    <row r="3" customFormat="false" ht="24" hidden="false" customHeight="true" outlineLevel="0" collapsed="false">
      <c r="A3" s="92" t="s">
        <v>1607</v>
      </c>
      <c r="B3" s="93" t="str">
        <f aca="false">Flights!$G$21&amp;" → "&amp;Flights!$H$21&amp;"   Class "&amp;Flights!$K$21&amp;"   Seat "&amp;Flights!$O$21</f>
        <v>HKG → KUL   Class BC   Seat 1C</v>
      </c>
      <c r="C3" s="93"/>
      <c r="D3" s="93"/>
      <c r="E3" s="94" t="s">
        <v>68</v>
      </c>
      <c r="F3" s="94" t="s">
        <v>1608</v>
      </c>
      <c r="G3" s="94" t="s">
        <v>1609</v>
      </c>
      <c r="H3" s="94"/>
    </row>
    <row r="4" customFormat="false" ht="24" hidden="false" customHeight="true" outlineLevel="0" collapsed="false">
      <c r="A4" s="92" t="s">
        <v>1610</v>
      </c>
      <c r="B4" s="93" t="str">
        <f aca="false">IF(ISNUMBER(Flights!$I$21),TEXT(Flights!$I$21,"DD-MMM-YY HH:MM"),"")&amp;" "&amp;Flights!$G$21&amp;"  →  "&amp;IF(ISNUMBER(Flights!$J$21),TEXT(Flights!$J$21,"DD-MMM-YY HH:MM"),"")&amp;" "&amp;Flights!$H$21</f>
        <v>27-Oct-26 14:50 HKG  →  27-Oct-26 18:55 KUL</v>
      </c>
      <c r="C4" s="93"/>
      <c r="D4" s="93"/>
      <c r="E4" s="92" t="s">
        <v>1611</v>
      </c>
      <c r="F4" s="96" t="str">
        <f aca="false">IF(ISNUMBER(Flights!$AG$21),TEXT(Flights!$AG$21,"DD-MMM-YY HH:MM"),"")&amp;" "&amp;Flights!$V$21</f>
        <v>20-Oct-26 14:50 HKG</v>
      </c>
      <c r="G4" s="97" t="n">
        <f aca="false">Flights!$AJ$21</f>
        <v>0</v>
      </c>
      <c r="H4" s="97"/>
    </row>
    <row r="5" customFormat="false" ht="24" hidden="false" customHeight="true" outlineLevel="0" collapsed="false">
      <c r="A5" s="92" t="s">
        <v>1612</v>
      </c>
      <c r="B5" s="93" t="str">
        <f aca="false">Flights!$L$21&amp;" – "&amp;Flights!$M$21</f>
        <v>B738MAX – B737-8 (B7M8)</v>
      </c>
      <c r="C5" s="93"/>
      <c r="D5" s="93"/>
      <c r="E5" s="92" t="s">
        <v>1613</v>
      </c>
      <c r="F5" s="96" t="str">
        <f aca="false">IF(ISNUMBER(Flights!$AH$21),TEXT(Flights!$AH$21,"DD-MMM-YY HH:MM"),"")&amp;" "&amp;Flights!$V$21</f>
        <v>26-Oct-26 14:50 HKG</v>
      </c>
      <c r="G5" s="97" t="n">
        <f aca="false">Flights!$AK$21</f>
        <v>0</v>
      </c>
      <c r="H5" s="97"/>
    </row>
    <row r="6" customFormat="false" ht="24" hidden="false" customHeight="true" outlineLevel="0" collapsed="false">
      <c r="A6" s="92" t="s">
        <v>1614</v>
      </c>
      <c r="B6" s="93" t="str">
        <f aca="false">IF(TRIM(Flights!$N$21)="","__________________",Flights!$N$21)</f>
        <v>__________________</v>
      </c>
      <c r="C6" s="93"/>
      <c r="D6" s="93"/>
      <c r="E6" s="92" t="s">
        <v>1615</v>
      </c>
      <c r="F6" s="96" t="str">
        <f aca="false">IF(ISNUMBER(Flights!$AI$21),TEXT(Flights!$AI$21,"DD-MMM-YY HH:MM"),"")&amp;" "&amp;Flights!$V$21&amp;IF(Flights!$AI$21=Flights!$AH$21,"  (= T-24H due)","")</f>
        <v>27-Oct-26 02:50 HKG</v>
      </c>
      <c r="G6" s="97" t="n">
        <f aca="false">Flights!$AL$21</f>
        <v>0</v>
      </c>
      <c r="H6" s="97"/>
    </row>
    <row r="7" customFormat="false" ht="24" hidden="false" customHeight="true" outlineLevel="0" collapsed="false">
      <c r="A7" s="92" t="s">
        <v>1616</v>
      </c>
      <c r="B7" s="93" t="str">
        <f aca="false">Flights!$T$21</f>
        <v>1 Meal + DAT(Noodles Svc) (Meal)</v>
      </c>
      <c r="C7" s="93"/>
      <c r="D7" s="93"/>
      <c r="E7" s="92" t="s">
        <v>1617</v>
      </c>
      <c r="F7" s="96" t="str">
        <f aca="false">"STD "&amp;IF(ISNUMBER(Flights!$I$21),TEXT(Flights!$I$21,"DD-MMM-YY HH:MM"),"")&amp;" "&amp;Flights!$G$21&amp;" (dep stn)"</f>
        <v>STD 27-Oct-26 14:50 HKG (dep stn)</v>
      </c>
      <c r="G7" s="97" t="n">
        <f aca="false">Flights!$AM$21</f>
        <v>0</v>
      </c>
      <c r="H7" s="97"/>
    </row>
    <row r="8" customFormat="false" ht="12.75" hidden="false" customHeight="true" outlineLevel="0" collapsed="false">
      <c r="A8" s="92" t="s">
        <v>150</v>
      </c>
      <c r="B8" s="93" t="str">
        <f aca="false">Flights!$V$21&amp;"   (reference uplift stns: "&amp;Flights!$U$21&amp;")"</f>
        <v>HKG   (reference uplift stns: KUL/HKG)</v>
      </c>
      <c r="C8" s="93"/>
      <c r="D8" s="93"/>
      <c r="E8" s="92" t="s">
        <v>1618</v>
      </c>
      <c r="F8" s="98" t="s">
        <v>1619</v>
      </c>
      <c r="G8" s="97" t="n">
        <f aca="false">Flights!$AN$21</f>
        <v>0</v>
      </c>
      <c r="H8" s="97"/>
    </row>
    <row r="9" customFormat="false" ht="12.75" hidden="false" customHeight="true" outlineLevel="0" collapsed="false">
      <c r="A9" s="92" t="s">
        <v>1620</v>
      </c>
      <c r="B9" s="93" t="str">
        <f aca="false">TRIM(Flights!$P$21&amp;"  "&amp;Flights!$Q$21)</f>
        <v>-</v>
      </c>
      <c r="C9" s="93"/>
      <c r="D9" s="93"/>
      <c r="E9" s="92" t="s">
        <v>1621</v>
      </c>
      <c r="F9" s="99" t="n">
        <f aca="false">Flights!$AP$21</f>
        <v>0</v>
      </c>
      <c r="G9" s="99" t="n">
        <f aca="false">Flights!$AQ$21</f>
        <v>0</v>
      </c>
      <c r="H9" s="99" t="n">
        <f aca="false">Flights!$AU$21</f>
        <v>0</v>
      </c>
    </row>
    <row r="10" customFormat="false" ht="24" hidden="false" customHeight="true" outlineLevel="0" collapsed="false">
      <c r="A10" s="92" t="s">
        <v>1622</v>
      </c>
      <c r="B10" s="93" t="str">
        <f aca="false">IF(TRIM(Flights!$X$21)="","__________________",Flights!$X$21)</f>
        <v>__________________</v>
      </c>
      <c r="C10" s="93"/>
      <c r="D10" s="93"/>
      <c r="E10" s="92" t="s">
        <v>1623</v>
      </c>
      <c r="F10" s="99" t="n">
        <f aca="false">Flights!$AO$21</f>
        <v>42</v>
      </c>
      <c r="G10" s="99" t="n">
        <f aca="false">Flights!$AS$21</f>
        <v>7</v>
      </c>
      <c r="H10" s="99" t="n">
        <f aca="false">Flights!$AR$21</f>
        <v>2</v>
      </c>
    </row>
    <row r="11" customFormat="false" ht="21" hidden="false" customHeight="true" outlineLevel="0" collapsed="false">
      <c r="A11" s="92" t="s">
        <v>1624</v>
      </c>
      <c r="B11" s="93" t="str">
        <f aca="false">IF(TRIM(Flights!$Y$21)="","__________________",Flights!$Y$21)</f>
        <v>__________________</v>
      </c>
      <c r="C11" s="93"/>
      <c r="D11" s="93"/>
      <c r="E11" s="92" t="s">
        <v>1625</v>
      </c>
      <c r="F11" s="99" t="str">
        <f aca="false">Flights!$AV$21&amp;" / "&amp;Flights!$AW$21</f>
        <v>0 / 42</v>
      </c>
      <c r="G11" s="100" t="str">
        <f aca="false">IF(ISNUMBER(Settings!$B$6),TEXT(Settings!$B$6,"DD-MMM-YY HH:MM"),"")</f>
        <v>28-Sep-26 03:19</v>
      </c>
      <c r="H11" s="100"/>
    </row>
    <row r="12" customFormat="false" ht="34.5" hidden="false" customHeight="true" outlineLevel="0" collapsed="false">
      <c r="A12" s="101" t="s">
        <v>1626</v>
      </c>
      <c r="B12" s="101"/>
      <c r="C12" s="101"/>
      <c r="D12" s="101"/>
      <c r="E12" s="102" t="s">
        <v>1627</v>
      </c>
      <c r="F12" s="103" t="s">
        <v>1628</v>
      </c>
      <c r="G12" s="104" t="s">
        <v>89</v>
      </c>
      <c r="H12" s="105" t="s">
        <v>1629</v>
      </c>
    </row>
    <row r="13" customFormat="false" ht="45.75" hidden="false" customHeight="true" outlineLevel="0" collapsed="false">
      <c r="A13" s="117"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"&amp;IF(ISNUMBER(Flights!$AY$21),TEXT(Flights!$AY$21+IFERROR(INDEX(Settings!$C$13:$C$22,MATCH("KUL",Settings!$A$13:$A$22,0)),8)/24,"DD-MMM-YY HH:MM")&amp;" KUL","(not set)")&amp;"   |   Carrying flight KUL departure (loading confirmed by): "&amp;IF(ISNUMBER(Flights!$AY$21),TEXT(Flights!$AY$21+UpliftWindowH/24+IFERROR(INDEX(Settings!$C$13:$C$22,MATCH("KUL",Settings!$A$13:$A$22,0)),8)/24,"DD-MMM-YY HH:MM")&amp;" KUL","(not set)")&amp;IF(ISNUMBER(Flights!$AX$21),""," (estimated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26-Oct-26 03:10 KUL   |   Carrying flight KUL departure (loading confirmed by): 26-Oct-26 09:10 KUL (estimated – enter actual on Flights AX)</v>
      </c>
      <c r="B13" s="117"/>
      <c r="C13" s="117"/>
      <c r="D13" s="117"/>
      <c r="E13" s="117"/>
      <c r="F13" s="117"/>
      <c r="G13" s="117"/>
      <c r="H13" s="117"/>
    </row>
    <row r="14" customFormat="false" ht="13.5" hidden="false" customHeight="true" outlineLevel="0" collapsed="false">
      <c r="A14" s="94" t="s">
        <v>1630</v>
      </c>
      <c r="B14" s="94" t="s">
        <v>1631</v>
      </c>
      <c r="C14" s="94" t="s">
        <v>1632</v>
      </c>
      <c r="D14" s="94"/>
      <c r="E14" s="94" t="s">
        <v>1633</v>
      </c>
      <c r="F14" s="94" t="s">
        <v>1634</v>
      </c>
      <c r="G14" s="94"/>
      <c r="H14" s="94"/>
    </row>
    <row r="15" customFormat="false" ht="36" hidden="false" customHeight="true" outlineLevel="0" collapsed="false">
      <c r="A15" s="92" t="s">
        <v>1635</v>
      </c>
      <c r="B15" s="93" t="str">
        <f aca="false">IF(Documents!$F$21="","",Documents!$F$21)</f>
        <v/>
      </c>
      <c r="C15" s="98" t="str">
        <f aca="false">IF(Documents!$G$21="","",Documents!$G$21)&amp;IF(ISNUMBER(Documents!$H$21),"  "&amp;TEXT(Documents!$H$21,"DD-MMM-YY"),"")</f>
        <v/>
      </c>
      <c r="D15" s="98"/>
      <c r="E15" s="106" t="str">
        <f aca="false">IF(Documents!$J$21="OUTSTANDING","OUTSTANDING – attach before T-7D (due "&amp;IF(ISNUMBER(Flights!$AG$21),TEXT(Flights!$AG$21,"DD-MMM-YY HH:MM"),"")&amp;" "&amp;Flights!$V$21&amp;")",IF(Documents!$J$21="","Status not recorded",Documents!$J$21))</f>
        <v>OUTSTANDING – attach before T-7D (due 20-Oct-26 14:50 HKG)</v>
      </c>
      <c r="F15" s="107" t="str">
        <f aca="false">"Staple behind this sheet as page A1."&amp;IF(Documents!$I$21="",""," Location: "&amp;Documents!$I$21)</f>
        <v>Staple behind this sheet as page A1.</v>
      </c>
      <c r="G15" s="107"/>
      <c r="H15" s="107"/>
    </row>
    <row r="16" customFormat="false" ht="36" hidden="false" customHeight="true" outlineLevel="0" collapsed="false">
      <c r="A16" s="92" t="s">
        <v>1636</v>
      </c>
      <c r="B16" s="93" t="str">
        <f aca="false">IF(Documents!$K$21="","",Documents!$K$21)</f>
        <v/>
      </c>
      <c r="C16" s="98" t="str">
        <f aca="false">IF(Documents!$L$21="","",Documents!$L$21)&amp;IF(ISNUMBER(Documents!$M$21),"  "&amp;TEXT(Documents!$M$21,"DD-MMM-YY"),"")</f>
        <v/>
      </c>
      <c r="D16" s="98"/>
      <c r="E16" s="106" t="str">
        <f aca="false">IF(Documents!$O$21="OUTSTANDING","OUTSTANDING – attach before T-7D (due "&amp;IF(ISNUMBER(Flights!$AG$21),TEXT(Flights!$AG$21,"DD-MMM-YY HH:MM"),"")&amp;" "&amp;Flights!$V$21&amp;")",IF(Documents!$O$21="","Status not recorded",Documents!$O$21))</f>
        <v>OUTSTANDING – attach before T-7D (due 20-Oct-26 14:50 HKG)</v>
      </c>
      <c r="F16" s="107" t="str">
        <f aca="false">"Staple behind this sheet as page A2."&amp;IF(Documents!$N$21="",""," Location: "&amp;Documents!$N$21)</f>
        <v>Staple behind this sheet as page A2.</v>
      </c>
      <c r="G16" s="107"/>
      <c r="H16" s="107"/>
    </row>
    <row r="17" customFormat="false" ht="22.5" hidden="false" customHeight="true" outlineLevel="0" collapsed="false">
      <c r="A17" s="92" t="s">
        <v>1637</v>
      </c>
      <c r="B17" s="108" t="str">
        <f aca="false">IF(Documents!$Q$21="","",Documents!$Q$21)</f>
        <v>Not supplied with brief – obtain from caterer / MAGCS.</v>
      </c>
      <c r="C17" s="108"/>
      <c r="D17" s="108"/>
      <c r="E17" s="108"/>
      <c r="F17" s="108"/>
      <c r="G17" s="108"/>
      <c r="H17" s="108"/>
    </row>
    <row r="18" customFormat="false" ht="13.5" hidden="false" customHeight="true" outlineLevel="0" collapsed="false">
      <c r="A18" s="109" t="s">
        <v>1638</v>
      </c>
      <c r="B18" s="109"/>
      <c r="C18" s="109" t="s">
        <v>1639</v>
      </c>
      <c r="D18" s="109"/>
      <c r="E18" s="109"/>
      <c r="F18" s="109" t="s">
        <v>1640</v>
      </c>
      <c r="G18" s="109"/>
      <c r="H18" s="109"/>
    </row>
    <row r="19" customFormat="false" ht="18" hidden="false" customHeight="true" outlineLevel="0" collapsed="false">
      <c r="A19" s="93" t="str">
        <f aca="false">"Name: "&amp;IF(TRIM(Flights!$Y$21)="","__________________",Flights!$Y$21)</f>
        <v>Name: __________________</v>
      </c>
      <c r="B19" s="93"/>
      <c r="C19" s="93" t="str">
        <f aca="false">"Name: __________________"</f>
        <v>Name: __________________</v>
      </c>
      <c r="D19" s="93"/>
      <c r="E19" s="93"/>
      <c r="F19" s="93" t="str">
        <f aca="false">"Name: __________________"&amp;"   Station: "&amp;Flights!$V$21</f>
        <v>Name: __________________   Station: HKG</v>
      </c>
      <c r="G19" s="93"/>
      <c r="H19" s="93"/>
    </row>
    <row r="20" customFormat="false" ht="30" hidden="false" customHeight="true" outlineLevel="0" collapsed="false">
      <c r="A20" s="110" t="s">
        <v>1641</v>
      </c>
      <c r="B20" s="110"/>
      <c r="C20" s="110" t="s">
        <v>1641</v>
      </c>
      <c r="D20" s="110"/>
      <c r="E20" s="110"/>
      <c r="F20" s="110" t="s">
        <v>1641</v>
      </c>
      <c r="G20" s="110"/>
      <c r="H20" s="110"/>
    </row>
    <row r="21" customFormat="false" ht="13.5" hidden="false" customHeight="true" outlineLevel="0" collapsed="false">
      <c r="A21" s="111" t="s">
        <v>1642</v>
      </c>
      <c r="B21" s="111"/>
      <c r="C21" s="111"/>
      <c r="D21" s="111"/>
      <c r="E21" s="111"/>
      <c r="F21" s="111"/>
      <c r="G21" s="111"/>
      <c r="H21" s="111"/>
    </row>
    <row r="22" customFormat="false" ht="24" hidden="false" customHeight="true" outlineLevel="0" collapsed="false">
      <c r="A22" s="94" t="s">
        <v>1643</v>
      </c>
      <c r="B22" s="94" t="s">
        <v>1644</v>
      </c>
      <c r="C22" s="94" t="s">
        <v>1645</v>
      </c>
      <c r="D22" s="94" t="s">
        <v>1646</v>
      </c>
      <c r="E22" s="94" t="s">
        <v>1647</v>
      </c>
      <c r="F22" s="94" t="s">
        <v>1648</v>
      </c>
      <c r="G22" s="94" t="s">
        <v>1649</v>
      </c>
      <c r="H22" s="94" t="s">
        <v>121</v>
      </c>
    </row>
    <row r="23" customFormat="false" ht="25.5" hidden="false" customHeight="true" outlineLevel="0" collapsed="false">
      <c r="A23" s="112"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Checks!$A$531&amp;CHAR(10)&amp;IF(Checks!$I$531="","",Checks!$I$531&amp;": ")&amp;Checks!$J$531</f>
        <v>F17-T7-01
Meal: Meal sensory testing completed for this flight's menu cycle (assessed class)</v>
      </c>
      <c r="B24" s="113" t="str">
        <f aca="false">Checks!$K$531&amp;IF(Checks!$O$531="","",IF(Checks!$K$531="","",CHAR(10))&amp;"Note: "&amp;Checks!$O$531)</f>
        <v>Record panel result / score in Result</v>
      </c>
      <c r="C24" s="113" t="str">
        <f aca="false">Checks!$N$531&amp;CHAR(10)&amp;IF(ISNUMBER(Checks!$R$531),TEXT(Checks!$R$531,"DD-MMM-YY HH:MM"),"")&amp;" "&amp;Checks!$P$531</f>
        <v>Required
20-Oct-26 14:50 HKG</v>
      </c>
      <c r="D24" s="113" t="str">
        <f aca="false">IF(Checks!$U$531="","",Checks!$U$531)&amp;IF(Checks!$AB$531="","",CHAR(10)&amp;"CA: "&amp;Checks!$AB$531)</f>
        <v/>
      </c>
      <c r="E24" s="113" t="str">
        <f aca="false">IF(Checks!$V$531="","",Checks!$V$531)&amp;IF(Checks!$AC$531="","",IF(Checks!$V$531="","",CHAR(10))&amp;"N/A just.: "&amp;Checks!$AC$531)&amp;IF(Checks!$W$531="","",CHAR(10)&amp;"Batch: "&amp;Checks!$W$531)&amp;IF(AND(Checks!$X$531="",Checks!$Y$531=""),"",CHAR(10)&amp;"Exp: "&amp;Checks!$X$531&amp;"  /  Act: "&amp;Checks!$Y$531)</f>
        <v/>
      </c>
      <c r="F24" s="113" t="str">
        <f aca="false">IF(Checks!$Z$531="","","Evidence: "&amp;Checks!$Z$531)&amp;IF(Checks!$AA$531="","",IF(Checks!$Z$531="","",CHAR(10))&amp;"CA: "&amp;Checks!$AA$531)</f>
        <v/>
      </c>
      <c r="G24" s="113" t="str">
        <f aca="false">IF(ISNUMBER(Checks!$AD$531),TEXT(Checks!$AD$531,"DD-MMM-YY HH:MM")&amp;" "&amp;Checks!$P$531,"")&amp;IF(Checks!$AE$531="","",CHAR(10)&amp;"Verifier: "&amp;Checks!$AE$531)&amp;IF(Checks!$T$531="","",CHAR(10)&amp;"PIC: "&amp;Checks!$T$531)</f>
        <v/>
      </c>
      <c r="H24" s="114" t="str">
        <f aca="false">IF(Checks!$AH$531="","",Checks!$AH$531)</f>
        <v>OPEN</v>
      </c>
    </row>
    <row r="25" customFormat="false" ht="114" hidden="false" customHeight="true" outlineLevel="0" collapsed="false">
      <c r="A25" s="113" t="str">
        <f aca="false">Checks!$A$532&amp;CHAR(10)&amp;IF(Checks!$I$532="","",Checks!$I$532&amp;": ")&amp;Checks!$J$532</f>
        <v>F17-T7-02
Menu: Printed menu cards confirmed (content, cycle, language, quantity)</v>
      </c>
      <c r="B25" s="113" t="str">
        <f aca="false">Checks!$K$532&amp;IF(Checks!$O$532="","",IF(Checks!$K$532="","",CHAR(10))&amp;"Note: "&amp;Checks!$O$532)</f>
        <v>Menu card matches approved menu for this flight</v>
      </c>
      <c r="C25" s="113" t="str">
        <f aca="false">Checks!$N$532&amp;CHAR(10)&amp;IF(ISNUMBER(Checks!$R$532),TEXT(Checks!$R$532,"DD-MMM-YY HH:MM"),"")&amp;" "&amp;Checks!$P$532</f>
        <v>Required
20-Oct-26 14:50 HKG</v>
      </c>
      <c r="D25" s="113" t="str">
        <f aca="false">IF(Checks!$U$532="","",Checks!$U$532)&amp;IF(Checks!$AB$532="","",CHAR(10)&amp;"CA: "&amp;Checks!$AB$532)</f>
        <v/>
      </c>
      <c r="E25" s="113" t="str">
        <f aca="false">IF(Checks!$V$532="","",Checks!$V$532)&amp;IF(Checks!$AC$532="","",IF(Checks!$V$532="","",CHAR(10))&amp;"N/A just.: "&amp;Checks!$AC$532)&amp;IF(Checks!$W$532="","",CHAR(10)&amp;"Batch: "&amp;Checks!$W$532)&amp;IF(AND(Checks!$X$532="",Checks!$Y$532=""),"",CHAR(10)&amp;"Exp: "&amp;Checks!$X$532&amp;"  /  Act: "&amp;Checks!$Y$532)</f>
        <v/>
      </c>
      <c r="F25" s="113" t="str">
        <f aca="false">IF(Checks!$Z$532="","","Evidence: "&amp;Checks!$Z$532)&amp;IF(Checks!$AA$532="","",IF(Checks!$Z$532="","",CHAR(10))&amp;"CA: "&amp;Checks!$AA$532)</f>
        <v/>
      </c>
      <c r="G25" s="113" t="str">
        <f aca="false">IF(ISNUMBER(Checks!$AD$532),TEXT(Checks!$AD$532,"DD-MMM-YY HH:MM")&amp;" "&amp;Checks!$P$532,"")&amp;IF(Checks!$AE$532="","",CHAR(10)&amp;"Verifier: "&amp;Checks!$AE$532)&amp;IF(Checks!$T$532="","",CHAR(10)&amp;"PIC: "&amp;Checks!$T$532)</f>
        <v/>
      </c>
      <c r="H25" s="114" t="str">
        <f aca="false">IF(Checks!$AH$532="","",Checks!$AH$532)</f>
        <v>OPEN</v>
      </c>
    </row>
    <row r="26" customFormat="false" ht="114" hidden="false" customHeight="true" outlineLevel="0" collapsed="false">
      <c r="A26" s="113" t="str">
        <f aca="false">Checks!$A$533&amp;CHAR(10)&amp;IF(Checks!$I$533="","",Checks!$I$533&amp;": ")&amp;Checks!$J$533</f>
        <v>F17-T7-03
IFE: Digital menu in IFE confirmed (A339 only)</v>
      </c>
      <c r="B26" s="113" t="str">
        <f aca="false">Checks!$K$533&amp;IF(Checks!$O$533="","",IF(Checks!$K$533="","",CHAR(10))&amp;"Note: "&amp;Checks!$O$533)</f>
        <v>Applies when fleet = A339
Note: Digital IFE menu applies to A339 only (user brief). Applicability follows the Fleet cell on Flights.</v>
      </c>
      <c r="C26" s="113" t="str">
        <f aca="false">Checks!$N$533&amp;CHAR(10)&amp;IF(ISNUMBER(Checks!$R$533),TEXT(Checks!$R$533,"DD-MMM-YY HH:MM"),"")&amp;" "&amp;Checks!$P$533</f>
        <v>N/A – rule
20-Oct-26 14:50 HKG</v>
      </c>
      <c r="D26" s="113" t="str">
        <f aca="false">IF(Checks!$U$533="","",Checks!$U$533)&amp;IF(Checks!$AB$533="","",CHAR(10)&amp;"CA: "&amp;Checks!$AB$533)</f>
        <v/>
      </c>
      <c r="E26" s="113" t="str">
        <f aca="false">IF(Checks!$V$533="","",Checks!$V$533)&amp;IF(Checks!$AC$533="","",IF(Checks!$V$533="","",CHAR(10))&amp;"N/A just.: "&amp;Checks!$AC$533)&amp;IF(Checks!$W$533="","",CHAR(10)&amp;"Batch: "&amp;Checks!$W$533)&amp;IF(AND(Checks!$X$533="",Checks!$Y$533=""),"",CHAR(10)&amp;"Exp: "&amp;Checks!$X$533&amp;"  /  Act: "&amp;Checks!$Y$533)</f>
        <v/>
      </c>
      <c r="F26" s="113" t="str">
        <f aca="false">IF(Checks!$Z$533="","","Evidence: "&amp;Checks!$Z$533)&amp;IF(Checks!$AA$533="","",IF(Checks!$Z$533="","",CHAR(10))&amp;"CA: "&amp;Checks!$AA$533)</f>
        <v/>
      </c>
      <c r="G26" s="113" t="str">
        <f aca="false">IF(ISNUMBER(Checks!$AD$533),TEXT(Checks!$AD$533,"DD-MMM-YY HH:MM")&amp;" "&amp;Checks!$P$533,"")&amp;IF(Checks!$AE$533="","",CHAR(10)&amp;"Verifier: "&amp;Checks!$AE$533)&amp;IF(Checks!$T$533="","",CHAR(10)&amp;"PIC: "&amp;Checks!$T$533)</f>
        <v/>
      </c>
      <c r="H26" s="114" t="str">
        <f aca="false">IF(Checks!$AH$533="","",Checks!$AH$533)</f>
        <v>N/A – RULE</v>
      </c>
    </row>
    <row r="27" customFormat="false" ht="114" hidden="false" customHeight="true" outlineLevel="0" collapsed="false">
      <c r="A27" s="113" t="str">
        <f aca="false">Checks!$A$534&amp;CHAR(10)&amp;IF(Checks!$I$534="","",Checks!$I$534&amp;": ")&amp;Checks!$J$534</f>
        <v>F17-T7-04
Staffing: Experienced catering officer assigned to this flight</v>
      </c>
      <c r="B27" s="113" t="str">
        <f aca="false">Checks!$K$534&amp;IF(Checks!$O$534="","",IF(Checks!$K$534="","",CHAR(10))&amp;"Note: "&amp;Checks!$O$534)</f>
        <v>Record officer name in Result</v>
      </c>
      <c r="C27" s="113" t="str">
        <f aca="false">Checks!$N$534&amp;CHAR(10)&amp;IF(ISNUMBER(Checks!$R$534),TEXT(Checks!$R$534,"DD-MMM-YY HH:MM"),"")&amp;" "&amp;Checks!$P$534</f>
        <v>Required
20-Oct-26 14:50 HKG</v>
      </c>
      <c r="D27" s="113" t="str">
        <f aca="false">IF(Checks!$U$534="","",Checks!$U$534)&amp;IF(Checks!$AB$534="","",CHAR(10)&amp;"CA: "&amp;Checks!$AB$534)</f>
        <v/>
      </c>
      <c r="E27" s="113" t="str">
        <f aca="false">IF(Checks!$V$534="","",Checks!$V$534)&amp;IF(Checks!$AC$534="","",IF(Checks!$V$534="","",CHAR(10))&amp;"N/A just.: "&amp;Checks!$AC$534)&amp;IF(Checks!$W$534="","",CHAR(10)&amp;"Batch: "&amp;Checks!$W$534)&amp;IF(AND(Checks!$X$534="",Checks!$Y$534=""),"",CHAR(10)&amp;"Exp: "&amp;Checks!$X$534&amp;"  /  Act: "&amp;Checks!$Y$534)</f>
        <v/>
      </c>
      <c r="F27" s="113" t="str">
        <f aca="false">IF(Checks!$Z$534="","","Evidence: "&amp;Checks!$Z$534)&amp;IF(Checks!$AA$534="","",IF(Checks!$Z$534="","",CHAR(10))&amp;"CA: "&amp;Checks!$AA$534)</f>
        <v/>
      </c>
      <c r="G27" s="113" t="str">
        <f aca="false">IF(ISNUMBER(Checks!$AD$534),TEXT(Checks!$AD$534,"DD-MMM-YY HH:MM")&amp;" "&amp;Checks!$P$534,"")&amp;IF(Checks!$AE$534="","",CHAR(10)&amp;"Verifier: "&amp;Checks!$AE$534)&amp;IF(Checks!$T$534="","",CHAR(10)&amp;"PIC: "&amp;Checks!$T$534)</f>
        <v/>
      </c>
      <c r="H27" s="114" t="str">
        <f aca="false">IF(Checks!$AH$534="","",Checks!$AH$534)</f>
        <v>OPEN</v>
      </c>
    </row>
    <row r="28" customFormat="false" ht="114" hidden="false" customHeight="true" outlineLevel="0" collapsed="false">
      <c r="A28" s="113" t="str">
        <f aca="false">Checks!$A$535&amp;CHAR(10)&amp;IF(Checks!$I$535="","",Checks!$I$535&amp;": ")&amp;Checks!$J$535</f>
        <v>F17-T7-05
ISOP: All latest applicable ISOP revisions communicated to caterer</v>
      </c>
      <c r="B28" s="113" t="str">
        <f aca="false">Checks!$K$535&amp;IF(Checks!$O$535="","",IF(Checks!$K$535="","",CHAR(10))&amp;"Note: "&amp;Checks!$O$535)</f>
        <v>List revision numbers in Result (see ISOP register)</v>
      </c>
      <c r="C28" s="113" t="str">
        <f aca="false">Checks!$N$535&amp;CHAR(10)&amp;IF(ISNUMBER(Checks!$R$535),TEXT(Checks!$R$535,"DD-MMM-YY HH:MM"),"")&amp;" "&amp;Checks!$P$535</f>
        <v>Required
20-Oct-26 14:50 HKG</v>
      </c>
      <c r="D28" s="113" t="str">
        <f aca="false">IF(Checks!$U$535="","",Checks!$U$535)&amp;IF(Checks!$AB$535="","",CHAR(10)&amp;"CA: "&amp;Checks!$AB$535)</f>
        <v/>
      </c>
      <c r="E28" s="113" t="str">
        <f aca="false">IF(Checks!$V$535="","",Checks!$V$535)&amp;IF(Checks!$AC$535="","",IF(Checks!$V$535="","",CHAR(10))&amp;"N/A just.: "&amp;Checks!$AC$535)&amp;IF(Checks!$W$535="","",CHAR(10)&amp;"Batch: "&amp;Checks!$W$535)&amp;IF(AND(Checks!$X$535="",Checks!$Y$535=""),"",CHAR(10)&amp;"Exp: "&amp;Checks!$X$535&amp;"  /  Act: "&amp;Checks!$Y$535)</f>
        <v/>
      </c>
      <c r="F28" s="113" t="str">
        <f aca="false">IF(Checks!$Z$535="","","Evidence: "&amp;Checks!$Z$535)&amp;IF(Checks!$AA$535="","",IF(Checks!$Z$535="","",CHAR(10))&amp;"CA: "&amp;Checks!$AA$535)</f>
        <v/>
      </c>
      <c r="G28" s="113" t="str">
        <f aca="false">IF(ISNUMBER(Checks!$AD$535),TEXT(Checks!$AD$535,"DD-MMM-YY HH:MM")&amp;" "&amp;Checks!$P$535,"")&amp;IF(Checks!$AE$535="","",CHAR(10)&amp;"Verifier: "&amp;Checks!$AE$535)&amp;IF(Checks!$T$535="","",CHAR(10)&amp;"PIC: "&amp;Checks!$T$535)</f>
        <v/>
      </c>
      <c r="H28" s="114" t="str">
        <f aca="false">IF(Checks!$AH$535="","",Checks!$AH$535)</f>
        <v>OPEN</v>
      </c>
    </row>
    <row r="29" customFormat="false" ht="114" hidden="false" customHeight="true" outlineLevel="0" collapsed="false">
      <c r="A29" s="113" t="str">
        <f aca="false">Checks!$A$536&amp;CHAR(10)&amp;IF(Checks!$I$536="","",Checks!$I$536&amp;": ")&amp;Checks!$J$536</f>
        <v>F17-T7-06
ISOP: Caterer acknowledgement of ISOP revisions recorded</v>
      </c>
      <c r="B29" s="113" t="str">
        <f aca="false">Checks!$K$536&amp;IF(Checks!$O$536="","",IF(Checks!$K$536="","",CHAR(10))&amp;"Note: "&amp;Checks!$O$536)</f>
        <v>Record acknowledgement ref in Evidence</v>
      </c>
      <c r="C29" s="113" t="str">
        <f aca="false">Checks!$N$536&amp;CHAR(10)&amp;IF(ISNUMBER(Checks!$R$536),TEXT(Checks!$R$536,"DD-MMM-YY HH:MM"),"")&amp;" "&amp;Checks!$P$536</f>
        <v>Required
20-Oct-26 14:50 HKG</v>
      </c>
      <c r="D29" s="113" t="str">
        <f aca="false">IF(Checks!$U$536="","",Checks!$U$536)&amp;IF(Checks!$AB$536="","",CHAR(10)&amp;"CA: "&amp;Checks!$AB$536)</f>
        <v/>
      </c>
      <c r="E29" s="113" t="str">
        <f aca="false">IF(Checks!$V$536="","",Checks!$V$536)&amp;IF(Checks!$AC$536="","",IF(Checks!$V$536="","",CHAR(10))&amp;"N/A just.: "&amp;Checks!$AC$536)&amp;IF(Checks!$W$536="","",CHAR(10)&amp;"Batch: "&amp;Checks!$W$536)&amp;IF(AND(Checks!$X$536="",Checks!$Y$536=""),"",CHAR(10)&amp;"Exp: "&amp;Checks!$X$536&amp;"  /  Act: "&amp;Checks!$Y$536)</f>
        <v/>
      </c>
      <c r="F29" s="113" t="str">
        <f aca="false">IF(Checks!$Z$536="","","Evidence: "&amp;Checks!$Z$536)&amp;IF(Checks!$AA$536="","",IF(Checks!$Z$536="","",CHAR(10))&amp;"CA: "&amp;Checks!$AA$536)</f>
        <v/>
      </c>
      <c r="G29" s="113" t="str">
        <f aca="false">IF(ISNUMBER(Checks!$AD$536),TEXT(Checks!$AD$536,"DD-MMM-YY HH:MM")&amp;" "&amp;Checks!$P$536,"")&amp;IF(Checks!$AE$536="","",CHAR(10)&amp;"Verifier: "&amp;Checks!$AE$536)&amp;IF(Checks!$T$536="","",CHAR(10)&amp;"PIC: "&amp;Checks!$T$536)</f>
        <v/>
      </c>
      <c r="H29" s="114" t="str">
        <f aca="false">IF(Checks!$AH$536="","",Checks!$AH$536)</f>
        <v>OPEN</v>
      </c>
    </row>
    <row r="30" customFormat="false" ht="114" hidden="false" customHeight="true" outlineLevel="0" collapsed="false">
      <c r="A30" s="113" t="str">
        <f aca="false">Checks!$A$537&amp;CHAR(10)&amp;IF(Checks!$I$537="","",Checks!$I$537&amp;": ")&amp;Checks!$J$537</f>
        <v>F17-T7-07
Documents: Galley loading diagram (GLD) received, revision recorded &amp; attached</v>
      </c>
      <c r="B30" s="113" t="str">
        <f aca="false">Checks!$K$537&amp;IF(Checks!$O$537="","",IF(Checks!$K$537="","",CHAR(10))&amp;"Note: "&amp;Checks!$O$537)</f>
        <v>Documents sheet row complete</v>
      </c>
      <c r="C30" s="113" t="str">
        <f aca="false">Checks!$N$537&amp;CHAR(10)&amp;IF(ISNUMBER(Checks!$R$537),TEXT(Checks!$R$537,"DD-MMM-YY HH:MM"),"")&amp;" "&amp;Checks!$P$537</f>
        <v>Required
20-Oct-26 14:50 HKG</v>
      </c>
      <c r="D30" s="113" t="str">
        <f aca="false">IF(Checks!$U$537="","",Checks!$U$537)&amp;IF(Checks!$AB$537="","",CHAR(10)&amp;"CA: "&amp;Checks!$AB$537)</f>
        <v/>
      </c>
      <c r="E30" s="113" t="str">
        <f aca="false">IF(Checks!$V$537="","",Checks!$V$537)&amp;IF(Checks!$AC$537="","",IF(Checks!$V$537="","",CHAR(10))&amp;"N/A just.: "&amp;Checks!$AC$537)&amp;IF(Checks!$W$537="","",CHAR(10)&amp;"Batch: "&amp;Checks!$W$537)&amp;IF(AND(Checks!$X$537="",Checks!$Y$537=""),"",CHAR(10)&amp;"Exp: "&amp;Checks!$X$537&amp;"  /  Act: "&amp;Checks!$Y$537)</f>
        <v/>
      </c>
      <c r="F30" s="113" t="str">
        <f aca="false">IF(Checks!$Z$537="","","Evidence: "&amp;Checks!$Z$537)&amp;IF(Checks!$AA$537="","",IF(Checks!$Z$537="","",CHAR(10))&amp;"CA: "&amp;Checks!$AA$537)</f>
        <v/>
      </c>
      <c r="G30" s="113" t="str">
        <f aca="false">IF(ISNUMBER(Checks!$AD$537),TEXT(Checks!$AD$537,"DD-MMM-YY HH:MM")&amp;" "&amp;Checks!$P$537,"")&amp;IF(Checks!$AE$537="","",CHAR(10)&amp;"Verifier: "&amp;Checks!$AE$537)&amp;IF(Checks!$T$537="","",CHAR(10)&amp;"PIC: "&amp;Checks!$T$537)</f>
        <v/>
      </c>
      <c r="H30" s="114" t="str">
        <f aca="false">IF(Checks!$AH$537="","",Checks!$AH$537)</f>
        <v>OPEN</v>
      </c>
    </row>
    <row r="31" customFormat="false" ht="114" hidden="false" customHeight="true" outlineLevel="0" collapsed="false">
      <c r="A31" s="113" t="str">
        <f aca="false">Checks!$A$538&amp;CHAR(10)&amp;IF(Checks!$I$538="","",Checks!$I$538&amp;": ")&amp;Checks!$J$538</f>
        <v>F17-T7-08
Documents: Menu checklist received, revision recorded &amp; attached</v>
      </c>
      <c r="B31" s="113" t="str">
        <f aca="false">Checks!$K$538&amp;IF(Checks!$O$538="","",IF(Checks!$K$538="","",CHAR(10))&amp;"Note: "&amp;Checks!$O$538)</f>
        <v>Documents sheet row complete</v>
      </c>
      <c r="C31" s="113" t="str">
        <f aca="false">Checks!$N$538&amp;CHAR(10)&amp;IF(ISNUMBER(Checks!$R$538),TEXT(Checks!$R$538,"DD-MMM-YY HH:MM"),"")&amp;" "&amp;Checks!$P$538</f>
        <v>Required
20-Oct-26 14:50 HKG</v>
      </c>
      <c r="D31" s="113" t="str">
        <f aca="false">IF(Checks!$U$538="","",Checks!$U$538)&amp;IF(Checks!$AB$538="","",CHAR(10)&amp;"CA: "&amp;Checks!$AB$538)</f>
        <v/>
      </c>
      <c r="E31" s="113" t="str">
        <f aca="false">IF(Checks!$V$538="","",Checks!$V$538)&amp;IF(Checks!$AC$538="","",IF(Checks!$V$538="","",CHAR(10))&amp;"N/A just.: "&amp;Checks!$AC$538)&amp;IF(Checks!$W$538="","",CHAR(10)&amp;"Batch: "&amp;Checks!$W$538)&amp;IF(AND(Checks!$X$538="",Checks!$Y$538=""),"",CHAR(10)&amp;"Exp: "&amp;Checks!$X$538&amp;"  /  Act: "&amp;Checks!$Y$538)</f>
        <v/>
      </c>
      <c r="F31" s="113" t="str">
        <f aca="false">IF(Checks!$Z$538="","","Evidence: "&amp;Checks!$Z$538)&amp;IF(Checks!$AA$538="","",IF(Checks!$Z$538="","",CHAR(10))&amp;"CA: "&amp;Checks!$AA$538)</f>
        <v/>
      </c>
      <c r="G31" s="113" t="str">
        <f aca="false">IF(ISNUMBER(Checks!$AD$538),TEXT(Checks!$AD$538,"DD-MMM-YY HH:MM")&amp;" "&amp;Checks!$P$538,"")&amp;IF(Checks!$AE$538="","",CHAR(10)&amp;"Verifier: "&amp;Checks!$AE$538)&amp;IF(Checks!$T$538="","",CHAR(10)&amp;"PIC: "&amp;Checks!$T$538)</f>
        <v/>
      </c>
      <c r="H31" s="114" t="str">
        <f aca="false">IF(Checks!$AH$538="","",Checks!$AH$538)</f>
        <v>OPEN</v>
      </c>
    </row>
    <row r="32" customFormat="false" ht="114" hidden="false" customHeight="true" outlineLevel="0" collapsed="false">
      <c r="A32" s="113" t="str">
        <f aca="false">Checks!$A$539&amp;CHAR(10)&amp;IF(Checks!$I$539="","",Checks!$I$539&amp;": ")&amp;Checks!$J$539</f>
        <v>F17-T7-09
Uplift plan: Uplift plan confirmed with caterer vs STD Uplift Information</v>
      </c>
      <c r="B32" s="113" t="str">
        <f aca="false">Checks!$K$539&amp;IF(Checks!$O$539="","",IF(Checks!$K$539="","",CHAR(10))&amp;"Note: "&amp;Checks!$O$539)</f>
        <v>Service: 1 Meal + DAT(Noodles Svc) (Meal); meal uplift stn HKG (ref lists KUL/HKG)</v>
      </c>
      <c r="C32" s="113" t="str">
        <f aca="false">Checks!$N$539&amp;CHAR(10)&amp;IF(ISNUMBER(Checks!$R$539),TEXT(Checks!$R$539,"DD-MMM-YY HH:MM"),"")&amp;" "&amp;Checks!$P$539</f>
        <v>Required
20-Oct-26 14:50 HKG</v>
      </c>
      <c r="D32" s="113" t="str">
        <f aca="false">IF(Checks!$U$539="","",Checks!$U$539)&amp;IF(Checks!$AB$539="","",CHAR(10)&amp;"CA: "&amp;Checks!$AB$539)</f>
        <v/>
      </c>
      <c r="E32" s="113" t="str">
        <f aca="false">IF(Checks!$V$539="","",Checks!$V$539)&amp;IF(Checks!$AC$539="","",IF(Checks!$V$539="","",CHAR(10))&amp;"N/A just.: "&amp;Checks!$AC$539)&amp;IF(Checks!$W$539="","",CHAR(10)&amp;"Batch: "&amp;Checks!$W$539)&amp;IF(AND(Checks!$X$539="",Checks!$Y$539=""),"",CHAR(10)&amp;"Exp: "&amp;Checks!$X$539&amp;"  /  Act: "&amp;Checks!$Y$539)</f>
        <v/>
      </c>
      <c r="F32" s="113" t="str">
        <f aca="false">IF(Checks!$Z$539="","","Evidence: "&amp;Checks!$Z$539)&amp;IF(Checks!$AA$539="","",IF(Checks!$Z$539="","",CHAR(10))&amp;"CA: "&amp;Checks!$AA$539)</f>
        <v/>
      </c>
      <c r="G32" s="113" t="str">
        <f aca="false">IF(ISNUMBER(Checks!$AD$539),TEXT(Checks!$AD$539,"DD-MMM-YY HH:MM")&amp;" "&amp;Checks!$P$539,"")&amp;IF(Checks!$AE$539="","",CHAR(10)&amp;"Verifier: "&amp;Checks!$AE$539)&amp;IF(Checks!$T$539="","",CHAR(10)&amp;"PIC: "&amp;Checks!$T$539)</f>
        <v/>
      </c>
      <c r="H32" s="114" t="str">
        <f aca="false">IF(Checks!$AH$539="","",Checks!$AH$539)</f>
        <v>OPEN</v>
      </c>
    </row>
    <row r="33" customFormat="false" ht="267.75" hidden="false" customHeight="true" outlineLevel="0" collapsed="false">
      <c r="A33" s="113" t="str">
        <f aca="false">Checks!$A$540&amp;CHAR(10)&amp;IF(Checks!$I$540="","",Checks!$I$540&amp;": ")&amp;Checks!$J$540</f>
        <v>F17-T7-10
Uplift plan: Inbound KUL-HKG flight carrying KUL-sourced items identified and its KUL departure (UTC) entered on Flights col AX</v>
      </c>
      <c r="B33" s="113" t="str">
        <f aca="false">Checks!$K$540&amp;IF(Checks!$O$540="","",IF(Checks!$K$540="","",CHAR(10))&amp;"Note: "&amp;Checks!$O$540)</f>
        <v>KUL-sourced items (Slippers (BS/BC) - Dispo slipper) travel on the inbound KUL-HKG sector
Note: Cannot be passed until Flights AX holds the carrying flight's KUL departure (agenda candidate MH0072 26-Oct (F16)). Until then the prep and KUL-loading dues assume the agenda candidate's KUL departure, or if none, the latest possible one (STD minus the shortest agenda KUL-HKG block).</v>
      </c>
      <c r="C33" s="113" t="str">
        <f aca="false">Checks!$N$540&amp;CHAR(10)&amp;IF(ISNUMBER(Checks!$R$540),TEXT(Checks!$R$540,"DD-MMM-YY HH:MM"),"")&amp;" "&amp;Checks!$P$540</f>
        <v>Clarification required
20-Oct-26 14:50 KUL</v>
      </c>
      <c r="D33" s="113" t="str">
        <f aca="false">IF(Checks!$U$540="","",Checks!$U$540)&amp;IF(Checks!$AB$540="","",CHAR(10)&amp;"CA: "&amp;Checks!$AB$540)</f>
        <v/>
      </c>
      <c r="E33" s="113" t="str">
        <f aca="false">IF(Checks!$V$540="","",Checks!$V$540)&amp;IF(Checks!$AC$540="","",IF(Checks!$V$540="","",CHAR(10))&amp;"N/A just.: "&amp;Checks!$AC$540)&amp;IF(Checks!$W$540="","",CHAR(10)&amp;"Batch: "&amp;Checks!$W$540)&amp;IF(AND(Checks!$X$540="",Checks!$Y$540=""),"",CHAR(10)&amp;"Exp: "&amp;Checks!$X$540&amp;"  /  Act: "&amp;Checks!$Y$540)</f>
        <v/>
      </c>
      <c r="F33" s="113" t="str">
        <f aca="false">IF(Checks!$Z$540="","","Evidence: "&amp;Checks!$Z$540)&amp;IF(Checks!$AA$540="","",IF(Checks!$Z$540="","",CHAR(10))&amp;"CA: "&amp;Checks!$AA$540)</f>
        <v/>
      </c>
      <c r="G33" s="113" t="str">
        <f aca="false">IF(ISNUMBER(Checks!$AD$540),TEXT(Checks!$AD$540,"DD-MMM-YY HH:MM")&amp;" "&amp;Checks!$P$540,"")&amp;IF(Checks!$AE$540="","",CHAR(10)&amp;"Verifier: "&amp;Checks!$AE$540)&amp;IF(Checks!$T$540="","",CHAR(10)&amp;"PIC: "&amp;Checks!$T$540)</f>
        <v/>
      </c>
      <c r="H33" s="114" t="str">
        <f aca="false">IF(Checks!$AH$540="","",Checks!$AH$540)</f>
        <v>OPEN – CLARIFICATION</v>
      </c>
    </row>
    <row r="34" customFormat="false" ht="25.5" hidden="false" customHeight="true" outlineLevel="0" collapsed="false">
      <c r="A34" s="112"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Checks!$A$541&amp;CHAR(10)&amp;IF(Checks!$I$541="","",Checks!$I$541&amp;": ")&amp;Checks!$J$541</f>
        <v>F17-T24-01
Meal: Sensory test repeated on ACTUAL production batch for this flight</v>
      </c>
      <c r="B35" s="113" t="str">
        <f aca="false">Checks!$K$541&amp;IF(Checks!$O$541="","",IF(Checks!$K$541="","",CHAR(10))&amp;"Note: "&amp;Checks!$O$541)</f>
        <v>Batch ID, result, CA and acceptance mandatory</v>
      </c>
      <c r="C35" s="113" t="str">
        <f aca="false">Checks!$N$541&amp;CHAR(10)&amp;IF(ISNUMBER(Checks!$R$541),TEXT(Checks!$R$541,"DD-MMM-YY HH:MM"),"")&amp;" "&amp;Checks!$P$541</f>
        <v>Required
26-Oct-26 14:50 HKG</v>
      </c>
      <c r="D35" s="113" t="str">
        <f aca="false">IF(Checks!$U$541="","",Checks!$U$541)&amp;IF(Checks!$AB$541="","",CHAR(10)&amp;"CA: "&amp;Checks!$AB$541)</f>
        <v/>
      </c>
      <c r="E35" s="113" t="str">
        <f aca="false">IF(Checks!$V$541="","",Checks!$V$541)&amp;IF(Checks!$AC$541="","",IF(Checks!$V$541="","",CHAR(10))&amp;"N/A just.: "&amp;Checks!$AC$541)&amp;IF(Checks!$W$541="","",CHAR(10)&amp;"Batch: "&amp;Checks!$W$541)&amp;IF(AND(Checks!$X$541="",Checks!$Y$541=""),"",CHAR(10)&amp;"Exp: "&amp;Checks!$X$541&amp;"  /  Act: "&amp;Checks!$Y$541)</f>
        <v/>
      </c>
      <c r="F35" s="113" t="str">
        <f aca="false">IF(Checks!$Z$541="","","Evidence: "&amp;Checks!$Z$541)&amp;IF(Checks!$AA$541="","",IF(Checks!$Z$541="","",CHAR(10))&amp;"CA: "&amp;Checks!$AA$541)</f>
        <v/>
      </c>
      <c r="G35" s="113" t="str">
        <f aca="false">IF(ISNUMBER(Checks!$AD$541),TEXT(Checks!$AD$541,"DD-MMM-YY HH:MM")&amp;" "&amp;Checks!$P$541,"")&amp;IF(Checks!$AE$541="","",CHAR(10)&amp;"Verifier: "&amp;Checks!$AE$541)&amp;IF(Checks!$T$541="","",CHAR(10)&amp;"PIC: "&amp;Checks!$T$541)</f>
        <v/>
      </c>
      <c r="H35" s="114" t="str">
        <f aca="false">IF(Checks!$AH$541="","",Checks!$AH$541)</f>
        <v>OPEN</v>
      </c>
    </row>
    <row r="36" customFormat="false" ht="25.5" hidden="false" customHeight="true" outlineLevel="0" collapsed="false">
      <c r="A36" s="112"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2"/>
      <c r="C36" s="112"/>
      <c r="D36" s="112"/>
      <c r="E36" s="112"/>
      <c r="F36" s="112"/>
      <c r="G36" s="112"/>
      <c r="H36" s="112"/>
    </row>
    <row r="37" customFormat="false" ht="114" hidden="false" customHeight="true" outlineLevel="0" collapsed="false">
      <c r="A37" s="113" t="str">
        <f aca="false">Checks!$A$542&amp;CHAR(10)&amp;IF(Checks!$I$542="","",Checks!$I$542&amp;": ")&amp;Checks!$J$542</f>
        <v>F17-T12-01
Meal: Meal quality vs menu checklist</v>
      </c>
      <c r="B37" s="113" t="str">
        <f aca="false">Checks!$K$542&amp;IF(Checks!$O$542="","",IF(Checks!$K$542="","",CHAR(10))&amp;"Note: "&amp;Checks!$O$542)</f>
        <v>Note: Preparation check at caterer - does NOT confirm loading.</v>
      </c>
      <c r="C37" s="113" t="str">
        <f aca="false">Checks!$N$542&amp;CHAR(10)&amp;IF(ISNUMBER(Checks!$R$542),TEXT(Checks!$R$542,"DD-MMM-YY HH:MM"),"")&amp;" "&amp;Checks!$P$542</f>
        <v>Required
27-Oct-26 02:50 HKG</v>
      </c>
      <c r="D37" s="113" t="str">
        <f aca="false">IF(Checks!$U$542="","",Checks!$U$542)&amp;IF(Checks!$AB$542="","",CHAR(10)&amp;"CA: "&amp;Checks!$AB$542)</f>
        <v/>
      </c>
      <c r="E37" s="113" t="str">
        <f aca="false">IF(Checks!$V$542="","",Checks!$V$542)&amp;IF(Checks!$AC$542="","",IF(Checks!$V$542="","",CHAR(10))&amp;"N/A just.: "&amp;Checks!$AC$542)&amp;IF(Checks!$W$542="","",CHAR(10)&amp;"Batch: "&amp;Checks!$W$542)&amp;IF(AND(Checks!$X$542="",Checks!$Y$542=""),"",CHAR(10)&amp;"Exp: "&amp;Checks!$X$542&amp;"  /  Act: "&amp;Checks!$Y$542)</f>
        <v/>
      </c>
      <c r="F37" s="113" t="str">
        <f aca="false">IF(Checks!$Z$542="","","Evidence: "&amp;Checks!$Z$542)&amp;IF(Checks!$AA$542="","",IF(Checks!$Z$542="","",CHAR(10))&amp;"CA: "&amp;Checks!$AA$542)</f>
        <v/>
      </c>
      <c r="G37" s="113" t="str">
        <f aca="false">IF(ISNUMBER(Checks!$AD$542),TEXT(Checks!$AD$542,"DD-MMM-YY HH:MM")&amp;" "&amp;Checks!$P$542,"")&amp;IF(Checks!$AE$542="","",CHAR(10)&amp;"Verifier: "&amp;Checks!$AE$542)&amp;IF(Checks!$T$542="","",CHAR(10)&amp;"PIC: "&amp;Checks!$T$542)</f>
        <v/>
      </c>
      <c r="H37" s="114" t="str">
        <f aca="false">IF(Checks!$AH$542="","",Checks!$AH$542)</f>
        <v>OPEN</v>
      </c>
    </row>
    <row r="38" customFormat="false" ht="114" hidden="false" customHeight="true" outlineLevel="0" collapsed="false">
      <c r="A38" s="113" t="str">
        <f aca="false">Checks!$A$543&amp;CHAR(10)&amp;IF(Checks!$I$543="","",Checks!$I$543&amp;": ")&amp;Checks!$J$543</f>
        <v>F17-T12-02
Meal: Meal quantities vs menu checklist</v>
      </c>
      <c r="B38" s="113" t="str">
        <f aca="false">Checks!$K$543&amp;IF(Checks!$O$543="","",IF(Checks!$K$543="","",CHAR(10))&amp;"Note: "&amp;Checks!$O$543)</f>
        <v>Enter expected &amp; actual
Note: Preparation check at caterer - does NOT confirm loading.</v>
      </c>
      <c r="C38" s="113" t="str">
        <f aca="false">Checks!$N$543&amp;CHAR(10)&amp;IF(ISNUMBER(Checks!$R$543),TEXT(Checks!$R$543,"DD-MMM-YY HH:MM"),"")&amp;" "&amp;Checks!$P$543</f>
        <v>Required
27-Oct-26 02:50 HKG</v>
      </c>
      <c r="D38" s="113" t="str">
        <f aca="false">IF(Checks!$U$543="","",Checks!$U$543)&amp;IF(Checks!$AB$543="","",CHAR(10)&amp;"CA: "&amp;Checks!$AB$543)</f>
        <v/>
      </c>
      <c r="E38" s="113" t="str">
        <f aca="false">IF(Checks!$V$543="","",Checks!$V$543)&amp;IF(Checks!$AC$543="","",IF(Checks!$V$543="","",CHAR(10))&amp;"N/A just.: "&amp;Checks!$AC$543)&amp;IF(Checks!$W$543="","",CHAR(10)&amp;"Batch: "&amp;Checks!$W$543)&amp;IF(AND(Checks!$X$543="",Checks!$Y$543=""),"",CHAR(10)&amp;"Exp: "&amp;Checks!$X$543&amp;"  /  Act: "&amp;Checks!$Y$543)</f>
        <v/>
      </c>
      <c r="F38" s="113" t="str">
        <f aca="false">IF(Checks!$Z$543="","","Evidence: "&amp;Checks!$Z$543)&amp;IF(Checks!$AA$543="","",IF(Checks!$Z$543="","",CHAR(10))&amp;"CA: "&amp;Checks!$AA$543)</f>
        <v/>
      </c>
      <c r="G38" s="113" t="str">
        <f aca="false">IF(ISNUMBER(Checks!$AD$543),TEXT(Checks!$AD$543,"DD-MMM-YY HH:MM")&amp;" "&amp;Checks!$P$543,"")&amp;IF(Checks!$AE$543="","",CHAR(10)&amp;"Verifier: "&amp;Checks!$AE$543)&amp;IF(Checks!$T$543="","",CHAR(10)&amp;"PIC: "&amp;Checks!$T$543)</f>
        <v/>
      </c>
      <c r="H38" s="114" t="str">
        <f aca="false">IF(Checks!$AH$543="","",Checks!$AH$543)</f>
        <v>OPEN</v>
      </c>
    </row>
    <row r="39" customFormat="false" ht="114" hidden="false" customHeight="true" outlineLevel="0" collapsed="false">
      <c r="A39" s="113" t="str">
        <f aca="false">Checks!$A$544&amp;CHAR(10)&amp;IF(Checks!$I$544="","",Checks!$I$544&amp;": ")&amp;Checks!$J$544</f>
        <v>F17-T12-03
Equipment: Equipment cleanliness vs GLD</v>
      </c>
      <c r="B39" s="113" t="str">
        <f aca="false">Checks!$K$544&amp;IF(Checks!$O$544="","",IF(Checks!$K$544="","",CHAR(10))&amp;"Note: "&amp;Checks!$O$544)</f>
        <v>Note: Preparation check at caterer - does NOT confirm loading.</v>
      </c>
      <c r="C39" s="113" t="str">
        <f aca="false">Checks!$N$544&amp;CHAR(10)&amp;IF(ISNUMBER(Checks!$R$544),TEXT(Checks!$R$544,"DD-MMM-YY HH:MM"),"")&amp;" "&amp;Checks!$P$544</f>
        <v>Required
27-Oct-26 02:50 HKG</v>
      </c>
      <c r="D39" s="113" t="str">
        <f aca="false">IF(Checks!$U$544="","",Checks!$U$544)&amp;IF(Checks!$AB$544="","",CHAR(10)&amp;"CA: "&amp;Checks!$AB$544)</f>
        <v/>
      </c>
      <c r="E39" s="113" t="str">
        <f aca="false">IF(Checks!$V$544="","",Checks!$V$544)&amp;IF(Checks!$AC$544="","",IF(Checks!$V$544="","",CHAR(10))&amp;"N/A just.: "&amp;Checks!$AC$544)&amp;IF(Checks!$W$544="","",CHAR(10)&amp;"Batch: "&amp;Checks!$W$544)&amp;IF(AND(Checks!$X$544="",Checks!$Y$544=""),"",CHAR(10)&amp;"Exp: "&amp;Checks!$X$544&amp;"  /  Act: "&amp;Checks!$Y$544)</f>
        <v/>
      </c>
      <c r="F39" s="113" t="str">
        <f aca="false">IF(Checks!$Z$544="","","Evidence: "&amp;Checks!$Z$544)&amp;IF(Checks!$AA$544="","",IF(Checks!$Z$544="","",CHAR(10))&amp;"CA: "&amp;Checks!$AA$544)</f>
        <v/>
      </c>
      <c r="G39" s="113" t="str">
        <f aca="false">IF(ISNUMBER(Checks!$AD$544),TEXT(Checks!$AD$544,"DD-MMM-YY HH:MM")&amp;" "&amp;Checks!$P$544,"")&amp;IF(Checks!$AE$544="","",CHAR(10)&amp;"Verifier: "&amp;Checks!$AE$544)&amp;IF(Checks!$T$544="","",CHAR(10)&amp;"PIC: "&amp;Checks!$T$544)</f>
        <v/>
      </c>
      <c r="H39" s="114" t="str">
        <f aca="false">IF(Checks!$AH$544="","",Checks!$AH$544)</f>
        <v>OPEN</v>
      </c>
    </row>
    <row r="40" customFormat="false" ht="114" hidden="false" customHeight="true" outlineLevel="0" collapsed="false">
      <c r="A40" s="113" t="str">
        <f aca="false">Checks!$A$545&amp;CHAR(10)&amp;IF(Checks!$I$545="","",Checks!$I$545&amp;": ")&amp;Checks!$J$545</f>
        <v>F17-T12-04
Equipment: Equipment presentation vs GLD</v>
      </c>
      <c r="B40" s="113" t="str">
        <f aca="false">Checks!$K$545&amp;IF(Checks!$O$545="","",IF(Checks!$K$545="","",CHAR(10))&amp;"Note: "&amp;Checks!$O$545)</f>
        <v>Note: Preparation check at caterer - does NOT confirm loading.</v>
      </c>
      <c r="C40" s="113" t="str">
        <f aca="false">Checks!$N$545&amp;CHAR(10)&amp;IF(ISNUMBER(Checks!$R$545),TEXT(Checks!$R$545,"DD-MMM-YY HH:MM"),"")&amp;" "&amp;Checks!$P$545</f>
        <v>Required
27-Oct-26 02:50 HKG</v>
      </c>
      <c r="D40" s="113" t="str">
        <f aca="false">IF(Checks!$U$545="","",Checks!$U$545)&amp;IF(Checks!$AB$545="","",CHAR(10)&amp;"CA: "&amp;Checks!$AB$545)</f>
        <v/>
      </c>
      <c r="E40" s="113" t="str">
        <f aca="false">IF(Checks!$V$545="","",Checks!$V$545)&amp;IF(Checks!$AC$545="","",IF(Checks!$V$545="","",CHAR(10))&amp;"N/A just.: "&amp;Checks!$AC$545)&amp;IF(Checks!$W$545="","",CHAR(10)&amp;"Batch: "&amp;Checks!$W$545)&amp;IF(AND(Checks!$X$545="",Checks!$Y$545=""),"",CHAR(10)&amp;"Exp: "&amp;Checks!$X$545&amp;"  /  Act: "&amp;Checks!$Y$545)</f>
        <v/>
      </c>
      <c r="F40" s="113" t="str">
        <f aca="false">IF(Checks!$Z$545="","","Evidence: "&amp;Checks!$Z$545)&amp;IF(Checks!$AA$545="","",IF(Checks!$Z$545="","",CHAR(10))&amp;"CA: "&amp;Checks!$AA$545)</f>
        <v/>
      </c>
      <c r="G40" s="113" t="str">
        <f aca="false">IF(ISNUMBER(Checks!$AD$545),TEXT(Checks!$AD$545,"DD-MMM-YY HH:MM")&amp;" "&amp;Checks!$P$545,"")&amp;IF(Checks!$AE$545="","",CHAR(10)&amp;"Verifier: "&amp;Checks!$AE$545)&amp;IF(Checks!$T$545="","",CHAR(10)&amp;"PIC: "&amp;Checks!$T$545)</f>
        <v/>
      </c>
      <c r="H40" s="114" t="str">
        <f aca="false">IF(Checks!$AH$545="","",Checks!$AH$545)</f>
        <v>OPEN</v>
      </c>
    </row>
    <row r="41" customFormat="false" ht="114" hidden="false" customHeight="true" outlineLevel="0" collapsed="false">
      <c r="A41" s="113" t="str">
        <f aca="false">Checks!$A$546&amp;CHAR(10)&amp;IF(Checks!$I$546="","",Checks!$I$546&amp;": ")&amp;Checks!$J$546</f>
        <v>F17-T12-05
Equipment: Equipment serviceability vs GLD</v>
      </c>
      <c r="B41" s="113" t="str">
        <f aca="false">Checks!$K$546&amp;IF(Checks!$O$546="","",IF(Checks!$K$546="","",CHAR(10))&amp;"Note: "&amp;Checks!$O$546)</f>
        <v>Note: Preparation check at caterer - does NOT confirm loading.</v>
      </c>
      <c r="C41" s="113" t="str">
        <f aca="false">Checks!$N$546&amp;CHAR(10)&amp;IF(ISNUMBER(Checks!$R$546),TEXT(Checks!$R$546,"DD-MMM-YY HH:MM"),"")&amp;" "&amp;Checks!$P$546</f>
        <v>Required
27-Oct-26 02:50 HKG</v>
      </c>
      <c r="D41" s="113" t="str">
        <f aca="false">IF(Checks!$U$546="","",Checks!$U$546)&amp;IF(Checks!$AB$546="","",CHAR(10)&amp;"CA: "&amp;Checks!$AB$546)</f>
        <v/>
      </c>
      <c r="E41" s="113" t="str">
        <f aca="false">IF(Checks!$V$546="","",Checks!$V$546)&amp;IF(Checks!$AC$546="","",IF(Checks!$V$546="","",CHAR(10))&amp;"N/A just.: "&amp;Checks!$AC$546)&amp;IF(Checks!$W$546="","",CHAR(10)&amp;"Batch: "&amp;Checks!$W$546)&amp;IF(AND(Checks!$X$546="",Checks!$Y$546=""),"",CHAR(10)&amp;"Exp: "&amp;Checks!$X$546&amp;"  /  Act: "&amp;Checks!$Y$546)</f>
        <v/>
      </c>
      <c r="F41" s="113" t="str">
        <f aca="false">IF(Checks!$Z$546="","","Evidence: "&amp;Checks!$Z$546)&amp;IF(Checks!$AA$546="","",IF(Checks!$Z$546="","",CHAR(10))&amp;"CA: "&amp;Checks!$AA$546)</f>
        <v/>
      </c>
      <c r="G41" s="113" t="str">
        <f aca="false">IF(ISNUMBER(Checks!$AD$546),TEXT(Checks!$AD$546,"DD-MMM-YY HH:MM")&amp;" "&amp;Checks!$P$546,"")&amp;IF(Checks!$AE$546="","",CHAR(10)&amp;"Verifier: "&amp;Checks!$AE$546)&amp;IF(Checks!$T$546="","",CHAR(10)&amp;"PIC: "&amp;Checks!$T$546)</f>
        <v/>
      </c>
      <c r="H41" s="114" t="str">
        <f aca="false">IF(Checks!$AH$546="","",Checks!$AH$546)</f>
        <v>OPEN</v>
      </c>
    </row>
    <row r="42" customFormat="false" ht="190.5" hidden="false" customHeight="true" outlineLevel="0" collapsed="false">
      <c r="A42" s="113" t="str">
        <f aca="false">Checks!$A$547&amp;CHAR(10)&amp;IF(Checks!$I$547="","",Checks!$I$547&amp;": ")&amp;Checks!$J$547</f>
        <v>F17-T12-06
Equipment: Equipment quantities vs GLD</v>
      </c>
      <c r="B42" s="113" t="str">
        <f aca="false">SUBSTITUTE(Checks!$K$547&amp;IF(Checks!$O$547="","",IF(Checks!$K$547="","",CHAR(10))&amp;"Note: "&amp;Checks!$O$547),"AIRCRAFT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2" s="113" t="str">
        <f aca="false">Checks!$N$547&amp;CHAR(10)&amp;IF(ISNUMBER(Checks!$R$547),TEXT(Checks!$R$547,"DD-MMM-YY HH:MM"),"")&amp;" "&amp;Checks!$P$547</f>
        <v>Required
27-Oct-26 02:50 HKG</v>
      </c>
      <c r="D42" s="113" t="str">
        <f aca="false">IF(Checks!$U$547="","",Checks!$U$547)&amp;IF(Checks!$AB$547="","",CHAR(10)&amp;"CA: "&amp;Checks!$AB$547)</f>
        <v/>
      </c>
      <c r="E42" s="113" t="str">
        <f aca="false">IF(Checks!$V$547="","",Checks!$V$547)&amp;IF(Checks!$AC$547="","",IF(Checks!$V$547="","",CHAR(10))&amp;"N/A just.: "&amp;Checks!$AC$547)&amp;IF(Checks!$W$547="","",CHAR(10)&amp;"Batch: "&amp;Checks!$W$547)&amp;IF(AND(Checks!$X$547="",Checks!$Y$547=""),"",CHAR(10)&amp;"Exp: "&amp;Checks!$X$547&amp;"  /  Act: "&amp;Checks!$Y$547)</f>
        <v/>
      </c>
      <c r="F42" s="113" t="str">
        <f aca="false">IF(Checks!$Z$547="","","Evidence: "&amp;Checks!$Z$547)&amp;IF(Checks!$AA$547="","",IF(Checks!$Z$547="","",CHAR(10))&amp;"CA: "&amp;Checks!$AA$547)</f>
        <v/>
      </c>
      <c r="G42" s="113" t="str">
        <f aca="false">IF(ISNUMBER(Checks!$AD$547),TEXT(Checks!$AD$547,"DD-MMM-YY HH:MM")&amp;" "&amp;Checks!$P$547,"")&amp;IF(Checks!$AE$547="","",CHAR(10)&amp;"Verifier: "&amp;Checks!$AE$547)&amp;IF(Checks!$T$547="","",CHAR(10)&amp;"PIC: "&amp;Checks!$T$547)</f>
        <v/>
      </c>
      <c r="H42" s="114" t="str">
        <f aca="false">IF(Checks!$AH$547="","",Checks!$AH$547)</f>
        <v>OPEN</v>
      </c>
    </row>
    <row r="43" customFormat="false" ht="114" hidden="false" customHeight="true" outlineLevel="0" collapsed="false">
      <c r="A43" s="113" t="str">
        <f aca="false">Checks!$A$548&amp;CHAR(10)&amp;IF(Checks!$I$548="","",Checks!$I$548&amp;": ")&amp;Checks!$J$548</f>
        <v>F17-T12-07
Equipment: Loading positions planned vs GLD</v>
      </c>
      <c r="B43" s="113" t="str">
        <f aca="false">Checks!$K$548&amp;IF(Checks!$O$548="","",IF(Checks!$K$548="","",CHAR(10))&amp;"Note: "&amp;Checks!$O$548)</f>
        <v>Note: Preparation check at caterer - does NOT confirm loading.</v>
      </c>
      <c r="C43" s="113" t="str">
        <f aca="false">Checks!$N$548&amp;CHAR(10)&amp;IF(ISNUMBER(Checks!$R$548),TEXT(Checks!$R$548,"DD-MMM-YY HH:MM"),"")&amp;" "&amp;Checks!$P$548</f>
        <v>Required
27-Oct-26 02:50 HKG</v>
      </c>
      <c r="D43" s="113" t="str">
        <f aca="false">IF(Checks!$U$548="","",Checks!$U$548)&amp;IF(Checks!$AB$548="","",CHAR(10)&amp;"CA: "&amp;Checks!$AB$548)</f>
        <v/>
      </c>
      <c r="E43" s="113" t="str">
        <f aca="false">IF(Checks!$V$548="","",Checks!$V$548)&amp;IF(Checks!$AC$548="","",IF(Checks!$V$548="","",CHAR(10))&amp;"N/A just.: "&amp;Checks!$AC$548)&amp;IF(Checks!$W$548="","",CHAR(10)&amp;"Batch: "&amp;Checks!$W$548)&amp;IF(AND(Checks!$X$548="",Checks!$Y$548=""),"",CHAR(10)&amp;"Exp: "&amp;Checks!$X$548&amp;"  /  Act: "&amp;Checks!$Y$548)</f>
        <v/>
      </c>
      <c r="F43" s="113" t="str">
        <f aca="false">IF(Checks!$Z$548="","","Evidence: "&amp;Checks!$Z$548)&amp;IF(Checks!$AA$548="","",IF(Checks!$Z$548="","",CHAR(10))&amp;"CA: "&amp;Checks!$AA$548)</f>
        <v/>
      </c>
      <c r="G43" s="113" t="str">
        <f aca="false">IF(ISNUMBER(Checks!$AD$548),TEXT(Checks!$AD$548,"DD-MMM-YY HH:MM")&amp;" "&amp;Checks!$P$548,"")&amp;IF(Checks!$AE$548="","",CHAR(10)&amp;"Verifier: "&amp;Checks!$AE$548)&amp;IF(Checks!$T$548="","",CHAR(10)&amp;"PIC: "&amp;Checks!$T$548)</f>
        <v/>
      </c>
      <c r="H43" s="114" t="str">
        <f aca="false">IF(Checks!$AH$548="","",Checks!$AH$548)</f>
        <v>OPEN</v>
      </c>
    </row>
    <row r="44" customFormat="false" ht="114" hidden="false" customHeight="true" outlineLevel="0" collapsed="false">
      <c r="A44" s="113" t="str">
        <f aca="false">Checks!$A$549&amp;CHAR(10)&amp;IF(Checks!$I$549="","",Checks!$I$549&amp;": ")&amp;Checks!$J$549</f>
        <v>F17-T12-08
Amenities: Slippers (BS/BC) - Dispo slipper - prepared</v>
      </c>
      <c r="B44" s="113" t="str">
        <f aca="false">Checks!$K$549&amp;IF(Checks!$O$549="","",IF(Checks!$K$549="","",CHAR(10))&amp;"Note: "&amp;Checks!$O$549)</f>
        <v>Available (ticked in reference)
Note: Loaded at KUL on the inbound KUL-HKG flight: due = that flight's KUL departure (Flights AX) minus the uplift window.</v>
      </c>
      <c r="C44" s="113" t="str">
        <f aca="false">Checks!$N$549&amp;CHAR(10)&amp;IF(ISNUMBER(Checks!$R$549),TEXT(Checks!$R$549,"DD-MMM-YY HH:MM"),"")&amp;" "&amp;Checks!$P$549</f>
        <v>Required
26-Oct-26 03:10 KUL</v>
      </c>
      <c r="D44" s="113" t="str">
        <f aca="false">IF(Checks!$U$549="","",Checks!$U$549)&amp;IF(Checks!$AB$549="","",CHAR(10)&amp;"CA: "&amp;Checks!$AB$549)</f>
        <v/>
      </c>
      <c r="E44" s="113" t="str">
        <f aca="false">IF(Checks!$V$549="","",Checks!$V$549)&amp;IF(Checks!$AC$549="","",IF(Checks!$V$549="","",CHAR(10))&amp;"N/A just.: "&amp;Checks!$AC$549)&amp;IF(Checks!$W$549="","",CHAR(10)&amp;"Batch: "&amp;Checks!$W$549)&amp;IF(AND(Checks!$X$549="",Checks!$Y$549=""),"",CHAR(10)&amp;"Exp: "&amp;Checks!$X$549&amp;"  /  Act: "&amp;Checks!$Y$549)</f>
        <v/>
      </c>
      <c r="F44" s="113" t="str">
        <f aca="false">IF(Checks!$Z$549="","","Evidence: "&amp;Checks!$Z$549)&amp;IF(Checks!$AA$549="","",IF(Checks!$Z$549="","",CHAR(10))&amp;"CA: "&amp;Checks!$AA$549)</f>
        <v/>
      </c>
      <c r="G44" s="113" t="str">
        <f aca="false">IF(ISNUMBER(Checks!$AD$549),TEXT(Checks!$AD$549,"DD-MMM-YY HH:MM")&amp;" "&amp;Checks!$P$549,"")&amp;IF(Checks!$AE$549="","",CHAR(10)&amp;"Verifier: "&amp;Checks!$AE$549)&amp;IF(Checks!$T$549="","",CHAR(10)&amp;"PIC: "&amp;Checks!$T$549)</f>
        <v/>
      </c>
      <c r="H44" s="114" t="str">
        <f aca="false">IF(Checks!$AH$549="","",Checks!$AH$549)</f>
        <v>OPEN</v>
      </c>
    </row>
    <row r="45" customFormat="false" ht="114" hidden="false" customHeight="true" outlineLevel="0" collapsed="false">
      <c r="A45" s="113" t="str">
        <f aca="false">Checks!$A$550&amp;CHAR(10)&amp;IF(Checks!$I$550="","",Checks!$I$550&amp;": ")&amp;Checks!$J$550</f>
        <v>F17-T12-09
F&amp;B Linen: Towel - prepared</v>
      </c>
      <c r="B45" s="113" t="str">
        <f aca="false">Checks!$K$550&amp;IF(Checks!$O$550="","",IF(Checks!$K$550="","",CHAR(10))&amp;"Note: "&amp;Checks!$O$550)</f>
        <v>Available (ticked in reference)
Note: Reference gives no uplift stn for this item: preparation checked at the meal uplift stn (HKG) - confirm with caterer.</v>
      </c>
      <c r="C45" s="113" t="str">
        <f aca="false">Checks!$N$550&amp;CHAR(10)&amp;IF(ISNUMBER(Checks!$R$550),TEXT(Checks!$R$550,"DD-MMM-YY HH:MM"),"")&amp;" "&amp;Checks!$P$550</f>
        <v>Required
27-Oct-26 02:50 HKG</v>
      </c>
      <c r="D45" s="113" t="str">
        <f aca="false">IF(Checks!$U$550="","",Checks!$U$550)&amp;IF(Checks!$AB$550="","",CHAR(10)&amp;"CA: "&amp;Checks!$AB$550)</f>
        <v/>
      </c>
      <c r="E45" s="113" t="str">
        <f aca="false">IF(Checks!$V$550="","",Checks!$V$550)&amp;IF(Checks!$AC$550="","",IF(Checks!$V$550="","",CHAR(10))&amp;"N/A just.: "&amp;Checks!$AC$550)&amp;IF(Checks!$W$550="","",CHAR(10)&amp;"Batch: "&amp;Checks!$W$550)&amp;IF(AND(Checks!$X$550="",Checks!$Y$550=""),"",CHAR(10)&amp;"Exp: "&amp;Checks!$X$550&amp;"  /  Act: "&amp;Checks!$Y$550)</f>
        <v/>
      </c>
      <c r="F45" s="113" t="str">
        <f aca="false">IF(Checks!$Z$550="","","Evidence: "&amp;Checks!$Z$550)&amp;IF(Checks!$AA$550="","",IF(Checks!$Z$550="","",CHAR(10))&amp;"CA: "&amp;Checks!$AA$550)</f>
        <v/>
      </c>
      <c r="G45" s="113" t="str">
        <f aca="false">IF(ISNUMBER(Checks!$AD$550),TEXT(Checks!$AD$550,"DD-MMM-YY HH:MM")&amp;" "&amp;Checks!$P$550,"")&amp;IF(Checks!$AE$550="","",CHAR(10)&amp;"Verifier: "&amp;Checks!$AE$550)&amp;IF(Checks!$T$550="","",CHAR(10)&amp;"PIC: "&amp;Checks!$T$550)</f>
        <v/>
      </c>
      <c r="H45" s="114" t="str">
        <f aca="false">IF(Checks!$AH$550="","",Checks!$AH$550)</f>
        <v>OPEN</v>
      </c>
    </row>
    <row r="46" customFormat="false" ht="114" hidden="false" customHeight="true" outlineLevel="0" collapsed="false">
      <c r="A46" s="113" t="str">
        <f aca="false">Checks!$A$551&amp;CHAR(10)&amp;IF(Checks!$I$551="","",Checks!$I$551&amp;": ")&amp;Checks!$J$551</f>
        <v>F17-T12-10
F&amp;B Linen: Tray cloth - prepared</v>
      </c>
      <c r="B46" s="113" t="str">
        <f aca="false">Checks!$K$551&amp;IF(Checks!$O$551="","",IF(Checks!$K$551="","",CHAR(10))&amp;"Note: "&amp;Checks!$O$551)</f>
        <v>Available (ticked in reference)
Note: Reference gives no uplift stn for this item: preparation checked at the meal uplift stn (HKG) - confirm with caterer.</v>
      </c>
      <c r="C46" s="113" t="str">
        <f aca="false">Checks!$N$551&amp;CHAR(10)&amp;IF(ISNUMBER(Checks!$R$551),TEXT(Checks!$R$551,"DD-MMM-YY HH:MM"),"")&amp;" "&amp;Checks!$P$551</f>
        <v>Required
27-Oct-26 02:50 HKG</v>
      </c>
      <c r="D46" s="113" t="str">
        <f aca="false">IF(Checks!$U$551="","",Checks!$U$551)&amp;IF(Checks!$AB$551="","",CHAR(10)&amp;"CA: "&amp;Checks!$AB$551)</f>
        <v/>
      </c>
      <c r="E46" s="113" t="str">
        <f aca="false">IF(Checks!$V$551="","",Checks!$V$551)&amp;IF(Checks!$AC$551="","",IF(Checks!$V$551="","",CHAR(10))&amp;"N/A just.: "&amp;Checks!$AC$551)&amp;IF(Checks!$W$551="","",CHAR(10)&amp;"Batch: "&amp;Checks!$W$551)&amp;IF(AND(Checks!$X$551="",Checks!$Y$551=""),"",CHAR(10)&amp;"Exp: "&amp;Checks!$X$551&amp;"  /  Act: "&amp;Checks!$Y$551)</f>
        <v/>
      </c>
      <c r="F46" s="113" t="str">
        <f aca="false">IF(Checks!$Z$551="","","Evidence: "&amp;Checks!$Z$551)&amp;IF(Checks!$AA$551="","",IF(Checks!$Z$551="","",CHAR(10))&amp;"CA: "&amp;Checks!$AA$551)</f>
        <v/>
      </c>
      <c r="G46" s="113" t="str">
        <f aca="false">IF(ISNUMBER(Checks!$AD$551),TEXT(Checks!$AD$551,"DD-MMM-YY HH:MM")&amp;" "&amp;Checks!$P$551,"")&amp;IF(Checks!$AE$551="","",CHAR(10)&amp;"Verifier: "&amp;Checks!$AE$551)&amp;IF(Checks!$T$551="","",CHAR(10)&amp;"PIC: "&amp;Checks!$T$551)</f>
        <v/>
      </c>
      <c r="H46" s="114" t="str">
        <f aca="false">IF(Checks!$AH$551="","",Checks!$AH$551)</f>
        <v>OPEN</v>
      </c>
    </row>
    <row r="47" customFormat="false" ht="114" hidden="false" customHeight="true" outlineLevel="0" collapsed="false">
      <c r="A47" s="113" t="str">
        <f aca="false">Checks!$A$552&amp;CHAR(10)&amp;IF(Checks!$I$552="","",Checks!$I$552&amp;": ")&amp;Checks!$J$552</f>
        <v>F17-T12-11
F&amp;B Linen: Napkin - prepared</v>
      </c>
      <c r="B47" s="113" t="str">
        <f aca="false">Checks!$K$552&amp;IF(Checks!$O$552="","",IF(Checks!$K$552="","",CHAR(10))&amp;"Note: "&amp;Checks!$O$552)</f>
        <v>Available (ticked in reference)
Note: Reference gives no uplift stn for this item: preparation checked at the meal uplift stn (HKG) - confirm with caterer.</v>
      </c>
      <c r="C47" s="113" t="str">
        <f aca="false">Checks!$N$552&amp;CHAR(10)&amp;IF(ISNUMBER(Checks!$R$552),TEXT(Checks!$R$552,"DD-MMM-YY HH:MM"),"")&amp;" "&amp;Checks!$P$552</f>
        <v>Required
27-Oct-26 02:50 HKG</v>
      </c>
      <c r="D47" s="113" t="str">
        <f aca="false">IF(Checks!$U$552="","",Checks!$U$552)&amp;IF(Checks!$AB$552="","",CHAR(10)&amp;"CA: "&amp;Checks!$AB$552)</f>
        <v/>
      </c>
      <c r="E47" s="113" t="str">
        <f aca="false">IF(Checks!$V$552="","",Checks!$V$552)&amp;IF(Checks!$AC$552="","",IF(Checks!$V$552="","",CHAR(10))&amp;"N/A just.: "&amp;Checks!$AC$552)&amp;IF(Checks!$W$552="","",CHAR(10)&amp;"Batch: "&amp;Checks!$W$552)&amp;IF(AND(Checks!$X$552="",Checks!$Y$552=""),"",CHAR(10)&amp;"Exp: "&amp;Checks!$X$552&amp;"  /  Act: "&amp;Checks!$Y$552)</f>
        <v/>
      </c>
      <c r="F47" s="113" t="str">
        <f aca="false">IF(Checks!$Z$552="","","Evidence: "&amp;Checks!$Z$552)&amp;IF(Checks!$AA$552="","",IF(Checks!$Z$552="","",CHAR(10))&amp;"CA: "&amp;Checks!$AA$552)</f>
        <v/>
      </c>
      <c r="G47" s="113" t="str">
        <f aca="false">IF(ISNUMBER(Checks!$AD$552),TEXT(Checks!$AD$552,"DD-MMM-YY HH:MM")&amp;" "&amp;Checks!$P$552,"")&amp;IF(Checks!$AE$552="","",CHAR(10)&amp;"Verifier: "&amp;Checks!$AE$552)&amp;IF(Checks!$T$552="","",CHAR(10)&amp;"PIC: "&amp;Checks!$T$552)</f>
        <v/>
      </c>
      <c r="H47" s="114" t="str">
        <f aca="false">IF(Checks!$AH$552="","",Checks!$AH$552)</f>
        <v>OPEN</v>
      </c>
    </row>
    <row r="48" customFormat="false" ht="279" hidden="false" customHeight="true" outlineLevel="0" collapsed="false">
      <c r="A48" s="113" t="str">
        <f aca="false">Checks!$A$553&amp;CHAR(10)&amp;IF(Checks!$I$553="","",Checks!$I$553&amp;": ")&amp;Checks!$J$553</f>
        <v>F17-T12-12
F&amp;B Linen: Table cloth - prepared</v>
      </c>
      <c r="B48" s="113" t="str">
        <f aca="false">SUBSTITUTE(Checks!$K$553&amp;IF(Checks!$O$553="","",IF(Checks!$K$553="","",CHAR(10))&amp;"Note: "&amp;Checks!$O$553),"F&amp;B LINEN!","Ref: F&amp;B LINEN!")</f>
        <v>Available (ticked in reference)
Note: Reference contradicts itself: matrix shows _/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13" t="str">
        <f aca="false">Checks!$N$553&amp;CHAR(10)&amp;IF(ISNUMBER(Checks!$R$553),TEXT(Checks!$R$553,"DD-MMM-YY HH:MM"),"")&amp;" "&amp;Checks!$P$553</f>
        <v>Clarification required
27-Oct-26 02:50 HKG</v>
      </c>
      <c r="D48" s="113" t="str">
        <f aca="false">IF(Checks!$U$553="","",Checks!$U$553)&amp;IF(Checks!$AB$553="","",CHAR(10)&amp;"CA: "&amp;Checks!$AB$553)</f>
        <v/>
      </c>
      <c r="E48" s="113" t="str">
        <f aca="false">IF(Checks!$V$553="","",Checks!$V$553)&amp;IF(Checks!$AC$553="","",IF(Checks!$V$553="","",CHAR(10))&amp;"N/A just.: "&amp;Checks!$AC$553)&amp;IF(Checks!$W$553="","",CHAR(10)&amp;"Batch: "&amp;Checks!$W$553)&amp;IF(AND(Checks!$X$553="",Checks!$Y$553=""),"",CHAR(10)&amp;"Exp: "&amp;Checks!$X$553&amp;"  /  Act: "&amp;Checks!$Y$553)</f>
        <v/>
      </c>
      <c r="F48" s="113" t="str">
        <f aca="false">IF(Checks!$Z$553="","","Evidence: "&amp;Checks!$Z$553)&amp;IF(Checks!$AA$553="","",IF(Checks!$Z$553="","",CHAR(10))&amp;"CA: "&amp;Checks!$AA$553)</f>
        <v/>
      </c>
      <c r="G48" s="113" t="str">
        <f aca="false">IF(ISNUMBER(Checks!$AD$553),TEXT(Checks!$AD$553,"DD-MMM-YY HH:MM")&amp;" "&amp;Checks!$P$553,"")&amp;IF(Checks!$AE$553="","",CHAR(10)&amp;"Verifier: "&amp;Checks!$AE$553)&amp;IF(Checks!$T$553="","",CHAR(10)&amp;"PIC: "&amp;Checks!$T$553)</f>
        <v/>
      </c>
      <c r="H48" s="114" t="str">
        <f aca="false">IF(Checks!$AH$553="","",Checks!$AH$553)</f>
        <v>OPEN – CLARIFICATION</v>
      </c>
    </row>
    <row r="49" customFormat="false" ht="279" hidden="false" customHeight="true" outlineLevel="0" collapsed="false">
      <c r="A49" s="113" t="str">
        <f aca="false">Checks!$A$554&amp;CHAR(10)&amp;IF(Checks!$I$554="","",Checks!$I$554&amp;": ")&amp;Checks!$J$554</f>
        <v>F17-T12-13
F&amp;B Linen: Bread linen (using table cloth) - prepared</v>
      </c>
      <c r="B49" s="113" t="str">
        <f aca="false">SUBSTITUTE(Checks!$K$554&amp;IF(Checks!$O$554="","",IF(Checks!$K$554="","",CHAR(10))&amp;"Note: "&amp;Checks!$O$554),"F&amp;B LINEN!","Ref: F&amp;B LINEN!")</f>
        <v>Available (ticked in reference)
Note: Reference contradicts itself: matrix shows _/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13" t="str">
        <f aca="false">Checks!$N$554&amp;CHAR(10)&amp;IF(ISNUMBER(Checks!$R$554),TEXT(Checks!$R$554,"DD-MMM-YY HH:MM"),"")&amp;" "&amp;Checks!$P$554</f>
        <v>Clarification required
27-Oct-26 02:50 HKG</v>
      </c>
      <c r="D49" s="113" t="str">
        <f aca="false">IF(Checks!$U$554="","",Checks!$U$554)&amp;IF(Checks!$AB$554="","",CHAR(10)&amp;"CA: "&amp;Checks!$AB$554)</f>
        <v/>
      </c>
      <c r="E49" s="113" t="str">
        <f aca="false">IF(Checks!$V$554="","",Checks!$V$554)&amp;IF(Checks!$AC$554="","",IF(Checks!$V$554="","",CHAR(10))&amp;"N/A just.: "&amp;Checks!$AC$554)&amp;IF(Checks!$W$554="","",CHAR(10)&amp;"Batch: "&amp;Checks!$W$554)&amp;IF(AND(Checks!$X$554="",Checks!$Y$554=""),"",CHAR(10)&amp;"Exp: "&amp;Checks!$X$554&amp;"  /  Act: "&amp;Checks!$Y$554)</f>
        <v/>
      </c>
      <c r="F49" s="113" t="str">
        <f aca="false">IF(Checks!$Z$554="","","Evidence: "&amp;Checks!$Z$554)&amp;IF(Checks!$AA$554="","",IF(Checks!$Z$554="","",CHAR(10))&amp;"CA: "&amp;Checks!$AA$554)</f>
        <v/>
      </c>
      <c r="G49" s="113" t="str">
        <f aca="false">IF(ISNUMBER(Checks!$AD$554),TEXT(Checks!$AD$554,"DD-MMM-YY HH:MM")&amp;" "&amp;Checks!$P$554,"")&amp;IF(Checks!$AE$554="","",CHAR(10)&amp;"Verifier: "&amp;Checks!$AE$554)&amp;IF(Checks!$T$554="","",CHAR(10)&amp;"PIC: "&amp;Checks!$T$554)</f>
        <v/>
      </c>
      <c r="H49" s="114" t="str">
        <f aca="false">IF(Checks!$AH$554="","",Checks!$AH$554)</f>
        <v>OPEN – CLARIFICATION</v>
      </c>
    </row>
    <row r="50" customFormat="false" ht="124.5" hidden="false" customHeight="true" outlineLevel="0" collapsed="false">
      <c r="A50" s="113" t="str">
        <f aca="false">Checks!$A$555&amp;CHAR(10)&amp;IF(Checks!$I$555="","",Checks!$I$555&amp;": ")&amp;Checks!$J$555</f>
        <v>F17-T12-14
F&amp;B Linen: Trolley cloth - prepared</v>
      </c>
      <c r="B50" s="113" t="str">
        <f aca="false">SUBSTITUTE(Checks!$K$555&amp;IF(Checks!$O$555="","",IF(Checks!$K$555="","",CHAR(10))&amp;"Note: "&amp;Checks!$O$555),"F&amp;B LINEN!","Ref: F&amp;B LINEN!")</f>
        <v>Narrow body: Top only
Note: Per note Ref: F&amp;B LINEN!B79:C80. Reference gives no uplift stn for this item: preparation checked at the meal uplift stn (HKG) - confirm with caterer.</v>
      </c>
      <c r="C50" s="113" t="str">
        <f aca="false">Checks!$N$555&amp;CHAR(10)&amp;IF(ISNUMBER(Checks!$R$555),TEXT(Checks!$R$555,"DD-MMM-YY HH:MM"),"")&amp;" "&amp;Checks!$P$555</f>
        <v>Required
27-Oct-26 02:50 HKG</v>
      </c>
      <c r="D50" s="113" t="str">
        <f aca="false">IF(Checks!$U$555="","",Checks!$U$555)&amp;IF(Checks!$AB$555="","",CHAR(10)&amp;"CA: "&amp;Checks!$AB$555)</f>
        <v/>
      </c>
      <c r="E50" s="113" t="str">
        <f aca="false">IF(Checks!$V$555="","",Checks!$V$555)&amp;IF(Checks!$AC$555="","",IF(Checks!$V$555="","",CHAR(10))&amp;"N/A just.: "&amp;Checks!$AC$555)&amp;IF(Checks!$W$555="","",CHAR(10)&amp;"Batch: "&amp;Checks!$W$555)&amp;IF(AND(Checks!$X$555="",Checks!$Y$555=""),"",CHAR(10)&amp;"Exp: "&amp;Checks!$X$555&amp;"  /  Act: "&amp;Checks!$Y$555)</f>
        <v/>
      </c>
      <c r="F50" s="113" t="str">
        <f aca="false">IF(Checks!$Z$555="","","Evidence: "&amp;Checks!$Z$555)&amp;IF(Checks!$AA$555="","",IF(Checks!$Z$555="","",CHAR(10))&amp;"CA: "&amp;Checks!$AA$555)</f>
        <v/>
      </c>
      <c r="G50" s="113" t="str">
        <f aca="false">IF(ISNUMBER(Checks!$AD$555),TEXT(Checks!$AD$555,"DD-MMM-YY HH:MM")&amp;" "&amp;Checks!$P$555,"")&amp;IF(Checks!$AE$555="","",CHAR(10)&amp;"Verifier: "&amp;Checks!$AE$555)&amp;IF(Checks!$T$555="","",CHAR(10)&amp;"PIC: "&amp;Checks!$T$555)</f>
        <v/>
      </c>
      <c r="H50" s="114" t="str">
        <f aca="false">IF(Checks!$AH$555="","",Checks!$AH$555)</f>
        <v>OPEN</v>
      </c>
    </row>
    <row r="51" customFormat="false" ht="114" hidden="false" customHeight="true" outlineLevel="0" collapsed="false">
      <c r="A51" s="113" t="str">
        <f aca="false">Checks!$A$556&amp;CHAR(10)&amp;IF(Checks!$I$556="","",Checks!$I$556&amp;": ")&amp;Checks!$J$556</f>
        <v>F17-T12-15
F&amp;B Linen: Linen bag - prepared</v>
      </c>
      <c r="B51" s="113" t="str">
        <f aca="false">Checks!$K$556&amp;IF(Checks!$O$556="","",IF(Checks!$K$556="","",CHAR(10))&amp;"Note: "&amp;Checks!$O$556)</f>
        <v>Available (ticked in reference)
Note: Reference gives no uplift stn for this item: preparation checked at the meal uplift stn (HKG) - confirm with caterer.</v>
      </c>
      <c r="C51" s="113" t="str">
        <f aca="false">Checks!$N$556&amp;CHAR(10)&amp;IF(ISNUMBER(Checks!$R$556),TEXT(Checks!$R$556,"DD-MMM-YY HH:MM"),"")&amp;" "&amp;Checks!$P$556</f>
        <v>Required
27-Oct-26 02:50 HKG</v>
      </c>
      <c r="D51" s="113" t="str">
        <f aca="false">IF(Checks!$U$556="","",Checks!$U$556)&amp;IF(Checks!$AB$556="","",CHAR(10)&amp;"CA: "&amp;Checks!$AB$556)</f>
        <v/>
      </c>
      <c r="E51" s="113" t="str">
        <f aca="false">IF(Checks!$V$556="","",Checks!$V$556)&amp;IF(Checks!$AC$556="","",IF(Checks!$V$556="","",CHAR(10))&amp;"N/A just.: "&amp;Checks!$AC$556)&amp;IF(Checks!$W$556="","",CHAR(10)&amp;"Batch: "&amp;Checks!$W$556)&amp;IF(AND(Checks!$X$556="",Checks!$Y$556=""),"",CHAR(10)&amp;"Exp: "&amp;Checks!$X$556&amp;"  /  Act: "&amp;Checks!$Y$556)</f>
        <v/>
      </c>
      <c r="F51" s="113" t="str">
        <f aca="false">IF(Checks!$Z$556="","","Evidence: "&amp;Checks!$Z$556)&amp;IF(Checks!$AA$556="","",IF(Checks!$Z$556="","",CHAR(10))&amp;"CA: "&amp;Checks!$AA$556)</f>
        <v/>
      </c>
      <c r="G51" s="113" t="str">
        <f aca="false">IF(ISNUMBER(Checks!$AD$556),TEXT(Checks!$AD$556,"DD-MMM-YY HH:MM")&amp;" "&amp;Checks!$P$556,"")&amp;IF(Checks!$AE$556="","",CHAR(10)&amp;"Verifier: "&amp;Checks!$AE$556)&amp;IF(Checks!$T$556="","",CHAR(10)&amp;"PIC: "&amp;Checks!$T$556)</f>
        <v/>
      </c>
      <c r="H51" s="114" t="str">
        <f aca="false">IF(Checks!$AH$556="","",Checks!$AH$556)</f>
        <v>OPEN</v>
      </c>
    </row>
    <row r="52" customFormat="false" ht="114" hidden="false" customHeight="true" outlineLevel="0" collapsed="false">
      <c r="A52" s="113" t="str">
        <f aca="false">Checks!$A$557&amp;CHAR(10)&amp;IF(Checks!$I$557="","",Checks!$I$557&amp;": ")&amp;Checks!$J$557</f>
        <v>F17-T12-16
Seat Linen: Seat pillow (BS &amp; BC) - prepared</v>
      </c>
      <c r="B52" s="113" t="str">
        <f aca="false">Checks!$K$557&amp;IF(Checks!$O$557="","",IF(Checks!$K$557="","",CHAR(10))&amp;"Note: "&amp;Checks!$O$557)</f>
        <v>Available 100% (ticked in reference)
Note: Reference gives no uplift stn for this item: preparation checked at the meal uplift stn (HKG) - confirm with caterer.</v>
      </c>
      <c r="C52" s="113" t="str">
        <f aca="false">Checks!$N$557&amp;CHAR(10)&amp;IF(ISNUMBER(Checks!$R$557),TEXT(Checks!$R$557,"DD-MMM-YY HH:MM"),"")&amp;" "&amp;Checks!$P$557</f>
        <v>Required
27-Oct-26 02:50 HKG</v>
      </c>
      <c r="D52" s="113" t="str">
        <f aca="false">IF(Checks!$U$557="","",Checks!$U$557)&amp;IF(Checks!$AB$557="","",CHAR(10)&amp;"CA: "&amp;Checks!$AB$557)</f>
        <v/>
      </c>
      <c r="E52" s="113" t="str">
        <f aca="false">IF(Checks!$V$557="","",Checks!$V$557)&amp;IF(Checks!$AC$557="","",IF(Checks!$V$557="","",CHAR(10))&amp;"N/A just.: "&amp;Checks!$AC$557)&amp;IF(Checks!$W$557="","",CHAR(10)&amp;"Batch: "&amp;Checks!$W$557)&amp;IF(AND(Checks!$X$557="",Checks!$Y$557=""),"",CHAR(10)&amp;"Exp: "&amp;Checks!$X$557&amp;"  /  Act: "&amp;Checks!$Y$557)</f>
        <v/>
      </c>
      <c r="F52" s="113" t="str">
        <f aca="false">IF(Checks!$Z$557="","","Evidence: "&amp;Checks!$Z$557)&amp;IF(Checks!$AA$557="","",IF(Checks!$Z$557="","",CHAR(10))&amp;"CA: "&amp;Checks!$AA$557)</f>
        <v/>
      </c>
      <c r="G52" s="113" t="str">
        <f aca="false">IF(ISNUMBER(Checks!$AD$557),TEXT(Checks!$AD$557,"DD-MMM-YY HH:MM")&amp;" "&amp;Checks!$P$557,"")&amp;IF(Checks!$AE$557="","",CHAR(10)&amp;"Verifier: "&amp;Checks!$AE$557)&amp;IF(Checks!$T$557="","",CHAR(10)&amp;"PIC: "&amp;Checks!$T$557)</f>
        <v/>
      </c>
      <c r="H52" s="114" t="str">
        <f aca="false">IF(Checks!$AH$557="","",Checks!$AH$557)</f>
        <v>OPEN</v>
      </c>
    </row>
    <row r="53" customFormat="false" ht="114" hidden="false" customHeight="true" outlineLevel="0" collapsed="false">
      <c r="A53" s="113" t="str">
        <f aca="false">Checks!$A$558&amp;CHAR(10)&amp;IF(Checks!$I$558="","",Checks!$I$558&amp;": ")&amp;Checks!$J$558</f>
        <v>F17-T12-17
Seat Linen: Blanket (BS &amp; BC) - prepared</v>
      </c>
      <c r="B53" s="113" t="str">
        <f aca="false">Checks!$K$558&amp;IF(Checks!$O$558="","",IF(Checks!$K$558="","",CHAR(10))&amp;"Note: "&amp;Checks!$O$558)</f>
        <v>Available 100% (ticked in reference)
Note: Reference gives no uplift stn for this item: preparation checked at the meal uplift stn (HKG) - confirm with caterer.</v>
      </c>
      <c r="C53" s="113" t="str">
        <f aca="false">Checks!$N$558&amp;CHAR(10)&amp;IF(ISNUMBER(Checks!$R$558),TEXT(Checks!$R$558,"DD-MMM-YY HH:MM"),"")&amp;" "&amp;Checks!$P$558</f>
        <v>Required
27-Oct-26 02:50 HKG</v>
      </c>
      <c r="D53" s="113" t="str">
        <f aca="false">IF(Checks!$U$558="","",Checks!$U$558)&amp;IF(Checks!$AB$558="","",CHAR(10)&amp;"CA: "&amp;Checks!$AB$558)</f>
        <v/>
      </c>
      <c r="E53" s="113" t="str">
        <f aca="false">IF(Checks!$V$558="","",Checks!$V$558)&amp;IF(Checks!$AC$558="","",IF(Checks!$V$558="","",CHAR(10))&amp;"N/A just.: "&amp;Checks!$AC$558)&amp;IF(Checks!$W$558="","",CHAR(10)&amp;"Batch: "&amp;Checks!$W$558)&amp;IF(AND(Checks!$X$558="",Checks!$Y$558=""),"",CHAR(10)&amp;"Exp: "&amp;Checks!$X$558&amp;"  /  Act: "&amp;Checks!$Y$558)</f>
        <v/>
      </c>
      <c r="F53" s="113" t="str">
        <f aca="false">IF(Checks!$Z$558="","","Evidence: "&amp;Checks!$Z$558)&amp;IF(Checks!$AA$558="","",IF(Checks!$Z$558="","",CHAR(10))&amp;"CA: "&amp;Checks!$AA$558)</f>
        <v/>
      </c>
      <c r="G53" s="113" t="str">
        <f aca="false">IF(ISNUMBER(Checks!$AD$558),TEXT(Checks!$AD$558,"DD-MMM-YY HH:MM")&amp;" "&amp;Checks!$P$558,"")&amp;IF(Checks!$AE$558="","",CHAR(10)&amp;"Verifier: "&amp;Checks!$AE$558)&amp;IF(Checks!$T$558="","",CHAR(10)&amp;"PIC: "&amp;Checks!$T$558)</f>
        <v/>
      </c>
      <c r="H53" s="114" t="str">
        <f aca="false">IF(Checks!$AH$558="","",Checks!$AH$558)</f>
        <v>OPEN</v>
      </c>
    </row>
    <row r="54" customFormat="false" ht="213" hidden="false" customHeight="true" outlineLevel="0" collapsed="false">
      <c r="A54" s="113" t="str">
        <f aca="false">Checks!$A$559&amp;CHAR(10)&amp;IF(Checks!$I$559="","",Checks!$I$559&amp;": ")&amp;Checks!$J$559</f>
        <v>F17-T12-18
Sales Cart: Sales cart (caterer MCAT) - prepared</v>
      </c>
      <c r="B54" s="113" t="str">
        <f aca="false">SUBSTITUTE(Checks!$K$559&amp;IF(Checks!$O$559="","",IF(Checks!$K$559="","",CHAR(10))&amp;"Note: "&amp;Checks!$O$559),"SALES CART!","Ref: SALES CART!")</f>
        <v>Location 210A (B7M8)
Note: Block 4.08 h &gt;= 4 h (note Ref: SALES CART!C40). Reference names caterer MCAT for the KUL/HKG/KUL sector but no uplift station: confirm whether the HKG-KUL sales cart is loaded at KUL (round trip) or at HKG. Reference gives no uplift stn for this item: preparation checked at the meal uplift stn (HKG) - confirm with caterer.</v>
      </c>
      <c r="C54" s="113" t="str">
        <f aca="false">Checks!$N$559&amp;CHAR(10)&amp;IF(ISNUMBER(Checks!$R$559),TEXT(Checks!$R$559,"DD-MMM-YY HH:MM"),"")&amp;" "&amp;Checks!$P$559</f>
        <v>Clarification required
27-Oct-26 02:50 HKG</v>
      </c>
      <c r="D54" s="113" t="str">
        <f aca="false">IF(Checks!$U$559="","",Checks!$U$559)&amp;IF(Checks!$AB$559="","",CHAR(10)&amp;"CA: "&amp;Checks!$AB$559)</f>
        <v/>
      </c>
      <c r="E54" s="113" t="str">
        <f aca="false">IF(Checks!$V$559="","",Checks!$V$559)&amp;IF(Checks!$AC$559="","",IF(Checks!$V$559="","",CHAR(10))&amp;"N/A just.: "&amp;Checks!$AC$559)&amp;IF(Checks!$W$559="","",CHAR(10)&amp;"Batch: "&amp;Checks!$W$559)&amp;IF(AND(Checks!$X$559="",Checks!$Y$559=""),"",CHAR(10)&amp;"Exp: "&amp;Checks!$X$559&amp;"  /  Act: "&amp;Checks!$Y$559)</f>
        <v/>
      </c>
      <c r="F54" s="113" t="str">
        <f aca="false">IF(Checks!$Z$559="","","Evidence: "&amp;Checks!$Z$559)&amp;IF(Checks!$AA$559="","",IF(Checks!$Z$559="","",CHAR(10))&amp;"CA: "&amp;Checks!$AA$559)</f>
        <v/>
      </c>
      <c r="G54" s="113" t="str">
        <f aca="false">IF(ISNUMBER(Checks!$AD$559),TEXT(Checks!$AD$559,"DD-MMM-YY HH:MM")&amp;" "&amp;Checks!$P$559,"")&amp;IF(Checks!$AE$559="","",CHAR(10)&amp;"Verifier: "&amp;Checks!$AE$559)&amp;IF(Checks!$T$559="","",CHAR(10)&amp;"PIC: "&amp;Checks!$T$559)</f>
        <v/>
      </c>
      <c r="H54" s="114" t="str">
        <f aca="false">IF(Checks!$AH$559="","",Checks!$AH$559)</f>
        <v>OPEN – CLARIFICATION</v>
      </c>
    </row>
    <row r="55" customFormat="false" ht="25.5" hidden="false" customHeight="true" outlineLevel="0" collapsed="false">
      <c r="A55" s="112"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2"/>
      <c r="C55" s="112"/>
      <c r="D55" s="112"/>
      <c r="E55" s="112"/>
      <c r="F55" s="112"/>
      <c r="G55" s="112"/>
      <c r="H55" s="112"/>
    </row>
    <row r="56" customFormat="false" ht="114" hidden="false" customHeight="true" outlineLevel="0" collapsed="false">
      <c r="A56" s="113" t="str">
        <f aca="false">Checks!$A$560&amp;CHAR(10)&amp;IF(Checks!$I$560="","",Checks!$I$560&amp;": ")&amp;Checks!$J$560</f>
        <v>F17-UPL-01
Meal: Meals physically uplifted on board - quantity vs menu checklist</v>
      </c>
      <c r="B56" s="113" t="str">
        <f aca="false">Checks!$K$560&amp;IF(Checks!$O$560="","",IF(Checks!$K$560="","",CHAR(10))&amp;"Note: "&amp;Checks!$O$560)</f>
        <v>Enter expected &amp; actual
Note: Confirm on board before departure; completion time must fall inside the uplift window.</v>
      </c>
      <c r="C56" s="113" t="str">
        <f aca="false">Checks!$N$560&amp;CHAR(10)&amp;IF(ISNUMBER(Checks!$R$560),TEXT(Checks!$R$560,"DD-MMM-YY HH:MM"),"")&amp;" "&amp;Checks!$P$560</f>
        <v>Required
27-Oct-26 14:50 HKG</v>
      </c>
      <c r="D56" s="113" t="str">
        <f aca="false">IF(Checks!$U$560="","",Checks!$U$560)&amp;IF(Checks!$AB$560="","",CHAR(10)&amp;"CA: "&amp;Checks!$AB$560)</f>
        <v/>
      </c>
      <c r="E56" s="113" t="str">
        <f aca="false">IF(Checks!$V$560="","",Checks!$V$560)&amp;IF(Checks!$AC$560="","",IF(Checks!$V$560="","",CHAR(10))&amp;"N/A just.: "&amp;Checks!$AC$560)&amp;IF(Checks!$W$560="","",CHAR(10)&amp;"Batch: "&amp;Checks!$W$560)&amp;IF(AND(Checks!$X$560="",Checks!$Y$560=""),"",CHAR(10)&amp;"Exp: "&amp;Checks!$X$560&amp;"  /  Act: "&amp;Checks!$Y$560)</f>
        <v/>
      </c>
      <c r="F56" s="113" t="str">
        <f aca="false">IF(Checks!$Z$560="","","Evidence: "&amp;Checks!$Z$560)&amp;IF(Checks!$AA$560="","",IF(Checks!$Z$560="","",CHAR(10))&amp;"CA: "&amp;Checks!$AA$560)</f>
        <v/>
      </c>
      <c r="G56" s="113" t="str">
        <f aca="false">IF(ISNUMBER(Checks!$AD$560),TEXT(Checks!$AD$560,"DD-MMM-YY HH:MM")&amp;" "&amp;Checks!$P$560,"")&amp;IF(Checks!$AE$560="","",CHAR(10)&amp;"Verifier: "&amp;Checks!$AE$560)&amp;IF(Checks!$T$560="","",CHAR(10)&amp;"PIC: "&amp;Checks!$T$560)</f>
        <v/>
      </c>
      <c r="H56" s="114" t="str">
        <f aca="false">IF(Checks!$AH$560="","",Checks!$AH$560)</f>
        <v>OPEN</v>
      </c>
    </row>
    <row r="57" customFormat="false" ht="114" hidden="false" customHeight="true" outlineLevel="0" collapsed="false">
      <c r="A57" s="113" t="str">
        <f aca="false">Checks!$A$561&amp;CHAR(10)&amp;IF(Checks!$I$561="","",Checks!$I$561&amp;": ")&amp;Checks!$J$561</f>
        <v>F17-UPL-02
Equipment: Equipment physically loaded at GLD positions - quantity &amp; positions</v>
      </c>
      <c r="B57" s="113" t="str">
        <f aca="false">Checks!$K$561&amp;IF(Checks!$O$561="","",IF(Checks!$K$561="","",CHAR(10))&amp;"Note: "&amp;Checks!$O$561)</f>
        <v>Enter expected &amp; actual
Note: Confirm on board before departure; completion time must fall inside the uplift window.</v>
      </c>
      <c r="C57" s="113" t="str">
        <f aca="false">Checks!$N$561&amp;CHAR(10)&amp;IF(ISNUMBER(Checks!$R$561),TEXT(Checks!$R$561,"DD-MMM-YY HH:MM"),"")&amp;" "&amp;Checks!$P$561</f>
        <v>Required
27-Oct-26 14:50 HKG</v>
      </c>
      <c r="D57" s="113" t="str">
        <f aca="false">IF(Checks!$U$561="","",Checks!$U$561)&amp;IF(Checks!$AB$561="","",CHAR(10)&amp;"CA: "&amp;Checks!$AB$561)</f>
        <v/>
      </c>
      <c r="E57" s="113" t="str">
        <f aca="false">IF(Checks!$V$561="","",Checks!$V$561)&amp;IF(Checks!$AC$561="","",IF(Checks!$V$561="","",CHAR(10))&amp;"N/A just.: "&amp;Checks!$AC$561)&amp;IF(Checks!$W$561="","",CHAR(10)&amp;"Batch: "&amp;Checks!$W$561)&amp;IF(AND(Checks!$X$561="",Checks!$Y$561=""),"",CHAR(10)&amp;"Exp: "&amp;Checks!$X$561&amp;"  /  Act: "&amp;Checks!$Y$561)</f>
        <v/>
      </c>
      <c r="F57" s="113" t="str">
        <f aca="false">IF(Checks!$Z$561="","","Evidence: "&amp;Checks!$Z$561)&amp;IF(Checks!$AA$561="","",IF(Checks!$Z$561="","",CHAR(10))&amp;"CA: "&amp;Checks!$AA$561)</f>
        <v/>
      </c>
      <c r="G57" s="113" t="str">
        <f aca="false">IF(ISNUMBER(Checks!$AD$561),TEXT(Checks!$AD$561,"DD-MMM-YY HH:MM")&amp;" "&amp;Checks!$P$561,"")&amp;IF(Checks!$AE$561="","",CHAR(10)&amp;"Verifier: "&amp;Checks!$AE$561)&amp;IF(Checks!$T$561="","",CHAR(10)&amp;"PIC: "&amp;Checks!$T$561)</f>
        <v/>
      </c>
      <c r="H57" s="114" t="str">
        <f aca="false">IF(Checks!$AH$561="","",Checks!$AH$561)</f>
        <v>OPEN</v>
      </c>
    </row>
    <row r="58" customFormat="false" ht="124.5" hidden="false" customHeight="true" outlineLevel="0" collapsed="false">
      <c r="A58" s="113" t="str">
        <f aca="false">Checks!$A$562&amp;CHAR(10)&amp;IF(Checks!$I$562="","",Checks!$I$562&amp;": ")&amp;Checks!$J$562</f>
        <v>F17-UPL-03
Uplift plan: KUL-sourced items physically loaded at KUL on the inbound KUL-HKG flight</v>
      </c>
      <c r="B58" s="113" t="str">
        <f aca="false">Checks!$K$562&amp;IF(Checks!$O$562="","",IF(Checks!$K$562="","",CHAR(10))&amp;"Note: "&amp;Checks!$O$562)</f>
        <v>Items: Slippers (BS/BC) - Dispo slipper. Quantities as per Requirements
Note: Confirmed at KUL inside the uplift window before the carrying flight's KUL departure (Flights AX).</v>
      </c>
      <c r="C58" s="113" t="str">
        <f aca="false">Checks!$N$562&amp;CHAR(10)&amp;IF(ISNUMBER(Checks!$R$562),TEXT(Checks!$R$562,"DD-MMM-YY HH:MM"),"")&amp;" "&amp;Checks!$P$562</f>
        <v>Required
26-Oct-26 09:10 KUL</v>
      </c>
      <c r="D58" s="113" t="str">
        <f aca="false">IF(Checks!$U$562="","",Checks!$U$562)&amp;IF(Checks!$AB$562="","",CHAR(10)&amp;"CA: "&amp;Checks!$AB$562)</f>
        <v/>
      </c>
      <c r="E58" s="113" t="str">
        <f aca="false">IF(Checks!$V$562="","",Checks!$V$562)&amp;IF(Checks!$AC$562="","",IF(Checks!$V$562="","",CHAR(10))&amp;"N/A just.: "&amp;Checks!$AC$562)&amp;IF(Checks!$W$562="","",CHAR(10)&amp;"Batch: "&amp;Checks!$W$562)&amp;IF(AND(Checks!$X$562="",Checks!$Y$562=""),"",CHAR(10)&amp;"Exp: "&amp;Checks!$X$562&amp;"  /  Act: "&amp;Checks!$Y$562)</f>
        <v/>
      </c>
      <c r="F58" s="113" t="str">
        <f aca="false">IF(Checks!$Z$562="","","Evidence: "&amp;Checks!$Z$562)&amp;IF(Checks!$AA$562="","",IF(Checks!$Z$562="","",CHAR(10))&amp;"CA: "&amp;Checks!$AA$562)</f>
        <v/>
      </c>
      <c r="G58" s="113" t="str">
        <f aca="false">IF(ISNUMBER(Checks!$AD$562),TEXT(Checks!$AD$562,"DD-MMM-YY HH:MM")&amp;" "&amp;Checks!$P$562,"")&amp;IF(Checks!$AE$562="","",CHAR(10)&amp;"Verifier: "&amp;Checks!$AE$562)&amp;IF(Checks!$T$562="","",CHAR(10)&amp;"PIC: "&amp;Checks!$T$562)</f>
        <v/>
      </c>
      <c r="H58" s="114" t="str">
        <f aca="false">IF(Checks!$AH$562="","",Checks!$AH$562)</f>
        <v>OPEN</v>
      </c>
    </row>
    <row r="59" customFormat="false" ht="114" hidden="false" customHeight="true" outlineLevel="0" collapsed="false">
      <c r="A59" s="113" t="str">
        <f aca="false">Checks!$A$563&amp;CHAR(10)&amp;IF(Checks!$I$563="","",Checks!$I$563&amp;": ")&amp;Checks!$J$563</f>
        <v>F17-UPL-04
Amenities: Slippers (BS/BC) - Dispo slipper - on board</v>
      </c>
      <c r="B59" s="113" t="str">
        <f aca="false">Checks!$K$563&amp;IF(Checks!$O$563="","",IF(Checks!$K$563="","",CHAR(10))&amp;"Note: "&amp;Checks!$O$563)</f>
        <v>Available (ticked in reference)</v>
      </c>
      <c r="C59" s="113" t="str">
        <f aca="false">Checks!$N$563&amp;CHAR(10)&amp;IF(ISNUMBER(Checks!$R$563),TEXT(Checks!$R$563,"DD-MMM-YY HH:MM"),"")&amp;" "&amp;Checks!$P$563</f>
        <v>Required
27-Oct-26 14:50 HKG</v>
      </c>
      <c r="D59" s="113" t="str">
        <f aca="false">IF(Checks!$U$563="","",Checks!$U$563)&amp;IF(Checks!$AB$563="","",CHAR(10)&amp;"CA: "&amp;Checks!$AB$563)</f>
        <v/>
      </c>
      <c r="E59" s="113" t="str">
        <f aca="false">IF(Checks!$V$563="","",Checks!$V$563)&amp;IF(Checks!$AC$563="","",IF(Checks!$V$563="","",CHAR(10))&amp;"N/A just.: "&amp;Checks!$AC$563)&amp;IF(Checks!$W$563="","",CHAR(10)&amp;"Batch: "&amp;Checks!$W$563)&amp;IF(AND(Checks!$X$563="",Checks!$Y$563=""),"",CHAR(10)&amp;"Exp: "&amp;Checks!$X$563&amp;"  /  Act: "&amp;Checks!$Y$563)</f>
        <v/>
      </c>
      <c r="F59" s="113" t="str">
        <f aca="false">IF(Checks!$Z$563="","","Evidence: "&amp;Checks!$Z$563)&amp;IF(Checks!$AA$563="","",IF(Checks!$Z$563="","",CHAR(10))&amp;"CA: "&amp;Checks!$AA$563)</f>
        <v/>
      </c>
      <c r="G59" s="113" t="str">
        <f aca="false">IF(ISNUMBER(Checks!$AD$563),TEXT(Checks!$AD$563,"DD-MMM-YY HH:MM")&amp;" "&amp;Checks!$P$563,"")&amp;IF(Checks!$AE$563="","",CHAR(10)&amp;"Verifier: "&amp;Checks!$AE$563)&amp;IF(Checks!$T$563="","",CHAR(10)&amp;"PIC: "&amp;Checks!$T$563)</f>
        <v/>
      </c>
      <c r="H59" s="114" t="str">
        <f aca="false">IF(Checks!$AH$563="","",Checks!$AH$563)</f>
        <v>OPEN</v>
      </c>
    </row>
    <row r="60" customFormat="false" ht="114" hidden="false" customHeight="true" outlineLevel="0" collapsed="false">
      <c r="A60" s="113" t="str">
        <f aca="false">Checks!$A$564&amp;CHAR(10)&amp;IF(Checks!$I$564="","",Checks!$I$564&amp;": ")&amp;Checks!$J$564</f>
        <v>F17-UPL-05
F&amp;B Linen: Towel - on board</v>
      </c>
      <c r="B60" s="113" t="str">
        <f aca="false">Checks!$K$564&amp;IF(Checks!$O$564="","",IF(Checks!$K$564="","",CHAR(10))&amp;"Note: "&amp;Checks!$O$564)</f>
        <v>Available (ticked in reference)</v>
      </c>
      <c r="C60" s="113" t="str">
        <f aca="false">Checks!$N$564&amp;CHAR(10)&amp;IF(ISNUMBER(Checks!$R$564),TEXT(Checks!$R$564,"DD-MMM-YY HH:MM"),"")&amp;" "&amp;Checks!$P$564</f>
        <v>Required
27-Oct-26 14:50 HKG</v>
      </c>
      <c r="D60" s="113" t="str">
        <f aca="false">IF(Checks!$U$564="","",Checks!$U$564)&amp;IF(Checks!$AB$564="","",CHAR(10)&amp;"CA: "&amp;Checks!$AB$564)</f>
        <v/>
      </c>
      <c r="E60" s="113" t="str">
        <f aca="false">IF(Checks!$V$564="","",Checks!$V$564)&amp;IF(Checks!$AC$564="","",IF(Checks!$V$564="","",CHAR(10))&amp;"N/A just.: "&amp;Checks!$AC$564)&amp;IF(Checks!$W$564="","",CHAR(10)&amp;"Batch: "&amp;Checks!$W$564)&amp;IF(AND(Checks!$X$564="",Checks!$Y$564=""),"",CHAR(10)&amp;"Exp: "&amp;Checks!$X$564&amp;"  /  Act: "&amp;Checks!$Y$564)</f>
        <v/>
      </c>
      <c r="F60" s="113" t="str">
        <f aca="false">IF(Checks!$Z$564="","","Evidence: "&amp;Checks!$Z$564)&amp;IF(Checks!$AA$564="","",IF(Checks!$Z$564="","",CHAR(10))&amp;"CA: "&amp;Checks!$AA$564)</f>
        <v/>
      </c>
      <c r="G60" s="113" t="str">
        <f aca="false">IF(ISNUMBER(Checks!$AD$564),TEXT(Checks!$AD$564,"DD-MMM-YY HH:MM")&amp;" "&amp;Checks!$P$564,"")&amp;IF(Checks!$AE$564="","",CHAR(10)&amp;"Verifier: "&amp;Checks!$AE$564)&amp;IF(Checks!$T$564="","",CHAR(10)&amp;"PIC: "&amp;Checks!$T$564)</f>
        <v/>
      </c>
      <c r="H60" s="114" t="str">
        <f aca="false">IF(Checks!$AH$564="","",Checks!$AH$564)</f>
        <v>OPEN</v>
      </c>
    </row>
    <row r="61" customFormat="false" ht="114" hidden="false" customHeight="true" outlineLevel="0" collapsed="false">
      <c r="A61" s="113" t="str">
        <f aca="false">Checks!$A$565&amp;CHAR(10)&amp;IF(Checks!$I$565="","",Checks!$I$565&amp;": ")&amp;Checks!$J$565</f>
        <v>F17-UPL-06
F&amp;B Linen: Tray cloth - on board</v>
      </c>
      <c r="B61" s="113" t="str">
        <f aca="false">Checks!$K$565&amp;IF(Checks!$O$565="","",IF(Checks!$K$565="","",CHAR(10))&amp;"Note: "&amp;Checks!$O$565)</f>
        <v>Available (ticked in reference)</v>
      </c>
      <c r="C61" s="113" t="str">
        <f aca="false">Checks!$N$565&amp;CHAR(10)&amp;IF(ISNUMBER(Checks!$R$565),TEXT(Checks!$R$565,"DD-MMM-YY HH:MM"),"")&amp;" "&amp;Checks!$P$565</f>
        <v>Required
27-Oct-26 14:50 HKG</v>
      </c>
      <c r="D61" s="113" t="str">
        <f aca="false">IF(Checks!$U$565="","",Checks!$U$565)&amp;IF(Checks!$AB$565="","",CHAR(10)&amp;"CA: "&amp;Checks!$AB$565)</f>
        <v/>
      </c>
      <c r="E61" s="113" t="str">
        <f aca="false">IF(Checks!$V$565="","",Checks!$V$565)&amp;IF(Checks!$AC$565="","",IF(Checks!$V$565="","",CHAR(10))&amp;"N/A just.: "&amp;Checks!$AC$565)&amp;IF(Checks!$W$565="","",CHAR(10)&amp;"Batch: "&amp;Checks!$W$565)&amp;IF(AND(Checks!$X$565="",Checks!$Y$565=""),"",CHAR(10)&amp;"Exp: "&amp;Checks!$X$565&amp;"  /  Act: "&amp;Checks!$Y$565)</f>
        <v/>
      </c>
      <c r="F61" s="113" t="str">
        <f aca="false">IF(Checks!$Z$565="","","Evidence: "&amp;Checks!$Z$565)&amp;IF(Checks!$AA$565="","",IF(Checks!$Z$565="","",CHAR(10))&amp;"CA: "&amp;Checks!$AA$565)</f>
        <v/>
      </c>
      <c r="G61" s="113" t="str">
        <f aca="false">IF(ISNUMBER(Checks!$AD$565),TEXT(Checks!$AD$565,"DD-MMM-YY HH:MM")&amp;" "&amp;Checks!$P$565,"")&amp;IF(Checks!$AE$565="","",CHAR(10)&amp;"Verifier: "&amp;Checks!$AE$565)&amp;IF(Checks!$T$565="","",CHAR(10)&amp;"PIC: "&amp;Checks!$T$565)</f>
        <v/>
      </c>
      <c r="H61" s="114" t="str">
        <f aca="false">IF(Checks!$AH$565="","",Checks!$AH$565)</f>
        <v>OPEN</v>
      </c>
    </row>
    <row r="62" customFormat="false" ht="114" hidden="false" customHeight="true" outlineLevel="0" collapsed="false">
      <c r="A62" s="113" t="str">
        <f aca="false">Checks!$A$566&amp;CHAR(10)&amp;IF(Checks!$I$566="","",Checks!$I$566&amp;": ")&amp;Checks!$J$566</f>
        <v>F17-UPL-07
F&amp;B Linen: Napkin - on board</v>
      </c>
      <c r="B62" s="113" t="str">
        <f aca="false">Checks!$K$566&amp;IF(Checks!$O$566="","",IF(Checks!$K$566="","",CHAR(10))&amp;"Note: "&amp;Checks!$O$566)</f>
        <v>Available (ticked in reference)</v>
      </c>
      <c r="C62" s="113" t="str">
        <f aca="false">Checks!$N$566&amp;CHAR(10)&amp;IF(ISNUMBER(Checks!$R$566),TEXT(Checks!$R$566,"DD-MMM-YY HH:MM"),"")&amp;" "&amp;Checks!$P$566</f>
        <v>Required
27-Oct-26 14:50 HKG</v>
      </c>
      <c r="D62" s="113" t="str">
        <f aca="false">IF(Checks!$U$566="","",Checks!$U$566)&amp;IF(Checks!$AB$566="","",CHAR(10)&amp;"CA: "&amp;Checks!$AB$566)</f>
        <v/>
      </c>
      <c r="E62" s="113" t="str">
        <f aca="false">IF(Checks!$V$566="","",Checks!$V$566)&amp;IF(Checks!$AC$566="","",IF(Checks!$V$566="","",CHAR(10))&amp;"N/A just.: "&amp;Checks!$AC$566)&amp;IF(Checks!$W$566="","",CHAR(10)&amp;"Batch: "&amp;Checks!$W$566)&amp;IF(AND(Checks!$X$566="",Checks!$Y$566=""),"",CHAR(10)&amp;"Exp: "&amp;Checks!$X$566&amp;"  /  Act: "&amp;Checks!$Y$566)</f>
        <v/>
      </c>
      <c r="F62" s="113" t="str">
        <f aca="false">IF(Checks!$Z$566="","","Evidence: "&amp;Checks!$Z$566)&amp;IF(Checks!$AA$566="","",IF(Checks!$Z$566="","",CHAR(10))&amp;"CA: "&amp;Checks!$AA$566)</f>
        <v/>
      </c>
      <c r="G62" s="113" t="str">
        <f aca="false">IF(ISNUMBER(Checks!$AD$566),TEXT(Checks!$AD$566,"DD-MMM-YY HH:MM")&amp;" "&amp;Checks!$P$566,"")&amp;IF(Checks!$AE$566="","",CHAR(10)&amp;"Verifier: "&amp;Checks!$AE$566)&amp;IF(Checks!$T$566="","",CHAR(10)&amp;"PIC: "&amp;Checks!$T$566)</f>
        <v/>
      </c>
      <c r="H62" s="114" t="str">
        <f aca="false">IF(Checks!$AH$566="","",Checks!$AH$566)</f>
        <v>OPEN</v>
      </c>
    </row>
    <row r="63" customFormat="false" ht="201.75" hidden="false" customHeight="true" outlineLevel="0" collapsed="false">
      <c r="A63" s="113" t="str">
        <f aca="false">Checks!$A$567&amp;CHAR(10)&amp;IF(Checks!$I$567="","",Checks!$I$567&amp;": ")&amp;Checks!$J$567</f>
        <v>F17-UPL-08
F&amp;B Linen: Table cloth - on board</v>
      </c>
      <c r="B63" s="113" t="str">
        <f aca="false">SUBSTITUTE(Checks!$K$567&amp;IF(Checks!$O$567="","",IF(Checks!$K$567="","",CHAR(10))&amp;"Note: "&amp;Checks!$O$567),"F&amp;B LINEN!","Ref: F&amp;B LINEN!")</f>
        <v>Available (ticked in reference)
Note: Reference contradicts itself: matrix shows _/ for this sector but note Ref: F&amp;B LINEN!B78:C78 says table cloth is 'Not Applicable for Domestic/Asean &amp; Regional' (ORIENTAL). Confirm before loading; if not carried, mark N/A with the confirmation as justification.</v>
      </c>
      <c r="C63" s="113" t="str">
        <f aca="false">Checks!$N$567&amp;CHAR(10)&amp;IF(ISNUMBER(Checks!$R$567),TEXT(Checks!$R$567,"DD-MMM-YY HH:MM"),"")&amp;" "&amp;Checks!$P$567</f>
        <v>Clarification required
27-Oct-26 14:50 HKG</v>
      </c>
      <c r="D63" s="113" t="str">
        <f aca="false">IF(Checks!$U$567="","",Checks!$U$567)&amp;IF(Checks!$AB$567="","",CHAR(10)&amp;"CA: "&amp;Checks!$AB$567)</f>
        <v/>
      </c>
      <c r="E63" s="113" t="str">
        <f aca="false">IF(Checks!$V$567="","",Checks!$V$567)&amp;IF(Checks!$AC$567="","",IF(Checks!$V$567="","",CHAR(10))&amp;"N/A just.: "&amp;Checks!$AC$567)&amp;IF(Checks!$W$567="","",CHAR(10)&amp;"Batch: "&amp;Checks!$W$567)&amp;IF(AND(Checks!$X$567="",Checks!$Y$567=""),"",CHAR(10)&amp;"Exp: "&amp;Checks!$X$567&amp;"  /  Act: "&amp;Checks!$Y$567)</f>
        <v/>
      </c>
      <c r="F63" s="113" t="str">
        <f aca="false">IF(Checks!$Z$567="","","Evidence: "&amp;Checks!$Z$567)&amp;IF(Checks!$AA$567="","",IF(Checks!$Z$567="","",CHAR(10))&amp;"CA: "&amp;Checks!$AA$567)</f>
        <v/>
      </c>
      <c r="G63" s="113" t="str">
        <f aca="false">IF(ISNUMBER(Checks!$AD$567),TEXT(Checks!$AD$567,"DD-MMM-YY HH:MM")&amp;" "&amp;Checks!$P$567,"")&amp;IF(Checks!$AE$567="","",CHAR(10)&amp;"Verifier: "&amp;Checks!$AE$567)&amp;IF(Checks!$T$567="","",CHAR(10)&amp;"PIC: "&amp;Checks!$T$567)</f>
        <v/>
      </c>
      <c r="H63" s="114" t="str">
        <f aca="false">IF(Checks!$AH$567="","",Checks!$AH$567)</f>
        <v>OPEN – CLARIFICATION</v>
      </c>
    </row>
    <row r="64" customFormat="false" ht="201.75" hidden="false" customHeight="true" outlineLevel="0" collapsed="false">
      <c r="A64" s="113" t="str">
        <f aca="false">Checks!$A$568&amp;CHAR(10)&amp;IF(Checks!$I$568="","",Checks!$I$568&amp;": ")&amp;Checks!$J$568</f>
        <v>F17-UPL-09
F&amp;B Linen: Bread linen (using table cloth) - on board</v>
      </c>
      <c r="B64" s="113" t="str">
        <f aca="false">SUBSTITUTE(Checks!$K$568&amp;IF(Checks!$O$568="","",IF(Checks!$K$568="","",CHAR(10))&amp;"Note: "&amp;Checks!$O$568),"F&amp;B LINEN!","Ref: F&amp;B LINEN!")</f>
        <v>Available (ticked in reference)
Note: Reference contradicts itself: matrix shows _/ for this sector but note Ref: F&amp;B LINEN!B78:C78 says table cloth is 'Not Applicable for Domestic/Asean &amp; Regional' (ORIENTAL). Confirm before loading; if not carried, mark N/A with the confirmation as justification.</v>
      </c>
      <c r="C64" s="113" t="str">
        <f aca="false">Checks!$N$568&amp;CHAR(10)&amp;IF(ISNUMBER(Checks!$R$568),TEXT(Checks!$R$568,"DD-MMM-YY HH:MM"),"")&amp;" "&amp;Checks!$P$568</f>
        <v>Clarification required
27-Oct-26 14:50 HKG</v>
      </c>
      <c r="D64" s="113" t="str">
        <f aca="false">IF(Checks!$U$568="","",Checks!$U$568)&amp;IF(Checks!$AB$568="","",CHAR(10)&amp;"CA: "&amp;Checks!$AB$568)</f>
        <v/>
      </c>
      <c r="E64" s="113" t="str">
        <f aca="false">IF(Checks!$V$568="","",Checks!$V$568)&amp;IF(Checks!$AC$568="","",IF(Checks!$V$568="","",CHAR(10))&amp;"N/A just.: "&amp;Checks!$AC$568)&amp;IF(Checks!$W$568="","",CHAR(10)&amp;"Batch: "&amp;Checks!$W$568)&amp;IF(AND(Checks!$X$568="",Checks!$Y$568=""),"",CHAR(10)&amp;"Exp: "&amp;Checks!$X$568&amp;"  /  Act: "&amp;Checks!$Y$568)</f>
        <v/>
      </c>
      <c r="F64" s="113" t="str">
        <f aca="false">IF(Checks!$Z$568="","","Evidence: "&amp;Checks!$Z$568)&amp;IF(Checks!$AA$568="","",IF(Checks!$Z$568="","",CHAR(10))&amp;"CA: "&amp;Checks!$AA$568)</f>
        <v/>
      </c>
      <c r="G64" s="113" t="str">
        <f aca="false">IF(ISNUMBER(Checks!$AD$568),TEXT(Checks!$AD$568,"DD-MMM-YY HH:MM")&amp;" "&amp;Checks!$P$568,"")&amp;IF(Checks!$AE$568="","",CHAR(10)&amp;"Verifier: "&amp;Checks!$AE$568)&amp;IF(Checks!$T$568="","",CHAR(10)&amp;"PIC: "&amp;Checks!$T$568)</f>
        <v/>
      </c>
      <c r="H64" s="114" t="str">
        <f aca="false">IF(Checks!$AH$568="","",Checks!$AH$568)</f>
        <v>OPEN – CLARIFICATION</v>
      </c>
    </row>
    <row r="65" customFormat="false" ht="114" hidden="false" customHeight="true" outlineLevel="0" collapsed="false">
      <c r="A65" s="113" t="str">
        <f aca="false">Checks!$A$569&amp;CHAR(10)&amp;IF(Checks!$I$569="","",Checks!$I$569&amp;": ")&amp;Checks!$J$569</f>
        <v>F17-UPL-10
F&amp;B Linen: Trolley cloth - on board</v>
      </c>
      <c r="B65" s="113" t="str">
        <f aca="false">SUBSTITUTE(Checks!$K$569&amp;IF(Checks!$O$569="","",IF(Checks!$K$569="","",CHAR(10))&amp;"Note: "&amp;Checks!$O$569),"F&amp;B LINEN!","Ref: F&amp;B LINEN!")</f>
        <v>Narrow body: Top only
Note: Per note Ref: F&amp;B LINEN!B79:C80.</v>
      </c>
      <c r="C65" s="113" t="str">
        <f aca="false">Checks!$N$569&amp;CHAR(10)&amp;IF(ISNUMBER(Checks!$R$569),TEXT(Checks!$R$569,"DD-MMM-YY HH:MM"),"")&amp;" "&amp;Checks!$P$569</f>
        <v>Required
27-Oct-26 14:50 HKG</v>
      </c>
      <c r="D65" s="113" t="str">
        <f aca="false">IF(Checks!$U$569="","",Checks!$U$569)&amp;IF(Checks!$AB$569="","",CHAR(10)&amp;"CA: "&amp;Checks!$AB$569)</f>
        <v/>
      </c>
      <c r="E65" s="113" t="str">
        <f aca="false">IF(Checks!$V$569="","",Checks!$V$569)&amp;IF(Checks!$AC$569="","",IF(Checks!$V$569="","",CHAR(10))&amp;"N/A just.: "&amp;Checks!$AC$569)&amp;IF(Checks!$W$569="","",CHAR(10)&amp;"Batch: "&amp;Checks!$W$569)&amp;IF(AND(Checks!$X$569="",Checks!$Y$569=""),"",CHAR(10)&amp;"Exp: "&amp;Checks!$X$569&amp;"  /  Act: "&amp;Checks!$Y$569)</f>
        <v/>
      </c>
      <c r="F65" s="113" t="str">
        <f aca="false">IF(Checks!$Z$569="","","Evidence: "&amp;Checks!$Z$569)&amp;IF(Checks!$AA$569="","",IF(Checks!$Z$569="","",CHAR(10))&amp;"CA: "&amp;Checks!$AA$569)</f>
        <v/>
      </c>
      <c r="G65" s="113" t="str">
        <f aca="false">IF(ISNUMBER(Checks!$AD$569),TEXT(Checks!$AD$569,"DD-MMM-YY HH:MM")&amp;" "&amp;Checks!$P$569,"")&amp;IF(Checks!$AE$569="","",CHAR(10)&amp;"Verifier: "&amp;Checks!$AE$569)&amp;IF(Checks!$T$569="","",CHAR(10)&amp;"PIC: "&amp;Checks!$T$569)</f>
        <v/>
      </c>
      <c r="H65" s="114" t="str">
        <f aca="false">IF(Checks!$AH$569="","",Checks!$AH$569)</f>
        <v>OPEN</v>
      </c>
    </row>
    <row r="66" customFormat="false" ht="114" hidden="false" customHeight="true" outlineLevel="0" collapsed="false">
      <c r="A66" s="113" t="str">
        <f aca="false">Checks!$A$570&amp;CHAR(10)&amp;IF(Checks!$I$570="","",Checks!$I$570&amp;": ")&amp;Checks!$J$570</f>
        <v>F17-UPL-11
F&amp;B Linen: Linen bag - on board</v>
      </c>
      <c r="B66" s="113" t="str">
        <f aca="false">Checks!$K$570&amp;IF(Checks!$O$570="","",IF(Checks!$K$570="","",CHAR(10))&amp;"Note: "&amp;Checks!$O$570)</f>
        <v>Available (ticked in reference)</v>
      </c>
      <c r="C66" s="113" t="str">
        <f aca="false">Checks!$N$570&amp;CHAR(10)&amp;IF(ISNUMBER(Checks!$R$570),TEXT(Checks!$R$570,"DD-MMM-YY HH:MM"),"")&amp;" "&amp;Checks!$P$570</f>
        <v>Required
27-Oct-26 14:50 HKG</v>
      </c>
      <c r="D66" s="113" t="str">
        <f aca="false">IF(Checks!$U$570="","",Checks!$U$570)&amp;IF(Checks!$AB$570="","",CHAR(10)&amp;"CA: "&amp;Checks!$AB$570)</f>
        <v/>
      </c>
      <c r="E66" s="113" t="str">
        <f aca="false">IF(Checks!$V$570="","",Checks!$V$570)&amp;IF(Checks!$AC$570="","",IF(Checks!$V$570="","",CHAR(10))&amp;"N/A just.: "&amp;Checks!$AC$570)&amp;IF(Checks!$W$570="","",CHAR(10)&amp;"Batch: "&amp;Checks!$W$570)&amp;IF(AND(Checks!$X$570="",Checks!$Y$570=""),"",CHAR(10)&amp;"Exp: "&amp;Checks!$X$570&amp;"  /  Act: "&amp;Checks!$Y$570)</f>
        <v/>
      </c>
      <c r="F66" s="113" t="str">
        <f aca="false">IF(Checks!$Z$570="","","Evidence: "&amp;Checks!$Z$570)&amp;IF(Checks!$AA$570="","",IF(Checks!$Z$570="","",CHAR(10))&amp;"CA: "&amp;Checks!$AA$570)</f>
        <v/>
      </c>
      <c r="G66" s="113" t="str">
        <f aca="false">IF(ISNUMBER(Checks!$AD$570),TEXT(Checks!$AD$570,"DD-MMM-YY HH:MM")&amp;" "&amp;Checks!$P$570,"")&amp;IF(Checks!$AE$570="","",CHAR(10)&amp;"Verifier: "&amp;Checks!$AE$570)&amp;IF(Checks!$T$570="","",CHAR(10)&amp;"PIC: "&amp;Checks!$T$570)</f>
        <v/>
      </c>
      <c r="H66" s="114" t="str">
        <f aca="false">IF(Checks!$AH$570="","",Checks!$AH$570)</f>
        <v>OPEN</v>
      </c>
    </row>
    <row r="67" customFormat="false" ht="114" hidden="false" customHeight="true" outlineLevel="0" collapsed="false">
      <c r="A67" s="113" t="str">
        <f aca="false">Checks!$A$571&amp;CHAR(10)&amp;IF(Checks!$I$571="","",Checks!$I$571&amp;": ")&amp;Checks!$J$571</f>
        <v>F17-UPL-12
Seat Linen: Seat pillow (BS &amp; BC) - on board</v>
      </c>
      <c r="B67" s="113" t="str">
        <f aca="false">Checks!$K$571&amp;IF(Checks!$O$571="","",IF(Checks!$K$571="","",CHAR(10))&amp;"Note: "&amp;Checks!$O$571)</f>
        <v>Available 100% (ticked in reference)</v>
      </c>
      <c r="C67" s="113" t="str">
        <f aca="false">Checks!$N$571&amp;CHAR(10)&amp;IF(ISNUMBER(Checks!$R$571),TEXT(Checks!$R$571,"DD-MMM-YY HH:MM"),"")&amp;" "&amp;Checks!$P$571</f>
        <v>Required
27-Oct-26 14:50 HKG</v>
      </c>
      <c r="D67" s="113" t="str">
        <f aca="false">IF(Checks!$U$571="","",Checks!$U$571)&amp;IF(Checks!$AB$571="","",CHAR(10)&amp;"CA: "&amp;Checks!$AB$571)</f>
        <v/>
      </c>
      <c r="E67" s="113" t="str">
        <f aca="false">IF(Checks!$V$571="","",Checks!$V$571)&amp;IF(Checks!$AC$571="","",IF(Checks!$V$571="","",CHAR(10))&amp;"N/A just.: "&amp;Checks!$AC$571)&amp;IF(Checks!$W$571="","",CHAR(10)&amp;"Batch: "&amp;Checks!$W$571)&amp;IF(AND(Checks!$X$571="",Checks!$Y$571=""),"",CHAR(10)&amp;"Exp: "&amp;Checks!$X$571&amp;"  /  Act: "&amp;Checks!$Y$571)</f>
        <v/>
      </c>
      <c r="F67" s="113" t="str">
        <f aca="false">IF(Checks!$Z$571="","","Evidence: "&amp;Checks!$Z$571)&amp;IF(Checks!$AA$571="","",IF(Checks!$Z$571="","",CHAR(10))&amp;"CA: "&amp;Checks!$AA$571)</f>
        <v/>
      </c>
      <c r="G67" s="113" t="str">
        <f aca="false">IF(ISNUMBER(Checks!$AD$571),TEXT(Checks!$AD$571,"DD-MMM-YY HH:MM")&amp;" "&amp;Checks!$P$571,"")&amp;IF(Checks!$AE$571="","",CHAR(10)&amp;"Verifier: "&amp;Checks!$AE$571)&amp;IF(Checks!$T$571="","",CHAR(10)&amp;"PIC: "&amp;Checks!$T$571)</f>
        <v/>
      </c>
      <c r="H67" s="114" t="str">
        <f aca="false">IF(Checks!$AH$571="","",Checks!$AH$571)</f>
        <v>OPEN</v>
      </c>
    </row>
    <row r="68" customFormat="false" ht="114" hidden="false" customHeight="true" outlineLevel="0" collapsed="false">
      <c r="A68" s="113" t="str">
        <f aca="false">Checks!$A$572&amp;CHAR(10)&amp;IF(Checks!$I$572="","",Checks!$I$572&amp;": ")&amp;Checks!$J$572</f>
        <v>F17-UPL-13
Seat Linen: Blanket (BS &amp; BC) - on board</v>
      </c>
      <c r="B68" s="113" t="str">
        <f aca="false">Checks!$K$572&amp;IF(Checks!$O$572="","",IF(Checks!$K$572="","",CHAR(10))&amp;"Note: "&amp;Checks!$O$572)</f>
        <v>Available 100% (ticked in reference)</v>
      </c>
      <c r="C68" s="113" t="str">
        <f aca="false">Checks!$N$572&amp;CHAR(10)&amp;IF(ISNUMBER(Checks!$R$572),TEXT(Checks!$R$572,"DD-MMM-YY HH:MM"),"")&amp;" "&amp;Checks!$P$572</f>
        <v>Required
27-Oct-26 14:50 HKG</v>
      </c>
      <c r="D68" s="113" t="str">
        <f aca="false">IF(Checks!$U$572="","",Checks!$U$572)&amp;IF(Checks!$AB$572="","",CHAR(10)&amp;"CA: "&amp;Checks!$AB$572)</f>
        <v/>
      </c>
      <c r="E68" s="113" t="str">
        <f aca="false">IF(Checks!$V$572="","",Checks!$V$572)&amp;IF(Checks!$AC$572="","",IF(Checks!$V$572="","",CHAR(10))&amp;"N/A just.: "&amp;Checks!$AC$572)&amp;IF(Checks!$W$572="","",CHAR(10)&amp;"Batch: "&amp;Checks!$W$572)&amp;IF(AND(Checks!$X$572="",Checks!$Y$572=""),"",CHAR(10)&amp;"Exp: "&amp;Checks!$X$572&amp;"  /  Act: "&amp;Checks!$Y$572)</f>
        <v/>
      </c>
      <c r="F68" s="113" t="str">
        <f aca="false">IF(Checks!$Z$572="","","Evidence: "&amp;Checks!$Z$572)&amp;IF(Checks!$AA$572="","",IF(Checks!$Z$572="","",CHAR(10))&amp;"CA: "&amp;Checks!$AA$572)</f>
        <v/>
      </c>
      <c r="G68" s="113" t="str">
        <f aca="false">IF(ISNUMBER(Checks!$AD$572),TEXT(Checks!$AD$572,"DD-MMM-YY HH:MM")&amp;" "&amp;Checks!$P$572,"")&amp;IF(Checks!$AE$572="","",CHAR(10)&amp;"Verifier: "&amp;Checks!$AE$572)&amp;IF(Checks!$T$572="","",CHAR(10)&amp;"PIC: "&amp;Checks!$T$572)</f>
        <v/>
      </c>
      <c r="H68" s="114" t="str">
        <f aca="false">IF(Checks!$AH$572="","",Checks!$AH$572)</f>
        <v>OPEN</v>
      </c>
    </row>
    <row r="69" customFormat="false" ht="147" hidden="false" customHeight="true" outlineLevel="0" collapsed="false">
      <c r="A69" s="113" t="str">
        <f aca="false">Checks!$A$573&amp;CHAR(10)&amp;IF(Checks!$I$573="","",Checks!$I$573&amp;": ")&amp;Checks!$J$573</f>
        <v>F17-UPL-14
Sales Cart: Sales cart (caterer MCAT) - on board</v>
      </c>
      <c r="B69" s="113" t="str">
        <f aca="false">SUBSTITUTE(Checks!$K$573&amp;IF(Checks!$O$573="","",IF(Checks!$K$573="","",CHAR(10))&amp;"Note: "&amp;Checks!$O$573),"SALES CART!","Ref: SALES CART!")</f>
        <v>Location 210A (B7M8)
Note: Block 4.08 h &gt;= 4 h (note Ref: SALES CART!C40). Reference names caterer MCAT for the KUL/HKG/KUL sector but no uplift station: confirm whether the HKG-KUL sales cart is loaded at KUL (round trip) or at HKG.</v>
      </c>
      <c r="C69" s="113" t="str">
        <f aca="false">Checks!$N$573&amp;CHAR(10)&amp;IF(ISNUMBER(Checks!$R$573),TEXT(Checks!$R$573,"DD-MMM-YY HH:MM"),"")&amp;" "&amp;Checks!$P$573</f>
        <v>Clarification required
27-Oct-26 14:50 HKG</v>
      </c>
      <c r="D69" s="113" t="str">
        <f aca="false">IF(Checks!$U$573="","",Checks!$U$573)&amp;IF(Checks!$AB$573="","",CHAR(10)&amp;"CA: "&amp;Checks!$AB$573)</f>
        <v/>
      </c>
      <c r="E69" s="113" t="str">
        <f aca="false">IF(Checks!$V$573="","",Checks!$V$573)&amp;IF(Checks!$AC$573="","",IF(Checks!$V$573="","",CHAR(10))&amp;"N/A just.: "&amp;Checks!$AC$573)&amp;IF(Checks!$W$573="","",CHAR(10)&amp;"Batch: "&amp;Checks!$W$573)&amp;IF(AND(Checks!$X$573="",Checks!$Y$573=""),"",CHAR(10)&amp;"Exp: "&amp;Checks!$X$573&amp;"  /  Act: "&amp;Checks!$Y$573)</f>
        <v/>
      </c>
      <c r="F69" s="113" t="str">
        <f aca="false">IF(Checks!$Z$573="","","Evidence: "&amp;Checks!$Z$573)&amp;IF(Checks!$AA$573="","",IF(Checks!$Z$573="","",CHAR(10))&amp;"CA: "&amp;Checks!$AA$573)</f>
        <v/>
      </c>
      <c r="G69" s="113" t="str">
        <f aca="false">IF(ISNUMBER(Checks!$AD$573),TEXT(Checks!$AD$573,"DD-MMM-YY HH:MM")&amp;" "&amp;Checks!$P$573,"")&amp;IF(Checks!$AE$573="","",CHAR(10)&amp;"Verifier: "&amp;Checks!$AE$573)&amp;IF(Checks!$T$573="","",CHAR(10)&amp;"PIC: "&amp;Checks!$T$573)</f>
        <v/>
      </c>
      <c r="H69" s="114" t="str">
        <f aca="false">IF(Checks!$AH$573="","",Checks!$AH$573)</f>
        <v>OPEN – CLARIFICATION</v>
      </c>
    </row>
    <row r="71" customFormat="false" ht="24" hidden="false" customHeight="true" outlineLevel="0" collapsed="false">
      <c r="A71" s="115" t="s">
        <v>1650</v>
      </c>
      <c r="B71" s="115"/>
      <c r="C71" s="115"/>
      <c r="D71" s="115"/>
      <c r="E71" s="115" t="s">
        <v>1651</v>
      </c>
      <c r="F71" s="115"/>
      <c r="G71" s="115"/>
      <c r="H71" s="115"/>
    </row>
    <row r="72" customFormat="false" ht="21.75" hidden="false" customHeight="true" outlineLevel="0" collapsed="false">
      <c r="A72" s="116"/>
      <c r="B72" s="116"/>
      <c r="C72" s="116"/>
      <c r="D72" s="116"/>
      <c r="E72" s="116"/>
      <c r="F72" s="116"/>
      <c r="G72" s="116"/>
      <c r="H72" s="116"/>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sheetData>
  <sheetProtection sheet="true" formatCells="false" formatColumns="false" formatRows="false" sort="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9">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69">
    <cfRule type="expression" priority="17" aboveAverage="0" equalAverage="0" bottom="0" percent="0" rank="0" text="" dxfId="34">
      <formula>LEFT($H24,3)="N/A"</formula>
    </cfRule>
  </conditionalFormatting>
  <conditionalFormatting sqref="D24:D69">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F18  "&amp;Flights!$F$22&amp;"  "&amp;TEXT(Flights!$D$22,"DD-MMM-YY")&amp;" ("&amp;Flights!$E$22&amp;")  "&amp;Flights!$G$22&amp;" → "&amp;Flights!$H$22&amp;"  |  Class "&amp;Flights!$K$22</f>
        <v>SKYTRAX 2026 CATERING READINESS CHECKLIST  |  F18  MH0052  27-Oct-26 (TUE)  KUL → KIX  |  Class BC</v>
      </c>
      <c r="B1" s="91"/>
      <c r="C1" s="91"/>
      <c r="D1" s="91"/>
      <c r="E1" s="91"/>
      <c r="F1" s="91"/>
      <c r="G1" s="91"/>
      <c r="H1" s="91"/>
    </row>
    <row r="2" customFormat="false" ht="12.75" hidden="false" customHeight="true" outlineLevel="0" collapsed="false">
      <c r="A2" s="92" t="s">
        <v>1605</v>
      </c>
      <c r="B2" s="93" t="str">
        <f aca="false">Flights!$F$22&amp;"   "&amp;TEXT(Flights!$D$22,"DD-MMM-YY")&amp;" ("&amp;Flights!$E$22&amp;")"</f>
        <v>MH0052   27-Oct-26 (TUE)</v>
      </c>
      <c r="C2" s="93"/>
      <c r="D2" s="93"/>
      <c r="E2" s="94" t="s">
        <v>1606</v>
      </c>
      <c r="F2" s="95" t="str">
        <f aca="false">Flights!$AT$22</f>
        <v>NOT READY – DOCUMENTS</v>
      </c>
      <c r="G2" s="95"/>
      <c r="H2" s="95"/>
    </row>
    <row r="3" customFormat="false" ht="24" hidden="false" customHeight="true" outlineLevel="0" collapsed="false">
      <c r="A3" s="92" t="s">
        <v>1607</v>
      </c>
      <c r="B3" s="93" t="str">
        <f aca="false">Flights!$G$22&amp;" → "&amp;Flights!$H$22&amp;"   Class "&amp;Flights!$K$22&amp;"   Seat "&amp;Flights!$O$22</f>
        <v>KUL → KIX   Class BC   Seat 1D</v>
      </c>
      <c r="C3" s="93"/>
      <c r="D3" s="93"/>
      <c r="E3" s="94" t="s">
        <v>68</v>
      </c>
      <c r="F3" s="94" t="s">
        <v>1608</v>
      </c>
      <c r="G3" s="94" t="s">
        <v>1609</v>
      </c>
      <c r="H3" s="94"/>
    </row>
    <row r="4" customFormat="false" ht="24" hidden="false" customHeight="true" outlineLevel="0" collapsed="false">
      <c r="A4" s="92" t="s">
        <v>1610</v>
      </c>
      <c r="B4" s="93" t="str">
        <f aca="false">IF(ISNUMBER(Flights!$I$22),TEXT(Flights!$I$22,"DD-MMM-YY HH:MM"),"")&amp;" "&amp;Flights!$G$22&amp;"  →  "&amp;IF(ISNUMBER(Flights!$J$22),TEXT(Flights!$J$22,"DD-MMM-YY HH:MM"),"")&amp;" "&amp;Flights!$H$22</f>
        <v>27-Oct-26 22:25 KUL  →  28-Oct-26 05:55 KIX</v>
      </c>
      <c r="C4" s="93"/>
      <c r="D4" s="93"/>
      <c r="E4" s="92" t="s">
        <v>1611</v>
      </c>
      <c r="F4" s="96" t="str">
        <f aca="false">IF(ISNUMBER(Flights!$AG$22),TEXT(Flights!$AG$22,"DD-MMM-YY HH:MM"),"")&amp;" "&amp;Flights!$V$22</f>
        <v>20-Oct-26 22:25 KUL</v>
      </c>
      <c r="G4" s="97" t="n">
        <f aca="false">Flights!$AJ$22</f>
        <v>0</v>
      </c>
      <c r="H4" s="97"/>
    </row>
    <row r="5" customFormat="false" ht="24" hidden="false" customHeight="true" outlineLevel="0" collapsed="false">
      <c r="A5" s="92" t="s">
        <v>1612</v>
      </c>
      <c r="B5" s="93" t="str">
        <f aca="false">Flights!$L$22&amp;" – "&amp;Flights!$M$22</f>
        <v>A333 – A330-300 (A333)</v>
      </c>
      <c r="C5" s="93"/>
      <c r="D5" s="93"/>
      <c r="E5" s="92" t="s">
        <v>1613</v>
      </c>
      <c r="F5" s="96" t="str">
        <f aca="false">IF(ISNUMBER(Flights!$AH$22),TEXT(Flights!$AH$22,"DD-MMM-YY HH:MM"),"")&amp;" "&amp;Flights!$V$22</f>
        <v>26-Oct-26 22:25 KUL</v>
      </c>
      <c r="G5" s="97" t="n">
        <f aca="false">Flights!$AK$22</f>
        <v>0</v>
      </c>
      <c r="H5" s="97"/>
    </row>
    <row r="6" customFormat="false" ht="24" hidden="false" customHeight="true" outlineLevel="0" collapsed="false">
      <c r="A6" s="92" t="s">
        <v>1614</v>
      </c>
      <c r="B6" s="93" t="str">
        <f aca="false">IF(TRIM(Flights!$N$22)="","__________________",Flights!$N$22)</f>
        <v>__________________</v>
      </c>
      <c r="C6" s="93"/>
      <c r="D6" s="93"/>
      <c r="E6" s="92" t="s">
        <v>1615</v>
      </c>
      <c r="F6" s="96" t="str">
        <f aca="false">IF(ISNUMBER(Flights!$AI$22),TEXT(Flights!$AI$22,"DD-MMM-YY HH:MM"),"")&amp;" "&amp;Flights!$V$22&amp;IF(Flights!$AI$22=Flights!$AH$22,"  (= T-24H due)","")</f>
        <v>27-Oct-26 10:25 KUL</v>
      </c>
      <c r="G6" s="97" t="n">
        <f aca="false">Flights!$AL$22</f>
        <v>0</v>
      </c>
      <c r="H6" s="97"/>
    </row>
    <row r="7" customFormat="false" ht="24" hidden="false" customHeight="true" outlineLevel="0" collapsed="false">
      <c r="A7" s="92" t="s">
        <v>1616</v>
      </c>
      <c r="B7" s="93" t="str">
        <f aca="false">Flights!$T$22</f>
        <v>1.5 Meal (Meal)</v>
      </c>
      <c r="C7" s="93"/>
      <c r="D7" s="93"/>
      <c r="E7" s="92" t="s">
        <v>1617</v>
      </c>
      <c r="F7" s="96" t="str">
        <f aca="false">"STD "&amp;IF(ISNUMBER(Flights!$I$22),TEXT(Flights!$I$22,"DD-MMM-YY HH:MM"),"")&amp;" "&amp;Flights!$G$22&amp;" (dep stn)"</f>
        <v>STD 27-Oct-26 22:25 KUL (dep stn)</v>
      </c>
      <c r="G7" s="97" t="n">
        <f aca="false">Flights!$AM$22</f>
        <v>0</v>
      </c>
      <c r="H7" s="97"/>
    </row>
    <row r="8" customFormat="false" ht="12.75" hidden="false" customHeight="true" outlineLevel="0" collapsed="false">
      <c r="A8" s="92" t="s">
        <v>150</v>
      </c>
      <c r="B8" s="93" t="str">
        <f aca="false">Flights!$V$22&amp;"   (reference uplift stns: "&amp;Flights!$U$22&amp;")"</f>
        <v>KUL   (reference uplift stns: KUL/KIX)</v>
      </c>
      <c r="C8" s="93"/>
      <c r="D8" s="93"/>
      <c r="E8" s="92" t="s">
        <v>1618</v>
      </c>
      <c r="F8" s="98" t="s">
        <v>1619</v>
      </c>
      <c r="G8" s="97" t="n">
        <f aca="false">Flights!$AN$22</f>
        <v>0</v>
      </c>
      <c r="H8" s="97"/>
    </row>
    <row r="9" customFormat="false" ht="12.75" hidden="false" customHeight="true" outlineLevel="0" collapsed="false">
      <c r="A9" s="92" t="s">
        <v>1620</v>
      </c>
      <c r="B9" s="93" t="str">
        <f aca="false">TRIM(Flights!$P$22&amp;"  "&amp;Flights!$Q$22)</f>
        <v>3H 30M Overnight KIX</v>
      </c>
      <c r="C9" s="93"/>
      <c r="D9" s="93"/>
      <c r="E9" s="92" t="s">
        <v>1621</v>
      </c>
      <c r="F9" s="99" t="n">
        <f aca="false">Flights!$AP$22</f>
        <v>0</v>
      </c>
      <c r="G9" s="99" t="n">
        <f aca="false">Flights!$AQ$22</f>
        <v>0</v>
      </c>
      <c r="H9" s="99" t="n">
        <f aca="false">Flights!$AU$22</f>
        <v>0</v>
      </c>
    </row>
    <row r="10" customFormat="false" ht="24" hidden="false" customHeight="true" outlineLevel="0" collapsed="false">
      <c r="A10" s="92" t="s">
        <v>1622</v>
      </c>
      <c r="B10" s="93" t="str">
        <f aca="false">IF(TRIM(Flights!$X$22)="","__________________",Flights!$X$22)</f>
        <v>__________________</v>
      </c>
      <c r="C10" s="93"/>
      <c r="D10" s="93"/>
      <c r="E10" s="92" t="s">
        <v>1623</v>
      </c>
      <c r="F10" s="99" t="n">
        <f aca="false">Flights!$AO$22</f>
        <v>44</v>
      </c>
      <c r="G10" s="99" t="n">
        <f aca="false">Flights!$AS$22</f>
        <v>0</v>
      </c>
      <c r="H10" s="99" t="n">
        <f aca="false">Flights!$AR$22</f>
        <v>2</v>
      </c>
    </row>
    <row r="11" customFormat="false" ht="21" hidden="false" customHeight="true" outlineLevel="0" collapsed="false">
      <c r="A11" s="92" t="s">
        <v>1624</v>
      </c>
      <c r="B11" s="93" t="str">
        <f aca="false">IF(TRIM(Flights!$Y$22)="","__________________",Flights!$Y$22)</f>
        <v>__________________</v>
      </c>
      <c r="C11" s="93"/>
      <c r="D11" s="93"/>
      <c r="E11" s="92" t="s">
        <v>1625</v>
      </c>
      <c r="F11" s="99" t="str">
        <f aca="false">Flights!$AV$22&amp;" / "&amp;Flights!$AW$22</f>
        <v>0 / 44</v>
      </c>
      <c r="G11" s="100" t="str">
        <f aca="false">IF(ISNUMBER(Settings!$B$6),TEXT(Settings!$B$6,"DD-MMM-YY HH:MM"),"")</f>
        <v>28-Sep-26 03:19</v>
      </c>
      <c r="H11" s="100"/>
    </row>
    <row r="12" customFormat="false" ht="34.5" hidden="false" customHeight="true" outlineLevel="0" collapsed="false">
      <c r="A12" s="101" t="s">
        <v>1626</v>
      </c>
      <c r="B12" s="101"/>
      <c r="C12" s="101"/>
      <c r="D12" s="101"/>
      <c r="E12" s="102" t="s">
        <v>1627</v>
      </c>
      <c r="F12" s="103" t="s">
        <v>1628</v>
      </c>
      <c r="G12" s="104" t="s">
        <v>89</v>
      </c>
      <c r="H12" s="105" t="s">
        <v>1629</v>
      </c>
    </row>
    <row r="13" customFormat="false" ht="13.5" hidden="false" customHeight="true" outlineLevel="0" collapsed="false">
      <c r="A13" s="94" t="s">
        <v>1630</v>
      </c>
      <c r="B13" s="94" t="s">
        <v>1631</v>
      </c>
      <c r="C13" s="94" t="s">
        <v>1632</v>
      </c>
      <c r="D13" s="94"/>
      <c r="E13" s="94" t="s">
        <v>1633</v>
      </c>
      <c r="F13" s="94" t="s">
        <v>1634</v>
      </c>
      <c r="G13" s="94"/>
      <c r="H13" s="94"/>
    </row>
    <row r="14" customFormat="false" ht="36" hidden="false" customHeight="true" outlineLevel="0" collapsed="false">
      <c r="A14" s="92" t="s">
        <v>1635</v>
      </c>
      <c r="B14" s="93" t="str">
        <f aca="false">IF(Documents!$F$22="","",Documents!$F$22)</f>
        <v/>
      </c>
      <c r="C14" s="98" t="str">
        <f aca="false">IF(Documents!$G$22="","",Documents!$G$22)&amp;IF(ISNUMBER(Documents!$H$22),"  "&amp;TEXT(Documents!$H$22,"DD-MMM-YY"),"")</f>
        <v/>
      </c>
      <c r="D14" s="98"/>
      <c r="E14" s="106" t="str">
        <f aca="false">IF(Documents!$J$22="OUTSTANDING","OUTSTANDING – attach before T-7D (due "&amp;IF(ISNUMBER(Flights!$AG$22),TEXT(Flights!$AG$22,"DD-MMM-YY HH:MM"),"")&amp;" "&amp;Flights!$V$22&amp;")",IF(Documents!$J$22="","Status not recorded",Documents!$J$22))</f>
        <v>OUTSTANDING – attach before T-7D (due 20-Oct-26 22:25 KUL)</v>
      </c>
      <c r="F14" s="107" t="str">
        <f aca="false">"Staple behind this sheet as page A1."&amp;IF(Documents!$I$22="",""," Location: "&amp;Documents!$I$22)</f>
        <v>Staple behind this sheet as page A1.</v>
      </c>
      <c r="G14" s="107"/>
      <c r="H14" s="107"/>
    </row>
    <row r="15" customFormat="false" ht="36" hidden="false" customHeight="true" outlineLevel="0" collapsed="false">
      <c r="A15" s="92" t="s">
        <v>1636</v>
      </c>
      <c r="B15" s="93" t="str">
        <f aca="false">IF(Documents!$K$22="","",Documents!$K$22)</f>
        <v/>
      </c>
      <c r="C15" s="98" t="str">
        <f aca="false">IF(Documents!$L$22="","",Documents!$L$22)&amp;IF(ISNUMBER(Documents!$M$22),"  "&amp;TEXT(Documents!$M$22,"DD-MMM-YY"),"")</f>
        <v/>
      </c>
      <c r="D15" s="98"/>
      <c r="E15" s="106" t="str">
        <f aca="false">IF(Documents!$O$22="OUTSTANDING","OUTSTANDING – attach before T-7D (due "&amp;IF(ISNUMBER(Flights!$AG$22),TEXT(Flights!$AG$22,"DD-MMM-YY HH:MM"),"")&amp;" "&amp;Flights!$V$22&amp;")",IF(Documents!$O$22="","Status not recorded",Documents!$O$22))</f>
        <v>OUTSTANDING – attach before T-7D (due 20-Oct-26 22:25 KUL)</v>
      </c>
      <c r="F15" s="107" t="str">
        <f aca="false">"Staple behind this sheet as page A2."&amp;IF(Documents!$N$22="",""," Location: "&amp;Documents!$N$22)</f>
        <v>Staple behind this sheet as page A2.</v>
      </c>
      <c r="G15" s="107"/>
      <c r="H15" s="107"/>
    </row>
    <row r="16" customFormat="false" ht="22.5" hidden="false" customHeight="true" outlineLevel="0" collapsed="false">
      <c r="A16" s="92" t="s">
        <v>1637</v>
      </c>
      <c r="B16" s="108" t="str">
        <f aca="false">IF(Documents!$Q$22="","",Documents!$Q$22)</f>
        <v>Not supplied with brief – obtain from caterer / MAGCS.</v>
      </c>
      <c r="C16" s="108"/>
      <c r="D16" s="108"/>
      <c r="E16" s="108"/>
      <c r="F16" s="108"/>
      <c r="G16" s="108"/>
      <c r="H16" s="108"/>
    </row>
    <row r="17" customFormat="false" ht="13.5" hidden="false" customHeight="true" outlineLevel="0" collapsed="false">
      <c r="A17" s="109" t="s">
        <v>1638</v>
      </c>
      <c r="B17" s="109"/>
      <c r="C17" s="109" t="s">
        <v>1639</v>
      </c>
      <c r="D17" s="109"/>
      <c r="E17" s="109"/>
      <c r="F17" s="109" t="s">
        <v>1640</v>
      </c>
      <c r="G17" s="109"/>
      <c r="H17" s="109"/>
    </row>
    <row r="18" customFormat="false" ht="18" hidden="false" customHeight="true" outlineLevel="0" collapsed="false">
      <c r="A18" s="93" t="str">
        <f aca="false">"Name: "&amp;IF(TRIM(Flights!$Y$22)="","__________________",Flights!$Y$22)</f>
        <v>Name: __________________</v>
      </c>
      <c r="B18" s="93"/>
      <c r="C18" s="93" t="str">
        <f aca="false">"Name: __________________"</f>
        <v>Name: __________________</v>
      </c>
      <c r="D18" s="93"/>
      <c r="E18" s="93"/>
      <c r="F18" s="93" t="str">
        <f aca="false">"Name: __________________"&amp;"   Station: "&amp;Flights!$V$22</f>
        <v>Name: __________________   Station: KUL</v>
      </c>
      <c r="G18" s="93"/>
      <c r="H18" s="93"/>
    </row>
    <row r="19" customFormat="false" ht="30" hidden="false" customHeight="true" outlineLevel="0" collapsed="false">
      <c r="A19" s="110" t="s">
        <v>1641</v>
      </c>
      <c r="B19" s="110"/>
      <c r="C19" s="110" t="s">
        <v>1641</v>
      </c>
      <c r="D19" s="110"/>
      <c r="E19" s="110"/>
      <c r="F19" s="110" t="s">
        <v>1641</v>
      </c>
      <c r="G19" s="110"/>
      <c r="H19" s="110"/>
    </row>
    <row r="20" customFormat="false" ht="13.5" hidden="false" customHeight="true" outlineLevel="0" collapsed="false">
      <c r="A20" s="111" t="s">
        <v>1642</v>
      </c>
      <c r="B20" s="111"/>
      <c r="C20" s="111"/>
      <c r="D20" s="111"/>
      <c r="E20" s="111"/>
      <c r="F20" s="111"/>
      <c r="G20" s="111"/>
      <c r="H20" s="111"/>
    </row>
    <row r="21" customFormat="false" ht="24" hidden="false" customHeight="true" outlineLevel="0" collapsed="false">
      <c r="A21" s="94" t="s">
        <v>1643</v>
      </c>
      <c r="B21" s="94" t="s">
        <v>1644</v>
      </c>
      <c r="C21" s="94" t="s">
        <v>1645</v>
      </c>
      <c r="D21" s="94" t="s">
        <v>1646</v>
      </c>
      <c r="E21" s="94" t="s">
        <v>1647</v>
      </c>
      <c r="F21" s="94" t="s">
        <v>1648</v>
      </c>
      <c r="G21" s="94" t="s">
        <v>1649</v>
      </c>
      <c r="H21" s="94" t="s">
        <v>121</v>
      </c>
    </row>
    <row r="22" customFormat="false" ht="25.5" hidden="false" customHeight="true" outlineLevel="0" collapsed="false">
      <c r="A22" s="112"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Checks!$A$574&amp;CHAR(10)&amp;IF(Checks!$I$574="","",Checks!$I$574&amp;": ")&amp;Checks!$J$574</f>
        <v>F18-T7-01
Meal: Meal sensory testing completed for this flight's menu cycle (assessed class)</v>
      </c>
      <c r="B23" s="113" t="str">
        <f aca="false">Checks!$K$574&amp;IF(Checks!$O$574="","",IF(Checks!$K$574="","",CHAR(10))&amp;"Note: "&amp;Checks!$O$574)</f>
        <v>Record panel result / score in Result</v>
      </c>
      <c r="C23" s="113" t="str">
        <f aca="false">Checks!$N$574&amp;CHAR(10)&amp;IF(ISNUMBER(Checks!$R$574),TEXT(Checks!$R$574,"DD-MMM-YY HH:MM"),"")&amp;" "&amp;Checks!$P$574</f>
        <v>Required
20-Oct-26 22:25 KUL</v>
      </c>
      <c r="D23" s="113" t="str">
        <f aca="false">IF(Checks!$U$574="","",Checks!$U$574)&amp;IF(Checks!$AB$574="","",CHAR(10)&amp;"CA: "&amp;Checks!$AB$574)</f>
        <v/>
      </c>
      <c r="E23" s="113" t="str">
        <f aca="false">IF(Checks!$V$574="","",Checks!$V$574)&amp;IF(Checks!$AC$574="","",IF(Checks!$V$574="","",CHAR(10))&amp;"N/A just.: "&amp;Checks!$AC$574)&amp;IF(Checks!$W$574="","",CHAR(10)&amp;"Batch: "&amp;Checks!$W$574)&amp;IF(AND(Checks!$X$574="",Checks!$Y$574=""),"",CHAR(10)&amp;"Exp: "&amp;Checks!$X$574&amp;"  /  Act: "&amp;Checks!$Y$574)</f>
        <v/>
      </c>
      <c r="F23" s="113" t="str">
        <f aca="false">IF(Checks!$Z$574="","","Evidence: "&amp;Checks!$Z$574)&amp;IF(Checks!$AA$574="","",IF(Checks!$Z$574="","",CHAR(10))&amp;"CA: "&amp;Checks!$AA$574)</f>
        <v/>
      </c>
      <c r="G23" s="113" t="str">
        <f aca="false">IF(ISNUMBER(Checks!$AD$574),TEXT(Checks!$AD$574,"DD-MMM-YY HH:MM")&amp;" "&amp;Checks!$P$574,"")&amp;IF(Checks!$AE$574="","",CHAR(10)&amp;"Verifier: "&amp;Checks!$AE$574)&amp;IF(Checks!$T$574="","",CHAR(10)&amp;"PIC: "&amp;Checks!$T$574)</f>
        <v/>
      </c>
      <c r="H23" s="114" t="str">
        <f aca="false">IF(Checks!$AH$574="","",Checks!$AH$574)</f>
        <v>OPEN</v>
      </c>
    </row>
    <row r="24" customFormat="false" ht="114" hidden="false" customHeight="true" outlineLevel="0" collapsed="false">
      <c r="A24" s="113" t="str">
        <f aca="false">Checks!$A$575&amp;CHAR(10)&amp;IF(Checks!$I$575="","",Checks!$I$575&amp;": ")&amp;Checks!$J$575</f>
        <v>F18-T7-02
Menu: Printed menu cards confirmed (content, cycle, language, quantity)</v>
      </c>
      <c r="B24" s="113" t="str">
        <f aca="false">Checks!$K$575&amp;IF(Checks!$O$575="","",IF(Checks!$K$575="","",CHAR(10))&amp;"Note: "&amp;Checks!$O$575)</f>
        <v>Menu card matches approved menu for this flight</v>
      </c>
      <c r="C24" s="113" t="str">
        <f aca="false">Checks!$N$575&amp;CHAR(10)&amp;IF(ISNUMBER(Checks!$R$575),TEXT(Checks!$R$575,"DD-MMM-YY HH:MM"),"")&amp;" "&amp;Checks!$P$575</f>
        <v>Required
20-Oct-26 22:25 KUL</v>
      </c>
      <c r="D24" s="113" t="str">
        <f aca="false">IF(Checks!$U$575="","",Checks!$U$575)&amp;IF(Checks!$AB$575="","",CHAR(10)&amp;"CA: "&amp;Checks!$AB$575)</f>
        <v/>
      </c>
      <c r="E24" s="113" t="str">
        <f aca="false">IF(Checks!$V$575="","",Checks!$V$575)&amp;IF(Checks!$AC$575="","",IF(Checks!$V$575="","",CHAR(10))&amp;"N/A just.: "&amp;Checks!$AC$575)&amp;IF(Checks!$W$575="","",CHAR(10)&amp;"Batch: "&amp;Checks!$W$575)&amp;IF(AND(Checks!$X$575="",Checks!$Y$575=""),"",CHAR(10)&amp;"Exp: "&amp;Checks!$X$575&amp;"  /  Act: "&amp;Checks!$Y$575)</f>
        <v/>
      </c>
      <c r="F24" s="113" t="str">
        <f aca="false">IF(Checks!$Z$575="","","Evidence: "&amp;Checks!$Z$575)&amp;IF(Checks!$AA$575="","",IF(Checks!$Z$575="","",CHAR(10))&amp;"CA: "&amp;Checks!$AA$575)</f>
        <v/>
      </c>
      <c r="G24" s="113" t="str">
        <f aca="false">IF(ISNUMBER(Checks!$AD$575),TEXT(Checks!$AD$575,"DD-MMM-YY HH:MM")&amp;" "&amp;Checks!$P$575,"")&amp;IF(Checks!$AE$575="","",CHAR(10)&amp;"Verifier: "&amp;Checks!$AE$575)&amp;IF(Checks!$T$575="","",CHAR(10)&amp;"PIC: "&amp;Checks!$T$575)</f>
        <v/>
      </c>
      <c r="H24" s="114" t="str">
        <f aca="false">IF(Checks!$AH$575="","",Checks!$AH$575)</f>
        <v>OPEN</v>
      </c>
    </row>
    <row r="25" customFormat="false" ht="114" hidden="false" customHeight="true" outlineLevel="0" collapsed="false">
      <c r="A25" s="113" t="str">
        <f aca="false">Checks!$A$576&amp;CHAR(10)&amp;IF(Checks!$I$576="","",Checks!$I$576&amp;": ")&amp;Checks!$J$576</f>
        <v>F18-T7-03
IFE: Digital menu in IFE confirmed (A339 only)</v>
      </c>
      <c r="B25" s="113" t="str">
        <f aca="false">Checks!$K$576&amp;IF(Checks!$O$576="","",IF(Checks!$K$576="","",CHAR(10))&amp;"Note: "&amp;Checks!$O$576)</f>
        <v>Applies when fleet = A339
Note: Digital IFE menu applies to A339 only (user brief). Applicability follows the Fleet cell on Flights.</v>
      </c>
      <c r="C25" s="113" t="str">
        <f aca="false">Checks!$N$576&amp;CHAR(10)&amp;IF(ISNUMBER(Checks!$R$576),TEXT(Checks!$R$576,"DD-MMM-YY HH:MM"),"")&amp;" "&amp;Checks!$P$576</f>
        <v>N/A – rule
20-Oct-26 22:25 KUL</v>
      </c>
      <c r="D25" s="113" t="str">
        <f aca="false">IF(Checks!$U$576="","",Checks!$U$576)&amp;IF(Checks!$AB$576="","",CHAR(10)&amp;"CA: "&amp;Checks!$AB$576)</f>
        <v/>
      </c>
      <c r="E25" s="113" t="str">
        <f aca="false">IF(Checks!$V$576="","",Checks!$V$576)&amp;IF(Checks!$AC$576="","",IF(Checks!$V$576="","",CHAR(10))&amp;"N/A just.: "&amp;Checks!$AC$576)&amp;IF(Checks!$W$576="","",CHAR(10)&amp;"Batch: "&amp;Checks!$W$576)&amp;IF(AND(Checks!$X$576="",Checks!$Y$576=""),"",CHAR(10)&amp;"Exp: "&amp;Checks!$X$576&amp;"  /  Act: "&amp;Checks!$Y$576)</f>
        <v/>
      </c>
      <c r="F25" s="113" t="str">
        <f aca="false">IF(Checks!$Z$576="","","Evidence: "&amp;Checks!$Z$576)&amp;IF(Checks!$AA$576="","",IF(Checks!$Z$576="","",CHAR(10))&amp;"CA: "&amp;Checks!$AA$576)</f>
        <v/>
      </c>
      <c r="G25" s="113" t="str">
        <f aca="false">IF(ISNUMBER(Checks!$AD$576),TEXT(Checks!$AD$576,"DD-MMM-YY HH:MM")&amp;" "&amp;Checks!$P$576,"")&amp;IF(Checks!$AE$576="","",CHAR(10)&amp;"Verifier: "&amp;Checks!$AE$576)&amp;IF(Checks!$T$576="","",CHAR(10)&amp;"PIC: "&amp;Checks!$T$576)</f>
        <v/>
      </c>
      <c r="H25" s="114" t="str">
        <f aca="false">IF(Checks!$AH$576="","",Checks!$AH$576)</f>
        <v>N/A – RULE</v>
      </c>
    </row>
    <row r="26" customFormat="false" ht="114" hidden="false" customHeight="true" outlineLevel="0" collapsed="false">
      <c r="A26" s="113" t="str">
        <f aca="false">Checks!$A$577&amp;CHAR(10)&amp;IF(Checks!$I$577="","",Checks!$I$577&amp;": ")&amp;Checks!$J$577</f>
        <v>F18-T7-04
Staffing: Experienced catering officer assigned to this flight</v>
      </c>
      <c r="B26" s="113" t="str">
        <f aca="false">Checks!$K$577&amp;IF(Checks!$O$577="","",IF(Checks!$K$577="","",CHAR(10))&amp;"Note: "&amp;Checks!$O$577)</f>
        <v>Record officer name in Result</v>
      </c>
      <c r="C26" s="113" t="str">
        <f aca="false">Checks!$N$577&amp;CHAR(10)&amp;IF(ISNUMBER(Checks!$R$577),TEXT(Checks!$R$577,"DD-MMM-YY HH:MM"),"")&amp;" "&amp;Checks!$P$577</f>
        <v>Required
20-Oct-26 22:25 KUL</v>
      </c>
      <c r="D26" s="113" t="str">
        <f aca="false">IF(Checks!$U$577="","",Checks!$U$577)&amp;IF(Checks!$AB$577="","",CHAR(10)&amp;"CA: "&amp;Checks!$AB$577)</f>
        <v/>
      </c>
      <c r="E26" s="113" t="str">
        <f aca="false">IF(Checks!$V$577="","",Checks!$V$577)&amp;IF(Checks!$AC$577="","",IF(Checks!$V$577="","",CHAR(10))&amp;"N/A just.: "&amp;Checks!$AC$577)&amp;IF(Checks!$W$577="","",CHAR(10)&amp;"Batch: "&amp;Checks!$W$577)&amp;IF(AND(Checks!$X$577="",Checks!$Y$577=""),"",CHAR(10)&amp;"Exp: "&amp;Checks!$X$577&amp;"  /  Act: "&amp;Checks!$Y$577)</f>
        <v/>
      </c>
      <c r="F26" s="113" t="str">
        <f aca="false">IF(Checks!$Z$577="","","Evidence: "&amp;Checks!$Z$577)&amp;IF(Checks!$AA$577="","",IF(Checks!$Z$577="","",CHAR(10))&amp;"CA: "&amp;Checks!$AA$577)</f>
        <v/>
      </c>
      <c r="G26" s="113" t="str">
        <f aca="false">IF(ISNUMBER(Checks!$AD$577),TEXT(Checks!$AD$577,"DD-MMM-YY HH:MM")&amp;" "&amp;Checks!$P$577,"")&amp;IF(Checks!$AE$577="","",CHAR(10)&amp;"Verifier: "&amp;Checks!$AE$577)&amp;IF(Checks!$T$577="","",CHAR(10)&amp;"PIC: "&amp;Checks!$T$577)</f>
        <v/>
      </c>
      <c r="H26" s="114" t="str">
        <f aca="false">IF(Checks!$AH$577="","",Checks!$AH$577)</f>
        <v>OPEN</v>
      </c>
    </row>
    <row r="27" customFormat="false" ht="114" hidden="false" customHeight="true" outlineLevel="0" collapsed="false">
      <c r="A27" s="113" t="str">
        <f aca="false">Checks!$A$578&amp;CHAR(10)&amp;IF(Checks!$I$578="","",Checks!$I$578&amp;": ")&amp;Checks!$J$578</f>
        <v>F18-T7-05
ISOP: All latest applicable ISOP revisions communicated to caterer</v>
      </c>
      <c r="B27" s="113" t="str">
        <f aca="false">Checks!$K$578&amp;IF(Checks!$O$578="","",IF(Checks!$K$578="","",CHAR(10))&amp;"Note: "&amp;Checks!$O$578)</f>
        <v>List revision numbers in Result (see ISOP register)</v>
      </c>
      <c r="C27" s="113" t="str">
        <f aca="false">Checks!$N$578&amp;CHAR(10)&amp;IF(ISNUMBER(Checks!$R$578),TEXT(Checks!$R$578,"DD-MMM-YY HH:MM"),"")&amp;" "&amp;Checks!$P$578</f>
        <v>Required
20-Oct-26 22:25 KUL</v>
      </c>
      <c r="D27" s="113" t="str">
        <f aca="false">IF(Checks!$U$578="","",Checks!$U$578)&amp;IF(Checks!$AB$578="","",CHAR(10)&amp;"CA: "&amp;Checks!$AB$578)</f>
        <v/>
      </c>
      <c r="E27" s="113" t="str">
        <f aca="false">IF(Checks!$V$578="","",Checks!$V$578)&amp;IF(Checks!$AC$578="","",IF(Checks!$V$578="","",CHAR(10))&amp;"N/A just.: "&amp;Checks!$AC$578)&amp;IF(Checks!$W$578="","",CHAR(10)&amp;"Batch: "&amp;Checks!$W$578)&amp;IF(AND(Checks!$X$578="",Checks!$Y$578=""),"",CHAR(10)&amp;"Exp: "&amp;Checks!$X$578&amp;"  /  Act: "&amp;Checks!$Y$578)</f>
        <v/>
      </c>
      <c r="F27" s="113" t="str">
        <f aca="false">IF(Checks!$Z$578="","","Evidence: "&amp;Checks!$Z$578)&amp;IF(Checks!$AA$578="","",IF(Checks!$Z$578="","",CHAR(10))&amp;"CA: "&amp;Checks!$AA$578)</f>
        <v/>
      </c>
      <c r="G27" s="113" t="str">
        <f aca="false">IF(ISNUMBER(Checks!$AD$578),TEXT(Checks!$AD$578,"DD-MMM-YY HH:MM")&amp;" "&amp;Checks!$P$578,"")&amp;IF(Checks!$AE$578="","",CHAR(10)&amp;"Verifier: "&amp;Checks!$AE$578)&amp;IF(Checks!$T$578="","",CHAR(10)&amp;"PIC: "&amp;Checks!$T$578)</f>
        <v/>
      </c>
      <c r="H27" s="114" t="str">
        <f aca="false">IF(Checks!$AH$578="","",Checks!$AH$578)</f>
        <v>OPEN</v>
      </c>
    </row>
    <row r="28" customFormat="false" ht="114" hidden="false" customHeight="true" outlineLevel="0" collapsed="false">
      <c r="A28" s="113" t="str">
        <f aca="false">Checks!$A$579&amp;CHAR(10)&amp;IF(Checks!$I$579="","",Checks!$I$579&amp;": ")&amp;Checks!$J$579</f>
        <v>F18-T7-06
ISOP: Caterer acknowledgement of ISOP revisions recorded</v>
      </c>
      <c r="B28" s="113" t="str">
        <f aca="false">Checks!$K$579&amp;IF(Checks!$O$579="","",IF(Checks!$K$579="","",CHAR(10))&amp;"Note: "&amp;Checks!$O$579)</f>
        <v>Record acknowledgement ref in Evidence</v>
      </c>
      <c r="C28" s="113" t="str">
        <f aca="false">Checks!$N$579&amp;CHAR(10)&amp;IF(ISNUMBER(Checks!$R$579),TEXT(Checks!$R$579,"DD-MMM-YY HH:MM"),"")&amp;" "&amp;Checks!$P$579</f>
        <v>Required
20-Oct-26 22:25 KUL</v>
      </c>
      <c r="D28" s="113" t="str">
        <f aca="false">IF(Checks!$U$579="","",Checks!$U$579)&amp;IF(Checks!$AB$579="","",CHAR(10)&amp;"CA: "&amp;Checks!$AB$579)</f>
        <v/>
      </c>
      <c r="E28" s="113" t="str">
        <f aca="false">IF(Checks!$V$579="","",Checks!$V$579)&amp;IF(Checks!$AC$579="","",IF(Checks!$V$579="","",CHAR(10))&amp;"N/A just.: "&amp;Checks!$AC$579)&amp;IF(Checks!$W$579="","",CHAR(10)&amp;"Batch: "&amp;Checks!$W$579)&amp;IF(AND(Checks!$X$579="",Checks!$Y$579=""),"",CHAR(10)&amp;"Exp: "&amp;Checks!$X$579&amp;"  /  Act: "&amp;Checks!$Y$579)</f>
        <v/>
      </c>
      <c r="F28" s="113" t="str">
        <f aca="false">IF(Checks!$Z$579="","","Evidence: "&amp;Checks!$Z$579)&amp;IF(Checks!$AA$579="","",IF(Checks!$Z$579="","",CHAR(10))&amp;"CA: "&amp;Checks!$AA$579)</f>
        <v/>
      </c>
      <c r="G28" s="113" t="str">
        <f aca="false">IF(ISNUMBER(Checks!$AD$579),TEXT(Checks!$AD$579,"DD-MMM-YY HH:MM")&amp;" "&amp;Checks!$P$579,"")&amp;IF(Checks!$AE$579="","",CHAR(10)&amp;"Verifier: "&amp;Checks!$AE$579)&amp;IF(Checks!$T$579="","",CHAR(10)&amp;"PIC: "&amp;Checks!$T$579)</f>
        <v/>
      </c>
      <c r="H28" s="114" t="str">
        <f aca="false">IF(Checks!$AH$579="","",Checks!$AH$579)</f>
        <v>OPEN</v>
      </c>
    </row>
    <row r="29" customFormat="false" ht="114" hidden="false" customHeight="true" outlineLevel="0" collapsed="false">
      <c r="A29" s="113" t="str">
        <f aca="false">Checks!$A$580&amp;CHAR(10)&amp;IF(Checks!$I$580="","",Checks!$I$580&amp;": ")&amp;Checks!$J$580</f>
        <v>F18-T7-07
Documents: Galley loading diagram (GLD) received, revision recorded &amp; attached</v>
      </c>
      <c r="B29" s="113" t="str">
        <f aca="false">Checks!$K$580&amp;IF(Checks!$O$580="","",IF(Checks!$K$580="","",CHAR(10))&amp;"Note: "&amp;Checks!$O$580)</f>
        <v>Documents sheet row complete</v>
      </c>
      <c r="C29" s="113" t="str">
        <f aca="false">Checks!$N$580&amp;CHAR(10)&amp;IF(ISNUMBER(Checks!$R$580),TEXT(Checks!$R$580,"DD-MMM-YY HH:MM"),"")&amp;" "&amp;Checks!$P$580</f>
        <v>Required
20-Oct-26 22:25 KUL</v>
      </c>
      <c r="D29" s="113" t="str">
        <f aca="false">IF(Checks!$U$580="","",Checks!$U$580)&amp;IF(Checks!$AB$580="","",CHAR(10)&amp;"CA: "&amp;Checks!$AB$580)</f>
        <v/>
      </c>
      <c r="E29" s="113" t="str">
        <f aca="false">IF(Checks!$V$580="","",Checks!$V$580)&amp;IF(Checks!$AC$580="","",IF(Checks!$V$580="","",CHAR(10))&amp;"N/A just.: "&amp;Checks!$AC$580)&amp;IF(Checks!$W$580="","",CHAR(10)&amp;"Batch: "&amp;Checks!$W$580)&amp;IF(AND(Checks!$X$580="",Checks!$Y$580=""),"",CHAR(10)&amp;"Exp: "&amp;Checks!$X$580&amp;"  /  Act: "&amp;Checks!$Y$580)</f>
        <v/>
      </c>
      <c r="F29" s="113" t="str">
        <f aca="false">IF(Checks!$Z$580="","","Evidence: "&amp;Checks!$Z$580)&amp;IF(Checks!$AA$580="","",IF(Checks!$Z$580="","",CHAR(10))&amp;"CA: "&amp;Checks!$AA$580)</f>
        <v/>
      </c>
      <c r="G29" s="113" t="str">
        <f aca="false">IF(ISNUMBER(Checks!$AD$580),TEXT(Checks!$AD$580,"DD-MMM-YY HH:MM")&amp;" "&amp;Checks!$P$580,"")&amp;IF(Checks!$AE$580="","",CHAR(10)&amp;"Verifier: "&amp;Checks!$AE$580)&amp;IF(Checks!$T$580="","",CHAR(10)&amp;"PIC: "&amp;Checks!$T$580)</f>
        <v/>
      </c>
      <c r="H29" s="114" t="str">
        <f aca="false">IF(Checks!$AH$580="","",Checks!$AH$580)</f>
        <v>OPEN</v>
      </c>
    </row>
    <row r="30" customFormat="false" ht="114" hidden="false" customHeight="true" outlineLevel="0" collapsed="false">
      <c r="A30" s="113" t="str">
        <f aca="false">Checks!$A$581&amp;CHAR(10)&amp;IF(Checks!$I$581="","",Checks!$I$581&amp;": ")&amp;Checks!$J$581</f>
        <v>F18-T7-08
Documents: Menu checklist received, revision recorded &amp; attached</v>
      </c>
      <c r="B30" s="113" t="str">
        <f aca="false">Checks!$K$581&amp;IF(Checks!$O$581="","",IF(Checks!$K$581="","",CHAR(10))&amp;"Note: "&amp;Checks!$O$581)</f>
        <v>Documents sheet row complete</v>
      </c>
      <c r="C30" s="113" t="str">
        <f aca="false">Checks!$N$581&amp;CHAR(10)&amp;IF(ISNUMBER(Checks!$R$581),TEXT(Checks!$R$581,"DD-MMM-YY HH:MM"),"")&amp;" "&amp;Checks!$P$581</f>
        <v>Required
20-Oct-26 22:25 KUL</v>
      </c>
      <c r="D30" s="113" t="str">
        <f aca="false">IF(Checks!$U$581="","",Checks!$U$581)&amp;IF(Checks!$AB$581="","",CHAR(10)&amp;"CA: "&amp;Checks!$AB$581)</f>
        <v/>
      </c>
      <c r="E30" s="113" t="str">
        <f aca="false">IF(Checks!$V$581="","",Checks!$V$581)&amp;IF(Checks!$AC$581="","",IF(Checks!$V$581="","",CHAR(10))&amp;"N/A just.: "&amp;Checks!$AC$581)&amp;IF(Checks!$W$581="","",CHAR(10)&amp;"Batch: "&amp;Checks!$W$581)&amp;IF(AND(Checks!$X$581="",Checks!$Y$581=""),"",CHAR(10)&amp;"Exp: "&amp;Checks!$X$581&amp;"  /  Act: "&amp;Checks!$Y$581)</f>
        <v/>
      </c>
      <c r="F30" s="113" t="str">
        <f aca="false">IF(Checks!$Z$581="","","Evidence: "&amp;Checks!$Z$581)&amp;IF(Checks!$AA$581="","",IF(Checks!$Z$581="","",CHAR(10))&amp;"CA: "&amp;Checks!$AA$581)</f>
        <v/>
      </c>
      <c r="G30" s="113" t="str">
        <f aca="false">IF(ISNUMBER(Checks!$AD$581),TEXT(Checks!$AD$581,"DD-MMM-YY HH:MM")&amp;" "&amp;Checks!$P$581,"")&amp;IF(Checks!$AE$581="","",CHAR(10)&amp;"Verifier: "&amp;Checks!$AE$581)&amp;IF(Checks!$T$581="","",CHAR(10)&amp;"PIC: "&amp;Checks!$T$581)</f>
        <v/>
      </c>
      <c r="H30" s="114" t="str">
        <f aca="false">IF(Checks!$AH$581="","",Checks!$AH$581)</f>
        <v>OPEN</v>
      </c>
    </row>
    <row r="31" customFormat="false" ht="114" hidden="false" customHeight="true" outlineLevel="0" collapsed="false">
      <c r="A31" s="113" t="str">
        <f aca="false">Checks!$A$582&amp;CHAR(10)&amp;IF(Checks!$I$582="","",Checks!$I$582&amp;": ")&amp;Checks!$J$582</f>
        <v>F18-T7-09
Uplift plan: Uplift plan confirmed with caterer vs STD Uplift Information</v>
      </c>
      <c r="B31" s="113" t="str">
        <f aca="false">Checks!$K$582&amp;IF(Checks!$O$582="","",IF(Checks!$K$582="","",CHAR(10))&amp;"Note: "&amp;Checks!$O$582)</f>
        <v>Service: 1.5 Meal (Meal); meal uplift stn KUL (ref lists KUL/KIX)</v>
      </c>
      <c r="C31" s="113" t="str">
        <f aca="false">Checks!$N$582&amp;CHAR(10)&amp;IF(ISNUMBER(Checks!$R$582),TEXT(Checks!$R$582,"DD-MMM-YY HH:MM"),"")&amp;" "&amp;Checks!$P$582</f>
        <v>Required
20-Oct-26 22:25 KUL</v>
      </c>
      <c r="D31" s="113" t="str">
        <f aca="false">IF(Checks!$U$582="","",Checks!$U$582)&amp;IF(Checks!$AB$582="","",CHAR(10)&amp;"CA: "&amp;Checks!$AB$582)</f>
        <v/>
      </c>
      <c r="E31" s="113" t="str">
        <f aca="false">IF(Checks!$V$582="","",Checks!$V$582)&amp;IF(Checks!$AC$582="","",IF(Checks!$V$582="","",CHAR(10))&amp;"N/A just.: "&amp;Checks!$AC$582)&amp;IF(Checks!$W$582="","",CHAR(10)&amp;"Batch: "&amp;Checks!$W$582)&amp;IF(AND(Checks!$X$582="",Checks!$Y$582=""),"",CHAR(10)&amp;"Exp: "&amp;Checks!$X$582&amp;"  /  Act: "&amp;Checks!$Y$582)</f>
        <v/>
      </c>
      <c r="F31" s="113" t="str">
        <f aca="false">IF(Checks!$Z$582="","","Evidence: "&amp;Checks!$Z$582)&amp;IF(Checks!$AA$582="","",IF(Checks!$Z$582="","",CHAR(10))&amp;"CA: "&amp;Checks!$AA$582)</f>
        <v/>
      </c>
      <c r="G31" s="113" t="str">
        <f aca="false">IF(ISNUMBER(Checks!$AD$582),TEXT(Checks!$AD$582,"DD-MMM-YY HH:MM")&amp;" "&amp;Checks!$P$582,"")&amp;IF(Checks!$AE$582="","",CHAR(10)&amp;"Verifier: "&amp;Checks!$AE$582)&amp;IF(Checks!$T$582="","",CHAR(10)&amp;"PIC: "&amp;Checks!$T$582)</f>
        <v/>
      </c>
      <c r="H31" s="114" t="str">
        <f aca="false">IF(Checks!$AH$582="","",Checks!$AH$582)</f>
        <v>OPEN</v>
      </c>
    </row>
    <row r="32" customFormat="false" ht="25.5" hidden="false" customHeight="true" outlineLevel="0" collapsed="false">
      <c r="A32" s="112"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Checks!$A$583&amp;CHAR(10)&amp;IF(Checks!$I$583="","",Checks!$I$583&amp;": ")&amp;Checks!$J$583</f>
        <v>F18-T24-01
Meal: Sensory test repeated on ACTUAL production batch for this flight</v>
      </c>
      <c r="B33" s="113" t="str">
        <f aca="false">Checks!$K$583&amp;IF(Checks!$O$583="","",IF(Checks!$K$583="","",CHAR(10))&amp;"Note: "&amp;Checks!$O$583)</f>
        <v>Batch ID, result, CA and acceptance mandatory</v>
      </c>
      <c r="C33" s="113" t="str">
        <f aca="false">Checks!$N$583&amp;CHAR(10)&amp;IF(ISNUMBER(Checks!$R$583),TEXT(Checks!$R$583,"DD-MMM-YY HH:MM"),"")&amp;" "&amp;Checks!$P$583</f>
        <v>Required
26-Oct-26 22:25 KUL</v>
      </c>
      <c r="D33" s="113" t="str">
        <f aca="false">IF(Checks!$U$583="","",Checks!$U$583)&amp;IF(Checks!$AB$583="","",CHAR(10)&amp;"CA: "&amp;Checks!$AB$583)</f>
        <v/>
      </c>
      <c r="E33" s="113" t="str">
        <f aca="false">IF(Checks!$V$583="","",Checks!$V$583)&amp;IF(Checks!$AC$583="","",IF(Checks!$V$583="","",CHAR(10))&amp;"N/A just.: "&amp;Checks!$AC$583)&amp;IF(Checks!$W$583="","",CHAR(10)&amp;"Batch: "&amp;Checks!$W$583)&amp;IF(AND(Checks!$X$583="",Checks!$Y$583=""),"",CHAR(10)&amp;"Exp: "&amp;Checks!$X$583&amp;"  /  Act: "&amp;Checks!$Y$583)</f>
        <v/>
      </c>
      <c r="F33" s="113" t="str">
        <f aca="false">IF(Checks!$Z$583="","","Evidence: "&amp;Checks!$Z$583)&amp;IF(Checks!$AA$583="","",IF(Checks!$Z$583="","",CHAR(10))&amp;"CA: "&amp;Checks!$AA$583)</f>
        <v/>
      </c>
      <c r="G33" s="113" t="str">
        <f aca="false">IF(ISNUMBER(Checks!$AD$583),TEXT(Checks!$AD$583,"DD-MMM-YY HH:MM")&amp;" "&amp;Checks!$P$583,"")&amp;IF(Checks!$AE$583="","",CHAR(10)&amp;"Verifier: "&amp;Checks!$AE$583)&amp;IF(Checks!$T$583="","",CHAR(10)&amp;"PIC: "&amp;Checks!$T$583)</f>
        <v/>
      </c>
      <c r="H33" s="114" t="str">
        <f aca="false">IF(Checks!$AH$583="","",Checks!$AH$583)</f>
        <v>OPEN</v>
      </c>
    </row>
    <row r="34" customFormat="false" ht="25.5" hidden="false" customHeight="true" outlineLevel="0" collapsed="false">
      <c r="A34" s="112"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2"/>
      <c r="C34" s="112"/>
      <c r="D34" s="112"/>
      <c r="E34" s="112"/>
      <c r="F34" s="112"/>
      <c r="G34" s="112"/>
      <c r="H34" s="112"/>
    </row>
    <row r="35" customFormat="false" ht="114" hidden="false" customHeight="true" outlineLevel="0" collapsed="false">
      <c r="A35" s="113" t="str">
        <f aca="false">Checks!$A$584&amp;CHAR(10)&amp;IF(Checks!$I$584="","",Checks!$I$584&amp;": ")&amp;Checks!$J$584</f>
        <v>F18-T12-01
Meal: Meal quality vs menu checklist</v>
      </c>
      <c r="B35" s="113" t="str">
        <f aca="false">Checks!$K$584&amp;IF(Checks!$O$584="","",IF(Checks!$K$584="","",CHAR(10))&amp;"Note: "&amp;Checks!$O$584)</f>
        <v>Note: Preparation check at caterer - does NOT confirm loading.</v>
      </c>
      <c r="C35" s="113" t="str">
        <f aca="false">Checks!$N$584&amp;CHAR(10)&amp;IF(ISNUMBER(Checks!$R$584),TEXT(Checks!$R$584,"DD-MMM-YY HH:MM"),"")&amp;" "&amp;Checks!$P$584</f>
        <v>Required
27-Oct-26 10:25 KUL</v>
      </c>
      <c r="D35" s="113" t="str">
        <f aca="false">IF(Checks!$U$584="","",Checks!$U$584)&amp;IF(Checks!$AB$584="","",CHAR(10)&amp;"CA: "&amp;Checks!$AB$584)</f>
        <v/>
      </c>
      <c r="E35" s="113" t="str">
        <f aca="false">IF(Checks!$V$584="","",Checks!$V$584)&amp;IF(Checks!$AC$584="","",IF(Checks!$V$584="","",CHAR(10))&amp;"N/A just.: "&amp;Checks!$AC$584)&amp;IF(Checks!$W$584="","",CHAR(10)&amp;"Batch: "&amp;Checks!$W$584)&amp;IF(AND(Checks!$X$584="",Checks!$Y$584=""),"",CHAR(10)&amp;"Exp: "&amp;Checks!$X$584&amp;"  /  Act: "&amp;Checks!$Y$584)</f>
        <v/>
      </c>
      <c r="F35" s="113" t="str">
        <f aca="false">IF(Checks!$Z$584="","","Evidence: "&amp;Checks!$Z$584)&amp;IF(Checks!$AA$584="","",IF(Checks!$Z$584="","",CHAR(10))&amp;"CA: "&amp;Checks!$AA$584)</f>
        <v/>
      </c>
      <c r="G35" s="113" t="str">
        <f aca="false">IF(ISNUMBER(Checks!$AD$584),TEXT(Checks!$AD$584,"DD-MMM-YY HH:MM")&amp;" "&amp;Checks!$P$584,"")&amp;IF(Checks!$AE$584="","",CHAR(10)&amp;"Verifier: "&amp;Checks!$AE$584)&amp;IF(Checks!$T$584="","",CHAR(10)&amp;"PIC: "&amp;Checks!$T$584)</f>
        <v/>
      </c>
      <c r="H35" s="114" t="str">
        <f aca="false">IF(Checks!$AH$584="","",Checks!$AH$584)</f>
        <v>OPEN</v>
      </c>
    </row>
    <row r="36" customFormat="false" ht="114" hidden="false" customHeight="true" outlineLevel="0" collapsed="false">
      <c r="A36" s="113" t="str">
        <f aca="false">Checks!$A$585&amp;CHAR(10)&amp;IF(Checks!$I$585="","",Checks!$I$585&amp;": ")&amp;Checks!$J$585</f>
        <v>F18-T12-02
Meal: Meal quantities vs menu checklist</v>
      </c>
      <c r="B36" s="113" t="str">
        <f aca="false">Checks!$K$585&amp;IF(Checks!$O$585="","",IF(Checks!$K$585="","",CHAR(10))&amp;"Note: "&amp;Checks!$O$585)</f>
        <v>Enter expected &amp; actual
Note: Preparation check at caterer - does NOT confirm loading.</v>
      </c>
      <c r="C36" s="113" t="str">
        <f aca="false">Checks!$N$585&amp;CHAR(10)&amp;IF(ISNUMBER(Checks!$R$585),TEXT(Checks!$R$585,"DD-MMM-YY HH:MM"),"")&amp;" "&amp;Checks!$P$585</f>
        <v>Required
27-Oct-26 10:25 KUL</v>
      </c>
      <c r="D36" s="113" t="str">
        <f aca="false">IF(Checks!$U$585="","",Checks!$U$585)&amp;IF(Checks!$AB$585="","",CHAR(10)&amp;"CA: "&amp;Checks!$AB$585)</f>
        <v/>
      </c>
      <c r="E36" s="113" t="str">
        <f aca="false">IF(Checks!$V$585="","",Checks!$V$585)&amp;IF(Checks!$AC$585="","",IF(Checks!$V$585="","",CHAR(10))&amp;"N/A just.: "&amp;Checks!$AC$585)&amp;IF(Checks!$W$585="","",CHAR(10)&amp;"Batch: "&amp;Checks!$W$585)&amp;IF(AND(Checks!$X$585="",Checks!$Y$585=""),"",CHAR(10)&amp;"Exp: "&amp;Checks!$X$585&amp;"  /  Act: "&amp;Checks!$Y$585)</f>
        <v/>
      </c>
      <c r="F36" s="113" t="str">
        <f aca="false">IF(Checks!$Z$585="","","Evidence: "&amp;Checks!$Z$585)&amp;IF(Checks!$AA$585="","",IF(Checks!$Z$585="","",CHAR(10))&amp;"CA: "&amp;Checks!$AA$585)</f>
        <v/>
      </c>
      <c r="G36" s="113" t="str">
        <f aca="false">IF(ISNUMBER(Checks!$AD$585),TEXT(Checks!$AD$585,"DD-MMM-YY HH:MM")&amp;" "&amp;Checks!$P$585,"")&amp;IF(Checks!$AE$585="","",CHAR(10)&amp;"Verifier: "&amp;Checks!$AE$585)&amp;IF(Checks!$T$585="","",CHAR(10)&amp;"PIC: "&amp;Checks!$T$585)</f>
        <v/>
      </c>
      <c r="H36" s="114" t="str">
        <f aca="false">IF(Checks!$AH$585="","",Checks!$AH$585)</f>
        <v>OPEN</v>
      </c>
    </row>
    <row r="37" customFormat="false" ht="114" hidden="false" customHeight="true" outlineLevel="0" collapsed="false">
      <c r="A37" s="113" t="str">
        <f aca="false">Checks!$A$586&amp;CHAR(10)&amp;IF(Checks!$I$586="","",Checks!$I$586&amp;": ")&amp;Checks!$J$586</f>
        <v>F18-T12-03
Equipment: Equipment cleanliness vs GLD</v>
      </c>
      <c r="B37" s="113" t="str">
        <f aca="false">Checks!$K$586&amp;IF(Checks!$O$586="","",IF(Checks!$K$586="","",CHAR(10))&amp;"Note: "&amp;Checks!$O$586)</f>
        <v>Note: Preparation check at caterer - does NOT confirm loading.</v>
      </c>
      <c r="C37" s="113" t="str">
        <f aca="false">Checks!$N$586&amp;CHAR(10)&amp;IF(ISNUMBER(Checks!$R$586),TEXT(Checks!$R$586,"DD-MMM-YY HH:MM"),"")&amp;" "&amp;Checks!$P$586</f>
        <v>Required
27-Oct-26 10:25 KUL</v>
      </c>
      <c r="D37" s="113" t="str">
        <f aca="false">IF(Checks!$U$586="","",Checks!$U$586)&amp;IF(Checks!$AB$586="","",CHAR(10)&amp;"CA: "&amp;Checks!$AB$586)</f>
        <v/>
      </c>
      <c r="E37" s="113" t="str">
        <f aca="false">IF(Checks!$V$586="","",Checks!$V$586)&amp;IF(Checks!$AC$586="","",IF(Checks!$V$586="","",CHAR(10))&amp;"N/A just.: "&amp;Checks!$AC$586)&amp;IF(Checks!$W$586="","",CHAR(10)&amp;"Batch: "&amp;Checks!$W$586)&amp;IF(AND(Checks!$X$586="",Checks!$Y$586=""),"",CHAR(10)&amp;"Exp: "&amp;Checks!$X$586&amp;"  /  Act: "&amp;Checks!$Y$586)</f>
        <v/>
      </c>
      <c r="F37" s="113" t="str">
        <f aca="false">IF(Checks!$Z$586="","","Evidence: "&amp;Checks!$Z$586)&amp;IF(Checks!$AA$586="","",IF(Checks!$Z$586="","",CHAR(10))&amp;"CA: "&amp;Checks!$AA$586)</f>
        <v/>
      </c>
      <c r="G37" s="113" t="str">
        <f aca="false">IF(ISNUMBER(Checks!$AD$586),TEXT(Checks!$AD$586,"DD-MMM-YY HH:MM")&amp;" "&amp;Checks!$P$586,"")&amp;IF(Checks!$AE$586="","",CHAR(10)&amp;"Verifier: "&amp;Checks!$AE$586)&amp;IF(Checks!$T$586="","",CHAR(10)&amp;"PIC: "&amp;Checks!$T$586)</f>
        <v/>
      </c>
      <c r="H37" s="114" t="str">
        <f aca="false">IF(Checks!$AH$586="","",Checks!$AH$586)</f>
        <v>OPEN</v>
      </c>
    </row>
    <row r="38" customFormat="false" ht="114" hidden="false" customHeight="true" outlineLevel="0" collapsed="false">
      <c r="A38" s="113" t="str">
        <f aca="false">Checks!$A$587&amp;CHAR(10)&amp;IF(Checks!$I$587="","",Checks!$I$587&amp;": ")&amp;Checks!$J$587</f>
        <v>F18-T12-04
Equipment: Equipment presentation vs GLD</v>
      </c>
      <c r="B38" s="113" t="str">
        <f aca="false">Checks!$K$587&amp;IF(Checks!$O$587="","",IF(Checks!$K$587="","",CHAR(10))&amp;"Note: "&amp;Checks!$O$587)</f>
        <v>Note: Preparation check at caterer - does NOT confirm loading.</v>
      </c>
      <c r="C38" s="113" t="str">
        <f aca="false">Checks!$N$587&amp;CHAR(10)&amp;IF(ISNUMBER(Checks!$R$587),TEXT(Checks!$R$587,"DD-MMM-YY HH:MM"),"")&amp;" "&amp;Checks!$P$587</f>
        <v>Required
27-Oct-26 10:25 KUL</v>
      </c>
      <c r="D38" s="113" t="str">
        <f aca="false">IF(Checks!$U$587="","",Checks!$U$587)&amp;IF(Checks!$AB$587="","",CHAR(10)&amp;"CA: "&amp;Checks!$AB$587)</f>
        <v/>
      </c>
      <c r="E38" s="113" t="str">
        <f aca="false">IF(Checks!$V$587="","",Checks!$V$587)&amp;IF(Checks!$AC$587="","",IF(Checks!$V$587="","",CHAR(10))&amp;"N/A just.: "&amp;Checks!$AC$587)&amp;IF(Checks!$W$587="","",CHAR(10)&amp;"Batch: "&amp;Checks!$W$587)&amp;IF(AND(Checks!$X$587="",Checks!$Y$587=""),"",CHAR(10)&amp;"Exp: "&amp;Checks!$X$587&amp;"  /  Act: "&amp;Checks!$Y$587)</f>
        <v/>
      </c>
      <c r="F38" s="113" t="str">
        <f aca="false">IF(Checks!$Z$587="","","Evidence: "&amp;Checks!$Z$587)&amp;IF(Checks!$AA$587="","",IF(Checks!$Z$587="","",CHAR(10))&amp;"CA: "&amp;Checks!$AA$587)</f>
        <v/>
      </c>
      <c r="G38" s="113" t="str">
        <f aca="false">IF(ISNUMBER(Checks!$AD$587),TEXT(Checks!$AD$587,"DD-MMM-YY HH:MM")&amp;" "&amp;Checks!$P$587,"")&amp;IF(Checks!$AE$587="","",CHAR(10)&amp;"Verifier: "&amp;Checks!$AE$587)&amp;IF(Checks!$T$587="","",CHAR(10)&amp;"PIC: "&amp;Checks!$T$587)</f>
        <v/>
      </c>
      <c r="H38" s="114" t="str">
        <f aca="false">IF(Checks!$AH$587="","",Checks!$AH$587)</f>
        <v>OPEN</v>
      </c>
    </row>
    <row r="39" customFormat="false" ht="114" hidden="false" customHeight="true" outlineLevel="0" collapsed="false">
      <c r="A39" s="113" t="str">
        <f aca="false">Checks!$A$588&amp;CHAR(10)&amp;IF(Checks!$I$588="","",Checks!$I$588&amp;": ")&amp;Checks!$J$588</f>
        <v>F18-T12-05
Equipment: Equipment serviceability vs GLD</v>
      </c>
      <c r="B39" s="113" t="str">
        <f aca="false">Checks!$K$588&amp;IF(Checks!$O$588="","",IF(Checks!$K$588="","",CHAR(10))&amp;"Note: "&amp;Checks!$O$588)</f>
        <v>Note: Preparation check at caterer - does NOT confirm loading.</v>
      </c>
      <c r="C39" s="113" t="str">
        <f aca="false">Checks!$N$588&amp;CHAR(10)&amp;IF(ISNUMBER(Checks!$R$588),TEXT(Checks!$R$588,"DD-MMM-YY HH:MM"),"")&amp;" "&amp;Checks!$P$588</f>
        <v>Required
27-Oct-26 10:25 KUL</v>
      </c>
      <c r="D39" s="113" t="str">
        <f aca="false">IF(Checks!$U$588="","",Checks!$U$588)&amp;IF(Checks!$AB$588="","",CHAR(10)&amp;"CA: "&amp;Checks!$AB$588)</f>
        <v/>
      </c>
      <c r="E39" s="113" t="str">
        <f aca="false">IF(Checks!$V$588="","",Checks!$V$588)&amp;IF(Checks!$AC$588="","",IF(Checks!$V$588="","",CHAR(10))&amp;"N/A just.: "&amp;Checks!$AC$588)&amp;IF(Checks!$W$588="","",CHAR(10)&amp;"Batch: "&amp;Checks!$W$588)&amp;IF(AND(Checks!$X$588="",Checks!$Y$588=""),"",CHAR(10)&amp;"Exp: "&amp;Checks!$X$588&amp;"  /  Act: "&amp;Checks!$Y$588)</f>
        <v/>
      </c>
      <c r="F39" s="113" t="str">
        <f aca="false">IF(Checks!$Z$588="","","Evidence: "&amp;Checks!$Z$588)&amp;IF(Checks!$AA$588="","",IF(Checks!$Z$588="","",CHAR(10))&amp;"CA: "&amp;Checks!$AA$588)</f>
        <v/>
      </c>
      <c r="G39" s="113" t="str">
        <f aca="false">IF(ISNUMBER(Checks!$AD$588),TEXT(Checks!$AD$588,"DD-MMM-YY HH:MM")&amp;" "&amp;Checks!$P$588,"")&amp;IF(Checks!$AE$588="","",CHAR(10)&amp;"Verifier: "&amp;Checks!$AE$588)&amp;IF(Checks!$T$588="","",CHAR(10)&amp;"PIC: "&amp;Checks!$T$588)</f>
        <v/>
      </c>
      <c r="H39" s="114" t="str">
        <f aca="false">IF(Checks!$AH$588="","",Checks!$AH$588)</f>
        <v>OPEN</v>
      </c>
    </row>
    <row r="40" customFormat="false" ht="201.75" hidden="false" customHeight="true" outlineLevel="0" collapsed="false">
      <c r="A40" s="113" t="str">
        <f aca="false">Checks!$A$589&amp;CHAR(10)&amp;IF(Checks!$I$589="","",Checks!$I$589&amp;": ")&amp;Checks!$J$589</f>
        <v>F18-T12-06
Equipment: Equipment quantities vs GLD</v>
      </c>
      <c r="B40" s="113" t="str">
        <f aca="false">SUBSTITUTE(Checks!$K$589&amp;IF(Checks!$O$589="","",IF(Checks!$K$589="","",CHAR(10))&amp;"Note: "&amp;Checks!$O$589),"AIRCRAFT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3" t="str">
        <f aca="false">Checks!$N$589&amp;CHAR(10)&amp;IF(ISNUMBER(Checks!$R$589),TEXT(Checks!$R$589,"DD-MMM-YY HH:MM"),"")&amp;" "&amp;Checks!$P$589</f>
        <v>Required
27-Oct-26 10:25 KUL</v>
      </c>
      <c r="D40" s="113" t="str">
        <f aca="false">IF(Checks!$U$589="","",Checks!$U$589)&amp;IF(Checks!$AB$589="","",CHAR(10)&amp;"CA: "&amp;Checks!$AB$589)</f>
        <v/>
      </c>
      <c r="E40" s="113" t="str">
        <f aca="false">IF(Checks!$V$589="","",Checks!$V$589)&amp;IF(Checks!$AC$589="","",IF(Checks!$V$589="","",CHAR(10))&amp;"N/A just.: "&amp;Checks!$AC$589)&amp;IF(Checks!$W$589="","",CHAR(10)&amp;"Batch: "&amp;Checks!$W$589)&amp;IF(AND(Checks!$X$589="",Checks!$Y$589=""),"",CHAR(10)&amp;"Exp: "&amp;Checks!$X$589&amp;"  /  Act: "&amp;Checks!$Y$589)</f>
        <v/>
      </c>
      <c r="F40" s="113" t="str">
        <f aca="false">IF(Checks!$Z$589="","","Evidence: "&amp;Checks!$Z$589)&amp;IF(Checks!$AA$589="","",IF(Checks!$Z$589="","",CHAR(10))&amp;"CA: "&amp;Checks!$AA$589)</f>
        <v/>
      </c>
      <c r="G40" s="113" t="str">
        <f aca="false">IF(ISNUMBER(Checks!$AD$589),TEXT(Checks!$AD$589,"DD-MMM-YY HH:MM")&amp;" "&amp;Checks!$P$589,"")&amp;IF(Checks!$AE$589="","",CHAR(10)&amp;"Verifier: "&amp;Checks!$AE$589)&amp;IF(Checks!$T$589="","",CHAR(10)&amp;"PIC: "&amp;Checks!$T$589)</f>
        <v/>
      </c>
      <c r="H40" s="114" t="str">
        <f aca="false">IF(Checks!$AH$589="","",Checks!$AH$589)</f>
        <v>OPEN</v>
      </c>
    </row>
    <row r="41" customFormat="false" ht="114" hidden="false" customHeight="true" outlineLevel="0" collapsed="false">
      <c r="A41" s="113" t="str">
        <f aca="false">Checks!$A$590&amp;CHAR(10)&amp;IF(Checks!$I$590="","",Checks!$I$590&amp;": ")&amp;Checks!$J$590</f>
        <v>F18-T12-07
Equipment: Loading positions planned vs GLD</v>
      </c>
      <c r="B41" s="113" t="str">
        <f aca="false">Checks!$K$590&amp;IF(Checks!$O$590="","",IF(Checks!$K$590="","",CHAR(10))&amp;"Note: "&amp;Checks!$O$590)</f>
        <v>Note: Preparation check at caterer - does NOT confirm loading.</v>
      </c>
      <c r="C41" s="113" t="str">
        <f aca="false">Checks!$N$590&amp;CHAR(10)&amp;IF(ISNUMBER(Checks!$R$590),TEXT(Checks!$R$590,"DD-MMM-YY HH:MM"),"")&amp;" "&amp;Checks!$P$590</f>
        <v>Required
27-Oct-26 10:25 KUL</v>
      </c>
      <c r="D41" s="113" t="str">
        <f aca="false">IF(Checks!$U$590="","",Checks!$U$590)&amp;IF(Checks!$AB$590="","",CHAR(10)&amp;"CA: "&amp;Checks!$AB$590)</f>
        <v/>
      </c>
      <c r="E41" s="113" t="str">
        <f aca="false">IF(Checks!$V$590="","",Checks!$V$590)&amp;IF(Checks!$AC$590="","",IF(Checks!$V$590="","",CHAR(10))&amp;"N/A just.: "&amp;Checks!$AC$590)&amp;IF(Checks!$W$590="","",CHAR(10)&amp;"Batch: "&amp;Checks!$W$590)&amp;IF(AND(Checks!$X$590="",Checks!$Y$590=""),"",CHAR(10)&amp;"Exp: "&amp;Checks!$X$590&amp;"  /  Act: "&amp;Checks!$Y$590)</f>
        <v/>
      </c>
      <c r="F41" s="113" t="str">
        <f aca="false">IF(Checks!$Z$590="","","Evidence: "&amp;Checks!$Z$590)&amp;IF(Checks!$AA$590="","",IF(Checks!$Z$590="","",CHAR(10))&amp;"CA: "&amp;Checks!$AA$590)</f>
        <v/>
      </c>
      <c r="G41" s="113" t="str">
        <f aca="false">IF(ISNUMBER(Checks!$AD$590),TEXT(Checks!$AD$590,"DD-MMM-YY HH:MM")&amp;" "&amp;Checks!$P$590,"")&amp;IF(Checks!$AE$590="","",CHAR(10)&amp;"Verifier: "&amp;Checks!$AE$590)&amp;IF(Checks!$T$590="","",CHAR(10)&amp;"PIC: "&amp;Checks!$T$590)</f>
        <v/>
      </c>
      <c r="H41" s="114" t="str">
        <f aca="false">IF(Checks!$AH$590="","",Checks!$AH$590)</f>
        <v>OPEN</v>
      </c>
    </row>
    <row r="42" customFormat="false" ht="114" hidden="false" customHeight="true" outlineLevel="0" collapsed="false">
      <c r="A42" s="113" t="str">
        <f aca="false">Checks!$A$591&amp;CHAR(10)&amp;IF(Checks!$I$591="","",Checks!$I$591&amp;": ")&amp;Checks!$J$591</f>
        <v>F18-T12-08
Amenities: Slippers (BS/BC) - prepared</v>
      </c>
      <c r="B42" s="113" t="str">
        <f aca="false">Checks!$K$591&amp;IF(Checks!$O$591="","",IF(Checks!$K$591="","",CHAR(10))&amp;"Note: "&amp;Checks!$O$591)</f>
        <v>Available (ticked in reference)</v>
      </c>
      <c r="C42" s="113" t="str">
        <f aca="false">Checks!$N$591&amp;CHAR(10)&amp;IF(ISNUMBER(Checks!$R$591),TEXT(Checks!$R$591,"DD-MMM-YY HH:MM"),"")&amp;" "&amp;Checks!$P$591</f>
        <v>Required
27-Oct-26 10:25 KUL</v>
      </c>
      <c r="D42" s="113" t="str">
        <f aca="false">IF(Checks!$U$591="","",Checks!$U$591)&amp;IF(Checks!$AB$591="","",CHAR(10)&amp;"CA: "&amp;Checks!$AB$591)</f>
        <v/>
      </c>
      <c r="E42" s="113" t="str">
        <f aca="false">IF(Checks!$V$591="","",Checks!$V$591)&amp;IF(Checks!$AC$591="","",IF(Checks!$V$591="","",CHAR(10))&amp;"N/A just.: "&amp;Checks!$AC$591)&amp;IF(Checks!$W$591="","",CHAR(10)&amp;"Batch: "&amp;Checks!$W$591)&amp;IF(AND(Checks!$X$591="",Checks!$Y$591=""),"",CHAR(10)&amp;"Exp: "&amp;Checks!$X$591&amp;"  /  Act: "&amp;Checks!$Y$591)</f>
        <v/>
      </c>
      <c r="F42" s="113" t="str">
        <f aca="false">IF(Checks!$Z$591="","","Evidence: "&amp;Checks!$Z$591)&amp;IF(Checks!$AA$591="","",IF(Checks!$Z$591="","",CHAR(10))&amp;"CA: "&amp;Checks!$AA$591)</f>
        <v/>
      </c>
      <c r="G42" s="113" t="str">
        <f aca="false">IF(ISNUMBER(Checks!$AD$591),TEXT(Checks!$AD$591,"DD-MMM-YY HH:MM")&amp;" "&amp;Checks!$P$591,"")&amp;IF(Checks!$AE$591="","",CHAR(10)&amp;"Verifier: "&amp;Checks!$AE$591)&amp;IF(Checks!$T$591="","",CHAR(10)&amp;"PIC: "&amp;Checks!$T$591)</f>
        <v/>
      </c>
      <c r="H42" s="114" t="str">
        <f aca="false">IF(Checks!$AH$591="","",Checks!$AH$591)</f>
        <v>OPEN</v>
      </c>
    </row>
    <row r="43" customFormat="false" ht="114" hidden="false" customHeight="true" outlineLevel="0" collapsed="false">
      <c r="A43" s="113" t="str">
        <f aca="false">Checks!$A$592&amp;CHAR(10)&amp;IF(Checks!$I$592="","",Checks!$I$592&amp;": ")&amp;Checks!$J$592</f>
        <v>F18-T12-09
F&amp;B Linen: Towel - prepared</v>
      </c>
      <c r="B43" s="113" t="str">
        <f aca="false">Checks!$K$592&amp;IF(Checks!$O$592="","",IF(Checks!$K$592="","",CHAR(10))&amp;"Note: "&amp;Checks!$O$592)</f>
        <v>Available (ticked in reference)
Note: Reference gives no uplift stn for this item: preparation checked at the meal uplift stn (KUL) - confirm with caterer.</v>
      </c>
      <c r="C43" s="113" t="str">
        <f aca="false">Checks!$N$592&amp;CHAR(10)&amp;IF(ISNUMBER(Checks!$R$592),TEXT(Checks!$R$592,"DD-MMM-YY HH:MM"),"")&amp;" "&amp;Checks!$P$592</f>
        <v>Required
27-Oct-26 10:25 KUL</v>
      </c>
      <c r="D43" s="113" t="str">
        <f aca="false">IF(Checks!$U$592="","",Checks!$U$592)&amp;IF(Checks!$AB$592="","",CHAR(10)&amp;"CA: "&amp;Checks!$AB$592)</f>
        <v/>
      </c>
      <c r="E43" s="113" t="str">
        <f aca="false">IF(Checks!$V$592="","",Checks!$V$592)&amp;IF(Checks!$AC$592="","",IF(Checks!$V$592="","",CHAR(10))&amp;"N/A just.: "&amp;Checks!$AC$592)&amp;IF(Checks!$W$592="","",CHAR(10)&amp;"Batch: "&amp;Checks!$W$592)&amp;IF(AND(Checks!$X$592="",Checks!$Y$592=""),"",CHAR(10)&amp;"Exp: "&amp;Checks!$X$592&amp;"  /  Act: "&amp;Checks!$Y$592)</f>
        <v/>
      </c>
      <c r="F43" s="113" t="str">
        <f aca="false">IF(Checks!$Z$592="","","Evidence: "&amp;Checks!$Z$592)&amp;IF(Checks!$AA$592="","",IF(Checks!$Z$592="","",CHAR(10))&amp;"CA: "&amp;Checks!$AA$592)</f>
        <v/>
      </c>
      <c r="G43" s="113" t="str">
        <f aca="false">IF(ISNUMBER(Checks!$AD$592),TEXT(Checks!$AD$592,"DD-MMM-YY HH:MM")&amp;" "&amp;Checks!$P$592,"")&amp;IF(Checks!$AE$592="","",CHAR(10)&amp;"Verifier: "&amp;Checks!$AE$592)&amp;IF(Checks!$T$592="","",CHAR(10)&amp;"PIC: "&amp;Checks!$T$592)</f>
        <v/>
      </c>
      <c r="H43" s="114" t="str">
        <f aca="false">IF(Checks!$AH$592="","",Checks!$AH$592)</f>
        <v>OPEN</v>
      </c>
    </row>
    <row r="44" customFormat="false" ht="114" hidden="false" customHeight="true" outlineLevel="0" collapsed="false">
      <c r="A44" s="113" t="str">
        <f aca="false">Checks!$A$593&amp;CHAR(10)&amp;IF(Checks!$I$593="","",Checks!$I$593&amp;": ")&amp;Checks!$J$593</f>
        <v>F18-T12-10
F&amp;B Linen: Tray cloth - prepared</v>
      </c>
      <c r="B44" s="113" t="str">
        <f aca="false">Checks!$K$593&amp;IF(Checks!$O$593="","",IF(Checks!$K$593="","",CHAR(10))&amp;"Note: "&amp;Checks!$O$593)</f>
        <v>Available (ticked in reference)
Note: Reference gives no uplift stn for this item: preparation checked at the meal uplift stn (KUL) - confirm with caterer.</v>
      </c>
      <c r="C44" s="113" t="str">
        <f aca="false">Checks!$N$593&amp;CHAR(10)&amp;IF(ISNUMBER(Checks!$R$593),TEXT(Checks!$R$593,"DD-MMM-YY HH:MM"),"")&amp;" "&amp;Checks!$P$593</f>
        <v>Required
27-Oct-26 10:25 KUL</v>
      </c>
      <c r="D44" s="113" t="str">
        <f aca="false">IF(Checks!$U$593="","",Checks!$U$593)&amp;IF(Checks!$AB$593="","",CHAR(10)&amp;"CA: "&amp;Checks!$AB$593)</f>
        <v/>
      </c>
      <c r="E44" s="113" t="str">
        <f aca="false">IF(Checks!$V$593="","",Checks!$V$593)&amp;IF(Checks!$AC$593="","",IF(Checks!$V$593="","",CHAR(10))&amp;"N/A just.: "&amp;Checks!$AC$593)&amp;IF(Checks!$W$593="","",CHAR(10)&amp;"Batch: "&amp;Checks!$W$593)&amp;IF(AND(Checks!$X$593="",Checks!$Y$593=""),"",CHAR(10)&amp;"Exp: "&amp;Checks!$X$593&amp;"  /  Act: "&amp;Checks!$Y$593)</f>
        <v/>
      </c>
      <c r="F44" s="113" t="str">
        <f aca="false">IF(Checks!$Z$593="","","Evidence: "&amp;Checks!$Z$593)&amp;IF(Checks!$AA$593="","",IF(Checks!$Z$593="","",CHAR(10))&amp;"CA: "&amp;Checks!$AA$593)</f>
        <v/>
      </c>
      <c r="G44" s="113" t="str">
        <f aca="false">IF(ISNUMBER(Checks!$AD$593),TEXT(Checks!$AD$593,"DD-MMM-YY HH:MM")&amp;" "&amp;Checks!$P$593,"")&amp;IF(Checks!$AE$593="","",CHAR(10)&amp;"Verifier: "&amp;Checks!$AE$593)&amp;IF(Checks!$T$593="","",CHAR(10)&amp;"PIC: "&amp;Checks!$T$593)</f>
        <v/>
      </c>
      <c r="H44" s="114" t="str">
        <f aca="false">IF(Checks!$AH$593="","",Checks!$AH$593)</f>
        <v>OPEN</v>
      </c>
    </row>
    <row r="45" customFormat="false" ht="114" hidden="false" customHeight="true" outlineLevel="0" collapsed="false">
      <c r="A45" s="113" t="str">
        <f aca="false">Checks!$A$594&amp;CHAR(10)&amp;IF(Checks!$I$594="","",Checks!$I$594&amp;": ")&amp;Checks!$J$594</f>
        <v>F18-T12-11
F&amp;B Linen: Napkin - prepared</v>
      </c>
      <c r="B45" s="113" t="str">
        <f aca="false">Checks!$K$594&amp;IF(Checks!$O$594="","",IF(Checks!$K$594="","",CHAR(10))&amp;"Note: "&amp;Checks!$O$594)</f>
        <v>Available (ticked in reference)
Note: Reference gives no uplift stn for this item: preparation checked at the meal uplift stn (KUL) - confirm with caterer.</v>
      </c>
      <c r="C45" s="113" t="str">
        <f aca="false">Checks!$N$594&amp;CHAR(10)&amp;IF(ISNUMBER(Checks!$R$594),TEXT(Checks!$R$594,"DD-MMM-YY HH:MM"),"")&amp;" "&amp;Checks!$P$594</f>
        <v>Required
27-Oct-26 10:25 KUL</v>
      </c>
      <c r="D45" s="113" t="str">
        <f aca="false">IF(Checks!$U$594="","",Checks!$U$594)&amp;IF(Checks!$AB$594="","",CHAR(10)&amp;"CA: "&amp;Checks!$AB$594)</f>
        <v/>
      </c>
      <c r="E45" s="113" t="str">
        <f aca="false">IF(Checks!$V$594="","",Checks!$V$594)&amp;IF(Checks!$AC$594="","",IF(Checks!$V$594="","",CHAR(10))&amp;"N/A just.: "&amp;Checks!$AC$594)&amp;IF(Checks!$W$594="","",CHAR(10)&amp;"Batch: "&amp;Checks!$W$594)&amp;IF(AND(Checks!$X$594="",Checks!$Y$594=""),"",CHAR(10)&amp;"Exp: "&amp;Checks!$X$594&amp;"  /  Act: "&amp;Checks!$Y$594)</f>
        <v/>
      </c>
      <c r="F45" s="113" t="str">
        <f aca="false">IF(Checks!$Z$594="","","Evidence: "&amp;Checks!$Z$594)&amp;IF(Checks!$AA$594="","",IF(Checks!$Z$594="","",CHAR(10))&amp;"CA: "&amp;Checks!$AA$594)</f>
        <v/>
      </c>
      <c r="G45" s="113" t="str">
        <f aca="false">IF(ISNUMBER(Checks!$AD$594),TEXT(Checks!$AD$594,"DD-MMM-YY HH:MM")&amp;" "&amp;Checks!$P$594,"")&amp;IF(Checks!$AE$594="","",CHAR(10)&amp;"Verifier: "&amp;Checks!$AE$594)&amp;IF(Checks!$T$594="","",CHAR(10)&amp;"PIC: "&amp;Checks!$T$594)</f>
        <v/>
      </c>
      <c r="H45" s="114" t="str">
        <f aca="false">IF(Checks!$AH$594="","",Checks!$AH$594)</f>
        <v>OPEN</v>
      </c>
    </row>
    <row r="46" customFormat="false" ht="114" hidden="false" customHeight="true" outlineLevel="0" collapsed="false">
      <c r="A46" s="113" t="str">
        <f aca="false">Checks!$A$595&amp;CHAR(10)&amp;IF(Checks!$I$595="","",Checks!$I$595&amp;": ")&amp;Checks!$J$595</f>
        <v>F18-T12-12
F&amp;B Linen: Table cloth - prepared</v>
      </c>
      <c r="B46" s="113" t="str">
        <f aca="false">Checks!$K$595&amp;IF(Checks!$O$595="","",IF(Checks!$K$595="","",CHAR(10))&amp;"Note: "&amp;Checks!$O$595)</f>
        <v>Available (ticked in reference)
Note: Reference gives no uplift stn for this item: preparation checked at the meal uplift stn (KUL) - confirm with caterer.</v>
      </c>
      <c r="C46" s="113" t="str">
        <f aca="false">Checks!$N$595&amp;CHAR(10)&amp;IF(ISNUMBER(Checks!$R$595),TEXT(Checks!$R$595,"DD-MMM-YY HH:MM"),"")&amp;" "&amp;Checks!$P$595</f>
        <v>Required
27-Oct-26 10:25 KUL</v>
      </c>
      <c r="D46" s="113" t="str">
        <f aca="false">IF(Checks!$U$595="","",Checks!$U$595)&amp;IF(Checks!$AB$595="","",CHAR(10)&amp;"CA: "&amp;Checks!$AB$595)</f>
        <v/>
      </c>
      <c r="E46" s="113" t="str">
        <f aca="false">IF(Checks!$V$595="","",Checks!$V$595)&amp;IF(Checks!$AC$595="","",IF(Checks!$V$595="","",CHAR(10))&amp;"N/A just.: "&amp;Checks!$AC$595)&amp;IF(Checks!$W$595="","",CHAR(10)&amp;"Batch: "&amp;Checks!$W$595)&amp;IF(AND(Checks!$X$595="",Checks!$Y$595=""),"",CHAR(10)&amp;"Exp: "&amp;Checks!$X$595&amp;"  /  Act: "&amp;Checks!$Y$595)</f>
        <v/>
      </c>
      <c r="F46" s="113" t="str">
        <f aca="false">IF(Checks!$Z$595="","","Evidence: "&amp;Checks!$Z$595)&amp;IF(Checks!$AA$595="","",IF(Checks!$Z$595="","",CHAR(10))&amp;"CA: "&amp;Checks!$AA$595)</f>
        <v/>
      </c>
      <c r="G46" s="113" t="str">
        <f aca="false">IF(ISNUMBER(Checks!$AD$595),TEXT(Checks!$AD$595,"DD-MMM-YY HH:MM")&amp;" "&amp;Checks!$P$595,"")&amp;IF(Checks!$AE$595="","",CHAR(10)&amp;"Verifier: "&amp;Checks!$AE$595)&amp;IF(Checks!$T$595="","",CHAR(10)&amp;"PIC: "&amp;Checks!$T$595)</f>
        <v/>
      </c>
      <c r="H46" s="114" t="str">
        <f aca="false">IF(Checks!$AH$595="","",Checks!$AH$595)</f>
        <v>OPEN</v>
      </c>
    </row>
    <row r="47" customFormat="false" ht="114" hidden="false" customHeight="true" outlineLevel="0" collapsed="false">
      <c r="A47" s="113" t="str">
        <f aca="false">Checks!$A$596&amp;CHAR(10)&amp;IF(Checks!$I$596="","",Checks!$I$596&amp;": ")&amp;Checks!$J$596</f>
        <v>F18-T12-13
F&amp;B Linen: Bread linen (using table cloth) - prepared</v>
      </c>
      <c r="B47" s="113" t="str">
        <f aca="false">Checks!$K$596&amp;IF(Checks!$O$596="","",IF(Checks!$K$596="","",CHAR(10))&amp;"Note: "&amp;Checks!$O$596)</f>
        <v>Available (ticked in reference)
Note: Reference gives no uplift stn for this item: preparation checked at the meal uplift stn (KUL) - confirm with caterer.</v>
      </c>
      <c r="C47" s="113" t="str">
        <f aca="false">Checks!$N$596&amp;CHAR(10)&amp;IF(ISNUMBER(Checks!$R$596),TEXT(Checks!$R$596,"DD-MMM-YY HH:MM"),"")&amp;" "&amp;Checks!$P$596</f>
        <v>Required
27-Oct-26 10:25 KUL</v>
      </c>
      <c r="D47" s="113" t="str">
        <f aca="false">IF(Checks!$U$596="","",Checks!$U$596)&amp;IF(Checks!$AB$596="","",CHAR(10)&amp;"CA: "&amp;Checks!$AB$596)</f>
        <v/>
      </c>
      <c r="E47" s="113" t="str">
        <f aca="false">IF(Checks!$V$596="","",Checks!$V$596)&amp;IF(Checks!$AC$596="","",IF(Checks!$V$596="","",CHAR(10))&amp;"N/A just.: "&amp;Checks!$AC$596)&amp;IF(Checks!$W$596="","",CHAR(10)&amp;"Batch: "&amp;Checks!$W$596)&amp;IF(AND(Checks!$X$596="",Checks!$Y$596=""),"",CHAR(10)&amp;"Exp: "&amp;Checks!$X$596&amp;"  /  Act: "&amp;Checks!$Y$596)</f>
        <v/>
      </c>
      <c r="F47" s="113" t="str">
        <f aca="false">IF(Checks!$Z$596="","","Evidence: "&amp;Checks!$Z$596)&amp;IF(Checks!$AA$596="","",IF(Checks!$Z$596="","",CHAR(10))&amp;"CA: "&amp;Checks!$AA$596)</f>
        <v/>
      </c>
      <c r="G47" s="113" t="str">
        <f aca="false">IF(ISNUMBER(Checks!$AD$596),TEXT(Checks!$AD$596,"DD-MMM-YY HH:MM")&amp;" "&amp;Checks!$P$596,"")&amp;IF(Checks!$AE$596="","",CHAR(10)&amp;"Verifier: "&amp;Checks!$AE$596)&amp;IF(Checks!$T$596="","",CHAR(10)&amp;"PIC: "&amp;Checks!$T$596)</f>
        <v/>
      </c>
      <c r="H47" s="114" t="str">
        <f aca="false">IF(Checks!$AH$596="","",Checks!$AH$596)</f>
        <v>OPEN</v>
      </c>
    </row>
    <row r="48" customFormat="false" ht="124.5" hidden="false" customHeight="true" outlineLevel="0" collapsed="false">
      <c r="A48" s="113" t="str">
        <f aca="false">Checks!$A$597&amp;CHAR(10)&amp;IF(Checks!$I$597="","",Checks!$I$597&amp;": ")&amp;Checks!$J$597</f>
        <v>F18-T12-14
F&amp;B Linen: Trolley cloth - prepared</v>
      </c>
      <c r="B48" s="113" t="str">
        <f aca="false">SUBSTITUTE(Checks!$K$597&amp;IF(Checks!$O$597="","",IF(Checks!$K$597="","",CHAR(10))&amp;"Note: "&amp;Checks!$O$597),"F&amp;B LINEN!","Ref: F&amp;B LINEN!")</f>
        <v>Wide body: Top/Middle &amp; Bottom
Note: Per note Ref: F&amp;B LINEN!B79:C80. Reference gives no uplift stn for this item: preparation checked at the meal uplift stn (KUL) - confirm with caterer.</v>
      </c>
      <c r="C48" s="113" t="str">
        <f aca="false">Checks!$N$597&amp;CHAR(10)&amp;IF(ISNUMBER(Checks!$R$597),TEXT(Checks!$R$597,"DD-MMM-YY HH:MM"),"")&amp;" "&amp;Checks!$P$597</f>
        <v>Required
27-Oct-26 10:25 KUL</v>
      </c>
      <c r="D48" s="113" t="str">
        <f aca="false">IF(Checks!$U$597="","",Checks!$U$597)&amp;IF(Checks!$AB$597="","",CHAR(10)&amp;"CA: "&amp;Checks!$AB$597)</f>
        <v/>
      </c>
      <c r="E48" s="113" t="str">
        <f aca="false">IF(Checks!$V$597="","",Checks!$V$597)&amp;IF(Checks!$AC$597="","",IF(Checks!$V$597="","",CHAR(10))&amp;"N/A just.: "&amp;Checks!$AC$597)&amp;IF(Checks!$W$597="","",CHAR(10)&amp;"Batch: "&amp;Checks!$W$597)&amp;IF(AND(Checks!$X$597="",Checks!$Y$597=""),"",CHAR(10)&amp;"Exp: "&amp;Checks!$X$597&amp;"  /  Act: "&amp;Checks!$Y$597)</f>
        <v/>
      </c>
      <c r="F48" s="113" t="str">
        <f aca="false">IF(Checks!$Z$597="","","Evidence: "&amp;Checks!$Z$597)&amp;IF(Checks!$AA$597="","",IF(Checks!$Z$597="","",CHAR(10))&amp;"CA: "&amp;Checks!$AA$597)</f>
        <v/>
      </c>
      <c r="G48" s="113" t="str">
        <f aca="false">IF(ISNUMBER(Checks!$AD$597),TEXT(Checks!$AD$597,"DD-MMM-YY HH:MM")&amp;" "&amp;Checks!$P$597,"")&amp;IF(Checks!$AE$597="","",CHAR(10)&amp;"Verifier: "&amp;Checks!$AE$597)&amp;IF(Checks!$T$597="","",CHAR(10)&amp;"PIC: "&amp;Checks!$T$597)</f>
        <v/>
      </c>
      <c r="H48" s="114" t="str">
        <f aca="false">IF(Checks!$AH$597="","",Checks!$AH$597)</f>
        <v>OPEN</v>
      </c>
    </row>
    <row r="49" customFormat="false" ht="114" hidden="false" customHeight="true" outlineLevel="0" collapsed="false">
      <c r="A49" s="113" t="str">
        <f aca="false">Checks!$A$598&amp;CHAR(10)&amp;IF(Checks!$I$598="","",Checks!$I$598&amp;": ")&amp;Checks!$J$598</f>
        <v>F18-T12-15
F&amp;B Linen: Linen bag - prepared</v>
      </c>
      <c r="B49" s="113" t="str">
        <f aca="false">Checks!$K$598&amp;IF(Checks!$O$598="","",IF(Checks!$K$598="","",CHAR(10))&amp;"Note: "&amp;Checks!$O$598)</f>
        <v>Available (ticked in reference)
Note: Reference gives no uplift stn for this item: preparation checked at the meal uplift stn (KUL) - confirm with caterer.</v>
      </c>
      <c r="C49" s="113" t="str">
        <f aca="false">Checks!$N$598&amp;CHAR(10)&amp;IF(ISNUMBER(Checks!$R$598),TEXT(Checks!$R$598,"DD-MMM-YY HH:MM"),"")&amp;" "&amp;Checks!$P$598</f>
        <v>Required
27-Oct-26 10:25 KUL</v>
      </c>
      <c r="D49" s="113" t="str">
        <f aca="false">IF(Checks!$U$598="","",Checks!$U$598)&amp;IF(Checks!$AB$598="","",CHAR(10)&amp;"CA: "&amp;Checks!$AB$598)</f>
        <v/>
      </c>
      <c r="E49" s="113" t="str">
        <f aca="false">IF(Checks!$V$598="","",Checks!$V$598)&amp;IF(Checks!$AC$598="","",IF(Checks!$V$598="","",CHAR(10))&amp;"N/A just.: "&amp;Checks!$AC$598)&amp;IF(Checks!$W$598="","",CHAR(10)&amp;"Batch: "&amp;Checks!$W$598)&amp;IF(AND(Checks!$X$598="",Checks!$Y$598=""),"",CHAR(10)&amp;"Exp: "&amp;Checks!$X$598&amp;"  /  Act: "&amp;Checks!$Y$598)</f>
        <v/>
      </c>
      <c r="F49" s="113" t="str">
        <f aca="false">IF(Checks!$Z$598="","","Evidence: "&amp;Checks!$Z$598)&amp;IF(Checks!$AA$598="","",IF(Checks!$Z$598="","",CHAR(10))&amp;"CA: "&amp;Checks!$AA$598)</f>
        <v/>
      </c>
      <c r="G49" s="113" t="str">
        <f aca="false">IF(ISNUMBER(Checks!$AD$598),TEXT(Checks!$AD$598,"DD-MMM-YY HH:MM")&amp;" "&amp;Checks!$P$598,"")&amp;IF(Checks!$AE$598="","",CHAR(10)&amp;"Verifier: "&amp;Checks!$AE$598)&amp;IF(Checks!$T$598="","",CHAR(10)&amp;"PIC: "&amp;Checks!$T$598)</f>
        <v/>
      </c>
      <c r="H49" s="114" t="str">
        <f aca="false">IF(Checks!$AH$598="","",Checks!$AH$598)</f>
        <v>OPEN</v>
      </c>
    </row>
    <row r="50" customFormat="false" ht="114" hidden="false" customHeight="true" outlineLevel="0" collapsed="false">
      <c r="A50" s="113" t="str">
        <f aca="false">Checks!$A$599&amp;CHAR(10)&amp;IF(Checks!$I$599="","",Checks!$I$599&amp;": ")&amp;Checks!$J$599</f>
        <v>F18-T12-16
Seat Linen: Seat pillow (BS &amp; BC) - prepared</v>
      </c>
      <c r="B50" s="113" t="str">
        <f aca="false">Checks!$K$599&amp;IF(Checks!$O$599="","",IF(Checks!$K$599="","",CHAR(10))&amp;"Note: "&amp;Checks!$O$599)</f>
        <v>Available 100% (ticked in reference)
Note: Reference gives no uplift stn for this item: preparation checked at the meal uplift stn (KUL) - confirm with caterer.</v>
      </c>
      <c r="C50" s="113" t="str">
        <f aca="false">Checks!$N$599&amp;CHAR(10)&amp;IF(ISNUMBER(Checks!$R$599),TEXT(Checks!$R$599,"DD-MMM-YY HH:MM"),"")&amp;" "&amp;Checks!$P$599</f>
        <v>Required
27-Oct-26 10:25 KUL</v>
      </c>
      <c r="D50" s="113" t="str">
        <f aca="false">IF(Checks!$U$599="","",Checks!$U$599)&amp;IF(Checks!$AB$599="","",CHAR(10)&amp;"CA: "&amp;Checks!$AB$599)</f>
        <v/>
      </c>
      <c r="E50" s="113" t="str">
        <f aca="false">IF(Checks!$V$599="","",Checks!$V$599)&amp;IF(Checks!$AC$599="","",IF(Checks!$V$599="","",CHAR(10))&amp;"N/A just.: "&amp;Checks!$AC$599)&amp;IF(Checks!$W$599="","",CHAR(10)&amp;"Batch: "&amp;Checks!$W$599)&amp;IF(AND(Checks!$X$599="",Checks!$Y$599=""),"",CHAR(10)&amp;"Exp: "&amp;Checks!$X$599&amp;"  /  Act: "&amp;Checks!$Y$599)</f>
        <v/>
      </c>
      <c r="F50" s="113" t="str">
        <f aca="false">IF(Checks!$Z$599="","","Evidence: "&amp;Checks!$Z$599)&amp;IF(Checks!$AA$599="","",IF(Checks!$Z$599="","",CHAR(10))&amp;"CA: "&amp;Checks!$AA$599)</f>
        <v/>
      </c>
      <c r="G50" s="113" t="str">
        <f aca="false">IF(ISNUMBER(Checks!$AD$599),TEXT(Checks!$AD$599,"DD-MMM-YY HH:MM")&amp;" "&amp;Checks!$P$599,"")&amp;IF(Checks!$AE$599="","",CHAR(10)&amp;"Verifier: "&amp;Checks!$AE$599)&amp;IF(Checks!$T$599="","",CHAR(10)&amp;"PIC: "&amp;Checks!$T$599)</f>
        <v/>
      </c>
      <c r="H50" s="114" t="str">
        <f aca="false">IF(Checks!$AH$599="","",Checks!$AH$599)</f>
        <v>OPEN</v>
      </c>
    </row>
    <row r="51" customFormat="false" ht="114" hidden="false" customHeight="true" outlineLevel="0" collapsed="false">
      <c r="A51" s="113" t="str">
        <f aca="false">Checks!$A$600&amp;CHAR(10)&amp;IF(Checks!$I$600="","",Checks!$I$600&amp;": ")&amp;Checks!$J$600</f>
        <v>F18-T12-17
Seat Linen: Duvet (BS &amp; BC) - prepared</v>
      </c>
      <c r="B51" s="113" t="str">
        <f aca="false">Checks!$K$600&amp;IF(Checks!$O$600="","",IF(Checks!$K$600="","",CHAR(10))&amp;"Note: "&amp;Checks!$O$600)</f>
        <v>Available 100% (ticked in reference)
Note: Reference gives no uplift stn for this item: preparation checked at the meal uplift stn (KUL) - confirm with caterer.</v>
      </c>
      <c r="C51" s="113" t="str">
        <f aca="false">Checks!$N$600&amp;CHAR(10)&amp;IF(ISNUMBER(Checks!$R$600),TEXT(Checks!$R$600,"DD-MMM-YY HH:MM"),"")&amp;" "&amp;Checks!$P$600</f>
        <v>Required
27-Oct-26 10:25 KUL</v>
      </c>
      <c r="D51" s="113" t="str">
        <f aca="false">IF(Checks!$U$600="","",Checks!$U$600)&amp;IF(Checks!$AB$600="","",CHAR(10)&amp;"CA: "&amp;Checks!$AB$600)</f>
        <v/>
      </c>
      <c r="E51" s="113" t="str">
        <f aca="false">IF(Checks!$V$600="","",Checks!$V$600)&amp;IF(Checks!$AC$600="","",IF(Checks!$V$600="","",CHAR(10))&amp;"N/A just.: "&amp;Checks!$AC$600)&amp;IF(Checks!$W$600="","",CHAR(10)&amp;"Batch: "&amp;Checks!$W$600)&amp;IF(AND(Checks!$X$600="",Checks!$Y$600=""),"",CHAR(10)&amp;"Exp: "&amp;Checks!$X$600&amp;"  /  Act: "&amp;Checks!$Y$600)</f>
        <v/>
      </c>
      <c r="F51" s="113" t="str">
        <f aca="false">IF(Checks!$Z$600="","","Evidence: "&amp;Checks!$Z$600)&amp;IF(Checks!$AA$600="","",IF(Checks!$Z$600="","",CHAR(10))&amp;"CA: "&amp;Checks!$AA$600)</f>
        <v/>
      </c>
      <c r="G51" s="113" t="str">
        <f aca="false">IF(ISNUMBER(Checks!$AD$600),TEXT(Checks!$AD$600,"DD-MMM-YY HH:MM")&amp;" "&amp;Checks!$P$600,"")&amp;IF(Checks!$AE$600="","",CHAR(10)&amp;"Verifier: "&amp;Checks!$AE$600)&amp;IF(Checks!$T$600="","",CHAR(10)&amp;"PIC: "&amp;Checks!$T$600)</f>
        <v/>
      </c>
      <c r="H51" s="114" t="str">
        <f aca="false">IF(Checks!$AH$600="","",Checks!$AH$600)</f>
        <v>OPEN</v>
      </c>
    </row>
    <row r="52" customFormat="false" ht="114" hidden="false" customHeight="true" outlineLevel="0" collapsed="false">
      <c r="A52" s="113" t="str">
        <f aca="false">Checks!$A$601&amp;CHAR(10)&amp;IF(Checks!$I$601="","",Checks!$I$601&amp;": ")&amp;Checks!$J$601</f>
        <v>F18-T12-18
Seat Linen: Mattress (BS &amp; BC) - prepared</v>
      </c>
      <c r="B52" s="113" t="str">
        <f aca="false">Checks!$K$601&amp;IF(Checks!$O$601="","",IF(Checks!$K$601="","",CHAR(10))&amp;"Note: "&amp;Checks!$O$601)</f>
        <v>Available 100% (ticked in reference)
Note: Reference gives no uplift stn for this item: preparation checked at the meal uplift stn (KUL) - confirm with caterer.</v>
      </c>
      <c r="C52" s="113" t="str">
        <f aca="false">Checks!$N$601&amp;CHAR(10)&amp;IF(ISNUMBER(Checks!$R$601),TEXT(Checks!$R$601,"DD-MMM-YY HH:MM"),"")&amp;" "&amp;Checks!$P$601</f>
        <v>Required
27-Oct-26 10:25 KUL</v>
      </c>
      <c r="D52" s="113" t="str">
        <f aca="false">IF(Checks!$U$601="","",Checks!$U$601)&amp;IF(Checks!$AB$601="","",CHAR(10)&amp;"CA: "&amp;Checks!$AB$601)</f>
        <v/>
      </c>
      <c r="E52" s="113" t="str">
        <f aca="false">IF(Checks!$V$601="","",Checks!$V$601)&amp;IF(Checks!$AC$601="","",IF(Checks!$V$601="","",CHAR(10))&amp;"N/A just.: "&amp;Checks!$AC$601)&amp;IF(Checks!$W$601="","",CHAR(10)&amp;"Batch: "&amp;Checks!$W$601)&amp;IF(AND(Checks!$X$601="",Checks!$Y$601=""),"",CHAR(10)&amp;"Exp: "&amp;Checks!$X$601&amp;"  /  Act: "&amp;Checks!$Y$601)</f>
        <v/>
      </c>
      <c r="F52" s="113" t="str">
        <f aca="false">IF(Checks!$Z$601="","","Evidence: "&amp;Checks!$Z$601)&amp;IF(Checks!$AA$601="","",IF(Checks!$Z$601="","",CHAR(10))&amp;"CA: "&amp;Checks!$AA$601)</f>
        <v/>
      </c>
      <c r="G52" s="113" t="str">
        <f aca="false">IF(ISNUMBER(Checks!$AD$601),TEXT(Checks!$AD$601,"DD-MMM-YY HH:MM")&amp;" "&amp;Checks!$P$601,"")&amp;IF(Checks!$AE$601="","",CHAR(10)&amp;"Verifier: "&amp;Checks!$AE$601)&amp;IF(Checks!$T$601="","",CHAR(10)&amp;"PIC: "&amp;Checks!$T$601)</f>
        <v/>
      </c>
      <c r="H52" s="114" t="str">
        <f aca="false">IF(Checks!$AH$601="","",Checks!$AH$601)</f>
        <v>OPEN</v>
      </c>
    </row>
    <row r="53" customFormat="false" ht="114" hidden="false" customHeight="true" outlineLevel="0" collapsed="false">
      <c r="A53" s="113" t="str">
        <f aca="false">Checks!$A$602&amp;CHAR(10)&amp;IF(Checks!$I$602="","",Checks!$I$602&amp;": ")&amp;Checks!$J$602</f>
        <v>F18-T12-19
Signature Drinks: Signature drink &amp; garnish (BC) - prepared</v>
      </c>
      <c r="B53" s="113" t="str">
        <f aca="false">Checks!$K$602&amp;IF(Checks!$O$602="","",IF(Checks!$K$602="","",CHAR(10))&amp;"Note: "&amp;Checks!$O$602)</f>
        <v>Available (ticked in reference)
Note: Signature drinks &amp; garnish uplifted from KUL (note D79).</v>
      </c>
      <c r="C53" s="113" t="str">
        <f aca="false">Checks!$N$602&amp;CHAR(10)&amp;IF(ISNUMBER(Checks!$R$602),TEXT(Checks!$R$602,"DD-MMM-YY HH:MM"),"")&amp;" "&amp;Checks!$P$602</f>
        <v>Required
27-Oct-26 10:25 KUL</v>
      </c>
      <c r="D53" s="113" t="str">
        <f aca="false">IF(Checks!$U$602="","",Checks!$U$602)&amp;IF(Checks!$AB$602="","",CHAR(10)&amp;"CA: "&amp;Checks!$AB$602)</f>
        <v/>
      </c>
      <c r="E53" s="113" t="str">
        <f aca="false">IF(Checks!$V$602="","",Checks!$V$602)&amp;IF(Checks!$AC$602="","",IF(Checks!$V$602="","",CHAR(10))&amp;"N/A just.: "&amp;Checks!$AC$602)&amp;IF(Checks!$W$602="","",CHAR(10)&amp;"Batch: "&amp;Checks!$W$602)&amp;IF(AND(Checks!$X$602="",Checks!$Y$602=""),"",CHAR(10)&amp;"Exp: "&amp;Checks!$X$602&amp;"  /  Act: "&amp;Checks!$Y$602)</f>
        <v/>
      </c>
      <c r="F53" s="113" t="str">
        <f aca="false">IF(Checks!$Z$602="","","Evidence: "&amp;Checks!$Z$602)&amp;IF(Checks!$AA$602="","",IF(Checks!$Z$602="","",CHAR(10))&amp;"CA: "&amp;Checks!$AA$602)</f>
        <v/>
      </c>
      <c r="G53" s="113" t="str">
        <f aca="false">IF(ISNUMBER(Checks!$AD$602),TEXT(Checks!$AD$602,"DD-MMM-YY HH:MM")&amp;" "&amp;Checks!$P$602,"")&amp;IF(Checks!$AE$602="","",CHAR(10)&amp;"Verifier: "&amp;Checks!$AE$602)&amp;IF(Checks!$T$602="","",CHAR(10)&amp;"PIC: "&amp;Checks!$T$602)</f>
        <v/>
      </c>
      <c r="H53" s="114" t="str">
        <f aca="false">IF(Checks!$AH$602="","",Checks!$AH$602)</f>
        <v>OPEN</v>
      </c>
    </row>
    <row r="54" customFormat="false" ht="114" hidden="false" customHeight="true" outlineLevel="0" collapsed="false">
      <c r="A54" s="113" t="str">
        <f aca="false">Checks!$A$603&amp;CHAR(10)&amp;IF(Checks!$I$603="","",Checks!$I$603&amp;": ")&amp;Checks!$J$603</f>
        <v>F18-T12-20
Sales Cart: Sales cart (caterer PASB) - prepared</v>
      </c>
      <c r="B54" s="113" t="str">
        <f aca="false">Checks!$K$603&amp;IF(Checks!$O$603="","",IF(Checks!$K$603="","",CHAR(10))&amp;"Note: "&amp;Checks!$O$603)</f>
        <v>Location 643 &amp; 947 (A333, full cart)
Note: Block 6.50 h &gt;= 4 h. Reference gives no uplift stn for this item: preparation checked at the meal uplift stn (KUL) - confirm with caterer.</v>
      </c>
      <c r="C54" s="113" t="str">
        <f aca="false">Checks!$N$603&amp;CHAR(10)&amp;IF(ISNUMBER(Checks!$R$603),TEXT(Checks!$R$603,"DD-MMM-YY HH:MM"),"")&amp;" "&amp;Checks!$P$603</f>
        <v>Required
27-Oct-26 10:25 KUL</v>
      </c>
      <c r="D54" s="113" t="str">
        <f aca="false">IF(Checks!$U$603="","",Checks!$U$603)&amp;IF(Checks!$AB$603="","",CHAR(10)&amp;"CA: "&amp;Checks!$AB$603)</f>
        <v/>
      </c>
      <c r="E54" s="113" t="str">
        <f aca="false">IF(Checks!$V$603="","",Checks!$V$603)&amp;IF(Checks!$AC$603="","",IF(Checks!$V$603="","",CHAR(10))&amp;"N/A just.: "&amp;Checks!$AC$603)&amp;IF(Checks!$W$603="","",CHAR(10)&amp;"Batch: "&amp;Checks!$W$603)&amp;IF(AND(Checks!$X$603="",Checks!$Y$603=""),"",CHAR(10)&amp;"Exp: "&amp;Checks!$X$603&amp;"  /  Act: "&amp;Checks!$Y$603)</f>
        <v/>
      </c>
      <c r="F54" s="113" t="str">
        <f aca="false">IF(Checks!$Z$603="","","Evidence: "&amp;Checks!$Z$603)&amp;IF(Checks!$AA$603="","",IF(Checks!$Z$603="","",CHAR(10))&amp;"CA: "&amp;Checks!$AA$603)</f>
        <v/>
      </c>
      <c r="G54" s="113" t="str">
        <f aca="false">IF(ISNUMBER(Checks!$AD$603),TEXT(Checks!$AD$603,"DD-MMM-YY HH:MM")&amp;" "&amp;Checks!$P$603,"")&amp;IF(Checks!$AE$603="","",CHAR(10)&amp;"Verifier: "&amp;Checks!$AE$603)&amp;IF(Checks!$T$603="","",CHAR(10)&amp;"PIC: "&amp;Checks!$T$603)</f>
        <v/>
      </c>
      <c r="H54" s="114" t="str">
        <f aca="false">IF(Checks!$AH$603="","",Checks!$AH$603)</f>
        <v>OPEN</v>
      </c>
    </row>
    <row r="55" customFormat="false" ht="25.5" hidden="false" customHeight="true" outlineLevel="0" collapsed="false">
      <c r="A55" s="112"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2"/>
      <c r="C55" s="112"/>
      <c r="D55" s="112"/>
      <c r="E55" s="112"/>
      <c r="F55" s="112"/>
      <c r="G55" s="112"/>
      <c r="H55" s="112"/>
    </row>
    <row r="56" customFormat="false" ht="114" hidden="false" customHeight="true" outlineLevel="0" collapsed="false">
      <c r="A56" s="113" t="str">
        <f aca="false">Checks!$A$604&amp;CHAR(10)&amp;IF(Checks!$I$604="","",Checks!$I$604&amp;": ")&amp;Checks!$J$604</f>
        <v>F18-UPL-01
Meal: Meals physically uplifted on board - quantity vs menu checklist</v>
      </c>
      <c r="B56" s="113" t="str">
        <f aca="false">Checks!$K$604&amp;IF(Checks!$O$604="","",IF(Checks!$K$604="","",CHAR(10))&amp;"Note: "&amp;Checks!$O$604)</f>
        <v>Enter expected &amp; actual
Note: Confirm on board before departure; completion time must fall inside the uplift window.</v>
      </c>
      <c r="C56" s="113" t="str">
        <f aca="false">Checks!$N$604&amp;CHAR(10)&amp;IF(ISNUMBER(Checks!$R$604),TEXT(Checks!$R$604,"DD-MMM-YY HH:MM"),"")&amp;" "&amp;Checks!$P$604</f>
        <v>Required
27-Oct-26 22:25 KUL</v>
      </c>
      <c r="D56" s="113" t="str">
        <f aca="false">IF(Checks!$U$604="","",Checks!$U$604)&amp;IF(Checks!$AB$604="","",CHAR(10)&amp;"CA: "&amp;Checks!$AB$604)</f>
        <v/>
      </c>
      <c r="E56" s="113" t="str">
        <f aca="false">IF(Checks!$V$604="","",Checks!$V$604)&amp;IF(Checks!$AC$604="","",IF(Checks!$V$604="","",CHAR(10))&amp;"N/A just.: "&amp;Checks!$AC$604)&amp;IF(Checks!$W$604="","",CHAR(10)&amp;"Batch: "&amp;Checks!$W$604)&amp;IF(AND(Checks!$X$604="",Checks!$Y$604=""),"",CHAR(10)&amp;"Exp: "&amp;Checks!$X$604&amp;"  /  Act: "&amp;Checks!$Y$604)</f>
        <v/>
      </c>
      <c r="F56" s="113" t="str">
        <f aca="false">IF(Checks!$Z$604="","","Evidence: "&amp;Checks!$Z$604)&amp;IF(Checks!$AA$604="","",IF(Checks!$Z$604="","",CHAR(10))&amp;"CA: "&amp;Checks!$AA$604)</f>
        <v/>
      </c>
      <c r="G56" s="113" t="str">
        <f aca="false">IF(ISNUMBER(Checks!$AD$604),TEXT(Checks!$AD$604,"DD-MMM-YY HH:MM")&amp;" "&amp;Checks!$P$604,"")&amp;IF(Checks!$AE$604="","",CHAR(10)&amp;"Verifier: "&amp;Checks!$AE$604)&amp;IF(Checks!$T$604="","",CHAR(10)&amp;"PIC: "&amp;Checks!$T$604)</f>
        <v/>
      </c>
      <c r="H56" s="114" t="str">
        <f aca="false">IF(Checks!$AH$604="","",Checks!$AH$604)</f>
        <v>OPEN</v>
      </c>
    </row>
    <row r="57" customFormat="false" ht="114" hidden="false" customHeight="true" outlineLevel="0" collapsed="false">
      <c r="A57" s="113" t="str">
        <f aca="false">Checks!$A$605&amp;CHAR(10)&amp;IF(Checks!$I$605="","",Checks!$I$605&amp;": ")&amp;Checks!$J$605</f>
        <v>F18-UPL-02
Equipment: Equipment physically loaded at GLD positions - quantity &amp; positions</v>
      </c>
      <c r="B57" s="113" t="str">
        <f aca="false">Checks!$K$605&amp;IF(Checks!$O$605="","",IF(Checks!$K$605="","",CHAR(10))&amp;"Note: "&amp;Checks!$O$605)</f>
        <v>Enter expected &amp; actual
Note: Confirm on board before departure; completion time must fall inside the uplift window.</v>
      </c>
      <c r="C57" s="113" t="str">
        <f aca="false">Checks!$N$605&amp;CHAR(10)&amp;IF(ISNUMBER(Checks!$R$605),TEXT(Checks!$R$605,"DD-MMM-YY HH:MM"),"")&amp;" "&amp;Checks!$P$605</f>
        <v>Required
27-Oct-26 22:25 KUL</v>
      </c>
      <c r="D57" s="113" t="str">
        <f aca="false">IF(Checks!$U$605="","",Checks!$U$605)&amp;IF(Checks!$AB$605="","",CHAR(10)&amp;"CA: "&amp;Checks!$AB$605)</f>
        <v/>
      </c>
      <c r="E57" s="113" t="str">
        <f aca="false">IF(Checks!$V$605="","",Checks!$V$605)&amp;IF(Checks!$AC$605="","",IF(Checks!$V$605="","",CHAR(10))&amp;"N/A just.: "&amp;Checks!$AC$605)&amp;IF(Checks!$W$605="","",CHAR(10)&amp;"Batch: "&amp;Checks!$W$605)&amp;IF(AND(Checks!$X$605="",Checks!$Y$605=""),"",CHAR(10)&amp;"Exp: "&amp;Checks!$X$605&amp;"  /  Act: "&amp;Checks!$Y$605)</f>
        <v/>
      </c>
      <c r="F57" s="113" t="str">
        <f aca="false">IF(Checks!$Z$605="","","Evidence: "&amp;Checks!$Z$605)&amp;IF(Checks!$AA$605="","",IF(Checks!$Z$605="","",CHAR(10))&amp;"CA: "&amp;Checks!$AA$605)</f>
        <v/>
      </c>
      <c r="G57" s="113" t="str">
        <f aca="false">IF(ISNUMBER(Checks!$AD$605),TEXT(Checks!$AD$605,"DD-MMM-YY HH:MM")&amp;" "&amp;Checks!$P$605,"")&amp;IF(Checks!$AE$605="","",CHAR(10)&amp;"Verifier: "&amp;Checks!$AE$605)&amp;IF(Checks!$T$605="","",CHAR(10)&amp;"PIC: "&amp;Checks!$T$605)</f>
        <v/>
      </c>
      <c r="H57" s="114" t="str">
        <f aca="false">IF(Checks!$AH$605="","",Checks!$AH$605)</f>
        <v>OPEN</v>
      </c>
    </row>
    <row r="58" customFormat="false" ht="114" hidden="false" customHeight="true" outlineLevel="0" collapsed="false">
      <c r="A58" s="113" t="str">
        <f aca="false">Checks!$A$606&amp;CHAR(10)&amp;IF(Checks!$I$606="","",Checks!$I$606&amp;": ")&amp;Checks!$J$606</f>
        <v>F18-UPL-03
Amenities: Slippers (BS/BC) - on board</v>
      </c>
      <c r="B58" s="113" t="str">
        <f aca="false">Checks!$K$606&amp;IF(Checks!$O$606="","",IF(Checks!$K$606="","",CHAR(10))&amp;"Note: "&amp;Checks!$O$606)</f>
        <v>Available (ticked in reference)</v>
      </c>
      <c r="C58" s="113" t="str">
        <f aca="false">Checks!$N$606&amp;CHAR(10)&amp;IF(ISNUMBER(Checks!$R$606),TEXT(Checks!$R$606,"DD-MMM-YY HH:MM"),"")&amp;" "&amp;Checks!$P$606</f>
        <v>Required
27-Oct-26 22:25 KUL</v>
      </c>
      <c r="D58" s="113" t="str">
        <f aca="false">IF(Checks!$U$606="","",Checks!$U$606)&amp;IF(Checks!$AB$606="","",CHAR(10)&amp;"CA: "&amp;Checks!$AB$606)</f>
        <v/>
      </c>
      <c r="E58" s="113" t="str">
        <f aca="false">IF(Checks!$V$606="","",Checks!$V$606)&amp;IF(Checks!$AC$606="","",IF(Checks!$V$606="","",CHAR(10))&amp;"N/A just.: "&amp;Checks!$AC$606)&amp;IF(Checks!$W$606="","",CHAR(10)&amp;"Batch: "&amp;Checks!$W$606)&amp;IF(AND(Checks!$X$606="",Checks!$Y$606=""),"",CHAR(10)&amp;"Exp: "&amp;Checks!$X$606&amp;"  /  Act: "&amp;Checks!$Y$606)</f>
        <v/>
      </c>
      <c r="F58" s="113" t="str">
        <f aca="false">IF(Checks!$Z$606="","","Evidence: "&amp;Checks!$Z$606)&amp;IF(Checks!$AA$606="","",IF(Checks!$Z$606="","",CHAR(10))&amp;"CA: "&amp;Checks!$AA$606)</f>
        <v/>
      </c>
      <c r="G58" s="113" t="str">
        <f aca="false">IF(ISNUMBER(Checks!$AD$606),TEXT(Checks!$AD$606,"DD-MMM-YY HH:MM")&amp;" "&amp;Checks!$P$606,"")&amp;IF(Checks!$AE$606="","",CHAR(10)&amp;"Verifier: "&amp;Checks!$AE$606)&amp;IF(Checks!$T$606="","",CHAR(10)&amp;"PIC: "&amp;Checks!$T$606)</f>
        <v/>
      </c>
      <c r="H58" s="114" t="str">
        <f aca="false">IF(Checks!$AH$606="","",Checks!$AH$606)</f>
        <v>OPEN</v>
      </c>
    </row>
    <row r="59" customFormat="false" ht="114" hidden="false" customHeight="true" outlineLevel="0" collapsed="false">
      <c r="A59" s="113" t="str">
        <f aca="false">Checks!$A$607&amp;CHAR(10)&amp;IF(Checks!$I$607="","",Checks!$I$607&amp;": ")&amp;Checks!$J$607</f>
        <v>F18-UPL-04
F&amp;B Linen: Towel - on board</v>
      </c>
      <c r="B59" s="113" t="str">
        <f aca="false">Checks!$K$607&amp;IF(Checks!$O$607="","",IF(Checks!$K$607="","",CHAR(10))&amp;"Note: "&amp;Checks!$O$607)</f>
        <v>Available (ticked in reference)</v>
      </c>
      <c r="C59" s="113" t="str">
        <f aca="false">Checks!$N$607&amp;CHAR(10)&amp;IF(ISNUMBER(Checks!$R$607),TEXT(Checks!$R$607,"DD-MMM-YY HH:MM"),"")&amp;" "&amp;Checks!$P$607</f>
        <v>Required
27-Oct-26 22:25 KUL</v>
      </c>
      <c r="D59" s="113" t="str">
        <f aca="false">IF(Checks!$U$607="","",Checks!$U$607)&amp;IF(Checks!$AB$607="","",CHAR(10)&amp;"CA: "&amp;Checks!$AB$607)</f>
        <v/>
      </c>
      <c r="E59" s="113" t="str">
        <f aca="false">IF(Checks!$V$607="","",Checks!$V$607)&amp;IF(Checks!$AC$607="","",IF(Checks!$V$607="","",CHAR(10))&amp;"N/A just.: "&amp;Checks!$AC$607)&amp;IF(Checks!$W$607="","",CHAR(10)&amp;"Batch: "&amp;Checks!$W$607)&amp;IF(AND(Checks!$X$607="",Checks!$Y$607=""),"",CHAR(10)&amp;"Exp: "&amp;Checks!$X$607&amp;"  /  Act: "&amp;Checks!$Y$607)</f>
        <v/>
      </c>
      <c r="F59" s="113" t="str">
        <f aca="false">IF(Checks!$Z$607="","","Evidence: "&amp;Checks!$Z$607)&amp;IF(Checks!$AA$607="","",IF(Checks!$Z$607="","",CHAR(10))&amp;"CA: "&amp;Checks!$AA$607)</f>
        <v/>
      </c>
      <c r="G59" s="113" t="str">
        <f aca="false">IF(ISNUMBER(Checks!$AD$607),TEXT(Checks!$AD$607,"DD-MMM-YY HH:MM")&amp;" "&amp;Checks!$P$607,"")&amp;IF(Checks!$AE$607="","",CHAR(10)&amp;"Verifier: "&amp;Checks!$AE$607)&amp;IF(Checks!$T$607="","",CHAR(10)&amp;"PIC: "&amp;Checks!$T$607)</f>
        <v/>
      </c>
      <c r="H59" s="114" t="str">
        <f aca="false">IF(Checks!$AH$607="","",Checks!$AH$607)</f>
        <v>OPEN</v>
      </c>
    </row>
    <row r="60" customFormat="false" ht="114" hidden="false" customHeight="true" outlineLevel="0" collapsed="false">
      <c r="A60" s="113" t="str">
        <f aca="false">Checks!$A$608&amp;CHAR(10)&amp;IF(Checks!$I$608="","",Checks!$I$608&amp;": ")&amp;Checks!$J$608</f>
        <v>F18-UPL-05
F&amp;B Linen: Tray cloth - on board</v>
      </c>
      <c r="B60" s="113" t="str">
        <f aca="false">Checks!$K$608&amp;IF(Checks!$O$608="","",IF(Checks!$K$608="","",CHAR(10))&amp;"Note: "&amp;Checks!$O$608)</f>
        <v>Available (ticked in reference)</v>
      </c>
      <c r="C60" s="113" t="str">
        <f aca="false">Checks!$N$608&amp;CHAR(10)&amp;IF(ISNUMBER(Checks!$R$608),TEXT(Checks!$R$608,"DD-MMM-YY HH:MM"),"")&amp;" "&amp;Checks!$P$608</f>
        <v>Required
27-Oct-26 22:25 KUL</v>
      </c>
      <c r="D60" s="113" t="str">
        <f aca="false">IF(Checks!$U$608="","",Checks!$U$608)&amp;IF(Checks!$AB$608="","",CHAR(10)&amp;"CA: "&amp;Checks!$AB$608)</f>
        <v/>
      </c>
      <c r="E60" s="113" t="str">
        <f aca="false">IF(Checks!$V$608="","",Checks!$V$608)&amp;IF(Checks!$AC$608="","",IF(Checks!$V$608="","",CHAR(10))&amp;"N/A just.: "&amp;Checks!$AC$608)&amp;IF(Checks!$W$608="","",CHAR(10)&amp;"Batch: "&amp;Checks!$W$608)&amp;IF(AND(Checks!$X$608="",Checks!$Y$608=""),"",CHAR(10)&amp;"Exp: "&amp;Checks!$X$608&amp;"  /  Act: "&amp;Checks!$Y$608)</f>
        <v/>
      </c>
      <c r="F60" s="113" t="str">
        <f aca="false">IF(Checks!$Z$608="","","Evidence: "&amp;Checks!$Z$608)&amp;IF(Checks!$AA$608="","",IF(Checks!$Z$608="","",CHAR(10))&amp;"CA: "&amp;Checks!$AA$608)</f>
        <v/>
      </c>
      <c r="G60" s="113" t="str">
        <f aca="false">IF(ISNUMBER(Checks!$AD$608),TEXT(Checks!$AD$608,"DD-MMM-YY HH:MM")&amp;" "&amp;Checks!$P$608,"")&amp;IF(Checks!$AE$608="","",CHAR(10)&amp;"Verifier: "&amp;Checks!$AE$608)&amp;IF(Checks!$T$608="","",CHAR(10)&amp;"PIC: "&amp;Checks!$T$608)</f>
        <v/>
      </c>
      <c r="H60" s="114" t="str">
        <f aca="false">IF(Checks!$AH$608="","",Checks!$AH$608)</f>
        <v>OPEN</v>
      </c>
    </row>
    <row r="61" customFormat="false" ht="114" hidden="false" customHeight="true" outlineLevel="0" collapsed="false">
      <c r="A61" s="113" t="str">
        <f aca="false">Checks!$A$609&amp;CHAR(10)&amp;IF(Checks!$I$609="","",Checks!$I$609&amp;": ")&amp;Checks!$J$609</f>
        <v>F18-UPL-06
F&amp;B Linen: Napkin - on board</v>
      </c>
      <c r="B61" s="113" t="str">
        <f aca="false">Checks!$K$609&amp;IF(Checks!$O$609="","",IF(Checks!$K$609="","",CHAR(10))&amp;"Note: "&amp;Checks!$O$609)</f>
        <v>Available (ticked in reference)</v>
      </c>
      <c r="C61" s="113" t="str">
        <f aca="false">Checks!$N$609&amp;CHAR(10)&amp;IF(ISNUMBER(Checks!$R$609),TEXT(Checks!$R$609,"DD-MMM-YY HH:MM"),"")&amp;" "&amp;Checks!$P$609</f>
        <v>Required
27-Oct-26 22:25 KUL</v>
      </c>
      <c r="D61" s="113" t="str">
        <f aca="false">IF(Checks!$U$609="","",Checks!$U$609)&amp;IF(Checks!$AB$609="","",CHAR(10)&amp;"CA: "&amp;Checks!$AB$609)</f>
        <v/>
      </c>
      <c r="E61" s="113" t="str">
        <f aca="false">IF(Checks!$V$609="","",Checks!$V$609)&amp;IF(Checks!$AC$609="","",IF(Checks!$V$609="","",CHAR(10))&amp;"N/A just.: "&amp;Checks!$AC$609)&amp;IF(Checks!$W$609="","",CHAR(10)&amp;"Batch: "&amp;Checks!$W$609)&amp;IF(AND(Checks!$X$609="",Checks!$Y$609=""),"",CHAR(10)&amp;"Exp: "&amp;Checks!$X$609&amp;"  /  Act: "&amp;Checks!$Y$609)</f>
        <v/>
      </c>
      <c r="F61" s="113" t="str">
        <f aca="false">IF(Checks!$Z$609="","","Evidence: "&amp;Checks!$Z$609)&amp;IF(Checks!$AA$609="","",IF(Checks!$Z$609="","",CHAR(10))&amp;"CA: "&amp;Checks!$AA$609)</f>
        <v/>
      </c>
      <c r="G61" s="113" t="str">
        <f aca="false">IF(ISNUMBER(Checks!$AD$609),TEXT(Checks!$AD$609,"DD-MMM-YY HH:MM")&amp;" "&amp;Checks!$P$609,"")&amp;IF(Checks!$AE$609="","",CHAR(10)&amp;"Verifier: "&amp;Checks!$AE$609)&amp;IF(Checks!$T$609="","",CHAR(10)&amp;"PIC: "&amp;Checks!$T$609)</f>
        <v/>
      </c>
      <c r="H61" s="114" t="str">
        <f aca="false">IF(Checks!$AH$609="","",Checks!$AH$609)</f>
        <v>OPEN</v>
      </c>
    </row>
    <row r="62" customFormat="false" ht="114" hidden="false" customHeight="true" outlineLevel="0" collapsed="false">
      <c r="A62" s="113" t="str">
        <f aca="false">Checks!$A$610&amp;CHAR(10)&amp;IF(Checks!$I$610="","",Checks!$I$610&amp;": ")&amp;Checks!$J$610</f>
        <v>F18-UPL-07
F&amp;B Linen: Table cloth - on board</v>
      </c>
      <c r="B62" s="113" t="str">
        <f aca="false">Checks!$K$610&amp;IF(Checks!$O$610="","",IF(Checks!$K$610="","",CHAR(10))&amp;"Note: "&amp;Checks!$O$610)</f>
        <v>Available (ticked in reference)</v>
      </c>
      <c r="C62" s="113" t="str">
        <f aca="false">Checks!$N$610&amp;CHAR(10)&amp;IF(ISNUMBER(Checks!$R$610),TEXT(Checks!$R$610,"DD-MMM-YY HH:MM"),"")&amp;" "&amp;Checks!$P$610</f>
        <v>Required
27-Oct-26 22:25 KUL</v>
      </c>
      <c r="D62" s="113" t="str">
        <f aca="false">IF(Checks!$U$610="","",Checks!$U$610)&amp;IF(Checks!$AB$610="","",CHAR(10)&amp;"CA: "&amp;Checks!$AB$610)</f>
        <v/>
      </c>
      <c r="E62" s="113" t="str">
        <f aca="false">IF(Checks!$V$610="","",Checks!$V$610)&amp;IF(Checks!$AC$610="","",IF(Checks!$V$610="","",CHAR(10))&amp;"N/A just.: "&amp;Checks!$AC$610)&amp;IF(Checks!$W$610="","",CHAR(10)&amp;"Batch: "&amp;Checks!$W$610)&amp;IF(AND(Checks!$X$610="",Checks!$Y$610=""),"",CHAR(10)&amp;"Exp: "&amp;Checks!$X$610&amp;"  /  Act: "&amp;Checks!$Y$610)</f>
        <v/>
      </c>
      <c r="F62" s="113" t="str">
        <f aca="false">IF(Checks!$Z$610="","","Evidence: "&amp;Checks!$Z$610)&amp;IF(Checks!$AA$610="","",IF(Checks!$Z$610="","",CHAR(10))&amp;"CA: "&amp;Checks!$AA$610)</f>
        <v/>
      </c>
      <c r="G62" s="113" t="str">
        <f aca="false">IF(ISNUMBER(Checks!$AD$610),TEXT(Checks!$AD$610,"DD-MMM-YY HH:MM")&amp;" "&amp;Checks!$P$610,"")&amp;IF(Checks!$AE$610="","",CHAR(10)&amp;"Verifier: "&amp;Checks!$AE$610)&amp;IF(Checks!$T$610="","",CHAR(10)&amp;"PIC: "&amp;Checks!$T$610)</f>
        <v/>
      </c>
      <c r="H62" s="114" t="str">
        <f aca="false">IF(Checks!$AH$610="","",Checks!$AH$610)</f>
        <v>OPEN</v>
      </c>
    </row>
    <row r="63" customFormat="false" ht="114" hidden="false" customHeight="true" outlineLevel="0" collapsed="false">
      <c r="A63" s="113" t="str">
        <f aca="false">Checks!$A$611&amp;CHAR(10)&amp;IF(Checks!$I$611="","",Checks!$I$611&amp;": ")&amp;Checks!$J$611</f>
        <v>F18-UPL-08
F&amp;B Linen: Bread linen (using table cloth) - on board</v>
      </c>
      <c r="B63" s="113" t="str">
        <f aca="false">Checks!$K$611&amp;IF(Checks!$O$611="","",IF(Checks!$K$611="","",CHAR(10))&amp;"Note: "&amp;Checks!$O$611)</f>
        <v>Available (ticked in reference)</v>
      </c>
      <c r="C63" s="113" t="str">
        <f aca="false">Checks!$N$611&amp;CHAR(10)&amp;IF(ISNUMBER(Checks!$R$611),TEXT(Checks!$R$611,"DD-MMM-YY HH:MM"),"")&amp;" "&amp;Checks!$P$611</f>
        <v>Required
27-Oct-26 22:25 KUL</v>
      </c>
      <c r="D63" s="113" t="str">
        <f aca="false">IF(Checks!$U$611="","",Checks!$U$611)&amp;IF(Checks!$AB$611="","",CHAR(10)&amp;"CA: "&amp;Checks!$AB$611)</f>
        <v/>
      </c>
      <c r="E63" s="113" t="str">
        <f aca="false">IF(Checks!$V$611="","",Checks!$V$611)&amp;IF(Checks!$AC$611="","",IF(Checks!$V$611="","",CHAR(10))&amp;"N/A just.: "&amp;Checks!$AC$611)&amp;IF(Checks!$W$611="","",CHAR(10)&amp;"Batch: "&amp;Checks!$W$611)&amp;IF(AND(Checks!$X$611="",Checks!$Y$611=""),"",CHAR(10)&amp;"Exp: "&amp;Checks!$X$611&amp;"  /  Act: "&amp;Checks!$Y$611)</f>
        <v/>
      </c>
      <c r="F63" s="113" t="str">
        <f aca="false">IF(Checks!$Z$611="","","Evidence: "&amp;Checks!$Z$611)&amp;IF(Checks!$AA$611="","",IF(Checks!$Z$611="","",CHAR(10))&amp;"CA: "&amp;Checks!$AA$611)</f>
        <v/>
      </c>
      <c r="G63" s="113" t="str">
        <f aca="false">IF(ISNUMBER(Checks!$AD$611),TEXT(Checks!$AD$611,"DD-MMM-YY HH:MM")&amp;" "&amp;Checks!$P$611,"")&amp;IF(Checks!$AE$611="","",CHAR(10)&amp;"Verifier: "&amp;Checks!$AE$611)&amp;IF(Checks!$T$611="","",CHAR(10)&amp;"PIC: "&amp;Checks!$T$611)</f>
        <v/>
      </c>
      <c r="H63" s="114" t="str">
        <f aca="false">IF(Checks!$AH$611="","",Checks!$AH$611)</f>
        <v>OPEN</v>
      </c>
    </row>
    <row r="64" customFormat="false" ht="114" hidden="false" customHeight="true" outlineLevel="0" collapsed="false">
      <c r="A64" s="113" t="str">
        <f aca="false">Checks!$A$612&amp;CHAR(10)&amp;IF(Checks!$I$612="","",Checks!$I$612&amp;": ")&amp;Checks!$J$612</f>
        <v>F18-UPL-09
F&amp;B Linen: Trolley cloth - on board</v>
      </c>
      <c r="B64" s="113" t="str">
        <f aca="false">SUBSTITUTE(Checks!$K$612&amp;IF(Checks!$O$612="","",IF(Checks!$K$612="","",CHAR(10))&amp;"Note: "&amp;Checks!$O$612),"F&amp;B LINEN!","Ref: F&amp;B LINEN!")</f>
        <v>Wide body: Top/Middle &amp; Bottom
Note: Per note Ref: F&amp;B LINEN!B79:C80.</v>
      </c>
      <c r="C64" s="113" t="str">
        <f aca="false">Checks!$N$612&amp;CHAR(10)&amp;IF(ISNUMBER(Checks!$R$612),TEXT(Checks!$R$612,"DD-MMM-YY HH:MM"),"")&amp;" "&amp;Checks!$P$612</f>
        <v>Required
27-Oct-26 22:25 KUL</v>
      </c>
      <c r="D64" s="113" t="str">
        <f aca="false">IF(Checks!$U$612="","",Checks!$U$612)&amp;IF(Checks!$AB$612="","",CHAR(10)&amp;"CA: "&amp;Checks!$AB$612)</f>
        <v/>
      </c>
      <c r="E64" s="113" t="str">
        <f aca="false">IF(Checks!$V$612="","",Checks!$V$612)&amp;IF(Checks!$AC$612="","",IF(Checks!$V$612="","",CHAR(10))&amp;"N/A just.: "&amp;Checks!$AC$612)&amp;IF(Checks!$W$612="","",CHAR(10)&amp;"Batch: "&amp;Checks!$W$612)&amp;IF(AND(Checks!$X$612="",Checks!$Y$612=""),"",CHAR(10)&amp;"Exp: "&amp;Checks!$X$612&amp;"  /  Act: "&amp;Checks!$Y$612)</f>
        <v/>
      </c>
      <c r="F64" s="113" t="str">
        <f aca="false">IF(Checks!$Z$612="","","Evidence: "&amp;Checks!$Z$612)&amp;IF(Checks!$AA$612="","",IF(Checks!$Z$612="","",CHAR(10))&amp;"CA: "&amp;Checks!$AA$612)</f>
        <v/>
      </c>
      <c r="G64" s="113" t="str">
        <f aca="false">IF(ISNUMBER(Checks!$AD$612),TEXT(Checks!$AD$612,"DD-MMM-YY HH:MM")&amp;" "&amp;Checks!$P$612,"")&amp;IF(Checks!$AE$612="","",CHAR(10)&amp;"Verifier: "&amp;Checks!$AE$612)&amp;IF(Checks!$T$612="","",CHAR(10)&amp;"PIC: "&amp;Checks!$T$612)</f>
        <v/>
      </c>
      <c r="H64" s="114" t="str">
        <f aca="false">IF(Checks!$AH$612="","",Checks!$AH$612)</f>
        <v>OPEN</v>
      </c>
    </row>
    <row r="65" customFormat="false" ht="114" hidden="false" customHeight="true" outlineLevel="0" collapsed="false">
      <c r="A65" s="113" t="str">
        <f aca="false">Checks!$A$613&amp;CHAR(10)&amp;IF(Checks!$I$613="","",Checks!$I$613&amp;": ")&amp;Checks!$J$613</f>
        <v>F18-UPL-10
F&amp;B Linen: Linen bag - on board</v>
      </c>
      <c r="B65" s="113" t="str">
        <f aca="false">Checks!$K$613&amp;IF(Checks!$O$613="","",IF(Checks!$K$613="","",CHAR(10))&amp;"Note: "&amp;Checks!$O$613)</f>
        <v>Available (ticked in reference)</v>
      </c>
      <c r="C65" s="113" t="str">
        <f aca="false">Checks!$N$613&amp;CHAR(10)&amp;IF(ISNUMBER(Checks!$R$613),TEXT(Checks!$R$613,"DD-MMM-YY HH:MM"),"")&amp;" "&amp;Checks!$P$613</f>
        <v>Required
27-Oct-26 22:25 KUL</v>
      </c>
      <c r="D65" s="113" t="str">
        <f aca="false">IF(Checks!$U$613="","",Checks!$U$613)&amp;IF(Checks!$AB$613="","",CHAR(10)&amp;"CA: "&amp;Checks!$AB$613)</f>
        <v/>
      </c>
      <c r="E65" s="113" t="str">
        <f aca="false">IF(Checks!$V$613="","",Checks!$V$613)&amp;IF(Checks!$AC$613="","",IF(Checks!$V$613="","",CHAR(10))&amp;"N/A just.: "&amp;Checks!$AC$613)&amp;IF(Checks!$W$613="","",CHAR(10)&amp;"Batch: "&amp;Checks!$W$613)&amp;IF(AND(Checks!$X$613="",Checks!$Y$613=""),"",CHAR(10)&amp;"Exp: "&amp;Checks!$X$613&amp;"  /  Act: "&amp;Checks!$Y$613)</f>
        <v/>
      </c>
      <c r="F65" s="113" t="str">
        <f aca="false">IF(Checks!$Z$613="","","Evidence: "&amp;Checks!$Z$613)&amp;IF(Checks!$AA$613="","",IF(Checks!$Z$613="","",CHAR(10))&amp;"CA: "&amp;Checks!$AA$613)</f>
        <v/>
      </c>
      <c r="G65" s="113" t="str">
        <f aca="false">IF(ISNUMBER(Checks!$AD$613),TEXT(Checks!$AD$613,"DD-MMM-YY HH:MM")&amp;" "&amp;Checks!$P$613,"")&amp;IF(Checks!$AE$613="","",CHAR(10)&amp;"Verifier: "&amp;Checks!$AE$613)&amp;IF(Checks!$T$613="","",CHAR(10)&amp;"PIC: "&amp;Checks!$T$613)</f>
        <v/>
      </c>
      <c r="H65" s="114" t="str">
        <f aca="false">IF(Checks!$AH$613="","",Checks!$AH$613)</f>
        <v>OPEN</v>
      </c>
    </row>
    <row r="66" customFormat="false" ht="114" hidden="false" customHeight="true" outlineLevel="0" collapsed="false">
      <c r="A66" s="113" t="str">
        <f aca="false">Checks!$A$614&amp;CHAR(10)&amp;IF(Checks!$I$614="","",Checks!$I$614&amp;": ")&amp;Checks!$J$614</f>
        <v>F18-UPL-11
Seat Linen: Seat pillow (BS &amp; BC) - on board</v>
      </c>
      <c r="B66" s="113" t="str">
        <f aca="false">Checks!$K$614&amp;IF(Checks!$O$614="","",IF(Checks!$K$614="","",CHAR(10))&amp;"Note: "&amp;Checks!$O$614)</f>
        <v>Available 100% (ticked in reference)</v>
      </c>
      <c r="C66" s="113" t="str">
        <f aca="false">Checks!$N$614&amp;CHAR(10)&amp;IF(ISNUMBER(Checks!$R$614),TEXT(Checks!$R$614,"DD-MMM-YY HH:MM"),"")&amp;" "&amp;Checks!$P$614</f>
        <v>Required
27-Oct-26 22:25 KUL</v>
      </c>
      <c r="D66" s="113" t="str">
        <f aca="false">IF(Checks!$U$614="","",Checks!$U$614)&amp;IF(Checks!$AB$614="","",CHAR(10)&amp;"CA: "&amp;Checks!$AB$614)</f>
        <v/>
      </c>
      <c r="E66" s="113" t="str">
        <f aca="false">IF(Checks!$V$614="","",Checks!$V$614)&amp;IF(Checks!$AC$614="","",IF(Checks!$V$614="","",CHAR(10))&amp;"N/A just.: "&amp;Checks!$AC$614)&amp;IF(Checks!$W$614="","",CHAR(10)&amp;"Batch: "&amp;Checks!$W$614)&amp;IF(AND(Checks!$X$614="",Checks!$Y$614=""),"",CHAR(10)&amp;"Exp: "&amp;Checks!$X$614&amp;"  /  Act: "&amp;Checks!$Y$614)</f>
        <v/>
      </c>
      <c r="F66" s="113" t="str">
        <f aca="false">IF(Checks!$Z$614="","","Evidence: "&amp;Checks!$Z$614)&amp;IF(Checks!$AA$614="","",IF(Checks!$Z$614="","",CHAR(10))&amp;"CA: "&amp;Checks!$AA$614)</f>
        <v/>
      </c>
      <c r="G66" s="113" t="str">
        <f aca="false">IF(ISNUMBER(Checks!$AD$614),TEXT(Checks!$AD$614,"DD-MMM-YY HH:MM")&amp;" "&amp;Checks!$P$614,"")&amp;IF(Checks!$AE$614="","",CHAR(10)&amp;"Verifier: "&amp;Checks!$AE$614)&amp;IF(Checks!$T$614="","",CHAR(10)&amp;"PIC: "&amp;Checks!$T$614)</f>
        <v/>
      </c>
      <c r="H66" s="114" t="str">
        <f aca="false">IF(Checks!$AH$614="","",Checks!$AH$614)</f>
        <v>OPEN</v>
      </c>
    </row>
    <row r="67" customFormat="false" ht="114" hidden="false" customHeight="true" outlineLevel="0" collapsed="false">
      <c r="A67" s="113" t="str">
        <f aca="false">Checks!$A$615&amp;CHAR(10)&amp;IF(Checks!$I$615="","",Checks!$I$615&amp;": ")&amp;Checks!$J$615</f>
        <v>F18-UPL-12
Seat Linen: Duvet (BS &amp; BC) - on board</v>
      </c>
      <c r="B67" s="113" t="str">
        <f aca="false">Checks!$K$615&amp;IF(Checks!$O$615="","",IF(Checks!$K$615="","",CHAR(10))&amp;"Note: "&amp;Checks!$O$615)</f>
        <v>Available 100% (ticked in reference)</v>
      </c>
      <c r="C67" s="113" t="str">
        <f aca="false">Checks!$N$615&amp;CHAR(10)&amp;IF(ISNUMBER(Checks!$R$615),TEXT(Checks!$R$615,"DD-MMM-YY HH:MM"),"")&amp;" "&amp;Checks!$P$615</f>
        <v>Required
27-Oct-26 22:25 KUL</v>
      </c>
      <c r="D67" s="113" t="str">
        <f aca="false">IF(Checks!$U$615="","",Checks!$U$615)&amp;IF(Checks!$AB$615="","",CHAR(10)&amp;"CA: "&amp;Checks!$AB$615)</f>
        <v/>
      </c>
      <c r="E67" s="113" t="str">
        <f aca="false">IF(Checks!$V$615="","",Checks!$V$615)&amp;IF(Checks!$AC$615="","",IF(Checks!$V$615="","",CHAR(10))&amp;"N/A just.: "&amp;Checks!$AC$615)&amp;IF(Checks!$W$615="","",CHAR(10)&amp;"Batch: "&amp;Checks!$W$615)&amp;IF(AND(Checks!$X$615="",Checks!$Y$615=""),"",CHAR(10)&amp;"Exp: "&amp;Checks!$X$615&amp;"  /  Act: "&amp;Checks!$Y$615)</f>
        <v/>
      </c>
      <c r="F67" s="113" t="str">
        <f aca="false">IF(Checks!$Z$615="","","Evidence: "&amp;Checks!$Z$615)&amp;IF(Checks!$AA$615="","",IF(Checks!$Z$615="","",CHAR(10))&amp;"CA: "&amp;Checks!$AA$615)</f>
        <v/>
      </c>
      <c r="G67" s="113" t="str">
        <f aca="false">IF(ISNUMBER(Checks!$AD$615),TEXT(Checks!$AD$615,"DD-MMM-YY HH:MM")&amp;" "&amp;Checks!$P$615,"")&amp;IF(Checks!$AE$615="","",CHAR(10)&amp;"Verifier: "&amp;Checks!$AE$615)&amp;IF(Checks!$T$615="","",CHAR(10)&amp;"PIC: "&amp;Checks!$T$615)</f>
        <v/>
      </c>
      <c r="H67" s="114" t="str">
        <f aca="false">IF(Checks!$AH$615="","",Checks!$AH$615)</f>
        <v>OPEN</v>
      </c>
    </row>
    <row r="68" customFormat="false" ht="114" hidden="false" customHeight="true" outlineLevel="0" collapsed="false">
      <c r="A68" s="113" t="str">
        <f aca="false">Checks!$A$616&amp;CHAR(10)&amp;IF(Checks!$I$616="","",Checks!$I$616&amp;": ")&amp;Checks!$J$616</f>
        <v>F18-UPL-13
Seat Linen: Mattress (BS &amp; BC) - on board</v>
      </c>
      <c r="B68" s="113" t="str">
        <f aca="false">Checks!$K$616&amp;IF(Checks!$O$616="","",IF(Checks!$K$616="","",CHAR(10))&amp;"Note: "&amp;Checks!$O$616)</f>
        <v>Available 100% (ticked in reference)</v>
      </c>
      <c r="C68" s="113" t="str">
        <f aca="false">Checks!$N$616&amp;CHAR(10)&amp;IF(ISNUMBER(Checks!$R$616),TEXT(Checks!$R$616,"DD-MMM-YY HH:MM"),"")&amp;" "&amp;Checks!$P$616</f>
        <v>Required
27-Oct-26 22:25 KUL</v>
      </c>
      <c r="D68" s="113" t="str">
        <f aca="false">IF(Checks!$U$616="","",Checks!$U$616)&amp;IF(Checks!$AB$616="","",CHAR(10)&amp;"CA: "&amp;Checks!$AB$616)</f>
        <v/>
      </c>
      <c r="E68" s="113" t="str">
        <f aca="false">IF(Checks!$V$616="","",Checks!$V$616)&amp;IF(Checks!$AC$616="","",IF(Checks!$V$616="","",CHAR(10))&amp;"N/A just.: "&amp;Checks!$AC$616)&amp;IF(Checks!$W$616="","",CHAR(10)&amp;"Batch: "&amp;Checks!$W$616)&amp;IF(AND(Checks!$X$616="",Checks!$Y$616=""),"",CHAR(10)&amp;"Exp: "&amp;Checks!$X$616&amp;"  /  Act: "&amp;Checks!$Y$616)</f>
        <v/>
      </c>
      <c r="F68" s="113" t="str">
        <f aca="false">IF(Checks!$Z$616="","","Evidence: "&amp;Checks!$Z$616)&amp;IF(Checks!$AA$616="","",IF(Checks!$Z$616="","",CHAR(10))&amp;"CA: "&amp;Checks!$AA$616)</f>
        <v/>
      </c>
      <c r="G68" s="113" t="str">
        <f aca="false">IF(ISNUMBER(Checks!$AD$616),TEXT(Checks!$AD$616,"DD-MMM-YY HH:MM")&amp;" "&amp;Checks!$P$616,"")&amp;IF(Checks!$AE$616="","",CHAR(10)&amp;"Verifier: "&amp;Checks!$AE$616)&amp;IF(Checks!$T$616="","",CHAR(10)&amp;"PIC: "&amp;Checks!$T$616)</f>
        <v/>
      </c>
      <c r="H68" s="114" t="str">
        <f aca="false">IF(Checks!$AH$616="","",Checks!$AH$616)</f>
        <v>OPEN</v>
      </c>
    </row>
    <row r="69" customFormat="false" ht="114" hidden="false" customHeight="true" outlineLevel="0" collapsed="false">
      <c r="A69" s="113" t="str">
        <f aca="false">Checks!$A$617&amp;CHAR(10)&amp;IF(Checks!$I$617="","",Checks!$I$617&amp;": ")&amp;Checks!$J$617</f>
        <v>F18-UPL-14
Signature Drinks: Signature drink &amp; garnish (BC) - on board</v>
      </c>
      <c r="B69" s="113" t="str">
        <f aca="false">Checks!$K$617&amp;IF(Checks!$O$617="","",IF(Checks!$K$617="","",CHAR(10))&amp;"Note: "&amp;Checks!$O$617)</f>
        <v>Available (ticked in reference)
Note: Signature drinks &amp; garnish uplifted from KUL (note D79).</v>
      </c>
      <c r="C69" s="113" t="str">
        <f aca="false">Checks!$N$617&amp;CHAR(10)&amp;IF(ISNUMBER(Checks!$R$617),TEXT(Checks!$R$617,"DD-MMM-YY HH:MM"),"")&amp;" "&amp;Checks!$P$617</f>
        <v>Required
27-Oct-26 22:25 KUL</v>
      </c>
      <c r="D69" s="113" t="str">
        <f aca="false">IF(Checks!$U$617="","",Checks!$U$617)&amp;IF(Checks!$AB$617="","",CHAR(10)&amp;"CA: "&amp;Checks!$AB$617)</f>
        <v/>
      </c>
      <c r="E69" s="113" t="str">
        <f aca="false">IF(Checks!$V$617="","",Checks!$V$617)&amp;IF(Checks!$AC$617="","",IF(Checks!$V$617="","",CHAR(10))&amp;"N/A just.: "&amp;Checks!$AC$617)&amp;IF(Checks!$W$617="","",CHAR(10)&amp;"Batch: "&amp;Checks!$W$617)&amp;IF(AND(Checks!$X$617="",Checks!$Y$617=""),"",CHAR(10)&amp;"Exp: "&amp;Checks!$X$617&amp;"  /  Act: "&amp;Checks!$Y$617)</f>
        <v/>
      </c>
      <c r="F69" s="113" t="str">
        <f aca="false">IF(Checks!$Z$617="","","Evidence: "&amp;Checks!$Z$617)&amp;IF(Checks!$AA$617="","",IF(Checks!$Z$617="","",CHAR(10))&amp;"CA: "&amp;Checks!$AA$617)</f>
        <v/>
      </c>
      <c r="G69" s="113" t="str">
        <f aca="false">IF(ISNUMBER(Checks!$AD$617),TEXT(Checks!$AD$617,"DD-MMM-YY HH:MM")&amp;" "&amp;Checks!$P$617,"")&amp;IF(Checks!$AE$617="","",CHAR(10)&amp;"Verifier: "&amp;Checks!$AE$617)&amp;IF(Checks!$T$617="","",CHAR(10)&amp;"PIC: "&amp;Checks!$T$617)</f>
        <v/>
      </c>
      <c r="H69" s="114" t="str">
        <f aca="false">IF(Checks!$AH$617="","",Checks!$AH$617)</f>
        <v>OPEN</v>
      </c>
    </row>
    <row r="70" customFormat="false" ht="114" hidden="false" customHeight="true" outlineLevel="0" collapsed="false">
      <c r="A70" s="113" t="str">
        <f aca="false">Checks!$A$618&amp;CHAR(10)&amp;IF(Checks!$I$618="","",Checks!$I$618&amp;": ")&amp;Checks!$J$618</f>
        <v>F18-UPL-15
Sales Cart: Sales cart (caterer PASB) - on board</v>
      </c>
      <c r="B70" s="113" t="str">
        <f aca="false">Checks!$K$618&amp;IF(Checks!$O$618="","",IF(Checks!$K$618="","",CHAR(10))&amp;"Note: "&amp;Checks!$O$618)</f>
        <v>Location 643 &amp; 947 (A333, full cart)
Note: Block 6.50 h &gt;= 4 h.</v>
      </c>
      <c r="C70" s="113" t="str">
        <f aca="false">Checks!$N$618&amp;CHAR(10)&amp;IF(ISNUMBER(Checks!$R$618),TEXT(Checks!$R$618,"DD-MMM-YY HH:MM"),"")&amp;" "&amp;Checks!$P$618</f>
        <v>Required
27-Oct-26 22:25 KUL</v>
      </c>
      <c r="D70" s="113" t="str">
        <f aca="false">IF(Checks!$U$618="","",Checks!$U$618)&amp;IF(Checks!$AB$618="","",CHAR(10)&amp;"CA: "&amp;Checks!$AB$618)</f>
        <v/>
      </c>
      <c r="E70" s="113" t="str">
        <f aca="false">IF(Checks!$V$618="","",Checks!$V$618)&amp;IF(Checks!$AC$618="","",IF(Checks!$V$618="","",CHAR(10))&amp;"N/A just.: "&amp;Checks!$AC$618)&amp;IF(Checks!$W$618="","",CHAR(10)&amp;"Batch: "&amp;Checks!$W$618)&amp;IF(AND(Checks!$X$618="",Checks!$Y$618=""),"",CHAR(10)&amp;"Exp: "&amp;Checks!$X$618&amp;"  /  Act: "&amp;Checks!$Y$618)</f>
        <v/>
      </c>
      <c r="F70" s="113" t="str">
        <f aca="false">IF(Checks!$Z$618="","","Evidence: "&amp;Checks!$Z$618)&amp;IF(Checks!$AA$618="","",IF(Checks!$Z$618="","",CHAR(10))&amp;"CA: "&amp;Checks!$AA$618)</f>
        <v/>
      </c>
      <c r="G70" s="113" t="str">
        <f aca="false">IF(ISNUMBER(Checks!$AD$618),TEXT(Checks!$AD$618,"DD-MMM-YY HH:MM")&amp;" "&amp;Checks!$P$618,"")&amp;IF(Checks!$AE$618="","",CHAR(10)&amp;"Verifier: "&amp;Checks!$AE$618)&amp;IF(Checks!$T$618="","",CHAR(10)&amp;"PIC: "&amp;Checks!$T$618)</f>
        <v/>
      </c>
      <c r="H70" s="114" t="str">
        <f aca="false">IF(Checks!$AH$618="","",Checks!$AH$618)</f>
        <v>OPEN</v>
      </c>
    </row>
    <row r="72" customFormat="false" ht="24" hidden="false" customHeight="true" outlineLevel="0" collapsed="false">
      <c r="A72" s="115" t="s">
        <v>1650</v>
      </c>
      <c r="B72" s="115"/>
      <c r="C72" s="115"/>
      <c r="D72" s="115"/>
      <c r="E72" s="115" t="s">
        <v>1651</v>
      </c>
      <c r="F72" s="115"/>
      <c r="G72" s="115"/>
      <c r="H72" s="115"/>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0">
    <cfRule type="expression" priority="17" aboveAverage="0" equalAverage="0" bottom="0" percent="0" rank="0" text="" dxfId="34">
      <formula>LEFT($H23,3)="N/A"</formula>
    </cfRule>
  </conditionalFormatting>
  <conditionalFormatting sqref="D23:D7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F19  "&amp;Flights!$F$23&amp;"  "&amp;TEXT(Flights!$D$23,"DD-MMM-YY")&amp;" ("&amp;Flights!$E$23&amp;")  "&amp;Flights!$G$23&amp;" → "&amp;Flights!$H$23&amp;"  |  Class "&amp;Flights!$K$23</f>
        <v>SKYTRAX 2026 CATERING READINESS CHECKLIST  |  F19  MH0053  29-Oct-26 (THU)  KIX → KUL  |  Class EY</v>
      </c>
      <c r="B1" s="91"/>
      <c r="C1" s="91"/>
      <c r="D1" s="91"/>
      <c r="E1" s="91"/>
      <c r="F1" s="91"/>
      <c r="G1" s="91"/>
      <c r="H1" s="91"/>
    </row>
    <row r="2" customFormat="false" ht="12.75" hidden="false" customHeight="true" outlineLevel="0" collapsed="false">
      <c r="A2" s="92" t="s">
        <v>1605</v>
      </c>
      <c r="B2" s="93" t="str">
        <f aca="false">Flights!$F$23&amp;"   "&amp;TEXT(Flights!$D$23,"DD-MMM-YY")&amp;" ("&amp;Flights!$E$23&amp;")"</f>
        <v>MH0053   29-Oct-26 (THU)</v>
      </c>
      <c r="C2" s="93"/>
      <c r="D2" s="93"/>
      <c r="E2" s="94" t="s">
        <v>1606</v>
      </c>
      <c r="F2" s="95" t="str">
        <f aca="false">Flights!$AT$23</f>
        <v>NOT READY – DOCUMENTS</v>
      </c>
      <c r="G2" s="95"/>
      <c r="H2" s="95"/>
    </row>
    <row r="3" customFormat="false" ht="24" hidden="false" customHeight="true" outlineLevel="0" collapsed="false">
      <c r="A3" s="92" t="s">
        <v>1607</v>
      </c>
      <c r="B3" s="93" t="str">
        <f aca="false">Flights!$G$23&amp;" → "&amp;Flights!$H$23&amp;"   Class "&amp;Flights!$K$23&amp;"   Seat "&amp;Flights!$O$23</f>
        <v>KIX → KUL   Class EY   Seat 9C</v>
      </c>
      <c r="C3" s="93"/>
      <c r="D3" s="93"/>
      <c r="E3" s="94" t="s">
        <v>68</v>
      </c>
      <c r="F3" s="94" t="s">
        <v>1608</v>
      </c>
      <c r="G3" s="94" t="s">
        <v>1609</v>
      </c>
      <c r="H3" s="94"/>
    </row>
    <row r="4" customFormat="false" ht="24" hidden="false" customHeight="true" outlineLevel="0" collapsed="false">
      <c r="A4" s="92" t="s">
        <v>1610</v>
      </c>
      <c r="B4" s="93" t="str">
        <f aca="false">IF(ISNUMBER(Flights!$I$23),TEXT(Flights!$I$23,"DD-MMM-YY HH:MM"),"")&amp;" "&amp;Flights!$G$23&amp;"  →  "&amp;IF(ISNUMBER(Flights!$J$23),TEXT(Flights!$J$23,"DD-MMM-YY HH:MM"),"")&amp;" "&amp;Flights!$H$23</f>
        <v>29-Oct-26 09:40 KIX  →  29-Oct-26 16:45 KUL</v>
      </c>
      <c r="C4" s="93"/>
      <c r="D4" s="93"/>
      <c r="E4" s="92" t="s">
        <v>1611</v>
      </c>
      <c r="F4" s="96" t="str">
        <f aca="false">IF(ISNUMBER(Flights!$AG$23),TEXT(Flights!$AG$23,"DD-MMM-YY HH:MM"),"")&amp;" "&amp;Flights!$V$23</f>
        <v>22-Oct-26 09:40 KIX</v>
      </c>
      <c r="G4" s="97" t="n">
        <f aca="false">Flights!$AJ$23</f>
        <v>0</v>
      </c>
      <c r="H4" s="97"/>
    </row>
    <row r="5" customFormat="false" ht="24" hidden="false" customHeight="true" outlineLevel="0" collapsed="false">
      <c r="A5" s="92" t="s">
        <v>1612</v>
      </c>
      <c r="B5" s="93" t="str">
        <f aca="false">Flights!$L$23&amp;" – "&amp;Flights!$M$23</f>
        <v>A333 – A330-300 (A333)</v>
      </c>
      <c r="C5" s="93"/>
      <c r="D5" s="93"/>
      <c r="E5" s="92" t="s">
        <v>1613</v>
      </c>
      <c r="F5" s="96" t="str">
        <f aca="false">IF(ISNUMBER(Flights!$AH$23),TEXT(Flights!$AH$23,"DD-MMM-YY HH:MM"),"")&amp;" "&amp;Flights!$V$23</f>
        <v>28-Oct-26 09:40 KIX</v>
      </c>
      <c r="G5" s="97" t="n">
        <f aca="false">Flights!$AK$23</f>
        <v>0</v>
      </c>
      <c r="H5" s="97"/>
    </row>
    <row r="6" customFormat="false" ht="24" hidden="false" customHeight="true" outlineLevel="0" collapsed="false">
      <c r="A6" s="92" t="s">
        <v>1614</v>
      </c>
      <c r="B6" s="93" t="str">
        <f aca="false">IF(TRIM(Flights!$N$23)="","__________________",Flights!$N$23)</f>
        <v>__________________</v>
      </c>
      <c r="C6" s="93"/>
      <c r="D6" s="93"/>
      <c r="E6" s="92" t="s">
        <v>1615</v>
      </c>
      <c r="F6" s="96" t="str">
        <f aca="false">IF(ISNUMBER(Flights!$AI$23),TEXT(Flights!$AI$23,"DD-MMM-YY HH:MM"),"")&amp;" "&amp;Flights!$V$23&amp;IF(Flights!$AI$23=Flights!$AH$23,"  (= T-24H due)","")</f>
        <v>28-Oct-26 21:40 KIX</v>
      </c>
      <c r="G6" s="97" t="n">
        <f aca="false">Flights!$AL$23</f>
        <v>0</v>
      </c>
      <c r="H6" s="97"/>
    </row>
    <row r="7" customFormat="false" ht="24" hidden="false" customHeight="true" outlineLevel="0" collapsed="false">
      <c r="A7" s="92" t="s">
        <v>1616</v>
      </c>
      <c r="B7" s="93" t="str">
        <f aca="false">Flights!$T$23</f>
        <v>1.5 Meal (Meal)</v>
      </c>
      <c r="C7" s="93"/>
      <c r="D7" s="93"/>
      <c r="E7" s="92" t="s">
        <v>1617</v>
      </c>
      <c r="F7" s="96" t="str">
        <f aca="false">"STD "&amp;IF(ISNUMBER(Flights!$I$23),TEXT(Flights!$I$23,"DD-MMM-YY HH:MM"),"")&amp;" "&amp;Flights!$G$23&amp;" (dep stn)"</f>
        <v>STD 29-Oct-26 09:40 KIX (dep stn)</v>
      </c>
      <c r="G7" s="97" t="n">
        <f aca="false">Flights!$AM$23</f>
        <v>0</v>
      </c>
      <c r="H7" s="97"/>
    </row>
    <row r="8" customFormat="false" ht="12.75" hidden="false" customHeight="true" outlineLevel="0" collapsed="false">
      <c r="A8" s="92" t="s">
        <v>150</v>
      </c>
      <c r="B8" s="93" t="str">
        <f aca="false">Flights!$V$23&amp;"   (reference uplift stns: "&amp;Flights!$U$23&amp;")"</f>
        <v>KIX   (reference uplift stns: KUL/KIX)</v>
      </c>
      <c r="C8" s="93"/>
      <c r="D8" s="93"/>
      <c r="E8" s="92" t="s">
        <v>1618</v>
      </c>
      <c r="F8" s="98" t="s">
        <v>1619</v>
      </c>
      <c r="G8" s="97" t="n">
        <f aca="false">Flights!$AN$23</f>
        <v>0</v>
      </c>
      <c r="H8" s="97"/>
    </row>
    <row r="9" customFormat="false" ht="12.75" hidden="false" customHeight="true" outlineLevel="0" collapsed="false">
      <c r="A9" s="92" t="s">
        <v>1620</v>
      </c>
      <c r="B9" s="93" t="str">
        <f aca="false">TRIM(Flights!$P$23&amp;"  "&amp;Flights!$Q$23)</f>
        <v>-</v>
      </c>
      <c r="C9" s="93"/>
      <c r="D9" s="93"/>
      <c r="E9" s="92" t="s">
        <v>1621</v>
      </c>
      <c r="F9" s="99" t="n">
        <f aca="false">Flights!$AP$23</f>
        <v>0</v>
      </c>
      <c r="G9" s="99" t="n">
        <f aca="false">Flights!$AQ$23</f>
        <v>0</v>
      </c>
      <c r="H9" s="99" t="n">
        <f aca="false">Flights!$AU$23</f>
        <v>0</v>
      </c>
    </row>
    <row r="10" customFormat="false" ht="24" hidden="false" customHeight="true" outlineLevel="0" collapsed="false">
      <c r="A10" s="92" t="s">
        <v>1622</v>
      </c>
      <c r="B10" s="93" t="str">
        <f aca="false">IF(TRIM(Flights!$X$23)="","__________________",Flights!$X$23)</f>
        <v>__________________</v>
      </c>
      <c r="C10" s="93"/>
      <c r="D10" s="93"/>
      <c r="E10" s="92" t="s">
        <v>1623</v>
      </c>
      <c r="F10" s="99" t="n">
        <f aca="false">Flights!$AO$23</f>
        <v>24</v>
      </c>
      <c r="G10" s="99" t="n">
        <f aca="false">Flights!$AS$23</f>
        <v>2</v>
      </c>
      <c r="H10" s="99" t="n">
        <f aca="false">Flights!$AR$23</f>
        <v>2</v>
      </c>
    </row>
    <row r="11" customFormat="false" ht="21" hidden="false" customHeight="true" outlineLevel="0" collapsed="false">
      <c r="A11" s="92" t="s">
        <v>1624</v>
      </c>
      <c r="B11" s="93" t="str">
        <f aca="false">IF(TRIM(Flights!$Y$23)="","__________________",Flights!$Y$23)</f>
        <v>__________________</v>
      </c>
      <c r="C11" s="93"/>
      <c r="D11" s="93"/>
      <c r="E11" s="92" t="s">
        <v>1625</v>
      </c>
      <c r="F11" s="99" t="str">
        <f aca="false">Flights!$AV$23&amp;" / "&amp;Flights!$AW$23</f>
        <v>0 / 24</v>
      </c>
      <c r="G11" s="100" t="str">
        <f aca="false">IF(ISNUMBER(Settings!$B$6),TEXT(Settings!$B$6,"DD-MMM-YY HH:MM"),"")</f>
        <v>28-Sep-26 03:19</v>
      </c>
      <c r="H11" s="100"/>
    </row>
    <row r="12" customFormat="false" ht="34.5" hidden="false" customHeight="true" outlineLevel="0" collapsed="false">
      <c r="A12" s="101" t="s">
        <v>1626</v>
      </c>
      <c r="B12" s="101"/>
      <c r="C12" s="101"/>
      <c r="D12" s="101"/>
      <c r="E12" s="102" t="s">
        <v>1627</v>
      </c>
      <c r="F12" s="103" t="s">
        <v>1628</v>
      </c>
      <c r="G12" s="104" t="s">
        <v>89</v>
      </c>
      <c r="H12" s="105" t="s">
        <v>1629</v>
      </c>
    </row>
    <row r="13" customFormat="false" ht="13.5" hidden="false" customHeight="true" outlineLevel="0" collapsed="false">
      <c r="A13" s="94" t="s">
        <v>1630</v>
      </c>
      <c r="B13" s="94" t="s">
        <v>1631</v>
      </c>
      <c r="C13" s="94" t="s">
        <v>1632</v>
      </c>
      <c r="D13" s="94"/>
      <c r="E13" s="94" t="s">
        <v>1633</v>
      </c>
      <c r="F13" s="94" t="s">
        <v>1634</v>
      </c>
      <c r="G13" s="94"/>
      <c r="H13" s="94"/>
    </row>
    <row r="14" customFormat="false" ht="36" hidden="false" customHeight="true" outlineLevel="0" collapsed="false">
      <c r="A14" s="92" t="s">
        <v>1635</v>
      </c>
      <c r="B14" s="93" t="str">
        <f aca="false">IF(Documents!$F$23="","",Documents!$F$23)</f>
        <v/>
      </c>
      <c r="C14" s="98" t="str">
        <f aca="false">IF(Documents!$G$23="","",Documents!$G$23)&amp;IF(ISNUMBER(Documents!$H$23),"  "&amp;TEXT(Documents!$H$23,"DD-MMM-YY"),"")</f>
        <v/>
      </c>
      <c r="D14" s="98"/>
      <c r="E14" s="106" t="str">
        <f aca="false">IF(Documents!$J$23="OUTSTANDING","OUTSTANDING – attach before T-7D (due "&amp;IF(ISNUMBER(Flights!$AG$23),TEXT(Flights!$AG$23,"DD-MMM-YY HH:MM"),"")&amp;" "&amp;Flights!$V$23&amp;")",IF(Documents!$J$23="","Status not recorded",Documents!$J$23))</f>
        <v>OUTSTANDING – attach before T-7D (due 22-Oct-26 09:40 KIX)</v>
      </c>
      <c r="F14" s="107" t="str">
        <f aca="false">"Staple behind this sheet as page A1."&amp;IF(Documents!$I$23="",""," Location: "&amp;Documents!$I$23)</f>
        <v>Staple behind this sheet as page A1.</v>
      </c>
      <c r="G14" s="107"/>
      <c r="H14" s="107"/>
    </row>
    <row r="15" customFormat="false" ht="36" hidden="false" customHeight="true" outlineLevel="0" collapsed="false">
      <c r="A15" s="92" t="s">
        <v>1636</v>
      </c>
      <c r="B15" s="93" t="str">
        <f aca="false">IF(Documents!$K$23="","",Documents!$K$23)</f>
        <v/>
      </c>
      <c r="C15" s="98" t="str">
        <f aca="false">IF(Documents!$L$23="","",Documents!$L$23)&amp;IF(ISNUMBER(Documents!$M$23),"  "&amp;TEXT(Documents!$M$23,"DD-MMM-YY"),"")</f>
        <v/>
      </c>
      <c r="D15" s="98"/>
      <c r="E15" s="106" t="str">
        <f aca="false">IF(Documents!$O$23="OUTSTANDING","OUTSTANDING – attach before T-7D (due "&amp;IF(ISNUMBER(Flights!$AG$23),TEXT(Flights!$AG$23,"DD-MMM-YY HH:MM"),"")&amp;" "&amp;Flights!$V$23&amp;")",IF(Documents!$O$23="","Status not recorded",Documents!$O$23))</f>
        <v>OUTSTANDING – attach before T-7D (due 22-Oct-26 09:40 KIX)</v>
      </c>
      <c r="F15" s="107" t="str">
        <f aca="false">"Staple behind this sheet as page A2."&amp;IF(Documents!$N$23="",""," Location: "&amp;Documents!$N$23)</f>
        <v>Staple behind this sheet as page A2.</v>
      </c>
      <c r="G15" s="107"/>
      <c r="H15" s="107"/>
    </row>
    <row r="16" customFormat="false" ht="22.5" hidden="false" customHeight="true" outlineLevel="0" collapsed="false">
      <c r="A16" s="92" t="s">
        <v>1637</v>
      </c>
      <c r="B16" s="108" t="str">
        <f aca="false">IF(Documents!$Q$23="","",Documents!$Q$23)</f>
        <v>Not supplied with brief – obtain from caterer / MAGCS.</v>
      </c>
      <c r="C16" s="108"/>
      <c r="D16" s="108"/>
      <c r="E16" s="108"/>
      <c r="F16" s="108"/>
      <c r="G16" s="108"/>
      <c r="H16" s="108"/>
    </row>
    <row r="17" customFormat="false" ht="13.5" hidden="false" customHeight="true" outlineLevel="0" collapsed="false">
      <c r="A17" s="109" t="s">
        <v>1638</v>
      </c>
      <c r="B17" s="109"/>
      <c r="C17" s="109" t="s">
        <v>1639</v>
      </c>
      <c r="D17" s="109"/>
      <c r="E17" s="109"/>
      <c r="F17" s="109" t="s">
        <v>1640</v>
      </c>
      <c r="G17" s="109"/>
      <c r="H17" s="109"/>
    </row>
    <row r="18" customFormat="false" ht="18" hidden="false" customHeight="true" outlineLevel="0" collapsed="false">
      <c r="A18" s="93" t="str">
        <f aca="false">"Name: "&amp;IF(TRIM(Flights!$Y$23)="","__________________",Flights!$Y$23)</f>
        <v>Name: __________________</v>
      </c>
      <c r="B18" s="93"/>
      <c r="C18" s="93" t="str">
        <f aca="false">"Name: __________________"</f>
        <v>Name: __________________</v>
      </c>
      <c r="D18" s="93"/>
      <c r="E18" s="93"/>
      <c r="F18" s="93" t="str">
        <f aca="false">"Name: __________________"&amp;"   Station: "&amp;Flights!$V$23</f>
        <v>Name: __________________   Station: KIX</v>
      </c>
      <c r="G18" s="93"/>
      <c r="H18" s="93"/>
    </row>
    <row r="19" customFormat="false" ht="30" hidden="false" customHeight="true" outlineLevel="0" collapsed="false">
      <c r="A19" s="110" t="s">
        <v>1641</v>
      </c>
      <c r="B19" s="110"/>
      <c r="C19" s="110" t="s">
        <v>1641</v>
      </c>
      <c r="D19" s="110"/>
      <c r="E19" s="110"/>
      <c r="F19" s="110" t="s">
        <v>1641</v>
      </c>
      <c r="G19" s="110"/>
      <c r="H19" s="110"/>
    </row>
    <row r="20" customFormat="false" ht="13.5" hidden="false" customHeight="true" outlineLevel="0" collapsed="false">
      <c r="A20" s="111" t="s">
        <v>1642</v>
      </c>
      <c r="B20" s="111"/>
      <c r="C20" s="111"/>
      <c r="D20" s="111"/>
      <c r="E20" s="111"/>
      <c r="F20" s="111"/>
      <c r="G20" s="111"/>
      <c r="H20" s="111"/>
    </row>
    <row r="21" customFormat="false" ht="24" hidden="false" customHeight="true" outlineLevel="0" collapsed="false">
      <c r="A21" s="94" t="s">
        <v>1643</v>
      </c>
      <c r="B21" s="94" t="s">
        <v>1644</v>
      </c>
      <c r="C21" s="94" t="s">
        <v>1645</v>
      </c>
      <c r="D21" s="94" t="s">
        <v>1646</v>
      </c>
      <c r="E21" s="94" t="s">
        <v>1647</v>
      </c>
      <c r="F21" s="94" t="s">
        <v>1648</v>
      </c>
      <c r="G21" s="94" t="s">
        <v>1649</v>
      </c>
      <c r="H21" s="94" t="s">
        <v>121</v>
      </c>
    </row>
    <row r="22" customFormat="false" ht="25.5" hidden="false" customHeight="true" outlineLevel="0" collapsed="false">
      <c r="A22" s="112"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Checks!$A$619&amp;CHAR(10)&amp;IF(Checks!$I$619="","",Checks!$I$619&amp;": ")&amp;Checks!$J$619</f>
        <v>F19-T7-01
Meal: Meal sensory testing completed for this flight's menu cycle (assessed class)</v>
      </c>
      <c r="B23" s="113" t="str">
        <f aca="false">Checks!$K$619&amp;IF(Checks!$O$619="","",IF(Checks!$K$619="","",CHAR(10))&amp;"Note: "&amp;Checks!$O$619)</f>
        <v>Record panel result / score in Result</v>
      </c>
      <c r="C23" s="113" t="str">
        <f aca="false">Checks!$N$619&amp;CHAR(10)&amp;IF(ISNUMBER(Checks!$R$619),TEXT(Checks!$R$619,"DD-MMM-YY HH:MM"),"")&amp;" "&amp;Checks!$P$619</f>
        <v>Required
22-Oct-26 09:40 KIX</v>
      </c>
      <c r="D23" s="113" t="str">
        <f aca="false">IF(Checks!$U$619="","",Checks!$U$619)&amp;IF(Checks!$AB$619="","",CHAR(10)&amp;"CA: "&amp;Checks!$AB$619)</f>
        <v/>
      </c>
      <c r="E23" s="113" t="str">
        <f aca="false">IF(Checks!$V$619="","",Checks!$V$619)&amp;IF(Checks!$AC$619="","",IF(Checks!$V$619="","",CHAR(10))&amp;"N/A just.: "&amp;Checks!$AC$619)&amp;IF(Checks!$W$619="","",CHAR(10)&amp;"Batch: "&amp;Checks!$W$619)&amp;IF(AND(Checks!$X$619="",Checks!$Y$619=""),"",CHAR(10)&amp;"Exp: "&amp;Checks!$X$619&amp;"  /  Act: "&amp;Checks!$Y$619)</f>
        <v/>
      </c>
      <c r="F23" s="113" t="str">
        <f aca="false">IF(Checks!$Z$619="","","Evidence: "&amp;Checks!$Z$619)&amp;IF(Checks!$AA$619="","",IF(Checks!$Z$619="","",CHAR(10))&amp;"CA: "&amp;Checks!$AA$619)</f>
        <v/>
      </c>
      <c r="G23" s="113" t="str">
        <f aca="false">IF(ISNUMBER(Checks!$AD$619),TEXT(Checks!$AD$619,"DD-MMM-YY HH:MM")&amp;" "&amp;Checks!$P$619,"")&amp;IF(Checks!$AE$619="","",CHAR(10)&amp;"Verifier: "&amp;Checks!$AE$619)&amp;IF(Checks!$T$619="","",CHAR(10)&amp;"PIC: "&amp;Checks!$T$619)</f>
        <v/>
      </c>
      <c r="H23" s="114" t="str">
        <f aca="false">IF(Checks!$AH$619="","",Checks!$AH$619)</f>
        <v>OPEN</v>
      </c>
    </row>
    <row r="24" customFormat="false" ht="114" hidden="false" customHeight="true" outlineLevel="0" collapsed="false">
      <c r="A24" s="113" t="str">
        <f aca="false">Checks!$A$620&amp;CHAR(10)&amp;IF(Checks!$I$620="","",Checks!$I$620&amp;": ")&amp;Checks!$J$620</f>
        <v>F19-T7-02
Menu: Printed menu cards confirmed (content, cycle, language, quantity)</v>
      </c>
      <c r="B24" s="113" t="str">
        <f aca="false">Checks!$K$620&amp;IF(Checks!$O$620="","",IF(Checks!$K$620="","",CHAR(10))&amp;"Note: "&amp;Checks!$O$620)</f>
        <v>Menu card matches approved menu for this flight</v>
      </c>
      <c r="C24" s="113" t="str">
        <f aca="false">Checks!$N$620&amp;CHAR(10)&amp;IF(ISNUMBER(Checks!$R$620),TEXT(Checks!$R$620,"DD-MMM-YY HH:MM"),"")&amp;" "&amp;Checks!$P$620</f>
        <v>Required
22-Oct-26 09:40 KIX</v>
      </c>
      <c r="D24" s="113" t="str">
        <f aca="false">IF(Checks!$U$620="","",Checks!$U$620)&amp;IF(Checks!$AB$620="","",CHAR(10)&amp;"CA: "&amp;Checks!$AB$620)</f>
        <v/>
      </c>
      <c r="E24" s="113" t="str">
        <f aca="false">IF(Checks!$V$620="","",Checks!$V$620)&amp;IF(Checks!$AC$620="","",IF(Checks!$V$620="","",CHAR(10))&amp;"N/A just.: "&amp;Checks!$AC$620)&amp;IF(Checks!$W$620="","",CHAR(10)&amp;"Batch: "&amp;Checks!$W$620)&amp;IF(AND(Checks!$X$620="",Checks!$Y$620=""),"",CHAR(10)&amp;"Exp: "&amp;Checks!$X$620&amp;"  /  Act: "&amp;Checks!$Y$620)</f>
        <v/>
      </c>
      <c r="F24" s="113" t="str">
        <f aca="false">IF(Checks!$Z$620="","","Evidence: "&amp;Checks!$Z$620)&amp;IF(Checks!$AA$620="","",IF(Checks!$Z$620="","",CHAR(10))&amp;"CA: "&amp;Checks!$AA$620)</f>
        <v/>
      </c>
      <c r="G24" s="113" t="str">
        <f aca="false">IF(ISNUMBER(Checks!$AD$620),TEXT(Checks!$AD$620,"DD-MMM-YY HH:MM")&amp;" "&amp;Checks!$P$620,"")&amp;IF(Checks!$AE$620="","",CHAR(10)&amp;"Verifier: "&amp;Checks!$AE$620)&amp;IF(Checks!$T$620="","",CHAR(10)&amp;"PIC: "&amp;Checks!$T$620)</f>
        <v/>
      </c>
      <c r="H24" s="114" t="str">
        <f aca="false">IF(Checks!$AH$620="","",Checks!$AH$620)</f>
        <v>OPEN</v>
      </c>
    </row>
    <row r="25" customFormat="false" ht="114" hidden="false" customHeight="true" outlineLevel="0" collapsed="false">
      <c r="A25" s="113" t="str">
        <f aca="false">Checks!$A$621&amp;CHAR(10)&amp;IF(Checks!$I$621="","",Checks!$I$621&amp;": ")&amp;Checks!$J$621</f>
        <v>F19-T7-03
IFE: Digital menu in IFE confirmed (A339 only)</v>
      </c>
      <c r="B25" s="113" t="str">
        <f aca="false">Checks!$K$621&amp;IF(Checks!$O$621="","",IF(Checks!$K$621="","",CHAR(10))&amp;"Note: "&amp;Checks!$O$621)</f>
        <v>Applies when fleet = A339
Note: Digital IFE menu applies to A339 only (user brief). Applicability follows the Fleet cell on Flights.</v>
      </c>
      <c r="C25" s="113" t="str">
        <f aca="false">Checks!$N$621&amp;CHAR(10)&amp;IF(ISNUMBER(Checks!$R$621),TEXT(Checks!$R$621,"DD-MMM-YY HH:MM"),"")&amp;" "&amp;Checks!$P$621</f>
        <v>N/A – rule
22-Oct-26 09:40 KIX</v>
      </c>
      <c r="D25" s="113" t="str">
        <f aca="false">IF(Checks!$U$621="","",Checks!$U$621)&amp;IF(Checks!$AB$621="","",CHAR(10)&amp;"CA: "&amp;Checks!$AB$621)</f>
        <v/>
      </c>
      <c r="E25" s="113" t="str">
        <f aca="false">IF(Checks!$V$621="","",Checks!$V$621)&amp;IF(Checks!$AC$621="","",IF(Checks!$V$621="","",CHAR(10))&amp;"N/A just.: "&amp;Checks!$AC$621)&amp;IF(Checks!$W$621="","",CHAR(10)&amp;"Batch: "&amp;Checks!$W$621)&amp;IF(AND(Checks!$X$621="",Checks!$Y$621=""),"",CHAR(10)&amp;"Exp: "&amp;Checks!$X$621&amp;"  /  Act: "&amp;Checks!$Y$621)</f>
        <v/>
      </c>
      <c r="F25" s="113" t="str">
        <f aca="false">IF(Checks!$Z$621="","","Evidence: "&amp;Checks!$Z$621)&amp;IF(Checks!$AA$621="","",IF(Checks!$Z$621="","",CHAR(10))&amp;"CA: "&amp;Checks!$AA$621)</f>
        <v/>
      </c>
      <c r="G25" s="113" t="str">
        <f aca="false">IF(ISNUMBER(Checks!$AD$621),TEXT(Checks!$AD$621,"DD-MMM-YY HH:MM")&amp;" "&amp;Checks!$P$621,"")&amp;IF(Checks!$AE$621="","",CHAR(10)&amp;"Verifier: "&amp;Checks!$AE$621)&amp;IF(Checks!$T$621="","",CHAR(10)&amp;"PIC: "&amp;Checks!$T$621)</f>
        <v/>
      </c>
      <c r="H25" s="114" t="str">
        <f aca="false">IF(Checks!$AH$621="","",Checks!$AH$621)</f>
        <v>N/A – RULE</v>
      </c>
    </row>
    <row r="26" customFormat="false" ht="114" hidden="false" customHeight="true" outlineLevel="0" collapsed="false">
      <c r="A26" s="113" t="str">
        <f aca="false">Checks!$A$622&amp;CHAR(10)&amp;IF(Checks!$I$622="","",Checks!$I$622&amp;": ")&amp;Checks!$J$622</f>
        <v>F19-T7-04
Staffing: Experienced catering officer assigned to this flight</v>
      </c>
      <c r="B26" s="113" t="str">
        <f aca="false">Checks!$K$622&amp;IF(Checks!$O$622="","",IF(Checks!$K$622="","",CHAR(10))&amp;"Note: "&amp;Checks!$O$622)</f>
        <v>Record officer name in Result</v>
      </c>
      <c r="C26" s="113" t="str">
        <f aca="false">Checks!$N$622&amp;CHAR(10)&amp;IF(ISNUMBER(Checks!$R$622),TEXT(Checks!$R$622,"DD-MMM-YY HH:MM"),"")&amp;" "&amp;Checks!$P$622</f>
        <v>Required
22-Oct-26 09:40 KIX</v>
      </c>
      <c r="D26" s="113" t="str">
        <f aca="false">IF(Checks!$U$622="","",Checks!$U$622)&amp;IF(Checks!$AB$622="","",CHAR(10)&amp;"CA: "&amp;Checks!$AB$622)</f>
        <v/>
      </c>
      <c r="E26" s="113" t="str">
        <f aca="false">IF(Checks!$V$622="","",Checks!$V$622)&amp;IF(Checks!$AC$622="","",IF(Checks!$V$622="","",CHAR(10))&amp;"N/A just.: "&amp;Checks!$AC$622)&amp;IF(Checks!$W$622="","",CHAR(10)&amp;"Batch: "&amp;Checks!$W$622)&amp;IF(AND(Checks!$X$622="",Checks!$Y$622=""),"",CHAR(10)&amp;"Exp: "&amp;Checks!$X$622&amp;"  /  Act: "&amp;Checks!$Y$622)</f>
        <v/>
      </c>
      <c r="F26" s="113" t="str">
        <f aca="false">IF(Checks!$Z$622="","","Evidence: "&amp;Checks!$Z$622)&amp;IF(Checks!$AA$622="","",IF(Checks!$Z$622="","",CHAR(10))&amp;"CA: "&amp;Checks!$AA$622)</f>
        <v/>
      </c>
      <c r="G26" s="113" t="str">
        <f aca="false">IF(ISNUMBER(Checks!$AD$622),TEXT(Checks!$AD$622,"DD-MMM-YY HH:MM")&amp;" "&amp;Checks!$P$622,"")&amp;IF(Checks!$AE$622="","",CHAR(10)&amp;"Verifier: "&amp;Checks!$AE$622)&amp;IF(Checks!$T$622="","",CHAR(10)&amp;"PIC: "&amp;Checks!$T$622)</f>
        <v/>
      </c>
      <c r="H26" s="114" t="str">
        <f aca="false">IF(Checks!$AH$622="","",Checks!$AH$622)</f>
        <v>OPEN</v>
      </c>
    </row>
    <row r="27" customFormat="false" ht="114" hidden="false" customHeight="true" outlineLevel="0" collapsed="false">
      <c r="A27" s="113" t="str">
        <f aca="false">Checks!$A$623&amp;CHAR(10)&amp;IF(Checks!$I$623="","",Checks!$I$623&amp;": ")&amp;Checks!$J$623</f>
        <v>F19-T7-05
ISOP: All latest applicable ISOP revisions communicated to caterer</v>
      </c>
      <c r="B27" s="113" t="str">
        <f aca="false">Checks!$K$623&amp;IF(Checks!$O$623="","",IF(Checks!$K$623="","",CHAR(10))&amp;"Note: "&amp;Checks!$O$623)</f>
        <v>List revision numbers in Result (see ISOP register)</v>
      </c>
      <c r="C27" s="113" t="str">
        <f aca="false">Checks!$N$623&amp;CHAR(10)&amp;IF(ISNUMBER(Checks!$R$623),TEXT(Checks!$R$623,"DD-MMM-YY HH:MM"),"")&amp;" "&amp;Checks!$P$623</f>
        <v>Required
22-Oct-26 09:40 KIX</v>
      </c>
      <c r="D27" s="113" t="str">
        <f aca="false">IF(Checks!$U$623="","",Checks!$U$623)&amp;IF(Checks!$AB$623="","",CHAR(10)&amp;"CA: "&amp;Checks!$AB$623)</f>
        <v/>
      </c>
      <c r="E27" s="113" t="str">
        <f aca="false">IF(Checks!$V$623="","",Checks!$V$623)&amp;IF(Checks!$AC$623="","",IF(Checks!$V$623="","",CHAR(10))&amp;"N/A just.: "&amp;Checks!$AC$623)&amp;IF(Checks!$W$623="","",CHAR(10)&amp;"Batch: "&amp;Checks!$W$623)&amp;IF(AND(Checks!$X$623="",Checks!$Y$623=""),"",CHAR(10)&amp;"Exp: "&amp;Checks!$X$623&amp;"  /  Act: "&amp;Checks!$Y$623)</f>
        <v/>
      </c>
      <c r="F27" s="113" t="str">
        <f aca="false">IF(Checks!$Z$623="","","Evidence: "&amp;Checks!$Z$623)&amp;IF(Checks!$AA$623="","",IF(Checks!$Z$623="","",CHAR(10))&amp;"CA: "&amp;Checks!$AA$623)</f>
        <v/>
      </c>
      <c r="G27" s="113" t="str">
        <f aca="false">IF(ISNUMBER(Checks!$AD$623),TEXT(Checks!$AD$623,"DD-MMM-YY HH:MM")&amp;" "&amp;Checks!$P$623,"")&amp;IF(Checks!$AE$623="","",CHAR(10)&amp;"Verifier: "&amp;Checks!$AE$623)&amp;IF(Checks!$T$623="","",CHAR(10)&amp;"PIC: "&amp;Checks!$T$623)</f>
        <v/>
      </c>
      <c r="H27" s="114" t="str">
        <f aca="false">IF(Checks!$AH$623="","",Checks!$AH$623)</f>
        <v>OPEN</v>
      </c>
    </row>
    <row r="28" customFormat="false" ht="114" hidden="false" customHeight="true" outlineLevel="0" collapsed="false">
      <c r="A28" s="113" t="str">
        <f aca="false">Checks!$A$624&amp;CHAR(10)&amp;IF(Checks!$I$624="","",Checks!$I$624&amp;": ")&amp;Checks!$J$624</f>
        <v>F19-T7-06
ISOP: Caterer acknowledgement of ISOP revisions recorded</v>
      </c>
      <c r="B28" s="113" t="str">
        <f aca="false">Checks!$K$624&amp;IF(Checks!$O$624="","",IF(Checks!$K$624="","",CHAR(10))&amp;"Note: "&amp;Checks!$O$624)</f>
        <v>Record acknowledgement ref in Evidence</v>
      </c>
      <c r="C28" s="113" t="str">
        <f aca="false">Checks!$N$624&amp;CHAR(10)&amp;IF(ISNUMBER(Checks!$R$624),TEXT(Checks!$R$624,"DD-MMM-YY HH:MM"),"")&amp;" "&amp;Checks!$P$624</f>
        <v>Required
22-Oct-26 09:40 KIX</v>
      </c>
      <c r="D28" s="113" t="str">
        <f aca="false">IF(Checks!$U$624="","",Checks!$U$624)&amp;IF(Checks!$AB$624="","",CHAR(10)&amp;"CA: "&amp;Checks!$AB$624)</f>
        <v/>
      </c>
      <c r="E28" s="113" t="str">
        <f aca="false">IF(Checks!$V$624="","",Checks!$V$624)&amp;IF(Checks!$AC$624="","",IF(Checks!$V$624="","",CHAR(10))&amp;"N/A just.: "&amp;Checks!$AC$624)&amp;IF(Checks!$W$624="","",CHAR(10)&amp;"Batch: "&amp;Checks!$W$624)&amp;IF(AND(Checks!$X$624="",Checks!$Y$624=""),"",CHAR(10)&amp;"Exp: "&amp;Checks!$X$624&amp;"  /  Act: "&amp;Checks!$Y$624)</f>
        <v/>
      </c>
      <c r="F28" s="113" t="str">
        <f aca="false">IF(Checks!$Z$624="","","Evidence: "&amp;Checks!$Z$624)&amp;IF(Checks!$AA$624="","",IF(Checks!$Z$624="","",CHAR(10))&amp;"CA: "&amp;Checks!$AA$624)</f>
        <v/>
      </c>
      <c r="G28" s="113" t="str">
        <f aca="false">IF(ISNUMBER(Checks!$AD$624),TEXT(Checks!$AD$624,"DD-MMM-YY HH:MM")&amp;" "&amp;Checks!$P$624,"")&amp;IF(Checks!$AE$624="","",CHAR(10)&amp;"Verifier: "&amp;Checks!$AE$624)&amp;IF(Checks!$T$624="","",CHAR(10)&amp;"PIC: "&amp;Checks!$T$624)</f>
        <v/>
      </c>
      <c r="H28" s="114" t="str">
        <f aca="false">IF(Checks!$AH$624="","",Checks!$AH$624)</f>
        <v>OPEN</v>
      </c>
    </row>
    <row r="29" customFormat="false" ht="114" hidden="false" customHeight="true" outlineLevel="0" collapsed="false">
      <c r="A29" s="113" t="str">
        <f aca="false">Checks!$A$625&amp;CHAR(10)&amp;IF(Checks!$I$625="","",Checks!$I$625&amp;": ")&amp;Checks!$J$625</f>
        <v>F19-T7-07
Documents: Galley loading diagram (GLD) received, revision recorded &amp; attached</v>
      </c>
      <c r="B29" s="113" t="str">
        <f aca="false">Checks!$K$625&amp;IF(Checks!$O$625="","",IF(Checks!$K$625="","",CHAR(10))&amp;"Note: "&amp;Checks!$O$625)</f>
        <v>Documents sheet row complete</v>
      </c>
      <c r="C29" s="113" t="str">
        <f aca="false">Checks!$N$625&amp;CHAR(10)&amp;IF(ISNUMBER(Checks!$R$625),TEXT(Checks!$R$625,"DD-MMM-YY HH:MM"),"")&amp;" "&amp;Checks!$P$625</f>
        <v>Required
22-Oct-26 09:40 KIX</v>
      </c>
      <c r="D29" s="113" t="str">
        <f aca="false">IF(Checks!$U$625="","",Checks!$U$625)&amp;IF(Checks!$AB$625="","",CHAR(10)&amp;"CA: "&amp;Checks!$AB$625)</f>
        <v/>
      </c>
      <c r="E29" s="113" t="str">
        <f aca="false">IF(Checks!$V$625="","",Checks!$V$625)&amp;IF(Checks!$AC$625="","",IF(Checks!$V$625="","",CHAR(10))&amp;"N/A just.: "&amp;Checks!$AC$625)&amp;IF(Checks!$W$625="","",CHAR(10)&amp;"Batch: "&amp;Checks!$W$625)&amp;IF(AND(Checks!$X$625="",Checks!$Y$625=""),"",CHAR(10)&amp;"Exp: "&amp;Checks!$X$625&amp;"  /  Act: "&amp;Checks!$Y$625)</f>
        <v/>
      </c>
      <c r="F29" s="113" t="str">
        <f aca="false">IF(Checks!$Z$625="","","Evidence: "&amp;Checks!$Z$625)&amp;IF(Checks!$AA$625="","",IF(Checks!$Z$625="","",CHAR(10))&amp;"CA: "&amp;Checks!$AA$625)</f>
        <v/>
      </c>
      <c r="G29" s="113" t="str">
        <f aca="false">IF(ISNUMBER(Checks!$AD$625),TEXT(Checks!$AD$625,"DD-MMM-YY HH:MM")&amp;" "&amp;Checks!$P$625,"")&amp;IF(Checks!$AE$625="","",CHAR(10)&amp;"Verifier: "&amp;Checks!$AE$625)&amp;IF(Checks!$T$625="","",CHAR(10)&amp;"PIC: "&amp;Checks!$T$625)</f>
        <v/>
      </c>
      <c r="H29" s="114" t="str">
        <f aca="false">IF(Checks!$AH$625="","",Checks!$AH$625)</f>
        <v>OPEN</v>
      </c>
    </row>
    <row r="30" customFormat="false" ht="114" hidden="false" customHeight="true" outlineLevel="0" collapsed="false">
      <c r="A30" s="113" t="str">
        <f aca="false">Checks!$A$626&amp;CHAR(10)&amp;IF(Checks!$I$626="","",Checks!$I$626&amp;": ")&amp;Checks!$J$626</f>
        <v>F19-T7-08
Documents: Menu checklist received, revision recorded &amp; attached</v>
      </c>
      <c r="B30" s="113" t="str">
        <f aca="false">Checks!$K$626&amp;IF(Checks!$O$626="","",IF(Checks!$K$626="","",CHAR(10))&amp;"Note: "&amp;Checks!$O$626)</f>
        <v>Documents sheet row complete</v>
      </c>
      <c r="C30" s="113" t="str">
        <f aca="false">Checks!$N$626&amp;CHAR(10)&amp;IF(ISNUMBER(Checks!$R$626),TEXT(Checks!$R$626,"DD-MMM-YY HH:MM"),"")&amp;" "&amp;Checks!$P$626</f>
        <v>Required
22-Oct-26 09:40 KIX</v>
      </c>
      <c r="D30" s="113" t="str">
        <f aca="false">IF(Checks!$U$626="","",Checks!$U$626)&amp;IF(Checks!$AB$626="","",CHAR(10)&amp;"CA: "&amp;Checks!$AB$626)</f>
        <v/>
      </c>
      <c r="E30" s="113" t="str">
        <f aca="false">IF(Checks!$V$626="","",Checks!$V$626)&amp;IF(Checks!$AC$626="","",IF(Checks!$V$626="","",CHAR(10))&amp;"N/A just.: "&amp;Checks!$AC$626)&amp;IF(Checks!$W$626="","",CHAR(10)&amp;"Batch: "&amp;Checks!$W$626)&amp;IF(AND(Checks!$X$626="",Checks!$Y$626=""),"",CHAR(10)&amp;"Exp: "&amp;Checks!$X$626&amp;"  /  Act: "&amp;Checks!$Y$626)</f>
        <v/>
      </c>
      <c r="F30" s="113" t="str">
        <f aca="false">IF(Checks!$Z$626="","","Evidence: "&amp;Checks!$Z$626)&amp;IF(Checks!$AA$626="","",IF(Checks!$Z$626="","",CHAR(10))&amp;"CA: "&amp;Checks!$AA$626)</f>
        <v/>
      </c>
      <c r="G30" s="113" t="str">
        <f aca="false">IF(ISNUMBER(Checks!$AD$626),TEXT(Checks!$AD$626,"DD-MMM-YY HH:MM")&amp;" "&amp;Checks!$P$626,"")&amp;IF(Checks!$AE$626="","",CHAR(10)&amp;"Verifier: "&amp;Checks!$AE$626)&amp;IF(Checks!$T$626="","",CHAR(10)&amp;"PIC: "&amp;Checks!$T$626)</f>
        <v/>
      </c>
      <c r="H30" s="114" t="str">
        <f aca="false">IF(Checks!$AH$626="","",Checks!$AH$626)</f>
        <v>OPEN</v>
      </c>
    </row>
    <row r="31" customFormat="false" ht="114" hidden="false" customHeight="true" outlineLevel="0" collapsed="false">
      <c r="A31" s="113" t="str">
        <f aca="false">Checks!$A$627&amp;CHAR(10)&amp;IF(Checks!$I$627="","",Checks!$I$627&amp;": ")&amp;Checks!$J$627</f>
        <v>F19-T7-09
Uplift plan: Uplift plan confirmed with caterer vs STD Uplift Information</v>
      </c>
      <c r="B31" s="113" t="str">
        <f aca="false">Checks!$K$627&amp;IF(Checks!$O$627="","",IF(Checks!$K$627="","",CHAR(10))&amp;"Note: "&amp;Checks!$O$627)</f>
        <v>Service: 1.5 Meal (Meal); meal uplift stn KIX (ref lists KUL/KIX)</v>
      </c>
      <c r="C31" s="113" t="str">
        <f aca="false">Checks!$N$627&amp;CHAR(10)&amp;IF(ISNUMBER(Checks!$R$627),TEXT(Checks!$R$627,"DD-MMM-YY HH:MM"),"")&amp;" "&amp;Checks!$P$627</f>
        <v>Required
22-Oct-26 09:40 KIX</v>
      </c>
      <c r="D31" s="113" t="str">
        <f aca="false">IF(Checks!$U$627="","",Checks!$U$627)&amp;IF(Checks!$AB$627="","",CHAR(10)&amp;"CA: "&amp;Checks!$AB$627)</f>
        <v/>
      </c>
      <c r="E31" s="113" t="str">
        <f aca="false">IF(Checks!$V$627="","",Checks!$V$627)&amp;IF(Checks!$AC$627="","",IF(Checks!$V$627="","",CHAR(10))&amp;"N/A just.: "&amp;Checks!$AC$627)&amp;IF(Checks!$W$627="","",CHAR(10)&amp;"Batch: "&amp;Checks!$W$627)&amp;IF(AND(Checks!$X$627="",Checks!$Y$627=""),"",CHAR(10)&amp;"Exp: "&amp;Checks!$X$627&amp;"  /  Act: "&amp;Checks!$Y$627)</f>
        <v/>
      </c>
      <c r="F31" s="113" t="str">
        <f aca="false">IF(Checks!$Z$627="","","Evidence: "&amp;Checks!$Z$627)&amp;IF(Checks!$AA$627="","",IF(Checks!$Z$627="","",CHAR(10))&amp;"CA: "&amp;Checks!$AA$627)</f>
        <v/>
      </c>
      <c r="G31" s="113" t="str">
        <f aca="false">IF(ISNUMBER(Checks!$AD$627),TEXT(Checks!$AD$627,"DD-MMM-YY HH:MM")&amp;" "&amp;Checks!$P$627,"")&amp;IF(Checks!$AE$627="","",CHAR(10)&amp;"Verifier: "&amp;Checks!$AE$627)&amp;IF(Checks!$T$627="","",CHAR(10)&amp;"PIC: "&amp;Checks!$T$627)</f>
        <v/>
      </c>
      <c r="H31" s="114" t="str">
        <f aca="false">IF(Checks!$AH$627="","",Checks!$AH$627)</f>
        <v>OPEN</v>
      </c>
    </row>
    <row r="32" customFormat="false" ht="25.5" hidden="false" customHeight="true" outlineLevel="0" collapsed="false">
      <c r="A32" s="112"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Checks!$A$628&amp;CHAR(10)&amp;IF(Checks!$I$628="","",Checks!$I$628&amp;": ")&amp;Checks!$J$628</f>
        <v>F19-T24-01
Meal: Sensory test repeated on ACTUAL production batch for this flight</v>
      </c>
      <c r="B33" s="113" t="str">
        <f aca="false">Checks!$K$628&amp;IF(Checks!$O$628="","",IF(Checks!$K$628="","",CHAR(10))&amp;"Note: "&amp;Checks!$O$628)</f>
        <v>Batch ID, result, CA and acceptance mandatory</v>
      </c>
      <c r="C33" s="113" t="str">
        <f aca="false">Checks!$N$628&amp;CHAR(10)&amp;IF(ISNUMBER(Checks!$R$628),TEXT(Checks!$R$628,"DD-MMM-YY HH:MM"),"")&amp;" "&amp;Checks!$P$628</f>
        <v>Required
28-Oct-26 09:40 KIX</v>
      </c>
      <c r="D33" s="113" t="str">
        <f aca="false">IF(Checks!$U$628="","",Checks!$U$628)&amp;IF(Checks!$AB$628="","",CHAR(10)&amp;"CA: "&amp;Checks!$AB$628)</f>
        <v/>
      </c>
      <c r="E33" s="113" t="str">
        <f aca="false">IF(Checks!$V$628="","",Checks!$V$628)&amp;IF(Checks!$AC$628="","",IF(Checks!$V$628="","",CHAR(10))&amp;"N/A just.: "&amp;Checks!$AC$628)&amp;IF(Checks!$W$628="","",CHAR(10)&amp;"Batch: "&amp;Checks!$W$628)&amp;IF(AND(Checks!$X$628="",Checks!$Y$628=""),"",CHAR(10)&amp;"Exp: "&amp;Checks!$X$628&amp;"  /  Act: "&amp;Checks!$Y$628)</f>
        <v/>
      </c>
      <c r="F33" s="113" t="str">
        <f aca="false">IF(Checks!$Z$628="","","Evidence: "&amp;Checks!$Z$628)&amp;IF(Checks!$AA$628="","",IF(Checks!$Z$628="","",CHAR(10))&amp;"CA: "&amp;Checks!$AA$628)</f>
        <v/>
      </c>
      <c r="G33" s="113" t="str">
        <f aca="false">IF(ISNUMBER(Checks!$AD$628),TEXT(Checks!$AD$628,"DD-MMM-YY HH:MM")&amp;" "&amp;Checks!$P$628,"")&amp;IF(Checks!$AE$628="","",CHAR(10)&amp;"Verifier: "&amp;Checks!$AE$628)&amp;IF(Checks!$T$628="","",CHAR(10)&amp;"PIC: "&amp;Checks!$T$628)</f>
        <v/>
      </c>
      <c r="H33" s="114" t="str">
        <f aca="false">IF(Checks!$AH$628="","",Checks!$AH$628)</f>
        <v>OPEN</v>
      </c>
    </row>
    <row r="34" customFormat="false" ht="25.5" hidden="false" customHeight="true" outlineLevel="0" collapsed="false">
      <c r="A34" s="112"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2"/>
      <c r="C34" s="112"/>
      <c r="D34" s="112"/>
      <c r="E34" s="112"/>
      <c r="F34" s="112"/>
      <c r="G34" s="112"/>
      <c r="H34" s="112"/>
    </row>
    <row r="35" customFormat="false" ht="114" hidden="false" customHeight="true" outlineLevel="0" collapsed="false">
      <c r="A35" s="113" t="str">
        <f aca="false">Checks!$A$629&amp;CHAR(10)&amp;IF(Checks!$I$629="","",Checks!$I$629&amp;": ")&amp;Checks!$J$629</f>
        <v>F19-T12-01
Meal: Meal quality vs menu checklist</v>
      </c>
      <c r="B35" s="113" t="str">
        <f aca="false">Checks!$K$629&amp;IF(Checks!$O$629="","",IF(Checks!$K$629="","",CHAR(10))&amp;"Note: "&amp;Checks!$O$629)</f>
        <v>Note: Preparation check at caterer - does NOT confirm loading.</v>
      </c>
      <c r="C35" s="113" t="str">
        <f aca="false">Checks!$N$629&amp;CHAR(10)&amp;IF(ISNUMBER(Checks!$R$629),TEXT(Checks!$R$629,"DD-MMM-YY HH:MM"),"")&amp;" "&amp;Checks!$P$629</f>
        <v>Required
28-Oct-26 21:40 KIX</v>
      </c>
      <c r="D35" s="113" t="str">
        <f aca="false">IF(Checks!$U$629="","",Checks!$U$629)&amp;IF(Checks!$AB$629="","",CHAR(10)&amp;"CA: "&amp;Checks!$AB$629)</f>
        <v/>
      </c>
      <c r="E35" s="113" t="str">
        <f aca="false">IF(Checks!$V$629="","",Checks!$V$629)&amp;IF(Checks!$AC$629="","",IF(Checks!$V$629="","",CHAR(10))&amp;"N/A just.: "&amp;Checks!$AC$629)&amp;IF(Checks!$W$629="","",CHAR(10)&amp;"Batch: "&amp;Checks!$W$629)&amp;IF(AND(Checks!$X$629="",Checks!$Y$629=""),"",CHAR(10)&amp;"Exp: "&amp;Checks!$X$629&amp;"  /  Act: "&amp;Checks!$Y$629)</f>
        <v/>
      </c>
      <c r="F35" s="113" t="str">
        <f aca="false">IF(Checks!$Z$629="","","Evidence: "&amp;Checks!$Z$629)&amp;IF(Checks!$AA$629="","",IF(Checks!$Z$629="","",CHAR(10))&amp;"CA: "&amp;Checks!$AA$629)</f>
        <v/>
      </c>
      <c r="G35" s="113" t="str">
        <f aca="false">IF(ISNUMBER(Checks!$AD$629),TEXT(Checks!$AD$629,"DD-MMM-YY HH:MM")&amp;" "&amp;Checks!$P$629,"")&amp;IF(Checks!$AE$629="","",CHAR(10)&amp;"Verifier: "&amp;Checks!$AE$629)&amp;IF(Checks!$T$629="","",CHAR(10)&amp;"PIC: "&amp;Checks!$T$629)</f>
        <v/>
      </c>
      <c r="H35" s="114" t="str">
        <f aca="false">IF(Checks!$AH$629="","",Checks!$AH$629)</f>
        <v>OPEN</v>
      </c>
    </row>
    <row r="36" customFormat="false" ht="114" hidden="false" customHeight="true" outlineLevel="0" collapsed="false">
      <c r="A36" s="113" t="str">
        <f aca="false">Checks!$A$630&amp;CHAR(10)&amp;IF(Checks!$I$630="","",Checks!$I$630&amp;": ")&amp;Checks!$J$630</f>
        <v>F19-T12-02
Meal: Meal quantities vs menu checklist</v>
      </c>
      <c r="B36" s="113" t="str">
        <f aca="false">Checks!$K$630&amp;IF(Checks!$O$630="","",IF(Checks!$K$630="","",CHAR(10))&amp;"Note: "&amp;Checks!$O$630)</f>
        <v>Enter expected &amp; actual
Note: Preparation check at caterer - does NOT confirm loading.</v>
      </c>
      <c r="C36" s="113" t="str">
        <f aca="false">Checks!$N$630&amp;CHAR(10)&amp;IF(ISNUMBER(Checks!$R$630),TEXT(Checks!$R$630,"DD-MMM-YY HH:MM"),"")&amp;" "&amp;Checks!$P$630</f>
        <v>Required
28-Oct-26 21:40 KIX</v>
      </c>
      <c r="D36" s="113" t="str">
        <f aca="false">IF(Checks!$U$630="","",Checks!$U$630)&amp;IF(Checks!$AB$630="","",CHAR(10)&amp;"CA: "&amp;Checks!$AB$630)</f>
        <v/>
      </c>
      <c r="E36" s="113" t="str">
        <f aca="false">IF(Checks!$V$630="","",Checks!$V$630)&amp;IF(Checks!$AC$630="","",IF(Checks!$V$630="","",CHAR(10))&amp;"N/A just.: "&amp;Checks!$AC$630)&amp;IF(Checks!$W$630="","",CHAR(10)&amp;"Batch: "&amp;Checks!$W$630)&amp;IF(AND(Checks!$X$630="",Checks!$Y$630=""),"",CHAR(10)&amp;"Exp: "&amp;Checks!$X$630&amp;"  /  Act: "&amp;Checks!$Y$630)</f>
        <v/>
      </c>
      <c r="F36" s="113" t="str">
        <f aca="false">IF(Checks!$Z$630="","","Evidence: "&amp;Checks!$Z$630)&amp;IF(Checks!$AA$630="","",IF(Checks!$Z$630="","",CHAR(10))&amp;"CA: "&amp;Checks!$AA$630)</f>
        <v/>
      </c>
      <c r="G36" s="113" t="str">
        <f aca="false">IF(ISNUMBER(Checks!$AD$630),TEXT(Checks!$AD$630,"DD-MMM-YY HH:MM")&amp;" "&amp;Checks!$P$630,"")&amp;IF(Checks!$AE$630="","",CHAR(10)&amp;"Verifier: "&amp;Checks!$AE$630)&amp;IF(Checks!$T$630="","",CHAR(10)&amp;"PIC: "&amp;Checks!$T$630)</f>
        <v/>
      </c>
      <c r="H36" s="114" t="str">
        <f aca="false">IF(Checks!$AH$630="","",Checks!$AH$630)</f>
        <v>OPEN</v>
      </c>
    </row>
    <row r="37" customFormat="false" ht="114" hidden="false" customHeight="true" outlineLevel="0" collapsed="false">
      <c r="A37" s="113" t="str">
        <f aca="false">Checks!$A$631&amp;CHAR(10)&amp;IF(Checks!$I$631="","",Checks!$I$631&amp;": ")&amp;Checks!$J$631</f>
        <v>F19-T12-03
Equipment: Equipment cleanliness vs GLD</v>
      </c>
      <c r="B37" s="113" t="str">
        <f aca="false">Checks!$K$631&amp;IF(Checks!$O$631="","",IF(Checks!$K$631="","",CHAR(10))&amp;"Note: "&amp;Checks!$O$631)</f>
        <v>Note: Preparation check at caterer - does NOT confirm loading.</v>
      </c>
      <c r="C37" s="113" t="str">
        <f aca="false">Checks!$N$631&amp;CHAR(10)&amp;IF(ISNUMBER(Checks!$R$631),TEXT(Checks!$R$631,"DD-MMM-YY HH:MM"),"")&amp;" "&amp;Checks!$P$631</f>
        <v>Required
28-Oct-26 21:40 KIX</v>
      </c>
      <c r="D37" s="113" t="str">
        <f aca="false">IF(Checks!$U$631="","",Checks!$U$631)&amp;IF(Checks!$AB$631="","",CHAR(10)&amp;"CA: "&amp;Checks!$AB$631)</f>
        <v/>
      </c>
      <c r="E37" s="113" t="str">
        <f aca="false">IF(Checks!$V$631="","",Checks!$V$631)&amp;IF(Checks!$AC$631="","",IF(Checks!$V$631="","",CHAR(10))&amp;"N/A just.: "&amp;Checks!$AC$631)&amp;IF(Checks!$W$631="","",CHAR(10)&amp;"Batch: "&amp;Checks!$W$631)&amp;IF(AND(Checks!$X$631="",Checks!$Y$631=""),"",CHAR(10)&amp;"Exp: "&amp;Checks!$X$631&amp;"  /  Act: "&amp;Checks!$Y$631)</f>
        <v/>
      </c>
      <c r="F37" s="113" t="str">
        <f aca="false">IF(Checks!$Z$631="","","Evidence: "&amp;Checks!$Z$631)&amp;IF(Checks!$AA$631="","",IF(Checks!$Z$631="","",CHAR(10))&amp;"CA: "&amp;Checks!$AA$631)</f>
        <v/>
      </c>
      <c r="G37" s="113" t="str">
        <f aca="false">IF(ISNUMBER(Checks!$AD$631),TEXT(Checks!$AD$631,"DD-MMM-YY HH:MM")&amp;" "&amp;Checks!$P$631,"")&amp;IF(Checks!$AE$631="","",CHAR(10)&amp;"Verifier: "&amp;Checks!$AE$631)&amp;IF(Checks!$T$631="","",CHAR(10)&amp;"PIC: "&amp;Checks!$T$631)</f>
        <v/>
      </c>
      <c r="H37" s="114" t="str">
        <f aca="false">IF(Checks!$AH$631="","",Checks!$AH$631)</f>
        <v>OPEN</v>
      </c>
    </row>
    <row r="38" customFormat="false" ht="114" hidden="false" customHeight="true" outlineLevel="0" collapsed="false">
      <c r="A38" s="113" t="str">
        <f aca="false">Checks!$A$632&amp;CHAR(10)&amp;IF(Checks!$I$632="","",Checks!$I$632&amp;": ")&amp;Checks!$J$632</f>
        <v>F19-T12-04
Equipment: Equipment presentation vs GLD</v>
      </c>
      <c r="B38" s="113" t="str">
        <f aca="false">Checks!$K$632&amp;IF(Checks!$O$632="","",IF(Checks!$K$632="","",CHAR(10))&amp;"Note: "&amp;Checks!$O$632)</f>
        <v>Note: Preparation check at caterer - does NOT confirm loading.</v>
      </c>
      <c r="C38" s="113" t="str">
        <f aca="false">Checks!$N$632&amp;CHAR(10)&amp;IF(ISNUMBER(Checks!$R$632),TEXT(Checks!$R$632,"DD-MMM-YY HH:MM"),"")&amp;" "&amp;Checks!$P$632</f>
        <v>Required
28-Oct-26 21:40 KIX</v>
      </c>
      <c r="D38" s="113" t="str">
        <f aca="false">IF(Checks!$U$632="","",Checks!$U$632)&amp;IF(Checks!$AB$632="","",CHAR(10)&amp;"CA: "&amp;Checks!$AB$632)</f>
        <v/>
      </c>
      <c r="E38" s="113" t="str">
        <f aca="false">IF(Checks!$V$632="","",Checks!$V$632)&amp;IF(Checks!$AC$632="","",IF(Checks!$V$632="","",CHAR(10))&amp;"N/A just.: "&amp;Checks!$AC$632)&amp;IF(Checks!$W$632="","",CHAR(10)&amp;"Batch: "&amp;Checks!$W$632)&amp;IF(AND(Checks!$X$632="",Checks!$Y$632=""),"",CHAR(10)&amp;"Exp: "&amp;Checks!$X$632&amp;"  /  Act: "&amp;Checks!$Y$632)</f>
        <v/>
      </c>
      <c r="F38" s="113" t="str">
        <f aca="false">IF(Checks!$Z$632="","","Evidence: "&amp;Checks!$Z$632)&amp;IF(Checks!$AA$632="","",IF(Checks!$Z$632="","",CHAR(10))&amp;"CA: "&amp;Checks!$AA$632)</f>
        <v/>
      </c>
      <c r="G38" s="113" t="str">
        <f aca="false">IF(ISNUMBER(Checks!$AD$632),TEXT(Checks!$AD$632,"DD-MMM-YY HH:MM")&amp;" "&amp;Checks!$P$632,"")&amp;IF(Checks!$AE$632="","",CHAR(10)&amp;"Verifier: "&amp;Checks!$AE$632)&amp;IF(Checks!$T$632="","",CHAR(10)&amp;"PIC: "&amp;Checks!$T$632)</f>
        <v/>
      </c>
      <c r="H38" s="114" t="str">
        <f aca="false">IF(Checks!$AH$632="","",Checks!$AH$632)</f>
        <v>OPEN</v>
      </c>
    </row>
    <row r="39" customFormat="false" ht="114" hidden="false" customHeight="true" outlineLevel="0" collapsed="false">
      <c r="A39" s="113" t="str">
        <f aca="false">Checks!$A$633&amp;CHAR(10)&amp;IF(Checks!$I$633="","",Checks!$I$633&amp;": ")&amp;Checks!$J$633</f>
        <v>F19-T12-05
Equipment: Equipment serviceability vs GLD</v>
      </c>
      <c r="B39" s="113" t="str">
        <f aca="false">Checks!$K$633&amp;IF(Checks!$O$633="","",IF(Checks!$K$633="","",CHAR(10))&amp;"Note: "&amp;Checks!$O$633)</f>
        <v>Note: Preparation check at caterer - does NOT confirm loading.</v>
      </c>
      <c r="C39" s="113" t="str">
        <f aca="false">Checks!$N$633&amp;CHAR(10)&amp;IF(ISNUMBER(Checks!$R$633),TEXT(Checks!$R$633,"DD-MMM-YY HH:MM"),"")&amp;" "&amp;Checks!$P$633</f>
        <v>Required
28-Oct-26 21:40 KIX</v>
      </c>
      <c r="D39" s="113" t="str">
        <f aca="false">IF(Checks!$U$633="","",Checks!$U$633)&amp;IF(Checks!$AB$633="","",CHAR(10)&amp;"CA: "&amp;Checks!$AB$633)</f>
        <v/>
      </c>
      <c r="E39" s="113" t="str">
        <f aca="false">IF(Checks!$V$633="","",Checks!$V$633)&amp;IF(Checks!$AC$633="","",IF(Checks!$V$633="","",CHAR(10))&amp;"N/A just.: "&amp;Checks!$AC$633)&amp;IF(Checks!$W$633="","",CHAR(10)&amp;"Batch: "&amp;Checks!$W$633)&amp;IF(AND(Checks!$X$633="",Checks!$Y$633=""),"",CHAR(10)&amp;"Exp: "&amp;Checks!$X$633&amp;"  /  Act: "&amp;Checks!$Y$633)</f>
        <v/>
      </c>
      <c r="F39" s="113" t="str">
        <f aca="false">IF(Checks!$Z$633="","","Evidence: "&amp;Checks!$Z$633)&amp;IF(Checks!$AA$633="","",IF(Checks!$Z$633="","",CHAR(10))&amp;"CA: "&amp;Checks!$AA$633)</f>
        <v/>
      </c>
      <c r="G39" s="113" t="str">
        <f aca="false">IF(ISNUMBER(Checks!$AD$633),TEXT(Checks!$AD$633,"DD-MMM-YY HH:MM")&amp;" "&amp;Checks!$P$633,"")&amp;IF(Checks!$AE$633="","",CHAR(10)&amp;"Verifier: "&amp;Checks!$AE$633)&amp;IF(Checks!$T$633="","",CHAR(10)&amp;"PIC: "&amp;Checks!$T$633)</f>
        <v/>
      </c>
      <c r="H39" s="114" t="str">
        <f aca="false">IF(Checks!$AH$633="","",Checks!$AH$633)</f>
        <v>OPEN</v>
      </c>
    </row>
    <row r="40" customFormat="false" ht="201.75" hidden="false" customHeight="true" outlineLevel="0" collapsed="false">
      <c r="A40" s="113" t="str">
        <f aca="false">Checks!$A$634&amp;CHAR(10)&amp;IF(Checks!$I$634="","",Checks!$I$634&amp;": ")&amp;Checks!$J$634</f>
        <v>F19-T12-06
Equipment: Equipment quantities vs GLD</v>
      </c>
      <c r="B40" s="113" t="str">
        <f aca="false">SUBSTITUTE(Checks!$K$634&amp;IF(Checks!$O$634="","",IF(Checks!$K$634="","",CHAR(10))&amp;"Note: "&amp;Checks!$O$634),"AIRCRAFT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3" t="str">
        <f aca="false">Checks!$N$634&amp;CHAR(10)&amp;IF(ISNUMBER(Checks!$R$634),TEXT(Checks!$R$634,"DD-MMM-YY HH:MM"),"")&amp;" "&amp;Checks!$P$634</f>
        <v>Required
28-Oct-26 21:40 KIX</v>
      </c>
      <c r="D40" s="113" t="str">
        <f aca="false">IF(Checks!$U$634="","",Checks!$U$634)&amp;IF(Checks!$AB$634="","",CHAR(10)&amp;"CA: "&amp;Checks!$AB$634)</f>
        <v/>
      </c>
      <c r="E40" s="113" t="str">
        <f aca="false">IF(Checks!$V$634="","",Checks!$V$634)&amp;IF(Checks!$AC$634="","",IF(Checks!$V$634="","",CHAR(10))&amp;"N/A just.: "&amp;Checks!$AC$634)&amp;IF(Checks!$W$634="","",CHAR(10)&amp;"Batch: "&amp;Checks!$W$634)&amp;IF(AND(Checks!$X$634="",Checks!$Y$634=""),"",CHAR(10)&amp;"Exp: "&amp;Checks!$X$634&amp;"  /  Act: "&amp;Checks!$Y$634)</f>
        <v/>
      </c>
      <c r="F40" s="113" t="str">
        <f aca="false">IF(Checks!$Z$634="","","Evidence: "&amp;Checks!$Z$634)&amp;IF(Checks!$AA$634="","",IF(Checks!$Z$634="","",CHAR(10))&amp;"CA: "&amp;Checks!$AA$634)</f>
        <v/>
      </c>
      <c r="G40" s="113" t="str">
        <f aca="false">IF(ISNUMBER(Checks!$AD$634),TEXT(Checks!$AD$634,"DD-MMM-YY HH:MM")&amp;" "&amp;Checks!$P$634,"")&amp;IF(Checks!$AE$634="","",CHAR(10)&amp;"Verifier: "&amp;Checks!$AE$634)&amp;IF(Checks!$T$634="","",CHAR(10)&amp;"PIC: "&amp;Checks!$T$634)</f>
        <v/>
      </c>
      <c r="H40" s="114" t="str">
        <f aca="false">IF(Checks!$AH$634="","",Checks!$AH$634)</f>
        <v>OPEN</v>
      </c>
    </row>
    <row r="41" customFormat="false" ht="114" hidden="false" customHeight="true" outlineLevel="0" collapsed="false">
      <c r="A41" s="113" t="str">
        <f aca="false">Checks!$A$635&amp;CHAR(10)&amp;IF(Checks!$I$635="","",Checks!$I$635&amp;": ")&amp;Checks!$J$635</f>
        <v>F19-T12-07
Equipment: Loading positions planned vs GLD</v>
      </c>
      <c r="B41" s="113" t="str">
        <f aca="false">Checks!$K$635&amp;IF(Checks!$O$635="","",IF(Checks!$K$635="","",CHAR(10))&amp;"Note: "&amp;Checks!$O$635)</f>
        <v>Note: Preparation check at caterer - does NOT confirm loading.</v>
      </c>
      <c r="C41" s="113" t="str">
        <f aca="false">Checks!$N$635&amp;CHAR(10)&amp;IF(ISNUMBER(Checks!$R$635),TEXT(Checks!$R$635,"DD-MMM-YY HH:MM"),"")&amp;" "&amp;Checks!$P$635</f>
        <v>Required
28-Oct-26 21:40 KIX</v>
      </c>
      <c r="D41" s="113" t="str">
        <f aca="false">IF(Checks!$U$635="","",Checks!$U$635)&amp;IF(Checks!$AB$635="","",CHAR(10)&amp;"CA: "&amp;Checks!$AB$635)</f>
        <v/>
      </c>
      <c r="E41" s="113" t="str">
        <f aca="false">IF(Checks!$V$635="","",Checks!$V$635)&amp;IF(Checks!$AC$635="","",IF(Checks!$V$635="","",CHAR(10))&amp;"N/A just.: "&amp;Checks!$AC$635)&amp;IF(Checks!$W$635="","",CHAR(10)&amp;"Batch: "&amp;Checks!$W$635)&amp;IF(AND(Checks!$X$635="",Checks!$Y$635=""),"",CHAR(10)&amp;"Exp: "&amp;Checks!$X$635&amp;"  /  Act: "&amp;Checks!$Y$635)</f>
        <v/>
      </c>
      <c r="F41" s="113" t="str">
        <f aca="false">IF(Checks!$Z$635="","","Evidence: "&amp;Checks!$Z$635)&amp;IF(Checks!$AA$635="","",IF(Checks!$Z$635="","",CHAR(10))&amp;"CA: "&amp;Checks!$AA$635)</f>
        <v/>
      </c>
      <c r="G41" s="113" t="str">
        <f aca="false">IF(ISNUMBER(Checks!$AD$635),TEXT(Checks!$AD$635,"DD-MMM-YY HH:MM")&amp;" "&amp;Checks!$P$635,"")&amp;IF(Checks!$AE$635="","",CHAR(10)&amp;"Verifier: "&amp;Checks!$AE$635)&amp;IF(Checks!$T$635="","",CHAR(10)&amp;"PIC: "&amp;Checks!$T$635)</f>
        <v/>
      </c>
      <c r="H41" s="114" t="str">
        <f aca="false">IF(Checks!$AH$635="","",Checks!$AH$635)</f>
        <v>OPEN</v>
      </c>
    </row>
    <row r="42" customFormat="false" ht="114" hidden="false" customHeight="true" outlineLevel="0" collapsed="false">
      <c r="A42" s="113" t="str">
        <f aca="false">Checks!$A$636&amp;CHAR(10)&amp;IF(Checks!$I$636="","",Checks!$I$636&amp;": ")&amp;Checks!$J$636</f>
        <v>F19-T12-08
Seat Linen: Seat pillow (EY) - prepared</v>
      </c>
      <c r="B42" s="113" t="str">
        <f aca="false">Checks!$K$636&amp;IF(Checks!$O$636="","",IF(Checks!$K$636="","",CHAR(10))&amp;"Note: "&amp;Checks!$O$636)</f>
        <v>Available 100% (ticked in reference)
Note: Reference gives no uplift stn for this item: preparation checked at the meal uplift stn (KIX) - confirm with caterer.</v>
      </c>
      <c r="C42" s="113" t="str">
        <f aca="false">Checks!$N$636&amp;CHAR(10)&amp;IF(ISNUMBER(Checks!$R$636),TEXT(Checks!$R$636,"DD-MMM-YY HH:MM"),"")&amp;" "&amp;Checks!$P$636</f>
        <v>Required
28-Oct-26 21:40 KIX</v>
      </c>
      <c r="D42" s="113" t="str">
        <f aca="false">IF(Checks!$U$636="","",Checks!$U$636)&amp;IF(Checks!$AB$636="","",CHAR(10)&amp;"CA: "&amp;Checks!$AB$636)</f>
        <v/>
      </c>
      <c r="E42" s="113" t="str">
        <f aca="false">IF(Checks!$V$636="","",Checks!$V$636)&amp;IF(Checks!$AC$636="","",IF(Checks!$V$636="","",CHAR(10))&amp;"N/A just.: "&amp;Checks!$AC$636)&amp;IF(Checks!$W$636="","",CHAR(10)&amp;"Batch: "&amp;Checks!$W$636)&amp;IF(AND(Checks!$X$636="",Checks!$Y$636=""),"",CHAR(10)&amp;"Exp: "&amp;Checks!$X$636&amp;"  /  Act: "&amp;Checks!$Y$636)</f>
        <v/>
      </c>
      <c r="F42" s="113" t="str">
        <f aca="false">IF(Checks!$Z$636="","","Evidence: "&amp;Checks!$Z$636)&amp;IF(Checks!$AA$636="","",IF(Checks!$Z$636="","",CHAR(10))&amp;"CA: "&amp;Checks!$AA$636)</f>
        <v/>
      </c>
      <c r="G42" s="113" t="str">
        <f aca="false">IF(ISNUMBER(Checks!$AD$636),TEXT(Checks!$AD$636,"DD-MMM-YY HH:MM")&amp;" "&amp;Checks!$P$636,"")&amp;IF(Checks!$AE$636="","",CHAR(10)&amp;"Verifier: "&amp;Checks!$AE$636)&amp;IF(Checks!$T$636="","",CHAR(10)&amp;"PIC: "&amp;Checks!$T$636)</f>
        <v/>
      </c>
      <c r="H42" s="114" t="str">
        <f aca="false">IF(Checks!$AH$636="","",Checks!$AH$636)</f>
        <v>OPEN</v>
      </c>
    </row>
    <row r="43" customFormat="false" ht="213" hidden="false" customHeight="true" outlineLevel="0" collapsed="false">
      <c r="A43" s="113" t="str">
        <f aca="false">Checks!$A$637&amp;CHAR(10)&amp;IF(Checks!$I$637="","",Checks!$I$637&amp;": ")&amp;Checks!$J$637</f>
        <v>F19-T12-09
Seat Linen: Blanket (EY) - prepared</v>
      </c>
      <c r="B43" s="113" t="str">
        <f aca="false">SUBSTITUTE(Checks!$K$637&amp;IF(Checks!$O$637="","",IF(Checks!$K$637="","",CHAR(10))&amp;"Note: "&amp;Checks!$O$637),"SEAT LINEN!","Ref: SEAT LINEN!")</f>
        <v>Available 100% (ticked in reference); qty 280
Note: EY blanket: flight above 3 hours excl. Regional (Ref: SEAT LINEN!B74:C74); block 8.08 h. Qty 280 pcs (14 bundles) for A332/A333/A339 (Ref: SEAT LINEN!B75:C75). Reference gives no uplift stn for this item: preparation checked at the meal uplift stn (KIX) - confirm with caterer.</v>
      </c>
      <c r="C43" s="113" t="str">
        <f aca="false">Checks!$N$637&amp;CHAR(10)&amp;IF(ISNUMBER(Checks!$R$637),TEXT(Checks!$R$637,"DD-MMM-YY HH:MM"),"")&amp;" "&amp;Checks!$P$637</f>
        <v>Required
28-Oct-26 21:40 KIX</v>
      </c>
      <c r="D43" s="113" t="str">
        <f aca="false">IF(Checks!$U$637="","",Checks!$U$637)&amp;IF(Checks!$AB$637="","",CHAR(10)&amp;"CA: "&amp;Checks!$AB$637)</f>
        <v/>
      </c>
      <c r="E43" s="113" t="str">
        <f aca="false">IF(Checks!$V$637="","",Checks!$V$637)&amp;IF(Checks!$AC$637="","",IF(Checks!$V$637="","",CHAR(10))&amp;"N/A just.: "&amp;Checks!$AC$637)&amp;IF(Checks!$W$637="","",CHAR(10)&amp;"Batch: "&amp;Checks!$W$637)&amp;IF(AND(Checks!$X$637="",Checks!$Y$637=""),"",CHAR(10)&amp;"Exp: "&amp;Checks!$X$637&amp;"  /  Act: "&amp;Checks!$Y$637)</f>
        <v>
Exp: 280  /  Act: </v>
      </c>
      <c r="F43" s="113" t="str">
        <f aca="false">IF(Checks!$Z$637="","","Evidence: "&amp;Checks!$Z$637)&amp;IF(Checks!$AA$637="","",IF(Checks!$Z$637="","",CHAR(10))&amp;"CA: "&amp;Checks!$AA$637)</f>
        <v/>
      </c>
      <c r="G43" s="113" t="str">
        <f aca="false">IF(ISNUMBER(Checks!$AD$637),TEXT(Checks!$AD$637,"DD-MMM-YY HH:MM")&amp;" "&amp;Checks!$P$637,"")&amp;IF(Checks!$AE$637="","",CHAR(10)&amp;"Verifier: "&amp;Checks!$AE$637)&amp;IF(Checks!$T$637="","",CHAR(10)&amp;"PIC: "&amp;Checks!$T$637)</f>
        <v/>
      </c>
      <c r="H43" s="114" t="str">
        <f aca="false">IF(Checks!$AH$637="","",Checks!$AH$637)</f>
        <v>OPEN</v>
      </c>
    </row>
    <row r="44" customFormat="false" ht="201.75" hidden="false" customHeight="true" outlineLevel="0" collapsed="false">
      <c r="A44" s="113" t="str">
        <f aca="false">Checks!$A$638&amp;CHAR(10)&amp;IF(Checks!$I$638="","",Checks!$I$638&amp;": ")&amp;Checks!$J$638</f>
        <v>F19-T12-10
Sales Cart: Sales cart (caterer PASB) - prepared</v>
      </c>
      <c r="B44" s="113"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13" t="str">
        <f aca="false">Checks!$N$638&amp;CHAR(10)&amp;IF(ISNUMBER(Checks!$R$638),TEXT(Checks!$R$638,"DD-MMM-YY HH:MM"),"")&amp;" "&amp;Checks!$P$638</f>
        <v>Clarification required
28-Oct-26 21:40 KIX</v>
      </c>
      <c r="D44" s="113" t="str">
        <f aca="false">IF(Checks!$U$638="","",Checks!$U$638)&amp;IF(Checks!$AB$638="","",CHAR(10)&amp;"CA: "&amp;Checks!$AB$638)</f>
        <v/>
      </c>
      <c r="E44" s="113" t="str">
        <f aca="false">IF(Checks!$V$638="","",Checks!$V$638)&amp;IF(Checks!$AC$638="","",IF(Checks!$V$638="","",CHAR(10))&amp;"N/A just.: "&amp;Checks!$AC$638)&amp;IF(Checks!$W$638="","",CHAR(10)&amp;"Batch: "&amp;Checks!$W$638)&amp;IF(AND(Checks!$X$638="",Checks!$Y$638=""),"",CHAR(10)&amp;"Exp: "&amp;Checks!$X$638&amp;"  /  Act: "&amp;Checks!$Y$638)</f>
        <v/>
      </c>
      <c r="F44" s="113" t="str">
        <f aca="false">IF(Checks!$Z$638="","","Evidence: "&amp;Checks!$Z$638)&amp;IF(Checks!$AA$638="","",IF(Checks!$Z$638="","",CHAR(10))&amp;"CA: "&amp;Checks!$AA$638)</f>
        <v/>
      </c>
      <c r="G44" s="113" t="str">
        <f aca="false">IF(ISNUMBER(Checks!$AD$638),TEXT(Checks!$AD$638,"DD-MMM-YY HH:MM")&amp;" "&amp;Checks!$P$638,"")&amp;IF(Checks!$AE$638="","",CHAR(10)&amp;"Verifier: "&amp;Checks!$AE$638)&amp;IF(Checks!$T$638="","",CHAR(10)&amp;"PIC: "&amp;Checks!$T$638)</f>
        <v/>
      </c>
      <c r="H44" s="114" t="str">
        <f aca="false">IF(Checks!$AH$638="","",Checks!$AH$638)</f>
        <v>OPEN – CLARIFICATION</v>
      </c>
    </row>
    <row r="45" customFormat="false" ht="25.5" hidden="false" customHeight="true" outlineLevel="0" collapsed="false">
      <c r="A45" s="112"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2"/>
      <c r="C45" s="112"/>
      <c r="D45" s="112"/>
      <c r="E45" s="112"/>
      <c r="F45" s="112"/>
      <c r="G45" s="112"/>
      <c r="H45" s="112"/>
    </row>
    <row r="46" customFormat="false" ht="114" hidden="false" customHeight="true" outlineLevel="0" collapsed="false">
      <c r="A46" s="113" t="str">
        <f aca="false">Checks!$A$639&amp;CHAR(10)&amp;IF(Checks!$I$639="","",Checks!$I$639&amp;": ")&amp;Checks!$J$639</f>
        <v>F19-UPL-01
Meal: Meals physically uplifted on board - quantity vs menu checklist</v>
      </c>
      <c r="B46" s="113" t="str">
        <f aca="false">Checks!$K$639&amp;IF(Checks!$O$639="","",IF(Checks!$K$639="","",CHAR(10))&amp;"Note: "&amp;Checks!$O$639)</f>
        <v>Enter expected &amp; actual
Note: Confirm on board before departure; completion time must fall inside the uplift window.</v>
      </c>
      <c r="C46" s="113" t="str">
        <f aca="false">Checks!$N$639&amp;CHAR(10)&amp;IF(ISNUMBER(Checks!$R$639),TEXT(Checks!$R$639,"DD-MMM-YY HH:MM"),"")&amp;" "&amp;Checks!$P$639</f>
        <v>Required
29-Oct-26 09:40 KIX</v>
      </c>
      <c r="D46" s="113" t="str">
        <f aca="false">IF(Checks!$U$639="","",Checks!$U$639)&amp;IF(Checks!$AB$639="","",CHAR(10)&amp;"CA: "&amp;Checks!$AB$639)</f>
        <v/>
      </c>
      <c r="E46" s="113" t="str">
        <f aca="false">IF(Checks!$V$639="","",Checks!$V$639)&amp;IF(Checks!$AC$639="","",IF(Checks!$V$639="","",CHAR(10))&amp;"N/A just.: "&amp;Checks!$AC$639)&amp;IF(Checks!$W$639="","",CHAR(10)&amp;"Batch: "&amp;Checks!$W$639)&amp;IF(AND(Checks!$X$639="",Checks!$Y$639=""),"",CHAR(10)&amp;"Exp: "&amp;Checks!$X$639&amp;"  /  Act: "&amp;Checks!$Y$639)</f>
        <v/>
      </c>
      <c r="F46" s="113" t="str">
        <f aca="false">IF(Checks!$Z$639="","","Evidence: "&amp;Checks!$Z$639)&amp;IF(Checks!$AA$639="","",IF(Checks!$Z$639="","",CHAR(10))&amp;"CA: "&amp;Checks!$AA$639)</f>
        <v/>
      </c>
      <c r="G46" s="113" t="str">
        <f aca="false">IF(ISNUMBER(Checks!$AD$639),TEXT(Checks!$AD$639,"DD-MMM-YY HH:MM")&amp;" "&amp;Checks!$P$639,"")&amp;IF(Checks!$AE$639="","",CHAR(10)&amp;"Verifier: "&amp;Checks!$AE$639)&amp;IF(Checks!$T$639="","",CHAR(10)&amp;"PIC: "&amp;Checks!$T$639)</f>
        <v/>
      </c>
      <c r="H46" s="114" t="str">
        <f aca="false">IF(Checks!$AH$639="","",Checks!$AH$639)</f>
        <v>OPEN</v>
      </c>
    </row>
    <row r="47" customFormat="false" ht="114" hidden="false" customHeight="true" outlineLevel="0" collapsed="false">
      <c r="A47" s="113" t="str">
        <f aca="false">Checks!$A$640&amp;CHAR(10)&amp;IF(Checks!$I$640="","",Checks!$I$640&amp;": ")&amp;Checks!$J$640</f>
        <v>F19-UPL-02
Equipment: Equipment physically loaded at GLD positions - quantity &amp; positions</v>
      </c>
      <c r="B47" s="113" t="str">
        <f aca="false">Checks!$K$640&amp;IF(Checks!$O$640="","",IF(Checks!$K$640="","",CHAR(10))&amp;"Note: "&amp;Checks!$O$640)</f>
        <v>Enter expected &amp; actual
Note: Confirm on board before departure; completion time must fall inside the uplift window.</v>
      </c>
      <c r="C47" s="113" t="str">
        <f aca="false">Checks!$N$640&amp;CHAR(10)&amp;IF(ISNUMBER(Checks!$R$640),TEXT(Checks!$R$640,"DD-MMM-YY HH:MM"),"")&amp;" "&amp;Checks!$P$640</f>
        <v>Required
29-Oct-26 09:40 KIX</v>
      </c>
      <c r="D47" s="113" t="str">
        <f aca="false">IF(Checks!$U$640="","",Checks!$U$640)&amp;IF(Checks!$AB$640="","",CHAR(10)&amp;"CA: "&amp;Checks!$AB$640)</f>
        <v/>
      </c>
      <c r="E47" s="113" t="str">
        <f aca="false">IF(Checks!$V$640="","",Checks!$V$640)&amp;IF(Checks!$AC$640="","",IF(Checks!$V$640="","",CHAR(10))&amp;"N/A just.: "&amp;Checks!$AC$640)&amp;IF(Checks!$W$640="","",CHAR(10)&amp;"Batch: "&amp;Checks!$W$640)&amp;IF(AND(Checks!$X$640="",Checks!$Y$640=""),"",CHAR(10)&amp;"Exp: "&amp;Checks!$X$640&amp;"  /  Act: "&amp;Checks!$Y$640)</f>
        <v/>
      </c>
      <c r="F47" s="113" t="str">
        <f aca="false">IF(Checks!$Z$640="","","Evidence: "&amp;Checks!$Z$640)&amp;IF(Checks!$AA$640="","",IF(Checks!$Z$640="","",CHAR(10))&amp;"CA: "&amp;Checks!$AA$640)</f>
        <v/>
      </c>
      <c r="G47" s="113" t="str">
        <f aca="false">IF(ISNUMBER(Checks!$AD$640),TEXT(Checks!$AD$640,"DD-MMM-YY HH:MM")&amp;" "&amp;Checks!$P$640,"")&amp;IF(Checks!$AE$640="","",CHAR(10)&amp;"Verifier: "&amp;Checks!$AE$640)&amp;IF(Checks!$T$640="","",CHAR(10)&amp;"PIC: "&amp;Checks!$T$640)</f>
        <v/>
      </c>
      <c r="H47" s="114" t="str">
        <f aca="false">IF(Checks!$AH$640="","",Checks!$AH$640)</f>
        <v>OPEN</v>
      </c>
    </row>
    <row r="48" customFormat="false" ht="114" hidden="false" customHeight="true" outlineLevel="0" collapsed="false">
      <c r="A48" s="113" t="str">
        <f aca="false">Checks!$A$641&amp;CHAR(10)&amp;IF(Checks!$I$641="","",Checks!$I$641&amp;": ")&amp;Checks!$J$641</f>
        <v>F19-UPL-03
Seat Linen: Seat pillow (EY) - on board</v>
      </c>
      <c r="B48" s="113" t="str">
        <f aca="false">Checks!$K$641&amp;IF(Checks!$O$641="","",IF(Checks!$K$641="","",CHAR(10))&amp;"Note: "&amp;Checks!$O$641)</f>
        <v>Available 100% (ticked in reference)</v>
      </c>
      <c r="C48" s="113" t="str">
        <f aca="false">Checks!$N$641&amp;CHAR(10)&amp;IF(ISNUMBER(Checks!$R$641),TEXT(Checks!$R$641,"DD-MMM-YY HH:MM"),"")&amp;" "&amp;Checks!$P$641</f>
        <v>Required
29-Oct-26 09:40 KIX</v>
      </c>
      <c r="D48" s="113" t="str">
        <f aca="false">IF(Checks!$U$641="","",Checks!$U$641)&amp;IF(Checks!$AB$641="","",CHAR(10)&amp;"CA: "&amp;Checks!$AB$641)</f>
        <v/>
      </c>
      <c r="E48" s="113" t="str">
        <f aca="false">IF(Checks!$V$641="","",Checks!$V$641)&amp;IF(Checks!$AC$641="","",IF(Checks!$V$641="","",CHAR(10))&amp;"N/A just.: "&amp;Checks!$AC$641)&amp;IF(Checks!$W$641="","",CHAR(10)&amp;"Batch: "&amp;Checks!$W$641)&amp;IF(AND(Checks!$X$641="",Checks!$Y$641=""),"",CHAR(10)&amp;"Exp: "&amp;Checks!$X$641&amp;"  /  Act: "&amp;Checks!$Y$641)</f>
        <v/>
      </c>
      <c r="F48" s="113" t="str">
        <f aca="false">IF(Checks!$Z$641="","","Evidence: "&amp;Checks!$Z$641)&amp;IF(Checks!$AA$641="","",IF(Checks!$Z$641="","",CHAR(10))&amp;"CA: "&amp;Checks!$AA$641)</f>
        <v/>
      </c>
      <c r="G48" s="113" t="str">
        <f aca="false">IF(ISNUMBER(Checks!$AD$641),TEXT(Checks!$AD$641,"DD-MMM-YY HH:MM")&amp;" "&amp;Checks!$P$641,"")&amp;IF(Checks!$AE$641="","",CHAR(10)&amp;"Verifier: "&amp;Checks!$AE$641)&amp;IF(Checks!$T$641="","",CHAR(10)&amp;"PIC: "&amp;Checks!$T$641)</f>
        <v/>
      </c>
      <c r="H48" s="114" t="str">
        <f aca="false">IF(Checks!$AH$641="","",Checks!$AH$641)</f>
        <v>OPEN</v>
      </c>
    </row>
    <row r="49" customFormat="false" ht="135.75" hidden="false" customHeight="true" outlineLevel="0" collapsed="false">
      <c r="A49" s="113" t="str">
        <f aca="false">Checks!$A$642&amp;CHAR(10)&amp;IF(Checks!$I$642="","",Checks!$I$642&amp;": ")&amp;Checks!$J$642</f>
        <v>F19-UPL-04
Seat Linen: Blanket (EY) - on board</v>
      </c>
      <c r="B49" s="113" t="str">
        <f aca="false">SUBSTITUTE(Checks!$K$642&amp;IF(Checks!$O$642="","",IF(Checks!$K$642="","",CHAR(10))&amp;"Note: "&amp;Checks!$O$642),"SEAT LINEN!","Ref: SEAT LINEN!")</f>
        <v>Available 100% (ticked in reference); qty 280
Note: EY blanket: flight above 3 hours excl. Regional (Ref: SEAT LINEN!B74:C74); block 8.08 h. Qty 280 pcs (14 bundles) for A332/A333/A339 (Ref: SEAT LINEN!B75:C75).</v>
      </c>
      <c r="C49" s="113" t="str">
        <f aca="false">Checks!$N$642&amp;CHAR(10)&amp;IF(ISNUMBER(Checks!$R$642),TEXT(Checks!$R$642,"DD-MMM-YY HH:MM"),"")&amp;" "&amp;Checks!$P$642</f>
        <v>Required
29-Oct-26 09:40 KIX</v>
      </c>
      <c r="D49" s="113" t="str">
        <f aca="false">IF(Checks!$U$642="","",Checks!$U$642)&amp;IF(Checks!$AB$642="","",CHAR(10)&amp;"CA: "&amp;Checks!$AB$642)</f>
        <v/>
      </c>
      <c r="E49" s="113" t="str">
        <f aca="false">IF(Checks!$V$642="","",Checks!$V$642)&amp;IF(Checks!$AC$642="","",IF(Checks!$V$642="","",CHAR(10))&amp;"N/A just.: "&amp;Checks!$AC$642)&amp;IF(Checks!$W$642="","",CHAR(10)&amp;"Batch: "&amp;Checks!$W$642)&amp;IF(AND(Checks!$X$642="",Checks!$Y$642=""),"",CHAR(10)&amp;"Exp: "&amp;Checks!$X$642&amp;"  /  Act: "&amp;Checks!$Y$642)</f>
        <v>
Exp: 280  /  Act: </v>
      </c>
      <c r="F49" s="113" t="str">
        <f aca="false">IF(Checks!$Z$642="","","Evidence: "&amp;Checks!$Z$642)&amp;IF(Checks!$AA$642="","",IF(Checks!$Z$642="","",CHAR(10))&amp;"CA: "&amp;Checks!$AA$642)</f>
        <v/>
      </c>
      <c r="G49" s="113" t="str">
        <f aca="false">IF(ISNUMBER(Checks!$AD$642),TEXT(Checks!$AD$642,"DD-MMM-YY HH:MM")&amp;" "&amp;Checks!$P$642,"")&amp;IF(Checks!$AE$642="","",CHAR(10)&amp;"Verifier: "&amp;Checks!$AE$642)&amp;IF(Checks!$T$642="","",CHAR(10)&amp;"PIC: "&amp;Checks!$T$642)</f>
        <v/>
      </c>
      <c r="H49" s="114" t="str">
        <f aca="false">IF(Checks!$AH$642="","",Checks!$AH$642)</f>
        <v>OPEN</v>
      </c>
    </row>
    <row r="50" customFormat="false" ht="135.75" hidden="false" customHeight="true" outlineLevel="0" collapsed="false">
      <c r="A50" s="113" t="str">
        <f aca="false">Checks!$A$643&amp;CHAR(10)&amp;IF(Checks!$I$643="","",Checks!$I$643&amp;": ")&amp;Checks!$J$643</f>
        <v>F19-UPL-05
Sales Cart: Sales cart (caterer PASB) - on board</v>
      </c>
      <c r="B50" s="113"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13" t="str">
        <f aca="false">Checks!$N$643&amp;CHAR(10)&amp;IF(ISNUMBER(Checks!$R$643),TEXT(Checks!$R$643,"DD-MMM-YY HH:MM"),"")&amp;" "&amp;Checks!$P$643</f>
        <v>Clarification required
29-Oct-26 09:40 KIX</v>
      </c>
      <c r="D50" s="113" t="str">
        <f aca="false">IF(Checks!$U$643="","",Checks!$U$643)&amp;IF(Checks!$AB$643="","",CHAR(10)&amp;"CA: "&amp;Checks!$AB$643)</f>
        <v/>
      </c>
      <c r="E50" s="113" t="str">
        <f aca="false">IF(Checks!$V$643="","",Checks!$V$643)&amp;IF(Checks!$AC$643="","",IF(Checks!$V$643="","",CHAR(10))&amp;"N/A just.: "&amp;Checks!$AC$643)&amp;IF(Checks!$W$643="","",CHAR(10)&amp;"Batch: "&amp;Checks!$W$643)&amp;IF(AND(Checks!$X$643="",Checks!$Y$643=""),"",CHAR(10)&amp;"Exp: "&amp;Checks!$X$643&amp;"  /  Act: "&amp;Checks!$Y$643)</f>
        <v/>
      </c>
      <c r="F50" s="113" t="str">
        <f aca="false">IF(Checks!$Z$643="","","Evidence: "&amp;Checks!$Z$643)&amp;IF(Checks!$AA$643="","",IF(Checks!$Z$643="","",CHAR(10))&amp;"CA: "&amp;Checks!$AA$643)</f>
        <v/>
      </c>
      <c r="G50" s="113" t="str">
        <f aca="false">IF(ISNUMBER(Checks!$AD$643),TEXT(Checks!$AD$643,"DD-MMM-YY HH:MM")&amp;" "&amp;Checks!$P$643,"")&amp;IF(Checks!$AE$643="","",CHAR(10)&amp;"Verifier: "&amp;Checks!$AE$643)&amp;IF(Checks!$T$643="","",CHAR(10)&amp;"PIC: "&amp;Checks!$T$643)</f>
        <v/>
      </c>
      <c r="H50" s="114" t="str">
        <f aca="false">IF(Checks!$AH$643="","",Checks!$AH$643)</f>
        <v>OPEN – CLARIFICATION</v>
      </c>
    </row>
    <row r="52" customFormat="false" ht="24" hidden="false" customHeight="true" outlineLevel="0" collapsed="false">
      <c r="A52" s="115" t="s">
        <v>1650</v>
      </c>
      <c r="B52" s="115"/>
      <c r="C52" s="115"/>
      <c r="D52" s="115"/>
      <c r="E52" s="115" t="s">
        <v>1651</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F20  "&amp;Flights!$F$24&amp;"  "&amp;TEXT(Flights!$D$24,"DD-MMM-YY")&amp;" ("&amp;Flights!$E$24&amp;")  "&amp;Flights!$G$24&amp;" → "&amp;Flights!$H$24&amp;"  |  Class "&amp;Flights!$K$24</f>
        <v>SKYTRAX 2026 CATERING READINESS CHECKLIST  |  F20  MH1450  29-Oct-26 (THU)  KUL → LGK  |  Class EY</v>
      </c>
      <c r="B1" s="91"/>
      <c r="C1" s="91"/>
      <c r="D1" s="91"/>
      <c r="E1" s="91"/>
      <c r="F1" s="91"/>
      <c r="G1" s="91"/>
      <c r="H1" s="91"/>
    </row>
    <row r="2" customFormat="false" ht="12.75" hidden="false" customHeight="true" outlineLevel="0" collapsed="false">
      <c r="A2" s="92" t="s">
        <v>1605</v>
      </c>
      <c r="B2" s="93" t="str">
        <f aca="false">Flights!$F$24&amp;"   "&amp;TEXT(Flights!$D$24,"DD-MMM-YY")&amp;" ("&amp;Flights!$E$24&amp;")"</f>
        <v>MH1450   29-Oct-26 (THU)</v>
      </c>
      <c r="C2" s="93"/>
      <c r="D2" s="93"/>
      <c r="E2" s="94" t="s">
        <v>1606</v>
      </c>
      <c r="F2" s="95" t="str">
        <f aca="false">Flights!$AT$24</f>
        <v>NOT READY – DOCUMENTS</v>
      </c>
      <c r="G2" s="95"/>
      <c r="H2" s="95"/>
    </row>
    <row r="3" customFormat="false" ht="24" hidden="false" customHeight="true" outlineLevel="0" collapsed="false">
      <c r="A3" s="92" t="s">
        <v>1607</v>
      </c>
      <c r="B3" s="93" t="str">
        <f aca="false">Flights!$G$24&amp;" → "&amp;Flights!$H$24&amp;"   Class "&amp;Flights!$K$24&amp;"   Seat "&amp;Flights!$O$24</f>
        <v>KUL → LGK   Class EY   Seat 4A</v>
      </c>
      <c r="C3" s="93"/>
      <c r="D3" s="93"/>
      <c r="E3" s="94" t="s">
        <v>68</v>
      </c>
      <c r="F3" s="94" t="s">
        <v>1608</v>
      </c>
      <c r="G3" s="94" t="s">
        <v>1609</v>
      </c>
      <c r="H3" s="94"/>
    </row>
    <row r="4" customFormat="false" ht="24" hidden="false" customHeight="true" outlineLevel="0" collapsed="false">
      <c r="A4" s="92" t="s">
        <v>1610</v>
      </c>
      <c r="B4" s="93" t="str">
        <f aca="false">IF(ISNUMBER(Flights!$I$24),TEXT(Flights!$I$24,"DD-MMM-YY HH:MM"),"")&amp;" "&amp;Flights!$G$24&amp;"  →  "&amp;IF(ISNUMBER(Flights!$J$24),TEXT(Flights!$J$24,"DD-MMM-YY HH:MM"),"")&amp;" "&amp;Flights!$H$24</f>
        <v>29-Oct-26 18:30 KUL  →  29-Oct-26 20:00 LGK</v>
      </c>
      <c r="C4" s="93"/>
      <c r="D4" s="93"/>
      <c r="E4" s="92" t="s">
        <v>1611</v>
      </c>
      <c r="F4" s="96" t="str">
        <f aca="false">IF(ISNUMBER(Flights!$AG$24),TEXT(Flights!$AG$24,"DD-MMM-YY HH:MM"),"")&amp;" "&amp;Flights!$V$24</f>
        <v>22-Oct-26 18:30 KUL</v>
      </c>
      <c r="G4" s="97" t="n">
        <f aca="false">Flights!$AJ$24</f>
        <v>0</v>
      </c>
      <c r="H4" s="97"/>
    </row>
    <row r="5" customFormat="false" ht="24" hidden="false" customHeight="true" outlineLevel="0" collapsed="false">
      <c r="A5" s="92" t="s">
        <v>1612</v>
      </c>
      <c r="B5" s="93" t="str">
        <f aca="false">Flights!$L$24&amp;" – "&amp;Flights!$M$24</f>
        <v>B738MAX – B737-8 (B7M8)</v>
      </c>
      <c r="C5" s="93"/>
      <c r="D5" s="93"/>
      <c r="E5" s="92" t="s">
        <v>1613</v>
      </c>
      <c r="F5" s="96" t="str">
        <f aca="false">IF(ISNUMBER(Flights!$AH$24),TEXT(Flights!$AH$24,"DD-MMM-YY HH:MM"),"")&amp;" "&amp;Flights!$V$24</f>
        <v>28-Oct-26 18:30 KUL</v>
      </c>
      <c r="G5" s="97" t="n">
        <f aca="false">Flights!$AK$24</f>
        <v>0</v>
      </c>
      <c r="H5" s="97"/>
    </row>
    <row r="6" customFormat="false" ht="24" hidden="false" customHeight="true" outlineLevel="0" collapsed="false">
      <c r="A6" s="92" t="s">
        <v>1614</v>
      </c>
      <c r="B6" s="93" t="str">
        <f aca="false">IF(TRIM(Flights!$N$24)="","__________________",Flights!$N$24)</f>
        <v>__________________</v>
      </c>
      <c r="C6" s="93"/>
      <c r="D6" s="93"/>
      <c r="E6" s="92" t="s">
        <v>1615</v>
      </c>
      <c r="F6" s="96" t="str">
        <f aca="false">IF(ISNUMBER(Flights!$AI$24),TEXT(Flights!$AI$24,"DD-MMM-YY HH:MM"),"")&amp;" "&amp;Flights!$V$24&amp;IF(Flights!$AI$24=Flights!$AH$24,"  (= T-24H due)","")</f>
        <v>29-Oct-26 06:30 KUL</v>
      </c>
      <c r="G6" s="97" t="n">
        <f aca="false">Flights!$AL$24</f>
        <v>0</v>
      </c>
      <c r="H6" s="97"/>
    </row>
    <row r="7" customFormat="false" ht="24" hidden="false" customHeight="true" outlineLevel="0" collapsed="false">
      <c r="A7" s="92" t="s">
        <v>1616</v>
      </c>
      <c r="B7" s="93" t="str">
        <f aca="false">Flights!$T$24</f>
        <v>Refreshment (Peanut &amp; Water)</v>
      </c>
      <c r="C7" s="93"/>
      <c r="D7" s="93"/>
      <c r="E7" s="92" t="s">
        <v>1617</v>
      </c>
      <c r="F7" s="96" t="str">
        <f aca="false">"STD "&amp;IF(ISNUMBER(Flights!$I$24),TEXT(Flights!$I$24,"DD-MMM-YY HH:MM"),"")&amp;" "&amp;Flights!$G$24&amp;" (dep stn)"</f>
        <v>STD 29-Oct-26 18:30 KUL (dep stn)</v>
      </c>
      <c r="G7" s="97" t="n">
        <f aca="false">Flights!$AM$24</f>
        <v>0</v>
      </c>
      <c r="H7" s="97"/>
    </row>
    <row r="8" customFormat="false" ht="12.75" hidden="false" customHeight="true" outlineLevel="0" collapsed="false">
      <c r="A8" s="92" t="s">
        <v>150</v>
      </c>
      <c r="B8" s="93" t="str">
        <f aca="false">Flights!$V$24&amp;"   (reference uplift stns: "&amp;Flights!$U$24&amp;")"</f>
        <v>KUL   (reference uplift stns: KUL)</v>
      </c>
      <c r="C8" s="93"/>
      <c r="D8" s="93"/>
      <c r="E8" s="92" t="s">
        <v>1618</v>
      </c>
      <c r="F8" s="98" t="s">
        <v>1619</v>
      </c>
      <c r="G8" s="97" t="n">
        <f aca="false">Flights!$AN$24</f>
        <v>0</v>
      </c>
      <c r="H8" s="97"/>
    </row>
    <row r="9" customFormat="false" ht="12.75" hidden="false" customHeight="true" outlineLevel="0" collapsed="false">
      <c r="A9" s="92" t="s">
        <v>1620</v>
      </c>
      <c r="B9" s="93" t="str">
        <f aca="false">TRIM(Flights!$P$24&amp;"  "&amp;Flights!$Q$24)</f>
        <v>1H 45M Overnight LGK</v>
      </c>
      <c r="C9" s="93"/>
      <c r="D9" s="93"/>
      <c r="E9" s="92" t="s">
        <v>1621</v>
      </c>
      <c r="F9" s="99" t="n">
        <f aca="false">Flights!$AP$24</f>
        <v>0</v>
      </c>
      <c r="G9" s="99" t="n">
        <f aca="false">Flights!$AQ$24</f>
        <v>0</v>
      </c>
      <c r="H9" s="99" t="n">
        <f aca="false">Flights!$AU$24</f>
        <v>0</v>
      </c>
    </row>
    <row r="10" customFormat="false" ht="24" hidden="false" customHeight="true" outlineLevel="0" collapsed="false">
      <c r="A10" s="92" t="s">
        <v>1622</v>
      </c>
      <c r="B10" s="93" t="str">
        <f aca="false">IF(TRIM(Flights!$X$24)="","__________________",Flights!$X$24)</f>
        <v>__________________</v>
      </c>
      <c r="C10" s="93"/>
      <c r="D10" s="93"/>
      <c r="E10" s="92" t="s">
        <v>1623</v>
      </c>
      <c r="F10" s="99" t="n">
        <f aca="false">Flights!$AO$24</f>
        <v>20</v>
      </c>
      <c r="G10" s="99" t="n">
        <f aca="false">Flights!$AS$24</f>
        <v>0</v>
      </c>
      <c r="H10" s="99" t="n">
        <f aca="false">Flights!$AR$24</f>
        <v>2</v>
      </c>
    </row>
    <row r="11" customFormat="false" ht="21" hidden="false" customHeight="true" outlineLevel="0" collapsed="false">
      <c r="A11" s="92" t="s">
        <v>1624</v>
      </c>
      <c r="B11" s="93" t="str">
        <f aca="false">IF(TRIM(Flights!$Y$24)="","__________________",Flights!$Y$24)</f>
        <v>__________________</v>
      </c>
      <c r="C11" s="93"/>
      <c r="D11" s="93"/>
      <c r="E11" s="92" t="s">
        <v>1625</v>
      </c>
      <c r="F11" s="99" t="str">
        <f aca="false">Flights!$AV$24&amp;" / "&amp;Flights!$AW$24</f>
        <v>0 / 20</v>
      </c>
      <c r="G11" s="100" t="str">
        <f aca="false">IF(ISNUMBER(Settings!$B$6),TEXT(Settings!$B$6,"DD-MMM-YY HH:MM"),"")</f>
        <v>28-Sep-26 03:19</v>
      </c>
      <c r="H11" s="100"/>
    </row>
    <row r="12" customFormat="false" ht="34.5" hidden="false" customHeight="true" outlineLevel="0" collapsed="false">
      <c r="A12" s="101" t="s">
        <v>1626</v>
      </c>
      <c r="B12" s="101"/>
      <c r="C12" s="101"/>
      <c r="D12" s="101"/>
      <c r="E12" s="102" t="s">
        <v>1627</v>
      </c>
      <c r="F12" s="103" t="s">
        <v>1628</v>
      </c>
      <c r="G12" s="104" t="s">
        <v>89</v>
      </c>
      <c r="H12" s="105" t="s">
        <v>1629</v>
      </c>
    </row>
    <row r="13" customFormat="false" ht="13.5" hidden="false" customHeight="true" outlineLevel="0" collapsed="false">
      <c r="A13" s="94" t="s">
        <v>1630</v>
      </c>
      <c r="B13" s="94" t="s">
        <v>1631</v>
      </c>
      <c r="C13" s="94" t="s">
        <v>1632</v>
      </c>
      <c r="D13" s="94"/>
      <c r="E13" s="94" t="s">
        <v>1633</v>
      </c>
      <c r="F13" s="94" t="s">
        <v>1634</v>
      </c>
      <c r="G13" s="94"/>
      <c r="H13" s="94"/>
    </row>
    <row r="14" customFormat="false" ht="36" hidden="false" customHeight="true" outlineLevel="0" collapsed="false">
      <c r="A14" s="92" t="s">
        <v>1635</v>
      </c>
      <c r="B14" s="93" t="str">
        <f aca="false">IF(Documents!$F$24="","",Documents!$F$24)</f>
        <v/>
      </c>
      <c r="C14" s="98" t="str">
        <f aca="false">IF(Documents!$G$24="","",Documents!$G$24)&amp;IF(ISNUMBER(Documents!$H$24),"  "&amp;TEXT(Documents!$H$24,"DD-MMM-YY"),"")</f>
        <v/>
      </c>
      <c r="D14" s="98"/>
      <c r="E14" s="106" t="str">
        <f aca="false">IF(Documents!$J$24="OUTSTANDING","OUTSTANDING – attach before T-7D (due "&amp;IF(ISNUMBER(Flights!$AG$24),TEXT(Flights!$AG$24,"DD-MMM-YY HH:MM"),"")&amp;" "&amp;Flights!$V$24&amp;")",IF(Documents!$J$24="","Status not recorded",Documents!$J$24))</f>
        <v>OUTSTANDING – attach before T-7D (due 22-Oct-26 18:30 KUL)</v>
      </c>
      <c r="F14" s="107" t="str">
        <f aca="false">"Staple behind this sheet as page A1."&amp;IF(Documents!$I$24="",""," Location: "&amp;Documents!$I$24)</f>
        <v>Staple behind this sheet as page A1.</v>
      </c>
      <c r="G14" s="107"/>
      <c r="H14" s="107"/>
    </row>
    <row r="15" customFormat="false" ht="36" hidden="false" customHeight="true" outlineLevel="0" collapsed="false">
      <c r="A15" s="92" t="s">
        <v>1636</v>
      </c>
      <c r="B15" s="93" t="str">
        <f aca="false">IF(Documents!$K$24="","",Documents!$K$24)</f>
        <v/>
      </c>
      <c r="C15" s="98" t="str">
        <f aca="false">IF(Documents!$L$24="","",Documents!$L$24)&amp;IF(ISNUMBER(Documents!$M$24),"  "&amp;TEXT(Documents!$M$24,"DD-MMM-YY"),"")</f>
        <v/>
      </c>
      <c r="D15" s="98"/>
      <c r="E15" s="106" t="str">
        <f aca="false">IF(Documents!$O$24="OUTSTANDING","OUTSTANDING – attach before T-7D (due "&amp;IF(ISNUMBER(Flights!$AG$24),TEXT(Flights!$AG$24,"DD-MMM-YY HH:MM"),"")&amp;" "&amp;Flights!$V$24&amp;")",IF(Documents!$O$24="","Status not recorded",Documents!$O$24))</f>
        <v>OUTSTANDING – attach before T-7D (due 22-Oct-26 18:30 KUL)</v>
      </c>
      <c r="F15" s="107" t="str">
        <f aca="false">"Staple behind this sheet as page A2."&amp;IF(Documents!$N$24="",""," Location: "&amp;Documents!$N$24)</f>
        <v>Staple behind this sheet as page A2.</v>
      </c>
      <c r="G15" s="107"/>
      <c r="H15" s="107"/>
    </row>
    <row r="16" customFormat="false" ht="22.5" hidden="false" customHeight="true" outlineLevel="0" collapsed="false">
      <c r="A16" s="92" t="s">
        <v>1637</v>
      </c>
      <c r="B16" s="108" t="str">
        <f aca="false">IF(Documents!$Q$24="","",Documents!$Q$24)</f>
        <v>Not supplied with brief – obtain from caterer / MAGCS.</v>
      </c>
      <c r="C16" s="108"/>
      <c r="D16" s="108"/>
      <c r="E16" s="108"/>
      <c r="F16" s="108"/>
      <c r="G16" s="108"/>
      <c r="H16" s="108"/>
    </row>
    <row r="17" customFormat="false" ht="13.5" hidden="false" customHeight="true" outlineLevel="0" collapsed="false">
      <c r="A17" s="109" t="s">
        <v>1638</v>
      </c>
      <c r="B17" s="109"/>
      <c r="C17" s="109" t="s">
        <v>1639</v>
      </c>
      <c r="D17" s="109"/>
      <c r="E17" s="109"/>
      <c r="F17" s="109" t="s">
        <v>1640</v>
      </c>
      <c r="G17" s="109"/>
      <c r="H17" s="109"/>
    </row>
    <row r="18" customFormat="false" ht="18" hidden="false" customHeight="true" outlineLevel="0" collapsed="false">
      <c r="A18" s="93" t="str">
        <f aca="false">"Name: "&amp;IF(TRIM(Flights!$Y$24)="","__________________",Flights!$Y$24)</f>
        <v>Name: __________________</v>
      </c>
      <c r="B18" s="93"/>
      <c r="C18" s="93" t="str">
        <f aca="false">"Name: __________________"</f>
        <v>Name: __________________</v>
      </c>
      <c r="D18" s="93"/>
      <c r="E18" s="93"/>
      <c r="F18" s="93" t="str">
        <f aca="false">"Name: __________________"&amp;"   Station: "&amp;Flights!$V$24</f>
        <v>Name: __________________   Station: KUL</v>
      </c>
      <c r="G18" s="93"/>
      <c r="H18" s="93"/>
    </row>
    <row r="19" customFormat="false" ht="30" hidden="false" customHeight="true" outlineLevel="0" collapsed="false">
      <c r="A19" s="110" t="s">
        <v>1641</v>
      </c>
      <c r="B19" s="110"/>
      <c r="C19" s="110" t="s">
        <v>1641</v>
      </c>
      <c r="D19" s="110"/>
      <c r="E19" s="110"/>
      <c r="F19" s="110" t="s">
        <v>1641</v>
      </c>
      <c r="G19" s="110"/>
      <c r="H19" s="110"/>
    </row>
    <row r="20" customFormat="false" ht="13.5" hidden="false" customHeight="true" outlineLevel="0" collapsed="false">
      <c r="A20" s="111" t="s">
        <v>1642</v>
      </c>
      <c r="B20" s="111"/>
      <c r="C20" s="111"/>
      <c r="D20" s="111"/>
      <c r="E20" s="111"/>
      <c r="F20" s="111"/>
      <c r="G20" s="111"/>
      <c r="H20" s="111"/>
    </row>
    <row r="21" customFormat="false" ht="24" hidden="false" customHeight="true" outlineLevel="0" collapsed="false">
      <c r="A21" s="94" t="s">
        <v>1643</v>
      </c>
      <c r="B21" s="94" t="s">
        <v>1644</v>
      </c>
      <c r="C21" s="94" t="s">
        <v>1645</v>
      </c>
      <c r="D21" s="94" t="s">
        <v>1646</v>
      </c>
      <c r="E21" s="94" t="s">
        <v>1647</v>
      </c>
      <c r="F21" s="94" t="s">
        <v>1648</v>
      </c>
      <c r="G21" s="94" t="s">
        <v>1649</v>
      </c>
      <c r="H21" s="94" t="s">
        <v>121</v>
      </c>
    </row>
    <row r="22" customFormat="false" ht="25.5" hidden="false" customHeight="true" outlineLevel="0" collapsed="false">
      <c r="A22" s="112"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Checks!$A$644&amp;CHAR(10)&amp;IF(Checks!$I$644="","",Checks!$I$644&amp;": ")&amp;Checks!$J$644</f>
        <v>F20-T7-01
Meal: Meal sensory testing completed for this flight's menu cycle (assessed class)</v>
      </c>
      <c r="B23" s="113" t="str">
        <f aca="false">Checks!$K$644&amp;IF(Checks!$O$644="","",IF(Checks!$K$644="","",CHAR(10))&amp;"Note: "&amp;Checks!$O$644)</f>
        <v>Record panel result / score in Result
Note: Refreshment service: sensory test covers the refreshment items.</v>
      </c>
      <c r="C23" s="113" t="str">
        <f aca="false">Checks!$N$644&amp;CHAR(10)&amp;IF(ISNUMBER(Checks!$R$644),TEXT(Checks!$R$644,"DD-MMM-YY HH:MM"),"")&amp;" "&amp;Checks!$P$644</f>
        <v>Required
22-Oct-26 18:30 KUL</v>
      </c>
      <c r="D23" s="113" t="str">
        <f aca="false">IF(Checks!$U$644="","",Checks!$U$644)&amp;IF(Checks!$AB$644="","",CHAR(10)&amp;"CA: "&amp;Checks!$AB$644)</f>
        <v/>
      </c>
      <c r="E23" s="113" t="str">
        <f aca="false">IF(Checks!$V$644="","",Checks!$V$644)&amp;IF(Checks!$AC$644="","",IF(Checks!$V$644="","",CHAR(10))&amp;"N/A just.: "&amp;Checks!$AC$644)&amp;IF(Checks!$W$644="","",CHAR(10)&amp;"Batch: "&amp;Checks!$W$644)&amp;IF(AND(Checks!$X$644="",Checks!$Y$644=""),"",CHAR(10)&amp;"Exp: "&amp;Checks!$X$644&amp;"  /  Act: "&amp;Checks!$Y$644)</f>
        <v/>
      </c>
      <c r="F23" s="113" t="str">
        <f aca="false">IF(Checks!$Z$644="","","Evidence: "&amp;Checks!$Z$644)&amp;IF(Checks!$AA$644="","",IF(Checks!$Z$644="","",CHAR(10))&amp;"CA: "&amp;Checks!$AA$644)</f>
        <v/>
      </c>
      <c r="G23" s="113" t="str">
        <f aca="false">IF(ISNUMBER(Checks!$AD$644),TEXT(Checks!$AD$644,"DD-MMM-YY HH:MM")&amp;" "&amp;Checks!$P$644,"")&amp;IF(Checks!$AE$644="","",CHAR(10)&amp;"Verifier: "&amp;Checks!$AE$644)&amp;IF(Checks!$T$644="","",CHAR(10)&amp;"PIC: "&amp;Checks!$T$644)</f>
        <v/>
      </c>
      <c r="H23" s="114" t="str">
        <f aca="false">IF(Checks!$AH$644="","",Checks!$AH$644)</f>
        <v>OPEN</v>
      </c>
    </row>
    <row r="24" customFormat="false" ht="114" hidden="false" customHeight="true" outlineLevel="0" collapsed="false">
      <c r="A24" s="113" t="str">
        <f aca="false">Checks!$A$645&amp;CHAR(10)&amp;IF(Checks!$I$645="","",Checks!$I$645&amp;": ")&amp;Checks!$J$645</f>
        <v>F20-T7-02
Menu: Printed menu cards confirmed (content, cycle, language, quantity)</v>
      </c>
      <c r="B24" s="113" t="str">
        <f aca="false">Checks!$K$645&amp;IF(Checks!$O$645="","",IF(Checks!$K$645="","",CHAR(10))&amp;"Note: "&amp;Checks!$O$645)</f>
        <v>Menu card matches approved menu for this flight
Note: Refreshment service (peanut &amp; water). If no printed menu card is used, mark N/A with the confirmation as justification.</v>
      </c>
      <c r="C24" s="113" t="str">
        <f aca="false">Checks!$N$645&amp;CHAR(10)&amp;IF(ISNUMBER(Checks!$R$645),TEXT(Checks!$R$645,"DD-MMM-YY HH:MM"),"")&amp;" "&amp;Checks!$P$645</f>
        <v>Required
22-Oct-26 18:30 KUL</v>
      </c>
      <c r="D24" s="113" t="str">
        <f aca="false">IF(Checks!$U$645="","",Checks!$U$645)&amp;IF(Checks!$AB$645="","",CHAR(10)&amp;"CA: "&amp;Checks!$AB$645)</f>
        <v/>
      </c>
      <c r="E24" s="113" t="str">
        <f aca="false">IF(Checks!$V$645="","",Checks!$V$645)&amp;IF(Checks!$AC$645="","",IF(Checks!$V$645="","",CHAR(10))&amp;"N/A just.: "&amp;Checks!$AC$645)&amp;IF(Checks!$W$645="","",CHAR(10)&amp;"Batch: "&amp;Checks!$W$645)&amp;IF(AND(Checks!$X$645="",Checks!$Y$645=""),"",CHAR(10)&amp;"Exp: "&amp;Checks!$X$645&amp;"  /  Act: "&amp;Checks!$Y$645)</f>
        <v/>
      </c>
      <c r="F24" s="113" t="str">
        <f aca="false">IF(Checks!$Z$645="","","Evidence: "&amp;Checks!$Z$645)&amp;IF(Checks!$AA$645="","",IF(Checks!$Z$645="","",CHAR(10))&amp;"CA: "&amp;Checks!$AA$645)</f>
        <v/>
      </c>
      <c r="G24" s="113" t="str">
        <f aca="false">IF(ISNUMBER(Checks!$AD$645),TEXT(Checks!$AD$645,"DD-MMM-YY HH:MM")&amp;" "&amp;Checks!$P$645,"")&amp;IF(Checks!$AE$645="","",CHAR(10)&amp;"Verifier: "&amp;Checks!$AE$645)&amp;IF(Checks!$T$645="","",CHAR(10)&amp;"PIC: "&amp;Checks!$T$645)</f>
        <v/>
      </c>
      <c r="H24" s="114" t="str">
        <f aca="false">IF(Checks!$AH$645="","",Checks!$AH$645)</f>
        <v>OPEN</v>
      </c>
    </row>
    <row r="25" customFormat="false" ht="114" hidden="false" customHeight="true" outlineLevel="0" collapsed="false">
      <c r="A25" s="113" t="str">
        <f aca="false">Checks!$A$646&amp;CHAR(10)&amp;IF(Checks!$I$646="","",Checks!$I$646&amp;": ")&amp;Checks!$J$646</f>
        <v>F20-T7-03
IFE: Digital menu in IFE confirmed (A339 only)</v>
      </c>
      <c r="B25" s="113" t="str">
        <f aca="false">Checks!$K$646&amp;IF(Checks!$O$646="","",IF(Checks!$K$646="","",CHAR(10))&amp;"Note: "&amp;Checks!$O$646)</f>
        <v>Applies when fleet = A339
Note: Digital IFE menu applies to A339 only (user brief). Applicability follows the Fleet cell on Flights.</v>
      </c>
      <c r="C25" s="113" t="str">
        <f aca="false">Checks!$N$646&amp;CHAR(10)&amp;IF(ISNUMBER(Checks!$R$646),TEXT(Checks!$R$646,"DD-MMM-YY HH:MM"),"")&amp;" "&amp;Checks!$P$646</f>
        <v>N/A – rule
22-Oct-26 18:30 KUL</v>
      </c>
      <c r="D25" s="113" t="str">
        <f aca="false">IF(Checks!$U$646="","",Checks!$U$646)&amp;IF(Checks!$AB$646="","",CHAR(10)&amp;"CA: "&amp;Checks!$AB$646)</f>
        <v/>
      </c>
      <c r="E25" s="113" t="str">
        <f aca="false">IF(Checks!$V$646="","",Checks!$V$646)&amp;IF(Checks!$AC$646="","",IF(Checks!$V$646="","",CHAR(10))&amp;"N/A just.: "&amp;Checks!$AC$646)&amp;IF(Checks!$W$646="","",CHAR(10)&amp;"Batch: "&amp;Checks!$W$646)&amp;IF(AND(Checks!$X$646="",Checks!$Y$646=""),"",CHAR(10)&amp;"Exp: "&amp;Checks!$X$646&amp;"  /  Act: "&amp;Checks!$Y$646)</f>
        <v/>
      </c>
      <c r="F25" s="113" t="str">
        <f aca="false">IF(Checks!$Z$646="","","Evidence: "&amp;Checks!$Z$646)&amp;IF(Checks!$AA$646="","",IF(Checks!$Z$646="","",CHAR(10))&amp;"CA: "&amp;Checks!$AA$646)</f>
        <v/>
      </c>
      <c r="G25" s="113" t="str">
        <f aca="false">IF(ISNUMBER(Checks!$AD$646),TEXT(Checks!$AD$646,"DD-MMM-YY HH:MM")&amp;" "&amp;Checks!$P$646,"")&amp;IF(Checks!$AE$646="","",CHAR(10)&amp;"Verifier: "&amp;Checks!$AE$646)&amp;IF(Checks!$T$646="","",CHAR(10)&amp;"PIC: "&amp;Checks!$T$646)</f>
        <v/>
      </c>
      <c r="H25" s="114" t="str">
        <f aca="false">IF(Checks!$AH$646="","",Checks!$AH$646)</f>
        <v>N/A – RULE</v>
      </c>
    </row>
    <row r="26" customFormat="false" ht="114" hidden="false" customHeight="true" outlineLevel="0" collapsed="false">
      <c r="A26" s="113" t="str">
        <f aca="false">Checks!$A$647&amp;CHAR(10)&amp;IF(Checks!$I$647="","",Checks!$I$647&amp;": ")&amp;Checks!$J$647</f>
        <v>F20-T7-04
Staffing: Experienced catering officer assigned to this flight</v>
      </c>
      <c r="B26" s="113" t="str">
        <f aca="false">Checks!$K$647&amp;IF(Checks!$O$647="","",IF(Checks!$K$647="","",CHAR(10))&amp;"Note: "&amp;Checks!$O$647)</f>
        <v>Record officer name in Result</v>
      </c>
      <c r="C26" s="113" t="str">
        <f aca="false">Checks!$N$647&amp;CHAR(10)&amp;IF(ISNUMBER(Checks!$R$647),TEXT(Checks!$R$647,"DD-MMM-YY HH:MM"),"")&amp;" "&amp;Checks!$P$647</f>
        <v>Required
22-Oct-26 18:30 KUL</v>
      </c>
      <c r="D26" s="113" t="str">
        <f aca="false">IF(Checks!$U$647="","",Checks!$U$647)&amp;IF(Checks!$AB$647="","",CHAR(10)&amp;"CA: "&amp;Checks!$AB$647)</f>
        <v/>
      </c>
      <c r="E26" s="113" t="str">
        <f aca="false">IF(Checks!$V$647="","",Checks!$V$647)&amp;IF(Checks!$AC$647="","",IF(Checks!$V$647="","",CHAR(10))&amp;"N/A just.: "&amp;Checks!$AC$647)&amp;IF(Checks!$W$647="","",CHAR(10)&amp;"Batch: "&amp;Checks!$W$647)&amp;IF(AND(Checks!$X$647="",Checks!$Y$647=""),"",CHAR(10)&amp;"Exp: "&amp;Checks!$X$647&amp;"  /  Act: "&amp;Checks!$Y$647)</f>
        <v/>
      </c>
      <c r="F26" s="113" t="str">
        <f aca="false">IF(Checks!$Z$647="","","Evidence: "&amp;Checks!$Z$647)&amp;IF(Checks!$AA$647="","",IF(Checks!$Z$647="","",CHAR(10))&amp;"CA: "&amp;Checks!$AA$647)</f>
        <v/>
      </c>
      <c r="G26" s="113" t="str">
        <f aca="false">IF(ISNUMBER(Checks!$AD$647),TEXT(Checks!$AD$647,"DD-MMM-YY HH:MM")&amp;" "&amp;Checks!$P$647,"")&amp;IF(Checks!$AE$647="","",CHAR(10)&amp;"Verifier: "&amp;Checks!$AE$647)&amp;IF(Checks!$T$647="","",CHAR(10)&amp;"PIC: "&amp;Checks!$T$647)</f>
        <v/>
      </c>
      <c r="H26" s="114" t="str">
        <f aca="false">IF(Checks!$AH$647="","",Checks!$AH$647)</f>
        <v>OPEN</v>
      </c>
    </row>
    <row r="27" customFormat="false" ht="114" hidden="false" customHeight="true" outlineLevel="0" collapsed="false">
      <c r="A27" s="113" t="str">
        <f aca="false">Checks!$A$648&amp;CHAR(10)&amp;IF(Checks!$I$648="","",Checks!$I$648&amp;": ")&amp;Checks!$J$648</f>
        <v>F20-T7-05
ISOP: All latest applicable ISOP revisions communicated to caterer</v>
      </c>
      <c r="B27" s="113" t="str">
        <f aca="false">Checks!$K$648&amp;IF(Checks!$O$648="","",IF(Checks!$K$648="","",CHAR(10))&amp;"Note: "&amp;Checks!$O$648)</f>
        <v>List revision numbers in Result (see ISOP register)</v>
      </c>
      <c r="C27" s="113" t="str">
        <f aca="false">Checks!$N$648&amp;CHAR(10)&amp;IF(ISNUMBER(Checks!$R$648),TEXT(Checks!$R$648,"DD-MMM-YY HH:MM"),"")&amp;" "&amp;Checks!$P$648</f>
        <v>Required
22-Oct-26 18:30 KUL</v>
      </c>
      <c r="D27" s="113" t="str">
        <f aca="false">IF(Checks!$U$648="","",Checks!$U$648)&amp;IF(Checks!$AB$648="","",CHAR(10)&amp;"CA: "&amp;Checks!$AB$648)</f>
        <v/>
      </c>
      <c r="E27" s="113" t="str">
        <f aca="false">IF(Checks!$V$648="","",Checks!$V$648)&amp;IF(Checks!$AC$648="","",IF(Checks!$V$648="","",CHAR(10))&amp;"N/A just.: "&amp;Checks!$AC$648)&amp;IF(Checks!$W$648="","",CHAR(10)&amp;"Batch: "&amp;Checks!$W$648)&amp;IF(AND(Checks!$X$648="",Checks!$Y$648=""),"",CHAR(10)&amp;"Exp: "&amp;Checks!$X$648&amp;"  /  Act: "&amp;Checks!$Y$648)</f>
        <v/>
      </c>
      <c r="F27" s="113" t="str">
        <f aca="false">IF(Checks!$Z$648="","","Evidence: "&amp;Checks!$Z$648)&amp;IF(Checks!$AA$648="","",IF(Checks!$Z$648="","",CHAR(10))&amp;"CA: "&amp;Checks!$AA$648)</f>
        <v/>
      </c>
      <c r="G27" s="113" t="str">
        <f aca="false">IF(ISNUMBER(Checks!$AD$648),TEXT(Checks!$AD$648,"DD-MMM-YY HH:MM")&amp;" "&amp;Checks!$P$648,"")&amp;IF(Checks!$AE$648="","",CHAR(10)&amp;"Verifier: "&amp;Checks!$AE$648)&amp;IF(Checks!$T$648="","",CHAR(10)&amp;"PIC: "&amp;Checks!$T$648)</f>
        <v/>
      </c>
      <c r="H27" s="114" t="str">
        <f aca="false">IF(Checks!$AH$648="","",Checks!$AH$648)</f>
        <v>OPEN</v>
      </c>
    </row>
    <row r="28" customFormat="false" ht="114" hidden="false" customHeight="true" outlineLevel="0" collapsed="false">
      <c r="A28" s="113" t="str">
        <f aca="false">Checks!$A$649&amp;CHAR(10)&amp;IF(Checks!$I$649="","",Checks!$I$649&amp;": ")&amp;Checks!$J$649</f>
        <v>F20-T7-06
ISOP: Caterer acknowledgement of ISOP revisions recorded</v>
      </c>
      <c r="B28" s="113" t="str">
        <f aca="false">Checks!$K$649&amp;IF(Checks!$O$649="","",IF(Checks!$K$649="","",CHAR(10))&amp;"Note: "&amp;Checks!$O$649)</f>
        <v>Record acknowledgement ref in Evidence</v>
      </c>
      <c r="C28" s="113" t="str">
        <f aca="false">Checks!$N$649&amp;CHAR(10)&amp;IF(ISNUMBER(Checks!$R$649),TEXT(Checks!$R$649,"DD-MMM-YY HH:MM"),"")&amp;" "&amp;Checks!$P$649</f>
        <v>Required
22-Oct-26 18:30 KUL</v>
      </c>
      <c r="D28" s="113" t="str">
        <f aca="false">IF(Checks!$U$649="","",Checks!$U$649)&amp;IF(Checks!$AB$649="","",CHAR(10)&amp;"CA: "&amp;Checks!$AB$649)</f>
        <v/>
      </c>
      <c r="E28" s="113" t="str">
        <f aca="false">IF(Checks!$V$649="","",Checks!$V$649)&amp;IF(Checks!$AC$649="","",IF(Checks!$V$649="","",CHAR(10))&amp;"N/A just.: "&amp;Checks!$AC$649)&amp;IF(Checks!$W$649="","",CHAR(10)&amp;"Batch: "&amp;Checks!$W$649)&amp;IF(AND(Checks!$X$649="",Checks!$Y$649=""),"",CHAR(10)&amp;"Exp: "&amp;Checks!$X$649&amp;"  /  Act: "&amp;Checks!$Y$649)</f>
        <v/>
      </c>
      <c r="F28" s="113" t="str">
        <f aca="false">IF(Checks!$Z$649="","","Evidence: "&amp;Checks!$Z$649)&amp;IF(Checks!$AA$649="","",IF(Checks!$Z$649="","",CHAR(10))&amp;"CA: "&amp;Checks!$AA$649)</f>
        <v/>
      </c>
      <c r="G28" s="113" t="str">
        <f aca="false">IF(ISNUMBER(Checks!$AD$649),TEXT(Checks!$AD$649,"DD-MMM-YY HH:MM")&amp;" "&amp;Checks!$P$649,"")&amp;IF(Checks!$AE$649="","",CHAR(10)&amp;"Verifier: "&amp;Checks!$AE$649)&amp;IF(Checks!$T$649="","",CHAR(10)&amp;"PIC: "&amp;Checks!$T$649)</f>
        <v/>
      </c>
      <c r="H28" s="114" t="str">
        <f aca="false">IF(Checks!$AH$649="","",Checks!$AH$649)</f>
        <v>OPEN</v>
      </c>
    </row>
    <row r="29" customFormat="false" ht="114" hidden="false" customHeight="true" outlineLevel="0" collapsed="false">
      <c r="A29" s="113" t="str">
        <f aca="false">Checks!$A$650&amp;CHAR(10)&amp;IF(Checks!$I$650="","",Checks!$I$650&amp;": ")&amp;Checks!$J$650</f>
        <v>F20-T7-07
Documents: Galley loading diagram (GLD) received, revision recorded &amp; attached</v>
      </c>
      <c r="B29" s="113" t="str">
        <f aca="false">Checks!$K$650&amp;IF(Checks!$O$650="","",IF(Checks!$K$650="","",CHAR(10))&amp;"Note: "&amp;Checks!$O$650)</f>
        <v>Documents sheet row complete</v>
      </c>
      <c r="C29" s="113" t="str">
        <f aca="false">Checks!$N$650&amp;CHAR(10)&amp;IF(ISNUMBER(Checks!$R$650),TEXT(Checks!$R$650,"DD-MMM-YY HH:MM"),"")&amp;" "&amp;Checks!$P$650</f>
        <v>Required
22-Oct-26 18:30 KUL</v>
      </c>
      <c r="D29" s="113" t="str">
        <f aca="false">IF(Checks!$U$650="","",Checks!$U$650)&amp;IF(Checks!$AB$650="","",CHAR(10)&amp;"CA: "&amp;Checks!$AB$650)</f>
        <v/>
      </c>
      <c r="E29" s="113" t="str">
        <f aca="false">IF(Checks!$V$650="","",Checks!$V$650)&amp;IF(Checks!$AC$650="","",IF(Checks!$V$650="","",CHAR(10))&amp;"N/A just.: "&amp;Checks!$AC$650)&amp;IF(Checks!$W$650="","",CHAR(10)&amp;"Batch: "&amp;Checks!$W$650)&amp;IF(AND(Checks!$X$650="",Checks!$Y$650=""),"",CHAR(10)&amp;"Exp: "&amp;Checks!$X$650&amp;"  /  Act: "&amp;Checks!$Y$650)</f>
        <v/>
      </c>
      <c r="F29" s="113" t="str">
        <f aca="false">IF(Checks!$Z$650="","","Evidence: "&amp;Checks!$Z$650)&amp;IF(Checks!$AA$650="","",IF(Checks!$Z$650="","",CHAR(10))&amp;"CA: "&amp;Checks!$AA$650)</f>
        <v/>
      </c>
      <c r="G29" s="113" t="str">
        <f aca="false">IF(ISNUMBER(Checks!$AD$650),TEXT(Checks!$AD$650,"DD-MMM-YY HH:MM")&amp;" "&amp;Checks!$P$650,"")&amp;IF(Checks!$AE$650="","",CHAR(10)&amp;"Verifier: "&amp;Checks!$AE$650)&amp;IF(Checks!$T$650="","",CHAR(10)&amp;"PIC: "&amp;Checks!$T$650)</f>
        <v/>
      </c>
      <c r="H29" s="114" t="str">
        <f aca="false">IF(Checks!$AH$650="","",Checks!$AH$650)</f>
        <v>OPEN</v>
      </c>
    </row>
    <row r="30" customFormat="false" ht="114" hidden="false" customHeight="true" outlineLevel="0" collapsed="false">
      <c r="A30" s="113" t="str">
        <f aca="false">Checks!$A$651&amp;CHAR(10)&amp;IF(Checks!$I$651="","",Checks!$I$651&amp;": ")&amp;Checks!$J$651</f>
        <v>F20-T7-08
Documents: Menu checklist received, revision recorded &amp; attached</v>
      </c>
      <c r="B30" s="113" t="str">
        <f aca="false">Checks!$K$651&amp;IF(Checks!$O$651="","",IF(Checks!$K$651="","",CHAR(10))&amp;"Note: "&amp;Checks!$O$651)</f>
        <v>Documents sheet row complete</v>
      </c>
      <c r="C30" s="113" t="str">
        <f aca="false">Checks!$N$651&amp;CHAR(10)&amp;IF(ISNUMBER(Checks!$R$651),TEXT(Checks!$R$651,"DD-MMM-YY HH:MM"),"")&amp;" "&amp;Checks!$P$651</f>
        <v>Required
22-Oct-26 18:30 KUL</v>
      </c>
      <c r="D30" s="113" t="str">
        <f aca="false">IF(Checks!$U$651="","",Checks!$U$651)&amp;IF(Checks!$AB$651="","",CHAR(10)&amp;"CA: "&amp;Checks!$AB$651)</f>
        <v/>
      </c>
      <c r="E30" s="113" t="str">
        <f aca="false">IF(Checks!$V$651="","",Checks!$V$651)&amp;IF(Checks!$AC$651="","",IF(Checks!$V$651="","",CHAR(10))&amp;"N/A just.: "&amp;Checks!$AC$651)&amp;IF(Checks!$W$651="","",CHAR(10)&amp;"Batch: "&amp;Checks!$W$651)&amp;IF(AND(Checks!$X$651="",Checks!$Y$651=""),"",CHAR(10)&amp;"Exp: "&amp;Checks!$X$651&amp;"  /  Act: "&amp;Checks!$Y$651)</f>
        <v/>
      </c>
      <c r="F30" s="113" t="str">
        <f aca="false">IF(Checks!$Z$651="","","Evidence: "&amp;Checks!$Z$651)&amp;IF(Checks!$AA$651="","",IF(Checks!$Z$651="","",CHAR(10))&amp;"CA: "&amp;Checks!$AA$651)</f>
        <v/>
      </c>
      <c r="G30" s="113" t="str">
        <f aca="false">IF(ISNUMBER(Checks!$AD$651),TEXT(Checks!$AD$651,"DD-MMM-YY HH:MM")&amp;" "&amp;Checks!$P$651,"")&amp;IF(Checks!$AE$651="","",CHAR(10)&amp;"Verifier: "&amp;Checks!$AE$651)&amp;IF(Checks!$T$651="","",CHAR(10)&amp;"PIC: "&amp;Checks!$T$651)</f>
        <v/>
      </c>
      <c r="H30" s="114" t="str">
        <f aca="false">IF(Checks!$AH$651="","",Checks!$AH$651)</f>
        <v>OPEN</v>
      </c>
    </row>
    <row r="31" customFormat="false" ht="114" hidden="false" customHeight="true" outlineLevel="0" collapsed="false">
      <c r="A31" s="113" t="str">
        <f aca="false">Checks!$A$652&amp;CHAR(10)&amp;IF(Checks!$I$652="","",Checks!$I$652&amp;": ")&amp;Checks!$J$652</f>
        <v>F20-T7-09
Uplift plan: Uplift plan confirmed with caterer vs STD Uplift Information</v>
      </c>
      <c r="B31" s="113" t="str">
        <f aca="false">Checks!$K$652&amp;IF(Checks!$O$652="","",IF(Checks!$K$652="","",CHAR(10))&amp;"Note: "&amp;Checks!$O$652)</f>
        <v>Service: Refreshment (Peanut &amp; Water); meal uplift stn KUL (ref lists KUL)</v>
      </c>
      <c r="C31" s="113" t="str">
        <f aca="false">Checks!$N$652&amp;CHAR(10)&amp;IF(ISNUMBER(Checks!$R$652),TEXT(Checks!$R$652,"DD-MMM-YY HH:MM"),"")&amp;" "&amp;Checks!$P$652</f>
        <v>Required
22-Oct-26 18:30 KUL</v>
      </c>
      <c r="D31" s="113" t="str">
        <f aca="false">IF(Checks!$U$652="","",Checks!$U$652)&amp;IF(Checks!$AB$652="","",CHAR(10)&amp;"CA: "&amp;Checks!$AB$652)</f>
        <v/>
      </c>
      <c r="E31" s="113" t="str">
        <f aca="false">IF(Checks!$V$652="","",Checks!$V$652)&amp;IF(Checks!$AC$652="","",IF(Checks!$V$652="","",CHAR(10))&amp;"N/A just.: "&amp;Checks!$AC$652)&amp;IF(Checks!$W$652="","",CHAR(10)&amp;"Batch: "&amp;Checks!$W$652)&amp;IF(AND(Checks!$X$652="",Checks!$Y$652=""),"",CHAR(10)&amp;"Exp: "&amp;Checks!$X$652&amp;"  /  Act: "&amp;Checks!$Y$652)</f>
        <v/>
      </c>
      <c r="F31" s="113" t="str">
        <f aca="false">IF(Checks!$Z$652="","","Evidence: "&amp;Checks!$Z$652)&amp;IF(Checks!$AA$652="","",IF(Checks!$Z$652="","",CHAR(10))&amp;"CA: "&amp;Checks!$AA$652)</f>
        <v/>
      </c>
      <c r="G31" s="113" t="str">
        <f aca="false">IF(ISNUMBER(Checks!$AD$652),TEXT(Checks!$AD$652,"DD-MMM-YY HH:MM")&amp;" "&amp;Checks!$P$652,"")&amp;IF(Checks!$AE$652="","",CHAR(10)&amp;"Verifier: "&amp;Checks!$AE$652)&amp;IF(Checks!$T$652="","",CHAR(10)&amp;"PIC: "&amp;Checks!$T$652)</f>
        <v/>
      </c>
      <c r="H31" s="114" t="str">
        <f aca="false">IF(Checks!$AH$652="","",Checks!$AH$652)</f>
        <v>OPEN</v>
      </c>
    </row>
    <row r="32" customFormat="false" ht="25.5" hidden="false" customHeight="true" outlineLevel="0" collapsed="false">
      <c r="A32" s="112"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Checks!$A$653&amp;CHAR(10)&amp;IF(Checks!$I$653="","",Checks!$I$653&amp;": ")&amp;Checks!$J$653</f>
        <v>F20-T24-01
Meal: Sensory test repeated on ACTUAL production batch for this flight</v>
      </c>
      <c r="B33" s="113" t="str">
        <f aca="false">Checks!$K$653&amp;IF(Checks!$O$653="","",IF(Checks!$K$653="","",CHAR(10))&amp;"Note: "&amp;Checks!$O$653)</f>
        <v>Batch ID, result, CA and acceptance mandatory</v>
      </c>
      <c r="C33" s="113" t="str">
        <f aca="false">Checks!$N$653&amp;CHAR(10)&amp;IF(ISNUMBER(Checks!$R$653),TEXT(Checks!$R$653,"DD-MMM-YY HH:MM"),"")&amp;" "&amp;Checks!$P$653</f>
        <v>Required
28-Oct-26 18:30 KUL</v>
      </c>
      <c r="D33" s="113" t="str">
        <f aca="false">IF(Checks!$U$653="","",Checks!$U$653)&amp;IF(Checks!$AB$653="","",CHAR(10)&amp;"CA: "&amp;Checks!$AB$653)</f>
        <v/>
      </c>
      <c r="E33" s="113" t="str">
        <f aca="false">IF(Checks!$V$653="","",Checks!$V$653)&amp;IF(Checks!$AC$653="","",IF(Checks!$V$653="","",CHAR(10))&amp;"N/A just.: "&amp;Checks!$AC$653)&amp;IF(Checks!$W$653="","",CHAR(10)&amp;"Batch: "&amp;Checks!$W$653)&amp;IF(AND(Checks!$X$653="",Checks!$Y$653=""),"",CHAR(10)&amp;"Exp: "&amp;Checks!$X$653&amp;"  /  Act: "&amp;Checks!$Y$653)</f>
        <v/>
      </c>
      <c r="F33" s="113" t="str">
        <f aca="false">IF(Checks!$Z$653="","","Evidence: "&amp;Checks!$Z$653)&amp;IF(Checks!$AA$653="","",IF(Checks!$Z$653="","",CHAR(10))&amp;"CA: "&amp;Checks!$AA$653)</f>
        <v/>
      </c>
      <c r="G33" s="113" t="str">
        <f aca="false">IF(ISNUMBER(Checks!$AD$653),TEXT(Checks!$AD$653,"DD-MMM-YY HH:MM")&amp;" "&amp;Checks!$P$653,"")&amp;IF(Checks!$AE$653="","",CHAR(10)&amp;"Verifier: "&amp;Checks!$AE$653)&amp;IF(Checks!$T$653="","",CHAR(10)&amp;"PIC: "&amp;Checks!$T$653)</f>
        <v/>
      </c>
      <c r="H33" s="114" t="str">
        <f aca="false">IF(Checks!$AH$653="","",Checks!$AH$653)</f>
        <v>OPEN</v>
      </c>
    </row>
    <row r="34" customFormat="false" ht="25.5" hidden="false" customHeight="true" outlineLevel="0" collapsed="false">
      <c r="A34" s="112"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2"/>
      <c r="C34" s="112"/>
      <c r="D34" s="112"/>
      <c r="E34" s="112"/>
      <c r="F34" s="112"/>
      <c r="G34" s="112"/>
      <c r="H34" s="112"/>
    </row>
    <row r="35" customFormat="false" ht="114" hidden="false" customHeight="true" outlineLevel="0" collapsed="false">
      <c r="A35" s="113" t="str">
        <f aca="false">Checks!$A$654&amp;CHAR(10)&amp;IF(Checks!$I$654="","",Checks!$I$654&amp;": ")&amp;Checks!$J$654</f>
        <v>F20-T12-01
Meal: Meal quality vs menu checklist</v>
      </c>
      <c r="B35" s="113" t="str">
        <f aca="false">Checks!$K$654&amp;IF(Checks!$O$654="","",IF(Checks!$K$654="","",CHAR(10))&amp;"Note: "&amp;Checks!$O$654)</f>
        <v>Note: Preparation check at caterer - does NOT confirm loading.</v>
      </c>
      <c r="C35" s="113" t="str">
        <f aca="false">Checks!$N$654&amp;CHAR(10)&amp;IF(ISNUMBER(Checks!$R$654),TEXT(Checks!$R$654,"DD-MMM-YY HH:MM"),"")&amp;" "&amp;Checks!$P$654</f>
        <v>Required
29-Oct-26 06:30 KUL</v>
      </c>
      <c r="D35" s="113" t="str">
        <f aca="false">IF(Checks!$U$654="","",Checks!$U$654)&amp;IF(Checks!$AB$654="","",CHAR(10)&amp;"CA: "&amp;Checks!$AB$654)</f>
        <v/>
      </c>
      <c r="E35" s="113" t="str">
        <f aca="false">IF(Checks!$V$654="","",Checks!$V$654)&amp;IF(Checks!$AC$654="","",IF(Checks!$V$654="","",CHAR(10))&amp;"N/A just.: "&amp;Checks!$AC$654)&amp;IF(Checks!$W$654="","",CHAR(10)&amp;"Batch: "&amp;Checks!$W$654)&amp;IF(AND(Checks!$X$654="",Checks!$Y$654=""),"",CHAR(10)&amp;"Exp: "&amp;Checks!$X$654&amp;"  /  Act: "&amp;Checks!$Y$654)</f>
        <v/>
      </c>
      <c r="F35" s="113" t="str">
        <f aca="false">IF(Checks!$Z$654="","","Evidence: "&amp;Checks!$Z$654)&amp;IF(Checks!$AA$654="","",IF(Checks!$Z$654="","",CHAR(10))&amp;"CA: "&amp;Checks!$AA$654)</f>
        <v/>
      </c>
      <c r="G35" s="113" t="str">
        <f aca="false">IF(ISNUMBER(Checks!$AD$654),TEXT(Checks!$AD$654,"DD-MMM-YY HH:MM")&amp;" "&amp;Checks!$P$654,"")&amp;IF(Checks!$AE$654="","",CHAR(10)&amp;"Verifier: "&amp;Checks!$AE$654)&amp;IF(Checks!$T$654="","",CHAR(10)&amp;"PIC: "&amp;Checks!$T$654)</f>
        <v/>
      </c>
      <c r="H35" s="114" t="str">
        <f aca="false">IF(Checks!$AH$654="","",Checks!$AH$654)</f>
        <v>OPEN</v>
      </c>
    </row>
    <row r="36" customFormat="false" ht="114" hidden="false" customHeight="true" outlineLevel="0" collapsed="false">
      <c r="A36" s="113" t="str">
        <f aca="false">Checks!$A$655&amp;CHAR(10)&amp;IF(Checks!$I$655="","",Checks!$I$655&amp;": ")&amp;Checks!$J$655</f>
        <v>F20-T12-02
Meal: Meal quantities vs menu checklist</v>
      </c>
      <c r="B36" s="113" t="str">
        <f aca="false">Checks!$K$655&amp;IF(Checks!$O$655="","",IF(Checks!$K$655="","",CHAR(10))&amp;"Note: "&amp;Checks!$O$655)</f>
        <v>Enter expected &amp; actual
Note: Preparation check at caterer - does NOT confirm loading.</v>
      </c>
      <c r="C36" s="113" t="str">
        <f aca="false">Checks!$N$655&amp;CHAR(10)&amp;IF(ISNUMBER(Checks!$R$655),TEXT(Checks!$R$655,"DD-MMM-YY HH:MM"),"")&amp;" "&amp;Checks!$P$655</f>
        <v>Required
29-Oct-26 06:30 KUL</v>
      </c>
      <c r="D36" s="113" t="str">
        <f aca="false">IF(Checks!$U$655="","",Checks!$U$655)&amp;IF(Checks!$AB$655="","",CHAR(10)&amp;"CA: "&amp;Checks!$AB$655)</f>
        <v/>
      </c>
      <c r="E36" s="113" t="str">
        <f aca="false">IF(Checks!$V$655="","",Checks!$V$655)&amp;IF(Checks!$AC$655="","",IF(Checks!$V$655="","",CHAR(10))&amp;"N/A just.: "&amp;Checks!$AC$655)&amp;IF(Checks!$W$655="","",CHAR(10)&amp;"Batch: "&amp;Checks!$W$655)&amp;IF(AND(Checks!$X$655="",Checks!$Y$655=""),"",CHAR(10)&amp;"Exp: "&amp;Checks!$X$655&amp;"  /  Act: "&amp;Checks!$Y$655)</f>
        <v/>
      </c>
      <c r="F36" s="113" t="str">
        <f aca="false">IF(Checks!$Z$655="","","Evidence: "&amp;Checks!$Z$655)&amp;IF(Checks!$AA$655="","",IF(Checks!$Z$655="","",CHAR(10))&amp;"CA: "&amp;Checks!$AA$655)</f>
        <v/>
      </c>
      <c r="G36" s="113" t="str">
        <f aca="false">IF(ISNUMBER(Checks!$AD$655),TEXT(Checks!$AD$655,"DD-MMM-YY HH:MM")&amp;" "&amp;Checks!$P$655,"")&amp;IF(Checks!$AE$655="","",CHAR(10)&amp;"Verifier: "&amp;Checks!$AE$655)&amp;IF(Checks!$T$655="","",CHAR(10)&amp;"PIC: "&amp;Checks!$T$655)</f>
        <v/>
      </c>
      <c r="H36" s="114" t="str">
        <f aca="false">IF(Checks!$AH$655="","",Checks!$AH$655)</f>
        <v>OPEN</v>
      </c>
    </row>
    <row r="37" customFormat="false" ht="114" hidden="false" customHeight="true" outlineLevel="0" collapsed="false">
      <c r="A37" s="113" t="str">
        <f aca="false">Checks!$A$656&amp;CHAR(10)&amp;IF(Checks!$I$656="","",Checks!$I$656&amp;": ")&amp;Checks!$J$656</f>
        <v>F20-T12-03
Equipment: Equipment cleanliness vs GLD</v>
      </c>
      <c r="B37" s="113" t="str">
        <f aca="false">Checks!$K$656&amp;IF(Checks!$O$656="","",IF(Checks!$K$656="","",CHAR(10))&amp;"Note: "&amp;Checks!$O$656)</f>
        <v>Note: Preparation check at caterer - does NOT confirm loading.</v>
      </c>
      <c r="C37" s="113" t="str">
        <f aca="false">Checks!$N$656&amp;CHAR(10)&amp;IF(ISNUMBER(Checks!$R$656),TEXT(Checks!$R$656,"DD-MMM-YY HH:MM"),"")&amp;" "&amp;Checks!$P$656</f>
        <v>Required
29-Oct-26 06:30 KUL</v>
      </c>
      <c r="D37" s="113" t="str">
        <f aca="false">IF(Checks!$U$656="","",Checks!$U$656)&amp;IF(Checks!$AB$656="","",CHAR(10)&amp;"CA: "&amp;Checks!$AB$656)</f>
        <v/>
      </c>
      <c r="E37" s="113" t="str">
        <f aca="false">IF(Checks!$V$656="","",Checks!$V$656)&amp;IF(Checks!$AC$656="","",IF(Checks!$V$656="","",CHAR(10))&amp;"N/A just.: "&amp;Checks!$AC$656)&amp;IF(Checks!$W$656="","",CHAR(10)&amp;"Batch: "&amp;Checks!$W$656)&amp;IF(AND(Checks!$X$656="",Checks!$Y$656=""),"",CHAR(10)&amp;"Exp: "&amp;Checks!$X$656&amp;"  /  Act: "&amp;Checks!$Y$656)</f>
        <v/>
      </c>
      <c r="F37" s="113" t="str">
        <f aca="false">IF(Checks!$Z$656="","","Evidence: "&amp;Checks!$Z$656)&amp;IF(Checks!$AA$656="","",IF(Checks!$Z$656="","",CHAR(10))&amp;"CA: "&amp;Checks!$AA$656)</f>
        <v/>
      </c>
      <c r="G37" s="113" t="str">
        <f aca="false">IF(ISNUMBER(Checks!$AD$656),TEXT(Checks!$AD$656,"DD-MMM-YY HH:MM")&amp;" "&amp;Checks!$P$656,"")&amp;IF(Checks!$AE$656="","",CHAR(10)&amp;"Verifier: "&amp;Checks!$AE$656)&amp;IF(Checks!$T$656="","",CHAR(10)&amp;"PIC: "&amp;Checks!$T$656)</f>
        <v/>
      </c>
      <c r="H37" s="114" t="str">
        <f aca="false">IF(Checks!$AH$656="","",Checks!$AH$656)</f>
        <v>OPEN</v>
      </c>
    </row>
    <row r="38" customFormat="false" ht="114" hidden="false" customHeight="true" outlineLevel="0" collapsed="false">
      <c r="A38" s="113" t="str">
        <f aca="false">Checks!$A$657&amp;CHAR(10)&amp;IF(Checks!$I$657="","",Checks!$I$657&amp;": ")&amp;Checks!$J$657</f>
        <v>F20-T12-04
Equipment: Equipment presentation vs GLD</v>
      </c>
      <c r="B38" s="113" t="str">
        <f aca="false">Checks!$K$657&amp;IF(Checks!$O$657="","",IF(Checks!$K$657="","",CHAR(10))&amp;"Note: "&amp;Checks!$O$657)</f>
        <v>Note: Preparation check at caterer - does NOT confirm loading.</v>
      </c>
      <c r="C38" s="113" t="str">
        <f aca="false">Checks!$N$657&amp;CHAR(10)&amp;IF(ISNUMBER(Checks!$R$657),TEXT(Checks!$R$657,"DD-MMM-YY HH:MM"),"")&amp;" "&amp;Checks!$P$657</f>
        <v>Required
29-Oct-26 06:30 KUL</v>
      </c>
      <c r="D38" s="113" t="str">
        <f aca="false">IF(Checks!$U$657="","",Checks!$U$657)&amp;IF(Checks!$AB$657="","",CHAR(10)&amp;"CA: "&amp;Checks!$AB$657)</f>
        <v/>
      </c>
      <c r="E38" s="113" t="str">
        <f aca="false">IF(Checks!$V$657="","",Checks!$V$657)&amp;IF(Checks!$AC$657="","",IF(Checks!$V$657="","",CHAR(10))&amp;"N/A just.: "&amp;Checks!$AC$657)&amp;IF(Checks!$W$657="","",CHAR(10)&amp;"Batch: "&amp;Checks!$W$657)&amp;IF(AND(Checks!$X$657="",Checks!$Y$657=""),"",CHAR(10)&amp;"Exp: "&amp;Checks!$X$657&amp;"  /  Act: "&amp;Checks!$Y$657)</f>
        <v/>
      </c>
      <c r="F38" s="113" t="str">
        <f aca="false">IF(Checks!$Z$657="","","Evidence: "&amp;Checks!$Z$657)&amp;IF(Checks!$AA$657="","",IF(Checks!$Z$657="","",CHAR(10))&amp;"CA: "&amp;Checks!$AA$657)</f>
        <v/>
      </c>
      <c r="G38" s="113" t="str">
        <f aca="false">IF(ISNUMBER(Checks!$AD$657),TEXT(Checks!$AD$657,"DD-MMM-YY HH:MM")&amp;" "&amp;Checks!$P$657,"")&amp;IF(Checks!$AE$657="","",CHAR(10)&amp;"Verifier: "&amp;Checks!$AE$657)&amp;IF(Checks!$T$657="","",CHAR(10)&amp;"PIC: "&amp;Checks!$T$657)</f>
        <v/>
      </c>
      <c r="H38" s="114" t="str">
        <f aca="false">IF(Checks!$AH$657="","",Checks!$AH$657)</f>
        <v>OPEN</v>
      </c>
    </row>
    <row r="39" customFormat="false" ht="114" hidden="false" customHeight="true" outlineLevel="0" collapsed="false">
      <c r="A39" s="113" t="str">
        <f aca="false">Checks!$A$658&amp;CHAR(10)&amp;IF(Checks!$I$658="","",Checks!$I$658&amp;": ")&amp;Checks!$J$658</f>
        <v>F20-T12-05
Equipment: Equipment serviceability vs GLD</v>
      </c>
      <c r="B39" s="113" t="str">
        <f aca="false">Checks!$K$658&amp;IF(Checks!$O$658="","",IF(Checks!$K$658="","",CHAR(10))&amp;"Note: "&amp;Checks!$O$658)</f>
        <v>Note: Preparation check at caterer - does NOT confirm loading.</v>
      </c>
      <c r="C39" s="113" t="str">
        <f aca="false">Checks!$N$658&amp;CHAR(10)&amp;IF(ISNUMBER(Checks!$R$658),TEXT(Checks!$R$658,"DD-MMM-YY HH:MM"),"")&amp;" "&amp;Checks!$P$658</f>
        <v>Required
29-Oct-26 06:30 KUL</v>
      </c>
      <c r="D39" s="113" t="str">
        <f aca="false">IF(Checks!$U$658="","",Checks!$U$658)&amp;IF(Checks!$AB$658="","",CHAR(10)&amp;"CA: "&amp;Checks!$AB$658)</f>
        <v/>
      </c>
      <c r="E39" s="113" t="str">
        <f aca="false">IF(Checks!$V$658="","",Checks!$V$658)&amp;IF(Checks!$AC$658="","",IF(Checks!$V$658="","",CHAR(10))&amp;"N/A just.: "&amp;Checks!$AC$658)&amp;IF(Checks!$W$658="","",CHAR(10)&amp;"Batch: "&amp;Checks!$W$658)&amp;IF(AND(Checks!$X$658="",Checks!$Y$658=""),"",CHAR(10)&amp;"Exp: "&amp;Checks!$X$658&amp;"  /  Act: "&amp;Checks!$Y$658)</f>
        <v/>
      </c>
      <c r="F39" s="113" t="str">
        <f aca="false">IF(Checks!$Z$658="","","Evidence: "&amp;Checks!$Z$658)&amp;IF(Checks!$AA$658="","",IF(Checks!$Z$658="","",CHAR(10))&amp;"CA: "&amp;Checks!$AA$658)</f>
        <v/>
      </c>
      <c r="G39" s="113" t="str">
        <f aca="false">IF(ISNUMBER(Checks!$AD$658),TEXT(Checks!$AD$658,"DD-MMM-YY HH:MM")&amp;" "&amp;Checks!$P$658,"")&amp;IF(Checks!$AE$658="","",CHAR(10)&amp;"Verifier: "&amp;Checks!$AE$658)&amp;IF(Checks!$T$658="","",CHAR(10)&amp;"PIC: "&amp;Checks!$T$658)</f>
        <v/>
      </c>
      <c r="H39" s="114" t="str">
        <f aca="false">IF(Checks!$AH$658="","",Checks!$AH$658)</f>
        <v>OPEN</v>
      </c>
    </row>
    <row r="40" customFormat="false" ht="190.5" hidden="false" customHeight="true" outlineLevel="0" collapsed="false">
      <c r="A40" s="113" t="str">
        <f aca="false">Checks!$A$659&amp;CHAR(10)&amp;IF(Checks!$I$659="","",Checks!$I$659&amp;": ")&amp;Checks!$J$659</f>
        <v>F20-T12-06
Equipment: Equipment quantities vs GLD</v>
      </c>
      <c r="B40" s="113" t="str">
        <f aca="false">SUBSTITUTE(Checks!$K$659&amp;IF(Checks!$O$659="","",IF(Checks!$K$659="","",CHAR(10))&amp;"Note: "&amp;Checks!$O$659),"AIRCRAFT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Checks!$N$659&amp;CHAR(10)&amp;IF(ISNUMBER(Checks!$R$659),TEXT(Checks!$R$659,"DD-MMM-YY HH:MM"),"")&amp;" "&amp;Checks!$P$659</f>
        <v>Required
29-Oct-26 06:30 KUL</v>
      </c>
      <c r="D40" s="113" t="str">
        <f aca="false">IF(Checks!$U$659="","",Checks!$U$659)&amp;IF(Checks!$AB$659="","",CHAR(10)&amp;"CA: "&amp;Checks!$AB$659)</f>
        <v/>
      </c>
      <c r="E40" s="113" t="str">
        <f aca="false">IF(Checks!$V$659="","",Checks!$V$659)&amp;IF(Checks!$AC$659="","",IF(Checks!$V$659="","",CHAR(10))&amp;"N/A just.: "&amp;Checks!$AC$659)&amp;IF(Checks!$W$659="","",CHAR(10)&amp;"Batch: "&amp;Checks!$W$659)&amp;IF(AND(Checks!$X$659="",Checks!$Y$659=""),"",CHAR(10)&amp;"Exp: "&amp;Checks!$X$659&amp;"  /  Act: "&amp;Checks!$Y$659)</f>
        <v/>
      </c>
      <c r="F40" s="113" t="str">
        <f aca="false">IF(Checks!$Z$659="","","Evidence: "&amp;Checks!$Z$659)&amp;IF(Checks!$AA$659="","",IF(Checks!$Z$659="","",CHAR(10))&amp;"CA: "&amp;Checks!$AA$659)</f>
        <v/>
      </c>
      <c r="G40" s="113" t="str">
        <f aca="false">IF(ISNUMBER(Checks!$AD$659),TEXT(Checks!$AD$659,"DD-MMM-YY HH:MM")&amp;" "&amp;Checks!$P$659,"")&amp;IF(Checks!$AE$659="","",CHAR(10)&amp;"Verifier: "&amp;Checks!$AE$659)&amp;IF(Checks!$T$659="","",CHAR(10)&amp;"PIC: "&amp;Checks!$T$659)</f>
        <v/>
      </c>
      <c r="H40" s="114" t="str">
        <f aca="false">IF(Checks!$AH$659="","",Checks!$AH$659)</f>
        <v>OPEN</v>
      </c>
    </row>
    <row r="41" customFormat="false" ht="114" hidden="false" customHeight="true" outlineLevel="0" collapsed="false">
      <c r="A41" s="113" t="str">
        <f aca="false">Checks!$A$660&amp;CHAR(10)&amp;IF(Checks!$I$660="","",Checks!$I$660&amp;": ")&amp;Checks!$J$660</f>
        <v>F20-T12-07
Equipment: Loading positions planned vs GLD</v>
      </c>
      <c r="B41" s="113" t="str">
        <f aca="false">Checks!$K$660&amp;IF(Checks!$O$660="","",IF(Checks!$K$660="","",CHAR(10))&amp;"Note: "&amp;Checks!$O$660)</f>
        <v>Note: Preparation check at caterer - does NOT confirm loading.</v>
      </c>
      <c r="C41" s="113" t="str">
        <f aca="false">Checks!$N$660&amp;CHAR(10)&amp;IF(ISNUMBER(Checks!$R$660),TEXT(Checks!$R$660,"DD-MMM-YY HH:MM"),"")&amp;" "&amp;Checks!$P$660</f>
        <v>Required
29-Oct-26 06:30 KUL</v>
      </c>
      <c r="D41" s="113" t="str">
        <f aca="false">IF(Checks!$U$660="","",Checks!$U$660)&amp;IF(Checks!$AB$660="","",CHAR(10)&amp;"CA: "&amp;Checks!$AB$660)</f>
        <v/>
      </c>
      <c r="E41" s="113" t="str">
        <f aca="false">IF(Checks!$V$660="","",Checks!$V$660)&amp;IF(Checks!$AC$660="","",IF(Checks!$V$660="","",CHAR(10))&amp;"N/A just.: "&amp;Checks!$AC$660)&amp;IF(Checks!$W$660="","",CHAR(10)&amp;"Batch: "&amp;Checks!$W$660)&amp;IF(AND(Checks!$X$660="",Checks!$Y$660=""),"",CHAR(10)&amp;"Exp: "&amp;Checks!$X$660&amp;"  /  Act: "&amp;Checks!$Y$660)</f>
        <v/>
      </c>
      <c r="F41" s="113" t="str">
        <f aca="false">IF(Checks!$Z$660="","","Evidence: "&amp;Checks!$Z$660)&amp;IF(Checks!$AA$660="","",IF(Checks!$Z$660="","",CHAR(10))&amp;"CA: "&amp;Checks!$AA$660)</f>
        <v/>
      </c>
      <c r="G41" s="113" t="str">
        <f aca="false">IF(ISNUMBER(Checks!$AD$660),TEXT(Checks!$AD$660,"DD-MMM-YY HH:MM")&amp;" "&amp;Checks!$P$660,"")&amp;IF(Checks!$AE$660="","",CHAR(10)&amp;"Verifier: "&amp;Checks!$AE$660)&amp;IF(Checks!$T$660="","",CHAR(10)&amp;"PIC: "&amp;Checks!$T$660)</f>
        <v/>
      </c>
      <c r="H41" s="114" t="str">
        <f aca="false">IF(Checks!$AH$660="","",Checks!$AH$660)</f>
        <v>OPEN</v>
      </c>
    </row>
    <row r="42" customFormat="false" ht="114" hidden="false" customHeight="true" outlineLevel="0" collapsed="false">
      <c r="A42" s="113" t="str">
        <f aca="false">Checks!$A$661&amp;CHAR(10)&amp;IF(Checks!$I$661="","",Checks!$I$661&amp;": ")&amp;Checks!$J$661</f>
        <v>F20-T12-08
Seat Linen: Seat pillow (EY) - prepared</v>
      </c>
      <c r="B42" s="113" t="str">
        <f aca="false">Checks!$K$661&amp;IF(Checks!$O$661="","",IF(Checks!$K$661="","",CHAR(10))&amp;"Note: "&amp;Checks!$O$661)</f>
        <v>Available 100% (ticked in reference)
Note: Reference gives no uplift stn for this item: preparation checked at the meal uplift stn (KUL) - confirm with caterer.</v>
      </c>
      <c r="C42" s="113" t="str">
        <f aca="false">Checks!$N$661&amp;CHAR(10)&amp;IF(ISNUMBER(Checks!$R$661),TEXT(Checks!$R$661,"DD-MMM-YY HH:MM"),"")&amp;" "&amp;Checks!$P$661</f>
        <v>Required
29-Oct-26 06:30 KUL</v>
      </c>
      <c r="D42" s="113" t="str">
        <f aca="false">IF(Checks!$U$661="","",Checks!$U$661)&amp;IF(Checks!$AB$661="","",CHAR(10)&amp;"CA: "&amp;Checks!$AB$661)</f>
        <v/>
      </c>
      <c r="E42" s="113" t="str">
        <f aca="false">IF(Checks!$V$661="","",Checks!$V$661)&amp;IF(Checks!$AC$661="","",IF(Checks!$V$661="","",CHAR(10))&amp;"N/A just.: "&amp;Checks!$AC$661)&amp;IF(Checks!$W$661="","",CHAR(10)&amp;"Batch: "&amp;Checks!$W$661)&amp;IF(AND(Checks!$X$661="",Checks!$Y$661=""),"",CHAR(10)&amp;"Exp: "&amp;Checks!$X$661&amp;"  /  Act: "&amp;Checks!$Y$661)</f>
        <v/>
      </c>
      <c r="F42" s="113" t="str">
        <f aca="false">IF(Checks!$Z$661="","","Evidence: "&amp;Checks!$Z$661)&amp;IF(Checks!$AA$661="","",IF(Checks!$Z$661="","",CHAR(10))&amp;"CA: "&amp;Checks!$AA$661)</f>
        <v/>
      </c>
      <c r="G42" s="113" t="str">
        <f aca="false">IF(ISNUMBER(Checks!$AD$661),TEXT(Checks!$AD$661,"DD-MMM-YY HH:MM")&amp;" "&amp;Checks!$P$661,"")&amp;IF(Checks!$AE$661="","",CHAR(10)&amp;"Verifier: "&amp;Checks!$AE$661)&amp;IF(Checks!$T$661="","",CHAR(10)&amp;"PIC: "&amp;Checks!$T$661)</f>
        <v/>
      </c>
      <c r="H42" s="114" t="str">
        <f aca="false">IF(Checks!$AH$661="","",Checks!$AH$661)</f>
        <v>OPEN</v>
      </c>
    </row>
    <row r="43" customFormat="false" ht="25.5" hidden="false" customHeight="true" outlineLevel="0" collapsed="false">
      <c r="A43" s="112"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2"/>
      <c r="C43" s="112"/>
      <c r="D43" s="112"/>
      <c r="E43" s="112"/>
      <c r="F43" s="112"/>
      <c r="G43" s="112"/>
      <c r="H43" s="112"/>
    </row>
    <row r="44" customFormat="false" ht="114" hidden="false" customHeight="true" outlineLevel="0" collapsed="false">
      <c r="A44" s="113" t="str">
        <f aca="false">Checks!$A$662&amp;CHAR(10)&amp;IF(Checks!$I$662="","",Checks!$I$662&amp;": ")&amp;Checks!$J$662</f>
        <v>F20-UPL-01
Meal: Meals physically uplifted on board - quantity vs menu checklist</v>
      </c>
      <c r="B44" s="113" t="str">
        <f aca="false">Checks!$K$662&amp;IF(Checks!$O$662="","",IF(Checks!$K$662="","",CHAR(10))&amp;"Note: "&amp;Checks!$O$662)</f>
        <v>Enter expected &amp; actual
Note: Confirm on board before departure; completion time must fall inside the uplift window.</v>
      </c>
      <c r="C44" s="113" t="str">
        <f aca="false">Checks!$N$662&amp;CHAR(10)&amp;IF(ISNUMBER(Checks!$R$662),TEXT(Checks!$R$662,"DD-MMM-YY HH:MM"),"")&amp;" "&amp;Checks!$P$662</f>
        <v>Required
29-Oct-26 18:30 KUL</v>
      </c>
      <c r="D44" s="113" t="str">
        <f aca="false">IF(Checks!$U$662="","",Checks!$U$662)&amp;IF(Checks!$AB$662="","",CHAR(10)&amp;"CA: "&amp;Checks!$AB$662)</f>
        <v/>
      </c>
      <c r="E44" s="113" t="str">
        <f aca="false">IF(Checks!$V$662="","",Checks!$V$662)&amp;IF(Checks!$AC$662="","",IF(Checks!$V$662="","",CHAR(10))&amp;"N/A just.: "&amp;Checks!$AC$662)&amp;IF(Checks!$W$662="","",CHAR(10)&amp;"Batch: "&amp;Checks!$W$662)&amp;IF(AND(Checks!$X$662="",Checks!$Y$662=""),"",CHAR(10)&amp;"Exp: "&amp;Checks!$X$662&amp;"  /  Act: "&amp;Checks!$Y$662)</f>
        <v/>
      </c>
      <c r="F44" s="113" t="str">
        <f aca="false">IF(Checks!$Z$662="","","Evidence: "&amp;Checks!$Z$662)&amp;IF(Checks!$AA$662="","",IF(Checks!$Z$662="","",CHAR(10))&amp;"CA: "&amp;Checks!$AA$662)</f>
        <v/>
      </c>
      <c r="G44" s="113" t="str">
        <f aca="false">IF(ISNUMBER(Checks!$AD$662),TEXT(Checks!$AD$662,"DD-MMM-YY HH:MM")&amp;" "&amp;Checks!$P$662,"")&amp;IF(Checks!$AE$662="","",CHAR(10)&amp;"Verifier: "&amp;Checks!$AE$662)&amp;IF(Checks!$T$662="","",CHAR(10)&amp;"PIC: "&amp;Checks!$T$662)</f>
        <v/>
      </c>
      <c r="H44" s="114" t="str">
        <f aca="false">IF(Checks!$AH$662="","",Checks!$AH$662)</f>
        <v>OPEN</v>
      </c>
    </row>
    <row r="45" customFormat="false" ht="114" hidden="false" customHeight="true" outlineLevel="0" collapsed="false">
      <c r="A45" s="113" t="str">
        <f aca="false">Checks!$A$663&amp;CHAR(10)&amp;IF(Checks!$I$663="","",Checks!$I$663&amp;": ")&amp;Checks!$J$663</f>
        <v>F20-UPL-02
Equipment: Equipment physically loaded at GLD positions - quantity &amp; positions</v>
      </c>
      <c r="B45" s="113" t="str">
        <f aca="false">Checks!$K$663&amp;IF(Checks!$O$663="","",IF(Checks!$K$663="","",CHAR(10))&amp;"Note: "&amp;Checks!$O$663)</f>
        <v>Enter expected &amp; actual
Note: Confirm on board before departure; completion time must fall inside the uplift window.</v>
      </c>
      <c r="C45" s="113" t="str">
        <f aca="false">Checks!$N$663&amp;CHAR(10)&amp;IF(ISNUMBER(Checks!$R$663),TEXT(Checks!$R$663,"DD-MMM-YY HH:MM"),"")&amp;" "&amp;Checks!$P$663</f>
        <v>Required
29-Oct-26 18:30 KUL</v>
      </c>
      <c r="D45" s="113" t="str">
        <f aca="false">IF(Checks!$U$663="","",Checks!$U$663)&amp;IF(Checks!$AB$663="","",CHAR(10)&amp;"CA: "&amp;Checks!$AB$663)</f>
        <v/>
      </c>
      <c r="E45" s="113" t="str">
        <f aca="false">IF(Checks!$V$663="","",Checks!$V$663)&amp;IF(Checks!$AC$663="","",IF(Checks!$V$663="","",CHAR(10))&amp;"N/A just.: "&amp;Checks!$AC$663)&amp;IF(Checks!$W$663="","",CHAR(10)&amp;"Batch: "&amp;Checks!$W$663)&amp;IF(AND(Checks!$X$663="",Checks!$Y$663=""),"",CHAR(10)&amp;"Exp: "&amp;Checks!$X$663&amp;"  /  Act: "&amp;Checks!$Y$663)</f>
        <v/>
      </c>
      <c r="F45" s="113" t="str">
        <f aca="false">IF(Checks!$Z$663="","","Evidence: "&amp;Checks!$Z$663)&amp;IF(Checks!$AA$663="","",IF(Checks!$Z$663="","",CHAR(10))&amp;"CA: "&amp;Checks!$AA$663)</f>
        <v/>
      </c>
      <c r="G45" s="113" t="str">
        <f aca="false">IF(ISNUMBER(Checks!$AD$663),TEXT(Checks!$AD$663,"DD-MMM-YY HH:MM")&amp;" "&amp;Checks!$P$663,"")&amp;IF(Checks!$AE$663="","",CHAR(10)&amp;"Verifier: "&amp;Checks!$AE$663)&amp;IF(Checks!$T$663="","",CHAR(10)&amp;"PIC: "&amp;Checks!$T$663)</f>
        <v/>
      </c>
      <c r="H45" s="114" t="str">
        <f aca="false">IF(Checks!$AH$663="","",Checks!$AH$663)</f>
        <v>OPEN</v>
      </c>
    </row>
    <row r="46" customFormat="false" ht="114" hidden="false" customHeight="true" outlineLevel="0" collapsed="false">
      <c r="A46" s="113" t="str">
        <f aca="false">Checks!$A$664&amp;CHAR(10)&amp;IF(Checks!$I$664="","",Checks!$I$664&amp;": ")&amp;Checks!$J$664</f>
        <v>F20-UPL-03
Seat Linen: Seat pillow (EY) - on board</v>
      </c>
      <c r="B46" s="113" t="str">
        <f aca="false">Checks!$K$664&amp;IF(Checks!$O$664="","",IF(Checks!$K$664="","",CHAR(10))&amp;"Note: "&amp;Checks!$O$664)</f>
        <v>Available 100% (ticked in reference)</v>
      </c>
      <c r="C46" s="113" t="str">
        <f aca="false">Checks!$N$664&amp;CHAR(10)&amp;IF(ISNUMBER(Checks!$R$664),TEXT(Checks!$R$664,"DD-MMM-YY HH:MM"),"")&amp;" "&amp;Checks!$P$664</f>
        <v>Required
29-Oct-26 18:30 KUL</v>
      </c>
      <c r="D46" s="113" t="str">
        <f aca="false">IF(Checks!$U$664="","",Checks!$U$664)&amp;IF(Checks!$AB$664="","",CHAR(10)&amp;"CA: "&amp;Checks!$AB$664)</f>
        <v/>
      </c>
      <c r="E46" s="113" t="str">
        <f aca="false">IF(Checks!$V$664="","",Checks!$V$664)&amp;IF(Checks!$AC$664="","",IF(Checks!$V$664="","",CHAR(10))&amp;"N/A just.: "&amp;Checks!$AC$664)&amp;IF(Checks!$W$664="","",CHAR(10)&amp;"Batch: "&amp;Checks!$W$664)&amp;IF(AND(Checks!$X$664="",Checks!$Y$664=""),"",CHAR(10)&amp;"Exp: "&amp;Checks!$X$664&amp;"  /  Act: "&amp;Checks!$Y$664)</f>
        <v/>
      </c>
      <c r="F46" s="113" t="str">
        <f aca="false">IF(Checks!$Z$664="","","Evidence: "&amp;Checks!$Z$664)&amp;IF(Checks!$AA$664="","",IF(Checks!$Z$664="","",CHAR(10))&amp;"CA: "&amp;Checks!$AA$664)</f>
        <v/>
      </c>
      <c r="G46" s="113" t="str">
        <f aca="false">IF(ISNUMBER(Checks!$AD$664),TEXT(Checks!$AD$664,"DD-MMM-YY HH:MM")&amp;" "&amp;Checks!$P$664,"")&amp;IF(Checks!$AE$664="","",CHAR(10)&amp;"Verifier: "&amp;Checks!$AE$664)&amp;IF(Checks!$T$664="","",CHAR(10)&amp;"PIC: "&amp;Checks!$T$664)</f>
        <v/>
      </c>
      <c r="H46" s="114" t="str">
        <f aca="false">IF(Checks!$AH$664="","",Checks!$AH$664)</f>
        <v>OPEN</v>
      </c>
    </row>
    <row r="48" customFormat="false" ht="24" hidden="false" customHeight="true" outlineLevel="0" collapsed="false">
      <c r="A48" s="115" t="s">
        <v>1650</v>
      </c>
      <c r="B48" s="115"/>
      <c r="C48" s="115"/>
      <c r="D48" s="115"/>
      <c r="E48" s="115" t="s">
        <v>1651</v>
      </c>
      <c r="F48" s="115"/>
      <c r="G48" s="115"/>
      <c r="H48" s="115"/>
    </row>
    <row r="49" customFormat="false" ht="21.75" hidden="false" customHeight="true" outlineLevel="0" collapsed="false">
      <c r="A49" s="116"/>
      <c r="B49" s="116"/>
      <c r="C49" s="116"/>
      <c r="D49" s="116"/>
      <c r="E49" s="116"/>
      <c r="F49" s="116"/>
      <c r="G49" s="116"/>
      <c r="H49" s="116"/>
    </row>
    <row r="50" customFormat="false" ht="21.75" hidden="false" customHeight="true" outlineLevel="0" collapsed="false">
      <c r="A50" s="116"/>
      <c r="B50" s="116"/>
      <c r="C50" s="116"/>
      <c r="D50" s="116"/>
      <c r="E50" s="116"/>
      <c r="F50" s="116"/>
      <c r="G50" s="116"/>
      <c r="H50" s="116"/>
    </row>
    <row r="51" customFormat="false" ht="21.75" hidden="false" customHeight="true" outlineLevel="0" collapsed="false">
      <c r="A51" s="116"/>
      <c r="B51" s="116"/>
      <c r="C51" s="116"/>
      <c r="D51" s="116"/>
      <c r="E51" s="116"/>
      <c r="F51" s="116"/>
      <c r="G51" s="116"/>
      <c r="H51" s="116"/>
    </row>
    <row r="52" customFormat="false" ht="21.75" hidden="false" customHeight="true" outlineLevel="0" collapsed="false">
      <c r="A52" s="116"/>
      <c r="B52" s="116"/>
      <c r="C52" s="116"/>
      <c r="D52" s="116"/>
      <c r="E52" s="116"/>
      <c r="F52" s="116"/>
      <c r="G52" s="116"/>
      <c r="H52" s="116"/>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F21  "&amp;Flights!$F$25&amp;"  "&amp;TEXT(Flights!$D$25,"DD-MMM-YY")&amp;" ("&amp;Flights!$E$25&amp;")  "&amp;Flights!$G$25&amp;" → "&amp;Flights!$H$25&amp;"  |  Class "&amp;Flights!$K$25</f>
        <v>SKYTRAX 2026 CATERING READINESS CHECKLIST  |  F21  MH1437  30-Oct-26 (FRI)  LGK → KUL  |  Class BC</v>
      </c>
      <c r="B1" s="91"/>
      <c r="C1" s="91"/>
      <c r="D1" s="91"/>
      <c r="E1" s="91"/>
      <c r="F1" s="91"/>
      <c r="G1" s="91"/>
      <c r="H1" s="91"/>
    </row>
    <row r="2" customFormat="false" ht="12.75" hidden="false" customHeight="true" outlineLevel="0" collapsed="false">
      <c r="A2" s="92" t="s">
        <v>1605</v>
      </c>
      <c r="B2" s="93" t="str">
        <f aca="false">Flights!$F$25&amp;"   "&amp;TEXT(Flights!$D$25,"DD-MMM-YY")&amp;" ("&amp;Flights!$E$25&amp;")"</f>
        <v>MH1437   30-Oct-26 (FRI)</v>
      </c>
      <c r="C2" s="93"/>
      <c r="D2" s="93"/>
      <c r="E2" s="94" t="s">
        <v>1606</v>
      </c>
      <c r="F2" s="95" t="str">
        <f aca="false">Flights!$AT$25</f>
        <v>NOT READY – DOCUMENTS</v>
      </c>
      <c r="G2" s="95"/>
      <c r="H2" s="95"/>
    </row>
    <row r="3" customFormat="false" ht="24" hidden="false" customHeight="true" outlineLevel="0" collapsed="false">
      <c r="A3" s="92" t="s">
        <v>1607</v>
      </c>
      <c r="B3" s="93" t="str">
        <f aca="false">Flights!$G$25&amp;" → "&amp;Flights!$H$25&amp;"   Class "&amp;Flights!$K$25&amp;"   Seat "&amp;Flights!$O$25</f>
        <v>LGK → KUL   Class BC   Seat 1C</v>
      </c>
      <c r="C3" s="93"/>
      <c r="D3" s="93"/>
      <c r="E3" s="94" t="s">
        <v>68</v>
      </c>
      <c r="F3" s="94" t="s">
        <v>1608</v>
      </c>
      <c r="G3" s="94" t="s">
        <v>1609</v>
      </c>
      <c r="H3" s="94"/>
    </row>
    <row r="4" customFormat="false" ht="24" hidden="false" customHeight="true" outlineLevel="0" collapsed="false">
      <c r="A4" s="92" t="s">
        <v>1610</v>
      </c>
      <c r="B4" s="93" t="str">
        <f aca="false">IF(ISNUMBER(Flights!$I$25),TEXT(Flights!$I$25,"DD-MMM-YY HH:MM"),"")&amp;" "&amp;Flights!$G$25&amp;"  →  "&amp;IF(ISNUMBER(Flights!$J$25),TEXT(Flights!$J$25,"DD-MMM-YY HH:MM"),"")&amp;" "&amp;Flights!$H$25</f>
        <v>30-Oct-26 14:45 LGK  →  30-Oct-26 16:05 KUL</v>
      </c>
      <c r="C4" s="93"/>
      <c r="D4" s="93"/>
      <c r="E4" s="92" t="s">
        <v>1611</v>
      </c>
      <c r="F4" s="96" t="str">
        <f aca="false">IF(ISNUMBER(Flights!$AG$25),TEXT(Flights!$AG$25,"DD-MMM-YY HH:MM"),"")&amp;" "&amp;Flights!$V$25</f>
        <v>23-Oct-26 14:45 KUL</v>
      </c>
      <c r="G4" s="97" t="n">
        <f aca="false">Flights!$AJ$25</f>
        <v>0</v>
      </c>
      <c r="H4" s="97"/>
    </row>
    <row r="5" customFormat="false" ht="24" hidden="false" customHeight="true" outlineLevel="0" collapsed="false">
      <c r="A5" s="92" t="s">
        <v>1612</v>
      </c>
      <c r="B5" s="93" t="str">
        <f aca="false">Flights!$L$25&amp;" – "&amp;Flights!$M$25</f>
        <v>B738MAX – B737-8 (B7M8)</v>
      </c>
      <c r="C5" s="93"/>
      <c r="D5" s="93"/>
      <c r="E5" s="92" t="s">
        <v>1613</v>
      </c>
      <c r="F5" s="96" t="str">
        <f aca="false">IF(ISNUMBER(Flights!$AH$25),TEXT(Flights!$AH$25,"DD-MMM-YY HH:MM"),"")&amp;" "&amp;Flights!$V$25</f>
        <v>29-Oct-26 12:30 KUL</v>
      </c>
      <c r="G5" s="97" t="n">
        <f aca="false">Flights!$AK$25</f>
        <v>0</v>
      </c>
      <c r="H5" s="97"/>
    </row>
    <row r="6" customFormat="false" ht="24" hidden="false" customHeight="true" outlineLevel="0" collapsed="false">
      <c r="A6" s="92" t="s">
        <v>1614</v>
      </c>
      <c r="B6" s="93" t="str">
        <f aca="false">IF(TRIM(Flights!$N$25)="","__________________",Flights!$N$25)</f>
        <v>__________________</v>
      </c>
      <c r="C6" s="93"/>
      <c r="D6" s="93"/>
      <c r="E6" s="92" t="s">
        <v>1615</v>
      </c>
      <c r="F6" s="96" t="str">
        <f aca="false">IF(ISNUMBER(Flights!$AI$25),TEXT(Flights!$AI$25,"DD-MMM-YY HH:MM"),"")&amp;" "&amp;Flights!$V$25&amp;IF(Flights!$AI$25=Flights!$AH$25,"  (= T-24H due)","")</f>
        <v>29-Oct-26 12:30 KUL  (= T-24H due)</v>
      </c>
      <c r="G6" s="97" t="n">
        <f aca="false">Flights!$AL$25</f>
        <v>0</v>
      </c>
      <c r="H6" s="97"/>
    </row>
    <row r="7" customFormat="false" ht="24" hidden="false" customHeight="true" outlineLevel="0" collapsed="false">
      <c r="A7" s="92" t="s">
        <v>1616</v>
      </c>
      <c r="B7" s="93" t="str">
        <f aca="false">Flights!$T$25</f>
        <v>Refreshment (Peanut &amp; Water)</v>
      </c>
      <c r="C7" s="93"/>
      <c r="D7" s="93"/>
      <c r="E7" s="92" t="s">
        <v>1617</v>
      </c>
      <c r="F7" s="96" t="str">
        <f aca="false">"STD "&amp;IF(ISNUMBER(Flights!$I$25),TEXT(Flights!$I$25,"DD-MMM-YY HH:MM"),"")&amp;" "&amp;Flights!$G$25&amp;" (dep stn)"</f>
        <v>STD 30-Oct-26 14:45 LGK (dep stn)</v>
      </c>
      <c r="G7" s="97" t="n">
        <f aca="false">Flights!$AM$25</f>
        <v>0</v>
      </c>
      <c r="H7" s="97"/>
    </row>
    <row r="8" customFormat="false" ht="12.75" hidden="false" customHeight="true" outlineLevel="0" collapsed="false">
      <c r="A8" s="92" t="s">
        <v>150</v>
      </c>
      <c r="B8" s="93" t="str">
        <f aca="false">Flights!$V$25&amp;"   (reference uplift stns: "&amp;Flights!$U$25&amp;")"</f>
        <v>KUL   (reference uplift stns: KUL)</v>
      </c>
      <c r="C8" s="93"/>
      <c r="D8" s="93"/>
      <c r="E8" s="92" t="s">
        <v>1618</v>
      </c>
      <c r="F8" s="98" t="s">
        <v>1619</v>
      </c>
      <c r="G8" s="97" t="n">
        <f aca="false">Flights!$AN$25</f>
        <v>0</v>
      </c>
      <c r="H8" s="97"/>
    </row>
    <row r="9" customFormat="false" ht="12.75" hidden="false" customHeight="true" outlineLevel="0" collapsed="false">
      <c r="A9" s="92" t="s">
        <v>1620</v>
      </c>
      <c r="B9" s="93" t="str">
        <f aca="false">TRIM(Flights!$P$25&amp;"  "&amp;Flights!$Q$25)</f>
        <v>-</v>
      </c>
      <c r="C9" s="93"/>
      <c r="D9" s="93"/>
      <c r="E9" s="92" t="s">
        <v>1621</v>
      </c>
      <c r="F9" s="99" t="n">
        <f aca="false">Flights!$AP$25</f>
        <v>0</v>
      </c>
      <c r="G9" s="99" t="n">
        <f aca="false">Flights!$AQ$25</f>
        <v>0</v>
      </c>
      <c r="H9" s="99" t="n">
        <f aca="false">Flights!$AU$25</f>
        <v>0</v>
      </c>
    </row>
    <row r="10" customFormat="false" ht="24" hidden="false" customHeight="true" outlineLevel="0" collapsed="false">
      <c r="A10" s="92" t="s">
        <v>1622</v>
      </c>
      <c r="B10" s="93" t="str">
        <f aca="false">IF(TRIM(Flights!$X$25)="","__________________",Flights!$X$25)</f>
        <v>__________________</v>
      </c>
      <c r="C10" s="93"/>
      <c r="D10" s="93"/>
      <c r="E10" s="92" t="s">
        <v>1623</v>
      </c>
      <c r="F10" s="99" t="n">
        <f aca="false">Flights!$AO$25</f>
        <v>36</v>
      </c>
      <c r="G10" s="99" t="n">
        <f aca="false">Flights!$AS$25</f>
        <v>1</v>
      </c>
      <c r="H10" s="99" t="n">
        <f aca="false">Flights!$AR$25</f>
        <v>2</v>
      </c>
    </row>
    <row r="11" customFormat="false" ht="21" hidden="false" customHeight="true" outlineLevel="0" collapsed="false">
      <c r="A11" s="92" t="s">
        <v>1624</v>
      </c>
      <c r="B11" s="93" t="str">
        <f aca="false">IF(TRIM(Flights!$Y$25)="","__________________",Flights!$Y$25)</f>
        <v>__________________</v>
      </c>
      <c r="C11" s="93"/>
      <c r="D11" s="93"/>
      <c r="E11" s="92" t="s">
        <v>1625</v>
      </c>
      <c r="F11" s="99" t="str">
        <f aca="false">Flights!$AV$25&amp;" / "&amp;Flights!$AW$25</f>
        <v>0 / 36</v>
      </c>
      <c r="G11" s="100" t="str">
        <f aca="false">IF(ISNUMBER(Settings!$B$6),TEXT(Settings!$B$6,"DD-MMM-YY HH:MM"),"")</f>
        <v>28-Sep-26 03:19</v>
      </c>
      <c r="H11" s="100"/>
    </row>
    <row r="12" customFormat="false" ht="34.5" hidden="false" customHeight="true" outlineLevel="0" collapsed="false">
      <c r="A12" s="101" t="s">
        <v>1626</v>
      </c>
      <c r="B12" s="101"/>
      <c r="C12" s="101"/>
      <c r="D12" s="101"/>
      <c r="E12" s="102" t="s">
        <v>1627</v>
      </c>
      <c r="F12" s="103" t="s">
        <v>1628</v>
      </c>
      <c r="G12" s="104" t="s">
        <v>89</v>
      </c>
      <c r="H12" s="105" t="s">
        <v>1629</v>
      </c>
    </row>
    <row r="13" customFormat="false" ht="45.75" hidden="false" customHeight="true" outlineLevel="0" collapsed="false">
      <c r="A13" s="117" t="str">
        <f aca="false">"ROUND-TRIP LEG: all catering is uplifted at KUL on the carrying flight (agenda candidate "&amp;Flights!$W$25&amp;IFERROR(" "&amp;INDEX(Flights!$F$5:$F$26,MATCH(TRIM(Flights!$W$25),Flights!$A$5:$A$26,0)),"")&amp;"). T-24H / T-12H PREP are capped at the KUL loading window; on-board UPLIFT checks are at "&amp;Flights!$G$25&amp;"."&amp;CHAR(10)&amp;"KUL loading window opens (caps prep dues; each row shows its binding due): "&amp;IF(ISNUMBER(Flights!$AY$25),TEXT(Flights!$AY$25+IFERROR(INDEX(Settings!$C$13:$C$22,MATCH("KUL",Settings!$A$13:$A$22,0)),8)/24,"DD-MMM-YY HH:MM")&amp;" KUL","(not set)")&amp;"   |   Carrying flight KUL departure (loading confirmed by): "&amp;IF(ISNUMBER(Flights!$AY$25),TEXT(Flights!$AY$25+UpliftWindowH/24+IFERROR(INDEX(Settings!$C$13:$C$22,MATCH("KUL",Settings!$A$13:$A$22,0)),8)/24,"DD-MMM-YY HH:MM")&amp;" KUL","(not set)")&amp;IF(ISNUMBER(Flights!$AX$25),""," (estimated – enter actual on Flights AX)")</f>
        <v>ROUND-TRIP LEG: all catering is uplifted at KUL on the carrying flight (agenda candidate F20 MH1450). T-24H / T-12H PREP are capped at the KUL loading window; on-board UPLIFT checks are at LGK.
KUL loading window opens (caps prep dues; each row shows its binding due): 29-Oct-26 12:30 KUL   |   Carrying flight KUL departure (loading confirmed by): 29-Oct-26 18:30 KUL (estimated – enter actual on Flights AX)</v>
      </c>
      <c r="B13" s="117"/>
      <c r="C13" s="117"/>
      <c r="D13" s="117"/>
      <c r="E13" s="117"/>
      <c r="F13" s="117"/>
      <c r="G13" s="117"/>
      <c r="H13" s="117"/>
    </row>
    <row r="14" customFormat="false" ht="13.5" hidden="false" customHeight="true" outlineLevel="0" collapsed="false">
      <c r="A14" s="94" t="s">
        <v>1630</v>
      </c>
      <c r="B14" s="94" t="s">
        <v>1631</v>
      </c>
      <c r="C14" s="94" t="s">
        <v>1632</v>
      </c>
      <c r="D14" s="94"/>
      <c r="E14" s="94" t="s">
        <v>1633</v>
      </c>
      <c r="F14" s="94" t="s">
        <v>1634</v>
      </c>
      <c r="G14" s="94"/>
      <c r="H14" s="94"/>
    </row>
    <row r="15" customFormat="false" ht="36" hidden="false" customHeight="true" outlineLevel="0" collapsed="false">
      <c r="A15" s="92" t="s">
        <v>1635</v>
      </c>
      <c r="B15" s="93" t="str">
        <f aca="false">IF(Documents!$F$25="","",Documents!$F$25)</f>
        <v/>
      </c>
      <c r="C15" s="98" t="str">
        <f aca="false">IF(Documents!$G$25="","",Documents!$G$25)&amp;IF(ISNUMBER(Documents!$H$25),"  "&amp;TEXT(Documents!$H$25,"DD-MMM-YY"),"")</f>
        <v/>
      </c>
      <c r="D15" s="98"/>
      <c r="E15" s="106" t="str">
        <f aca="false">IF(Documents!$J$25="OUTSTANDING","OUTSTANDING – attach before T-7D (due "&amp;IF(ISNUMBER(Flights!$AG$25),TEXT(Flights!$AG$25,"DD-MMM-YY HH:MM"),"")&amp;" "&amp;Flights!$V$25&amp;")",IF(Documents!$J$25="","Status not recorded",Documents!$J$25))</f>
        <v>OUTSTANDING – attach before T-7D (due 23-Oct-26 14:45 KUL)</v>
      </c>
      <c r="F15" s="107" t="str">
        <f aca="false">"Staple behind this sheet as page A1."&amp;IF(Documents!$I$25="",""," Location: "&amp;Documents!$I$25)</f>
        <v>Staple behind this sheet as page A1.</v>
      </c>
      <c r="G15" s="107"/>
      <c r="H15" s="107"/>
    </row>
    <row r="16" customFormat="false" ht="36" hidden="false" customHeight="true" outlineLevel="0" collapsed="false">
      <c r="A16" s="92" t="s">
        <v>1636</v>
      </c>
      <c r="B16" s="93" t="str">
        <f aca="false">IF(Documents!$K$25="","",Documents!$K$25)</f>
        <v/>
      </c>
      <c r="C16" s="98" t="str">
        <f aca="false">IF(Documents!$L$25="","",Documents!$L$25)&amp;IF(ISNUMBER(Documents!$M$25),"  "&amp;TEXT(Documents!$M$25,"DD-MMM-YY"),"")</f>
        <v/>
      </c>
      <c r="D16" s="98"/>
      <c r="E16" s="106" t="str">
        <f aca="false">IF(Documents!$O$25="OUTSTANDING","OUTSTANDING – attach before T-7D (due "&amp;IF(ISNUMBER(Flights!$AG$25),TEXT(Flights!$AG$25,"DD-MMM-YY HH:MM"),"")&amp;" "&amp;Flights!$V$25&amp;")",IF(Documents!$O$25="","Status not recorded",Documents!$O$25))</f>
        <v>OUTSTANDING – attach before T-7D (due 23-Oct-26 14:45 KUL)</v>
      </c>
      <c r="F16" s="107" t="str">
        <f aca="false">"Staple behind this sheet as page A2."&amp;IF(Documents!$N$25="",""," Location: "&amp;Documents!$N$25)</f>
        <v>Staple behind this sheet as page A2.</v>
      </c>
      <c r="G16" s="107"/>
      <c r="H16" s="107"/>
    </row>
    <row r="17" customFormat="false" ht="22.5" hidden="false" customHeight="true" outlineLevel="0" collapsed="false">
      <c r="A17" s="92" t="s">
        <v>1637</v>
      </c>
      <c r="B17" s="108" t="str">
        <f aca="false">IF(Documents!$Q$25="","",Documents!$Q$25)</f>
        <v>Not supplied with brief – obtain from caterer / MAGCS. Return catering loaded at KUL: GLD must show return-leg stowage.</v>
      </c>
      <c r="C17" s="108"/>
      <c r="D17" s="108"/>
      <c r="E17" s="108"/>
      <c r="F17" s="108"/>
      <c r="G17" s="108"/>
      <c r="H17" s="108"/>
    </row>
    <row r="18" customFormat="false" ht="13.5" hidden="false" customHeight="true" outlineLevel="0" collapsed="false">
      <c r="A18" s="109" t="s">
        <v>1638</v>
      </c>
      <c r="B18" s="109"/>
      <c r="C18" s="109" t="s">
        <v>1639</v>
      </c>
      <c r="D18" s="109"/>
      <c r="E18" s="109"/>
      <c r="F18" s="109" t="s">
        <v>1640</v>
      </c>
      <c r="G18" s="109"/>
      <c r="H18" s="109"/>
    </row>
    <row r="19" customFormat="false" ht="18" hidden="false" customHeight="true" outlineLevel="0" collapsed="false">
      <c r="A19" s="93" t="str">
        <f aca="false">"Name: "&amp;IF(TRIM(Flights!$Y$25)="","__________________",Flights!$Y$25)</f>
        <v>Name: __________________</v>
      </c>
      <c r="B19" s="93"/>
      <c r="C19" s="93" t="str">
        <f aca="false">"Name: __________________"</f>
        <v>Name: __________________</v>
      </c>
      <c r="D19" s="93"/>
      <c r="E19" s="93"/>
      <c r="F19" s="93" t="str">
        <f aca="false">"Name: __________________"&amp;"   Station: "&amp;Flights!$V$25</f>
        <v>Name: __________________   Station: KUL</v>
      </c>
      <c r="G19" s="93"/>
      <c r="H19" s="93"/>
    </row>
    <row r="20" customFormat="false" ht="30" hidden="false" customHeight="true" outlineLevel="0" collapsed="false">
      <c r="A20" s="110" t="s">
        <v>1641</v>
      </c>
      <c r="B20" s="110"/>
      <c r="C20" s="110" t="s">
        <v>1641</v>
      </c>
      <c r="D20" s="110"/>
      <c r="E20" s="110"/>
      <c r="F20" s="110" t="s">
        <v>1641</v>
      </c>
      <c r="G20" s="110"/>
      <c r="H20" s="110"/>
    </row>
    <row r="21" customFormat="false" ht="13.5" hidden="false" customHeight="true" outlineLevel="0" collapsed="false">
      <c r="A21" s="111" t="s">
        <v>1642</v>
      </c>
      <c r="B21" s="111"/>
      <c r="C21" s="111"/>
      <c r="D21" s="111"/>
      <c r="E21" s="111"/>
      <c r="F21" s="111"/>
      <c r="G21" s="111"/>
      <c r="H21" s="111"/>
    </row>
    <row r="22" customFormat="false" ht="24" hidden="false" customHeight="true" outlineLevel="0" collapsed="false">
      <c r="A22" s="94" t="s">
        <v>1643</v>
      </c>
      <c r="B22" s="94" t="s">
        <v>1644</v>
      </c>
      <c r="C22" s="94" t="s">
        <v>1645</v>
      </c>
      <c r="D22" s="94" t="s">
        <v>1646</v>
      </c>
      <c r="E22" s="94" t="s">
        <v>1647</v>
      </c>
      <c r="F22" s="94" t="s">
        <v>1648</v>
      </c>
      <c r="G22" s="94" t="s">
        <v>1649</v>
      </c>
      <c r="H22" s="94" t="s">
        <v>121</v>
      </c>
    </row>
    <row r="23" customFormat="false" ht="25.5" hidden="false" customHeight="true" outlineLevel="0" collapsed="false">
      <c r="A23" s="112"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2"/>
      <c r="C23" s="112"/>
      <c r="D23" s="112"/>
      <c r="E23" s="112"/>
      <c r="F23" s="112"/>
      <c r="G23" s="112"/>
      <c r="H23" s="112"/>
    </row>
    <row r="24" customFormat="false" ht="114" hidden="false" customHeight="true" outlineLevel="0" collapsed="false">
      <c r="A24" s="113" t="str">
        <f aca="false">Checks!$A$665&amp;CHAR(10)&amp;IF(Checks!$I$665="","",Checks!$I$665&amp;": ")&amp;Checks!$J$665</f>
        <v>F21-T7-01
Meal: Meal sensory testing completed for this flight's menu cycle (assessed class)</v>
      </c>
      <c r="B24" s="113" t="str">
        <f aca="false">Checks!$K$665&amp;IF(Checks!$O$665="","",IF(Checks!$K$665="","",CHAR(10))&amp;"Note: "&amp;Checks!$O$665)</f>
        <v>Record panel result / score in Result
Note: Refreshment service: sensory test covers the refreshment items.</v>
      </c>
      <c r="C24" s="113" t="str">
        <f aca="false">Checks!$N$665&amp;CHAR(10)&amp;IF(ISNUMBER(Checks!$R$665),TEXT(Checks!$R$665,"DD-MMM-YY HH:MM"),"")&amp;" "&amp;Checks!$P$665</f>
        <v>Required
23-Oct-26 14:45 KUL</v>
      </c>
      <c r="D24" s="113" t="str">
        <f aca="false">IF(Checks!$U$665="","",Checks!$U$665)&amp;IF(Checks!$AB$665="","",CHAR(10)&amp;"CA: "&amp;Checks!$AB$665)</f>
        <v/>
      </c>
      <c r="E24" s="113" t="str">
        <f aca="false">IF(Checks!$V$665="","",Checks!$V$665)&amp;IF(Checks!$AC$665="","",IF(Checks!$V$665="","",CHAR(10))&amp;"N/A just.: "&amp;Checks!$AC$665)&amp;IF(Checks!$W$665="","",CHAR(10)&amp;"Batch: "&amp;Checks!$W$665)&amp;IF(AND(Checks!$X$665="",Checks!$Y$665=""),"",CHAR(10)&amp;"Exp: "&amp;Checks!$X$665&amp;"  /  Act: "&amp;Checks!$Y$665)</f>
        <v/>
      </c>
      <c r="F24" s="113" t="str">
        <f aca="false">IF(Checks!$Z$665="","","Evidence: "&amp;Checks!$Z$665)&amp;IF(Checks!$AA$665="","",IF(Checks!$Z$665="","",CHAR(10))&amp;"CA: "&amp;Checks!$AA$665)</f>
        <v/>
      </c>
      <c r="G24" s="113" t="str">
        <f aca="false">IF(ISNUMBER(Checks!$AD$665),TEXT(Checks!$AD$665,"DD-MMM-YY HH:MM")&amp;" "&amp;Checks!$P$665,"")&amp;IF(Checks!$AE$665="","",CHAR(10)&amp;"Verifier: "&amp;Checks!$AE$665)&amp;IF(Checks!$T$665="","",CHAR(10)&amp;"PIC: "&amp;Checks!$T$665)</f>
        <v/>
      </c>
      <c r="H24" s="114" t="str">
        <f aca="false">IF(Checks!$AH$665="","",Checks!$AH$665)</f>
        <v>OPEN</v>
      </c>
    </row>
    <row r="25" customFormat="false" ht="114" hidden="false" customHeight="true" outlineLevel="0" collapsed="false">
      <c r="A25" s="113" t="str">
        <f aca="false">Checks!$A$666&amp;CHAR(10)&amp;IF(Checks!$I$666="","",Checks!$I$666&amp;": ")&amp;Checks!$J$666</f>
        <v>F21-T7-02
Menu: Printed menu cards confirmed (content, cycle, language, quantity)</v>
      </c>
      <c r="B25" s="113" t="str">
        <f aca="false">Checks!$K$666&amp;IF(Checks!$O$666="","",IF(Checks!$K$666="","",CHAR(10))&amp;"Note: "&amp;Checks!$O$666)</f>
        <v>Menu card matches approved menu for this flight
Note: Refreshment service (peanut &amp; water). If no printed menu card is used, mark N/A with the confirmation as justification.</v>
      </c>
      <c r="C25" s="113" t="str">
        <f aca="false">Checks!$N$666&amp;CHAR(10)&amp;IF(ISNUMBER(Checks!$R$666),TEXT(Checks!$R$666,"DD-MMM-YY HH:MM"),"")&amp;" "&amp;Checks!$P$666</f>
        <v>Required
23-Oct-26 14:45 KUL</v>
      </c>
      <c r="D25" s="113" t="str">
        <f aca="false">IF(Checks!$U$666="","",Checks!$U$666)&amp;IF(Checks!$AB$666="","",CHAR(10)&amp;"CA: "&amp;Checks!$AB$666)</f>
        <v/>
      </c>
      <c r="E25" s="113" t="str">
        <f aca="false">IF(Checks!$V$666="","",Checks!$V$666)&amp;IF(Checks!$AC$666="","",IF(Checks!$V$666="","",CHAR(10))&amp;"N/A just.: "&amp;Checks!$AC$666)&amp;IF(Checks!$W$666="","",CHAR(10)&amp;"Batch: "&amp;Checks!$W$666)&amp;IF(AND(Checks!$X$666="",Checks!$Y$666=""),"",CHAR(10)&amp;"Exp: "&amp;Checks!$X$666&amp;"  /  Act: "&amp;Checks!$Y$666)</f>
        <v/>
      </c>
      <c r="F25" s="113" t="str">
        <f aca="false">IF(Checks!$Z$666="","","Evidence: "&amp;Checks!$Z$666)&amp;IF(Checks!$AA$666="","",IF(Checks!$Z$666="","",CHAR(10))&amp;"CA: "&amp;Checks!$AA$666)</f>
        <v/>
      </c>
      <c r="G25" s="113" t="str">
        <f aca="false">IF(ISNUMBER(Checks!$AD$666),TEXT(Checks!$AD$666,"DD-MMM-YY HH:MM")&amp;" "&amp;Checks!$P$666,"")&amp;IF(Checks!$AE$666="","",CHAR(10)&amp;"Verifier: "&amp;Checks!$AE$666)&amp;IF(Checks!$T$666="","",CHAR(10)&amp;"PIC: "&amp;Checks!$T$666)</f>
        <v/>
      </c>
      <c r="H25" s="114" t="str">
        <f aca="false">IF(Checks!$AH$666="","",Checks!$AH$666)</f>
        <v>OPEN</v>
      </c>
    </row>
    <row r="26" customFormat="false" ht="114" hidden="false" customHeight="true" outlineLevel="0" collapsed="false">
      <c r="A26" s="113" t="str">
        <f aca="false">Checks!$A$667&amp;CHAR(10)&amp;IF(Checks!$I$667="","",Checks!$I$667&amp;": ")&amp;Checks!$J$667</f>
        <v>F21-T7-03
IFE: Digital menu in IFE confirmed (A339 only)</v>
      </c>
      <c r="B26" s="113" t="str">
        <f aca="false">Checks!$K$667&amp;IF(Checks!$O$667="","",IF(Checks!$K$667="","",CHAR(10))&amp;"Note: "&amp;Checks!$O$667)</f>
        <v>Applies when fleet = A339
Note: Digital IFE menu applies to A339 only (user brief). Applicability follows the Fleet cell on Flights.</v>
      </c>
      <c r="C26" s="113" t="str">
        <f aca="false">Checks!$N$667&amp;CHAR(10)&amp;IF(ISNUMBER(Checks!$R$667),TEXT(Checks!$R$667,"DD-MMM-YY HH:MM"),"")&amp;" "&amp;Checks!$P$667</f>
        <v>N/A – rule
23-Oct-26 14:45 KUL</v>
      </c>
      <c r="D26" s="113" t="str">
        <f aca="false">IF(Checks!$U$667="","",Checks!$U$667)&amp;IF(Checks!$AB$667="","",CHAR(10)&amp;"CA: "&amp;Checks!$AB$667)</f>
        <v/>
      </c>
      <c r="E26" s="113" t="str">
        <f aca="false">IF(Checks!$V$667="","",Checks!$V$667)&amp;IF(Checks!$AC$667="","",IF(Checks!$V$667="","",CHAR(10))&amp;"N/A just.: "&amp;Checks!$AC$667)&amp;IF(Checks!$W$667="","",CHAR(10)&amp;"Batch: "&amp;Checks!$W$667)&amp;IF(AND(Checks!$X$667="",Checks!$Y$667=""),"",CHAR(10)&amp;"Exp: "&amp;Checks!$X$667&amp;"  /  Act: "&amp;Checks!$Y$667)</f>
        <v/>
      </c>
      <c r="F26" s="113" t="str">
        <f aca="false">IF(Checks!$Z$667="","","Evidence: "&amp;Checks!$Z$667)&amp;IF(Checks!$AA$667="","",IF(Checks!$Z$667="","",CHAR(10))&amp;"CA: "&amp;Checks!$AA$667)</f>
        <v/>
      </c>
      <c r="G26" s="113" t="str">
        <f aca="false">IF(ISNUMBER(Checks!$AD$667),TEXT(Checks!$AD$667,"DD-MMM-YY HH:MM")&amp;" "&amp;Checks!$P$667,"")&amp;IF(Checks!$AE$667="","",CHAR(10)&amp;"Verifier: "&amp;Checks!$AE$667)&amp;IF(Checks!$T$667="","",CHAR(10)&amp;"PIC: "&amp;Checks!$T$667)</f>
        <v/>
      </c>
      <c r="H26" s="114" t="str">
        <f aca="false">IF(Checks!$AH$667="","",Checks!$AH$667)</f>
        <v>N/A – RULE</v>
      </c>
    </row>
    <row r="27" customFormat="false" ht="114" hidden="false" customHeight="true" outlineLevel="0" collapsed="false">
      <c r="A27" s="113" t="str">
        <f aca="false">Checks!$A$668&amp;CHAR(10)&amp;IF(Checks!$I$668="","",Checks!$I$668&amp;": ")&amp;Checks!$J$668</f>
        <v>F21-T7-04
Staffing: Experienced catering officer assigned to this flight</v>
      </c>
      <c r="B27" s="113" t="str">
        <f aca="false">Checks!$K$668&amp;IF(Checks!$O$668="","",IF(Checks!$K$668="","",CHAR(10))&amp;"Note: "&amp;Checks!$O$668)</f>
        <v>Record officer name in Result</v>
      </c>
      <c r="C27" s="113" t="str">
        <f aca="false">Checks!$N$668&amp;CHAR(10)&amp;IF(ISNUMBER(Checks!$R$668),TEXT(Checks!$R$668,"DD-MMM-YY HH:MM"),"")&amp;" "&amp;Checks!$P$668</f>
        <v>Required
23-Oct-26 14:45 KUL</v>
      </c>
      <c r="D27" s="113" t="str">
        <f aca="false">IF(Checks!$U$668="","",Checks!$U$668)&amp;IF(Checks!$AB$668="","",CHAR(10)&amp;"CA: "&amp;Checks!$AB$668)</f>
        <v/>
      </c>
      <c r="E27" s="113" t="str">
        <f aca="false">IF(Checks!$V$668="","",Checks!$V$668)&amp;IF(Checks!$AC$668="","",IF(Checks!$V$668="","",CHAR(10))&amp;"N/A just.: "&amp;Checks!$AC$668)&amp;IF(Checks!$W$668="","",CHAR(10)&amp;"Batch: "&amp;Checks!$W$668)&amp;IF(AND(Checks!$X$668="",Checks!$Y$668=""),"",CHAR(10)&amp;"Exp: "&amp;Checks!$X$668&amp;"  /  Act: "&amp;Checks!$Y$668)</f>
        <v/>
      </c>
      <c r="F27" s="113" t="str">
        <f aca="false">IF(Checks!$Z$668="","","Evidence: "&amp;Checks!$Z$668)&amp;IF(Checks!$AA$668="","",IF(Checks!$Z$668="","",CHAR(10))&amp;"CA: "&amp;Checks!$AA$668)</f>
        <v/>
      </c>
      <c r="G27" s="113" t="str">
        <f aca="false">IF(ISNUMBER(Checks!$AD$668),TEXT(Checks!$AD$668,"DD-MMM-YY HH:MM")&amp;" "&amp;Checks!$P$668,"")&amp;IF(Checks!$AE$668="","",CHAR(10)&amp;"Verifier: "&amp;Checks!$AE$668)&amp;IF(Checks!$T$668="","",CHAR(10)&amp;"PIC: "&amp;Checks!$T$668)</f>
        <v/>
      </c>
      <c r="H27" s="114" t="str">
        <f aca="false">IF(Checks!$AH$668="","",Checks!$AH$668)</f>
        <v>OPEN</v>
      </c>
    </row>
    <row r="28" customFormat="false" ht="114" hidden="false" customHeight="true" outlineLevel="0" collapsed="false">
      <c r="A28" s="113" t="str">
        <f aca="false">Checks!$A$669&amp;CHAR(10)&amp;IF(Checks!$I$669="","",Checks!$I$669&amp;": ")&amp;Checks!$J$669</f>
        <v>F21-T7-05
ISOP: All latest applicable ISOP revisions communicated to caterer</v>
      </c>
      <c r="B28" s="113" t="str">
        <f aca="false">Checks!$K$669&amp;IF(Checks!$O$669="","",IF(Checks!$K$669="","",CHAR(10))&amp;"Note: "&amp;Checks!$O$669)</f>
        <v>List revision numbers in Result (see ISOP register)</v>
      </c>
      <c r="C28" s="113" t="str">
        <f aca="false">Checks!$N$669&amp;CHAR(10)&amp;IF(ISNUMBER(Checks!$R$669),TEXT(Checks!$R$669,"DD-MMM-YY HH:MM"),"")&amp;" "&amp;Checks!$P$669</f>
        <v>Required
23-Oct-26 14:45 KUL</v>
      </c>
      <c r="D28" s="113" t="str">
        <f aca="false">IF(Checks!$U$669="","",Checks!$U$669)&amp;IF(Checks!$AB$669="","",CHAR(10)&amp;"CA: "&amp;Checks!$AB$669)</f>
        <v/>
      </c>
      <c r="E28" s="113" t="str">
        <f aca="false">IF(Checks!$V$669="","",Checks!$V$669)&amp;IF(Checks!$AC$669="","",IF(Checks!$V$669="","",CHAR(10))&amp;"N/A just.: "&amp;Checks!$AC$669)&amp;IF(Checks!$W$669="","",CHAR(10)&amp;"Batch: "&amp;Checks!$W$669)&amp;IF(AND(Checks!$X$669="",Checks!$Y$669=""),"",CHAR(10)&amp;"Exp: "&amp;Checks!$X$669&amp;"  /  Act: "&amp;Checks!$Y$669)</f>
        <v/>
      </c>
      <c r="F28" s="113" t="str">
        <f aca="false">IF(Checks!$Z$669="","","Evidence: "&amp;Checks!$Z$669)&amp;IF(Checks!$AA$669="","",IF(Checks!$Z$669="","",CHAR(10))&amp;"CA: "&amp;Checks!$AA$669)</f>
        <v/>
      </c>
      <c r="G28" s="113" t="str">
        <f aca="false">IF(ISNUMBER(Checks!$AD$669),TEXT(Checks!$AD$669,"DD-MMM-YY HH:MM")&amp;" "&amp;Checks!$P$669,"")&amp;IF(Checks!$AE$669="","",CHAR(10)&amp;"Verifier: "&amp;Checks!$AE$669)&amp;IF(Checks!$T$669="","",CHAR(10)&amp;"PIC: "&amp;Checks!$T$669)</f>
        <v/>
      </c>
      <c r="H28" s="114" t="str">
        <f aca="false">IF(Checks!$AH$669="","",Checks!$AH$669)</f>
        <v>OPEN</v>
      </c>
    </row>
    <row r="29" customFormat="false" ht="114" hidden="false" customHeight="true" outlineLevel="0" collapsed="false">
      <c r="A29" s="113" t="str">
        <f aca="false">Checks!$A$670&amp;CHAR(10)&amp;IF(Checks!$I$670="","",Checks!$I$670&amp;": ")&amp;Checks!$J$670</f>
        <v>F21-T7-06
ISOP: Caterer acknowledgement of ISOP revisions recorded</v>
      </c>
      <c r="B29" s="113" t="str">
        <f aca="false">Checks!$K$670&amp;IF(Checks!$O$670="","",IF(Checks!$K$670="","",CHAR(10))&amp;"Note: "&amp;Checks!$O$670)</f>
        <v>Record acknowledgement ref in Evidence</v>
      </c>
      <c r="C29" s="113" t="str">
        <f aca="false">Checks!$N$670&amp;CHAR(10)&amp;IF(ISNUMBER(Checks!$R$670),TEXT(Checks!$R$670,"DD-MMM-YY HH:MM"),"")&amp;" "&amp;Checks!$P$670</f>
        <v>Required
23-Oct-26 14:45 KUL</v>
      </c>
      <c r="D29" s="113" t="str">
        <f aca="false">IF(Checks!$U$670="","",Checks!$U$670)&amp;IF(Checks!$AB$670="","",CHAR(10)&amp;"CA: "&amp;Checks!$AB$670)</f>
        <v/>
      </c>
      <c r="E29" s="113" t="str">
        <f aca="false">IF(Checks!$V$670="","",Checks!$V$670)&amp;IF(Checks!$AC$670="","",IF(Checks!$V$670="","",CHAR(10))&amp;"N/A just.: "&amp;Checks!$AC$670)&amp;IF(Checks!$W$670="","",CHAR(10)&amp;"Batch: "&amp;Checks!$W$670)&amp;IF(AND(Checks!$X$670="",Checks!$Y$670=""),"",CHAR(10)&amp;"Exp: "&amp;Checks!$X$670&amp;"  /  Act: "&amp;Checks!$Y$670)</f>
        <v/>
      </c>
      <c r="F29" s="113" t="str">
        <f aca="false">IF(Checks!$Z$670="","","Evidence: "&amp;Checks!$Z$670)&amp;IF(Checks!$AA$670="","",IF(Checks!$Z$670="","",CHAR(10))&amp;"CA: "&amp;Checks!$AA$670)</f>
        <v/>
      </c>
      <c r="G29" s="113" t="str">
        <f aca="false">IF(ISNUMBER(Checks!$AD$670),TEXT(Checks!$AD$670,"DD-MMM-YY HH:MM")&amp;" "&amp;Checks!$P$670,"")&amp;IF(Checks!$AE$670="","",CHAR(10)&amp;"Verifier: "&amp;Checks!$AE$670)&amp;IF(Checks!$T$670="","",CHAR(10)&amp;"PIC: "&amp;Checks!$T$670)</f>
        <v/>
      </c>
      <c r="H29" s="114" t="str">
        <f aca="false">IF(Checks!$AH$670="","",Checks!$AH$670)</f>
        <v>OPEN</v>
      </c>
    </row>
    <row r="30" customFormat="false" ht="114" hidden="false" customHeight="true" outlineLevel="0" collapsed="false">
      <c r="A30" s="113" t="str">
        <f aca="false">Checks!$A$671&amp;CHAR(10)&amp;IF(Checks!$I$671="","",Checks!$I$671&amp;": ")&amp;Checks!$J$671</f>
        <v>F21-T7-07
Documents: Galley loading diagram (GLD) received, revision recorded &amp; attached</v>
      </c>
      <c r="B30" s="113" t="str">
        <f aca="false">Checks!$K$671&amp;IF(Checks!$O$671="","",IF(Checks!$K$671="","",CHAR(10))&amp;"Note: "&amp;Checks!$O$671)</f>
        <v>Documents sheet row complete</v>
      </c>
      <c r="C30" s="113" t="str">
        <f aca="false">Checks!$N$671&amp;CHAR(10)&amp;IF(ISNUMBER(Checks!$R$671),TEXT(Checks!$R$671,"DD-MMM-YY HH:MM"),"")&amp;" "&amp;Checks!$P$671</f>
        <v>Required
23-Oct-26 14:45 KUL</v>
      </c>
      <c r="D30" s="113" t="str">
        <f aca="false">IF(Checks!$U$671="","",Checks!$U$671)&amp;IF(Checks!$AB$671="","",CHAR(10)&amp;"CA: "&amp;Checks!$AB$671)</f>
        <v/>
      </c>
      <c r="E30" s="113" t="str">
        <f aca="false">IF(Checks!$V$671="","",Checks!$V$671)&amp;IF(Checks!$AC$671="","",IF(Checks!$V$671="","",CHAR(10))&amp;"N/A just.: "&amp;Checks!$AC$671)&amp;IF(Checks!$W$671="","",CHAR(10)&amp;"Batch: "&amp;Checks!$W$671)&amp;IF(AND(Checks!$X$671="",Checks!$Y$671=""),"",CHAR(10)&amp;"Exp: "&amp;Checks!$X$671&amp;"  /  Act: "&amp;Checks!$Y$671)</f>
        <v/>
      </c>
      <c r="F30" s="113" t="str">
        <f aca="false">IF(Checks!$Z$671="","","Evidence: "&amp;Checks!$Z$671)&amp;IF(Checks!$AA$671="","",IF(Checks!$Z$671="","",CHAR(10))&amp;"CA: "&amp;Checks!$AA$671)</f>
        <v/>
      </c>
      <c r="G30" s="113" t="str">
        <f aca="false">IF(ISNUMBER(Checks!$AD$671),TEXT(Checks!$AD$671,"DD-MMM-YY HH:MM")&amp;" "&amp;Checks!$P$671,"")&amp;IF(Checks!$AE$671="","",CHAR(10)&amp;"Verifier: "&amp;Checks!$AE$671)&amp;IF(Checks!$T$671="","",CHAR(10)&amp;"PIC: "&amp;Checks!$T$671)</f>
        <v/>
      </c>
      <c r="H30" s="114" t="str">
        <f aca="false">IF(Checks!$AH$671="","",Checks!$AH$671)</f>
        <v>OPEN</v>
      </c>
    </row>
    <row r="31" customFormat="false" ht="114" hidden="false" customHeight="true" outlineLevel="0" collapsed="false">
      <c r="A31" s="113" t="str">
        <f aca="false">Checks!$A$672&amp;CHAR(10)&amp;IF(Checks!$I$672="","",Checks!$I$672&amp;": ")&amp;Checks!$J$672</f>
        <v>F21-T7-08
Documents: Menu checklist received, revision recorded &amp; attached</v>
      </c>
      <c r="B31" s="113" t="str">
        <f aca="false">Checks!$K$672&amp;IF(Checks!$O$672="","",IF(Checks!$K$672="","",CHAR(10))&amp;"Note: "&amp;Checks!$O$672)</f>
        <v>Documents sheet row complete</v>
      </c>
      <c r="C31" s="113" t="str">
        <f aca="false">Checks!$N$672&amp;CHAR(10)&amp;IF(ISNUMBER(Checks!$R$672),TEXT(Checks!$R$672,"DD-MMM-YY HH:MM"),"")&amp;" "&amp;Checks!$P$672</f>
        <v>Required
23-Oct-26 14:45 KUL</v>
      </c>
      <c r="D31" s="113" t="str">
        <f aca="false">IF(Checks!$U$672="","",Checks!$U$672)&amp;IF(Checks!$AB$672="","",CHAR(10)&amp;"CA: "&amp;Checks!$AB$672)</f>
        <v/>
      </c>
      <c r="E31" s="113" t="str">
        <f aca="false">IF(Checks!$V$672="","",Checks!$V$672)&amp;IF(Checks!$AC$672="","",IF(Checks!$V$672="","",CHAR(10))&amp;"N/A just.: "&amp;Checks!$AC$672)&amp;IF(Checks!$W$672="","",CHAR(10)&amp;"Batch: "&amp;Checks!$W$672)&amp;IF(AND(Checks!$X$672="",Checks!$Y$672=""),"",CHAR(10)&amp;"Exp: "&amp;Checks!$X$672&amp;"  /  Act: "&amp;Checks!$Y$672)</f>
        <v/>
      </c>
      <c r="F31" s="113" t="str">
        <f aca="false">IF(Checks!$Z$672="","","Evidence: "&amp;Checks!$Z$672)&amp;IF(Checks!$AA$672="","",IF(Checks!$Z$672="","",CHAR(10))&amp;"CA: "&amp;Checks!$AA$672)</f>
        <v/>
      </c>
      <c r="G31" s="113" t="str">
        <f aca="false">IF(ISNUMBER(Checks!$AD$672),TEXT(Checks!$AD$672,"DD-MMM-YY HH:MM")&amp;" "&amp;Checks!$P$672,"")&amp;IF(Checks!$AE$672="","",CHAR(10)&amp;"Verifier: "&amp;Checks!$AE$672)&amp;IF(Checks!$T$672="","",CHAR(10)&amp;"PIC: "&amp;Checks!$T$672)</f>
        <v/>
      </c>
      <c r="H31" s="114" t="str">
        <f aca="false">IF(Checks!$AH$672="","",Checks!$AH$672)</f>
        <v>OPEN</v>
      </c>
    </row>
    <row r="32" customFormat="false" ht="114" hidden="false" customHeight="true" outlineLevel="0" collapsed="false">
      <c r="A32" s="113" t="str">
        <f aca="false">Checks!$A$673&amp;CHAR(10)&amp;IF(Checks!$I$673="","",Checks!$I$673&amp;": ")&amp;Checks!$J$673</f>
        <v>F21-T7-09
Uplift plan: Uplift plan confirmed with caterer vs STD Uplift Information</v>
      </c>
      <c r="B32" s="113" t="str">
        <f aca="false">Checks!$K$673&amp;IF(Checks!$O$673="","",IF(Checks!$K$673="","",CHAR(10))&amp;"Note: "&amp;Checks!$O$673)</f>
        <v>Service: Refreshment (Peanut &amp; Water); meal uplift stn KUL (ref lists KUL)
Note: Return catering uplifted at KUL on the outbound rotation (ref uplift stn = KUL). Confirm aircraft rotation.</v>
      </c>
      <c r="C32" s="113" t="str">
        <f aca="false">Checks!$N$673&amp;CHAR(10)&amp;IF(ISNUMBER(Checks!$R$673),TEXT(Checks!$R$673,"DD-MMM-YY HH:MM"),"")&amp;" "&amp;Checks!$P$673</f>
        <v>Required
23-Oct-26 14:45 KUL</v>
      </c>
      <c r="D32" s="113" t="str">
        <f aca="false">IF(Checks!$U$673="","",Checks!$U$673)&amp;IF(Checks!$AB$673="","",CHAR(10)&amp;"CA: "&amp;Checks!$AB$673)</f>
        <v/>
      </c>
      <c r="E32" s="113" t="str">
        <f aca="false">IF(Checks!$V$673="","",Checks!$V$673)&amp;IF(Checks!$AC$673="","",IF(Checks!$V$673="","",CHAR(10))&amp;"N/A just.: "&amp;Checks!$AC$673)&amp;IF(Checks!$W$673="","",CHAR(10)&amp;"Batch: "&amp;Checks!$W$673)&amp;IF(AND(Checks!$X$673="",Checks!$Y$673=""),"",CHAR(10)&amp;"Exp: "&amp;Checks!$X$673&amp;"  /  Act: "&amp;Checks!$Y$673)</f>
        <v/>
      </c>
      <c r="F32" s="113" t="str">
        <f aca="false">IF(Checks!$Z$673="","","Evidence: "&amp;Checks!$Z$673)&amp;IF(Checks!$AA$673="","",IF(Checks!$Z$673="","",CHAR(10))&amp;"CA: "&amp;Checks!$AA$673)</f>
        <v/>
      </c>
      <c r="G32" s="113" t="str">
        <f aca="false">IF(ISNUMBER(Checks!$AD$673),TEXT(Checks!$AD$673,"DD-MMM-YY HH:MM")&amp;" "&amp;Checks!$P$673,"")&amp;IF(Checks!$AE$673="","",CHAR(10)&amp;"Verifier: "&amp;Checks!$AE$673)&amp;IF(Checks!$T$673="","",CHAR(10)&amp;"PIC: "&amp;Checks!$T$673)</f>
        <v/>
      </c>
      <c r="H32" s="114" t="str">
        <f aca="false">IF(Checks!$AH$673="","",Checks!$AH$673)</f>
        <v>OPEN</v>
      </c>
    </row>
    <row r="33" customFormat="false" ht="223.5" hidden="false" customHeight="true" outlineLevel="0" collapsed="false">
      <c r="A33" s="113" t="str">
        <f aca="false">Checks!$A$674&amp;CHAR(10)&amp;IF(Checks!$I$674="","",Checks!$I$674&amp;": ")&amp;Checks!$J$674</f>
        <v>F21-T7-10
Uplift plan: Carrying flight for this leg's return catering identified and its KUL departure (UTC) entered on Flights col AX</v>
      </c>
      <c r="B33" s="113"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assume the candidate's KUL departure.</v>
      </c>
      <c r="C33" s="113" t="str">
        <f aca="false">Checks!$N$674&amp;CHAR(10)&amp;IF(ISNUMBER(Checks!$R$674),TEXT(Checks!$R$674,"DD-MMM-YY HH:MM"),"")&amp;" "&amp;Checks!$P$674</f>
        <v>Clarification required
23-Oct-26 14:45 KUL</v>
      </c>
      <c r="D33" s="113" t="str">
        <f aca="false">IF(Checks!$U$674="","",Checks!$U$674)&amp;IF(Checks!$AB$674="","",CHAR(10)&amp;"CA: "&amp;Checks!$AB$674)</f>
        <v/>
      </c>
      <c r="E33" s="113" t="str">
        <f aca="false">IF(Checks!$V$674="","",Checks!$V$674)&amp;IF(Checks!$AC$674="","",IF(Checks!$V$674="","",CHAR(10))&amp;"N/A just.: "&amp;Checks!$AC$674)&amp;IF(Checks!$W$674="","",CHAR(10)&amp;"Batch: "&amp;Checks!$W$674)&amp;IF(AND(Checks!$X$674="",Checks!$Y$674=""),"",CHAR(10)&amp;"Exp: "&amp;Checks!$X$674&amp;"  /  Act: "&amp;Checks!$Y$674)</f>
        <v/>
      </c>
      <c r="F33" s="113" t="str">
        <f aca="false">IF(Checks!$Z$674="","","Evidence: "&amp;Checks!$Z$674)&amp;IF(Checks!$AA$674="","",IF(Checks!$Z$674="","",CHAR(10))&amp;"CA: "&amp;Checks!$AA$674)</f>
        <v/>
      </c>
      <c r="G33" s="113" t="str">
        <f aca="false">IF(ISNUMBER(Checks!$AD$674),TEXT(Checks!$AD$674,"DD-MMM-YY HH:MM")&amp;" "&amp;Checks!$P$674,"")&amp;IF(Checks!$AE$674="","",CHAR(10)&amp;"Verifier: "&amp;Checks!$AE$674)&amp;IF(Checks!$T$674="","",CHAR(10)&amp;"PIC: "&amp;Checks!$T$674)</f>
        <v/>
      </c>
      <c r="H33" s="114" t="str">
        <f aca="false">IF(Checks!$AH$674="","",Checks!$AH$674)</f>
        <v>OPEN – CLARIFICATION</v>
      </c>
    </row>
    <row r="34" customFormat="false" ht="25.5" hidden="false" customHeight="true" outlineLevel="0" collapsed="false">
      <c r="A34" s="112"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2"/>
      <c r="C34" s="112"/>
      <c r="D34" s="112"/>
      <c r="E34" s="112"/>
      <c r="F34" s="112"/>
      <c r="G34" s="112"/>
      <c r="H34" s="112"/>
    </row>
    <row r="35" customFormat="false" ht="114" hidden="false" customHeight="true" outlineLevel="0" collapsed="false">
      <c r="A35" s="113" t="str">
        <f aca="false">Checks!$A$675&amp;CHAR(10)&amp;IF(Checks!$I$675="","",Checks!$I$675&amp;": ")&amp;Checks!$J$675</f>
        <v>F21-T24-01
Meal: Sensory test repeated on ACTUAL production batch for this flight</v>
      </c>
      <c r="B35" s="113" t="str">
        <f aca="false">Checks!$K$675&amp;IF(Checks!$O$675="","",IF(Checks!$K$675="","",CHAR(10))&amp;"Note: "&amp;Checks!$O$675)</f>
        <v>Batch ID, result, CA and acceptance mandatory
Note: Round-trip catered from KUL: due capped at the KUL loading deadline (Flights AY).</v>
      </c>
      <c r="C35" s="113" t="str">
        <f aca="false">Checks!$N$675&amp;CHAR(10)&amp;IF(ISNUMBER(Checks!$R$675),TEXT(Checks!$R$675,"DD-MMM-YY HH:MM"),"")&amp;" "&amp;Checks!$P$675</f>
        <v>Required
29-Oct-26 12:30 KUL</v>
      </c>
      <c r="D35" s="113" t="str">
        <f aca="false">IF(Checks!$U$675="","",Checks!$U$675)&amp;IF(Checks!$AB$675="","",CHAR(10)&amp;"CA: "&amp;Checks!$AB$675)</f>
        <v/>
      </c>
      <c r="E35" s="113" t="str">
        <f aca="false">IF(Checks!$V$675="","",Checks!$V$675)&amp;IF(Checks!$AC$675="","",IF(Checks!$V$675="","",CHAR(10))&amp;"N/A just.: "&amp;Checks!$AC$675)&amp;IF(Checks!$W$675="","",CHAR(10)&amp;"Batch: "&amp;Checks!$W$675)&amp;IF(AND(Checks!$X$675="",Checks!$Y$675=""),"",CHAR(10)&amp;"Exp: "&amp;Checks!$X$675&amp;"  /  Act: "&amp;Checks!$Y$675)</f>
        <v/>
      </c>
      <c r="F35" s="113" t="str">
        <f aca="false">IF(Checks!$Z$675="","","Evidence: "&amp;Checks!$Z$675)&amp;IF(Checks!$AA$675="","",IF(Checks!$Z$675="","",CHAR(10))&amp;"CA: "&amp;Checks!$AA$675)</f>
        <v/>
      </c>
      <c r="G35" s="113" t="str">
        <f aca="false">IF(ISNUMBER(Checks!$AD$675),TEXT(Checks!$AD$675,"DD-MMM-YY HH:MM")&amp;" "&amp;Checks!$P$675,"")&amp;IF(Checks!$AE$675="","",CHAR(10)&amp;"Verifier: "&amp;Checks!$AE$675)&amp;IF(Checks!$T$675="","",CHAR(10)&amp;"PIC: "&amp;Checks!$T$675)</f>
        <v/>
      </c>
      <c r="H35" s="114" t="str">
        <f aca="false">IF(Checks!$AH$675="","",Checks!$AH$675)</f>
        <v>OPEN</v>
      </c>
    </row>
    <row r="36" customFormat="false" ht="25.5" hidden="false" customHeight="true" outlineLevel="0" collapsed="false">
      <c r="A36" s="112"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2"/>
      <c r="C36" s="112"/>
      <c r="D36" s="112"/>
      <c r="E36" s="112"/>
      <c r="F36" s="112"/>
      <c r="G36" s="112"/>
      <c r="H36" s="112"/>
    </row>
    <row r="37" customFormat="false" ht="114" hidden="false" customHeight="true" outlineLevel="0" collapsed="false">
      <c r="A37" s="113" t="str">
        <f aca="false">Checks!$A$676&amp;CHAR(10)&amp;IF(Checks!$I$676="","",Checks!$I$676&amp;": ")&amp;Checks!$J$676</f>
        <v>F21-T12-01
Meal: Meal quality vs menu checklist</v>
      </c>
      <c r="B37" s="113" t="str">
        <f aca="false">Checks!$K$676&amp;IF(Checks!$O$676="","",IF(Checks!$K$676="","",CHAR(10))&amp;"Note: "&amp;Checks!$O$676)</f>
        <v>Note: Preparation check at caterer - does NOT confirm loading. Round-trip catered from KUL: due capped at the KUL loading deadline (Flights AY).</v>
      </c>
      <c r="C37" s="113" t="str">
        <f aca="false">Checks!$N$676&amp;CHAR(10)&amp;IF(ISNUMBER(Checks!$R$676),TEXT(Checks!$R$676,"DD-MMM-YY HH:MM"),"")&amp;" "&amp;Checks!$P$676</f>
        <v>Required
29-Oct-26 12:30 KUL</v>
      </c>
      <c r="D37" s="113" t="str">
        <f aca="false">IF(Checks!$U$676="","",Checks!$U$676)&amp;IF(Checks!$AB$676="","",CHAR(10)&amp;"CA: "&amp;Checks!$AB$676)</f>
        <v/>
      </c>
      <c r="E37" s="113" t="str">
        <f aca="false">IF(Checks!$V$676="","",Checks!$V$676)&amp;IF(Checks!$AC$676="","",IF(Checks!$V$676="","",CHAR(10))&amp;"N/A just.: "&amp;Checks!$AC$676)&amp;IF(Checks!$W$676="","",CHAR(10)&amp;"Batch: "&amp;Checks!$W$676)&amp;IF(AND(Checks!$X$676="",Checks!$Y$676=""),"",CHAR(10)&amp;"Exp: "&amp;Checks!$X$676&amp;"  /  Act: "&amp;Checks!$Y$676)</f>
        <v/>
      </c>
      <c r="F37" s="113" t="str">
        <f aca="false">IF(Checks!$Z$676="","","Evidence: "&amp;Checks!$Z$676)&amp;IF(Checks!$AA$676="","",IF(Checks!$Z$676="","",CHAR(10))&amp;"CA: "&amp;Checks!$AA$676)</f>
        <v/>
      </c>
      <c r="G37" s="113" t="str">
        <f aca="false">IF(ISNUMBER(Checks!$AD$676),TEXT(Checks!$AD$676,"DD-MMM-YY HH:MM")&amp;" "&amp;Checks!$P$676,"")&amp;IF(Checks!$AE$676="","",CHAR(10)&amp;"Verifier: "&amp;Checks!$AE$676)&amp;IF(Checks!$T$676="","",CHAR(10)&amp;"PIC: "&amp;Checks!$T$676)</f>
        <v/>
      </c>
      <c r="H37" s="114" t="str">
        <f aca="false">IF(Checks!$AH$676="","",Checks!$AH$676)</f>
        <v>OPEN</v>
      </c>
    </row>
    <row r="38" customFormat="false" ht="114" hidden="false" customHeight="true" outlineLevel="0" collapsed="false">
      <c r="A38" s="113" t="str">
        <f aca="false">Checks!$A$677&amp;CHAR(10)&amp;IF(Checks!$I$677="","",Checks!$I$677&amp;": ")&amp;Checks!$J$677</f>
        <v>F21-T12-02
Meal: Meal quantities vs menu checklist</v>
      </c>
      <c r="B38" s="113" t="str">
        <f aca="false">Checks!$K$677&amp;IF(Checks!$O$677="","",IF(Checks!$K$677="","",CHAR(10))&amp;"Note: "&amp;Checks!$O$677)</f>
        <v>Enter expected &amp; actual
Note: Preparation check at caterer - does NOT confirm loading. Round-trip catered from KUL: due capped at the KUL loading deadline (Flights AY).</v>
      </c>
      <c r="C38" s="113" t="str">
        <f aca="false">Checks!$N$677&amp;CHAR(10)&amp;IF(ISNUMBER(Checks!$R$677),TEXT(Checks!$R$677,"DD-MMM-YY HH:MM"),"")&amp;" "&amp;Checks!$P$677</f>
        <v>Required
29-Oct-26 12:30 KUL</v>
      </c>
      <c r="D38" s="113" t="str">
        <f aca="false">IF(Checks!$U$677="","",Checks!$U$677)&amp;IF(Checks!$AB$677="","",CHAR(10)&amp;"CA: "&amp;Checks!$AB$677)</f>
        <v/>
      </c>
      <c r="E38" s="113" t="str">
        <f aca="false">IF(Checks!$V$677="","",Checks!$V$677)&amp;IF(Checks!$AC$677="","",IF(Checks!$V$677="","",CHAR(10))&amp;"N/A just.: "&amp;Checks!$AC$677)&amp;IF(Checks!$W$677="","",CHAR(10)&amp;"Batch: "&amp;Checks!$W$677)&amp;IF(AND(Checks!$X$677="",Checks!$Y$677=""),"",CHAR(10)&amp;"Exp: "&amp;Checks!$X$677&amp;"  /  Act: "&amp;Checks!$Y$677)</f>
        <v/>
      </c>
      <c r="F38" s="113" t="str">
        <f aca="false">IF(Checks!$Z$677="","","Evidence: "&amp;Checks!$Z$677)&amp;IF(Checks!$AA$677="","",IF(Checks!$Z$677="","",CHAR(10))&amp;"CA: "&amp;Checks!$AA$677)</f>
        <v/>
      </c>
      <c r="G38" s="113" t="str">
        <f aca="false">IF(ISNUMBER(Checks!$AD$677),TEXT(Checks!$AD$677,"DD-MMM-YY HH:MM")&amp;" "&amp;Checks!$P$677,"")&amp;IF(Checks!$AE$677="","",CHAR(10)&amp;"Verifier: "&amp;Checks!$AE$677)&amp;IF(Checks!$T$677="","",CHAR(10)&amp;"PIC: "&amp;Checks!$T$677)</f>
        <v/>
      </c>
      <c r="H38" s="114" t="str">
        <f aca="false">IF(Checks!$AH$677="","",Checks!$AH$677)</f>
        <v>OPEN</v>
      </c>
    </row>
    <row r="39" customFormat="false" ht="114" hidden="false" customHeight="true" outlineLevel="0" collapsed="false">
      <c r="A39" s="113" t="str">
        <f aca="false">Checks!$A$678&amp;CHAR(10)&amp;IF(Checks!$I$678="","",Checks!$I$678&amp;": ")&amp;Checks!$J$678</f>
        <v>F21-T12-03
Equipment: Equipment cleanliness vs GLD</v>
      </c>
      <c r="B39" s="113" t="str">
        <f aca="false">Checks!$K$678&amp;IF(Checks!$O$678="","",IF(Checks!$K$678="","",CHAR(10))&amp;"Note: "&amp;Checks!$O$678)</f>
        <v>Note: Preparation check at caterer - does NOT confirm loading. Round-trip catered from KUL: due capped at the KUL loading deadline (Flights AY).</v>
      </c>
      <c r="C39" s="113" t="str">
        <f aca="false">Checks!$N$678&amp;CHAR(10)&amp;IF(ISNUMBER(Checks!$R$678),TEXT(Checks!$R$678,"DD-MMM-YY HH:MM"),"")&amp;" "&amp;Checks!$P$678</f>
        <v>Required
29-Oct-26 12:30 KUL</v>
      </c>
      <c r="D39" s="113" t="str">
        <f aca="false">IF(Checks!$U$678="","",Checks!$U$678)&amp;IF(Checks!$AB$678="","",CHAR(10)&amp;"CA: "&amp;Checks!$AB$678)</f>
        <v/>
      </c>
      <c r="E39" s="113" t="str">
        <f aca="false">IF(Checks!$V$678="","",Checks!$V$678)&amp;IF(Checks!$AC$678="","",IF(Checks!$V$678="","",CHAR(10))&amp;"N/A just.: "&amp;Checks!$AC$678)&amp;IF(Checks!$W$678="","",CHAR(10)&amp;"Batch: "&amp;Checks!$W$678)&amp;IF(AND(Checks!$X$678="",Checks!$Y$678=""),"",CHAR(10)&amp;"Exp: "&amp;Checks!$X$678&amp;"  /  Act: "&amp;Checks!$Y$678)</f>
        <v/>
      </c>
      <c r="F39" s="113" t="str">
        <f aca="false">IF(Checks!$Z$678="","","Evidence: "&amp;Checks!$Z$678)&amp;IF(Checks!$AA$678="","",IF(Checks!$Z$678="","",CHAR(10))&amp;"CA: "&amp;Checks!$AA$678)</f>
        <v/>
      </c>
      <c r="G39" s="113" t="str">
        <f aca="false">IF(ISNUMBER(Checks!$AD$678),TEXT(Checks!$AD$678,"DD-MMM-YY HH:MM")&amp;" "&amp;Checks!$P$678,"")&amp;IF(Checks!$AE$678="","",CHAR(10)&amp;"Verifier: "&amp;Checks!$AE$678)&amp;IF(Checks!$T$678="","",CHAR(10)&amp;"PIC: "&amp;Checks!$T$678)</f>
        <v/>
      </c>
      <c r="H39" s="114" t="str">
        <f aca="false">IF(Checks!$AH$678="","",Checks!$AH$678)</f>
        <v>OPEN</v>
      </c>
    </row>
    <row r="40" customFormat="false" ht="114" hidden="false" customHeight="true" outlineLevel="0" collapsed="false">
      <c r="A40" s="113" t="str">
        <f aca="false">Checks!$A$679&amp;CHAR(10)&amp;IF(Checks!$I$679="","",Checks!$I$679&amp;": ")&amp;Checks!$J$679</f>
        <v>F21-T12-04
Equipment: Equipment presentation vs GLD</v>
      </c>
      <c r="B40" s="113" t="str">
        <f aca="false">Checks!$K$679&amp;IF(Checks!$O$679="","",IF(Checks!$K$679="","",CHAR(10))&amp;"Note: "&amp;Checks!$O$679)</f>
        <v>Note: Preparation check at caterer - does NOT confirm loading. Round-trip catered from KUL: due capped at the KUL loading deadline (Flights AY).</v>
      </c>
      <c r="C40" s="113" t="str">
        <f aca="false">Checks!$N$679&amp;CHAR(10)&amp;IF(ISNUMBER(Checks!$R$679),TEXT(Checks!$R$679,"DD-MMM-YY HH:MM"),"")&amp;" "&amp;Checks!$P$679</f>
        <v>Required
29-Oct-26 12:30 KUL</v>
      </c>
      <c r="D40" s="113" t="str">
        <f aca="false">IF(Checks!$U$679="","",Checks!$U$679)&amp;IF(Checks!$AB$679="","",CHAR(10)&amp;"CA: "&amp;Checks!$AB$679)</f>
        <v/>
      </c>
      <c r="E40" s="113" t="str">
        <f aca="false">IF(Checks!$V$679="","",Checks!$V$679)&amp;IF(Checks!$AC$679="","",IF(Checks!$V$679="","",CHAR(10))&amp;"N/A just.: "&amp;Checks!$AC$679)&amp;IF(Checks!$W$679="","",CHAR(10)&amp;"Batch: "&amp;Checks!$W$679)&amp;IF(AND(Checks!$X$679="",Checks!$Y$679=""),"",CHAR(10)&amp;"Exp: "&amp;Checks!$X$679&amp;"  /  Act: "&amp;Checks!$Y$679)</f>
        <v/>
      </c>
      <c r="F40" s="113" t="str">
        <f aca="false">IF(Checks!$Z$679="","","Evidence: "&amp;Checks!$Z$679)&amp;IF(Checks!$AA$679="","",IF(Checks!$Z$679="","",CHAR(10))&amp;"CA: "&amp;Checks!$AA$679)</f>
        <v/>
      </c>
      <c r="G40" s="113" t="str">
        <f aca="false">IF(ISNUMBER(Checks!$AD$679),TEXT(Checks!$AD$679,"DD-MMM-YY HH:MM")&amp;" "&amp;Checks!$P$679,"")&amp;IF(Checks!$AE$679="","",CHAR(10)&amp;"Verifier: "&amp;Checks!$AE$679)&amp;IF(Checks!$T$679="","",CHAR(10)&amp;"PIC: "&amp;Checks!$T$679)</f>
        <v/>
      </c>
      <c r="H40" s="114" t="str">
        <f aca="false">IF(Checks!$AH$679="","",Checks!$AH$679)</f>
        <v>OPEN</v>
      </c>
    </row>
    <row r="41" customFormat="false" ht="114" hidden="false" customHeight="true" outlineLevel="0" collapsed="false">
      <c r="A41" s="113" t="str">
        <f aca="false">Checks!$A$680&amp;CHAR(10)&amp;IF(Checks!$I$680="","",Checks!$I$680&amp;": ")&amp;Checks!$J$680</f>
        <v>F21-T12-05
Equipment: Equipment serviceability vs GLD</v>
      </c>
      <c r="B41" s="113" t="str">
        <f aca="false">Checks!$K$680&amp;IF(Checks!$O$680="","",IF(Checks!$K$680="","",CHAR(10))&amp;"Note: "&amp;Checks!$O$680)</f>
        <v>Note: Preparation check at caterer - does NOT confirm loading. Round-trip catered from KUL: due capped at the KUL loading deadline (Flights AY).</v>
      </c>
      <c r="C41" s="113" t="str">
        <f aca="false">Checks!$N$680&amp;CHAR(10)&amp;IF(ISNUMBER(Checks!$R$680),TEXT(Checks!$R$680,"DD-MMM-YY HH:MM"),"")&amp;" "&amp;Checks!$P$680</f>
        <v>Required
29-Oct-26 12:30 KUL</v>
      </c>
      <c r="D41" s="113" t="str">
        <f aca="false">IF(Checks!$U$680="","",Checks!$U$680)&amp;IF(Checks!$AB$680="","",CHAR(10)&amp;"CA: "&amp;Checks!$AB$680)</f>
        <v/>
      </c>
      <c r="E41" s="113" t="str">
        <f aca="false">IF(Checks!$V$680="","",Checks!$V$680)&amp;IF(Checks!$AC$680="","",IF(Checks!$V$680="","",CHAR(10))&amp;"N/A just.: "&amp;Checks!$AC$680)&amp;IF(Checks!$W$680="","",CHAR(10)&amp;"Batch: "&amp;Checks!$W$680)&amp;IF(AND(Checks!$X$680="",Checks!$Y$680=""),"",CHAR(10)&amp;"Exp: "&amp;Checks!$X$680&amp;"  /  Act: "&amp;Checks!$Y$680)</f>
        <v/>
      </c>
      <c r="F41" s="113" t="str">
        <f aca="false">IF(Checks!$Z$680="","","Evidence: "&amp;Checks!$Z$680)&amp;IF(Checks!$AA$680="","",IF(Checks!$Z$680="","",CHAR(10))&amp;"CA: "&amp;Checks!$AA$680)</f>
        <v/>
      </c>
      <c r="G41" s="113" t="str">
        <f aca="false">IF(ISNUMBER(Checks!$AD$680),TEXT(Checks!$AD$680,"DD-MMM-YY HH:MM")&amp;" "&amp;Checks!$P$680,"")&amp;IF(Checks!$AE$680="","",CHAR(10)&amp;"Verifier: "&amp;Checks!$AE$680)&amp;IF(Checks!$T$680="","",CHAR(10)&amp;"PIC: "&amp;Checks!$T$680)</f>
        <v/>
      </c>
      <c r="H41" s="114" t="str">
        <f aca="false">IF(Checks!$AH$680="","",Checks!$AH$680)</f>
        <v>OPEN</v>
      </c>
    </row>
    <row r="42" customFormat="false" ht="234.75" hidden="false" customHeight="true" outlineLevel="0" collapsed="false">
      <c r="A42" s="113" t="str">
        <f aca="false">Checks!$A$681&amp;CHAR(10)&amp;IF(Checks!$I$681="","",Checks!$I$681&amp;": ")&amp;Checks!$J$681</f>
        <v>F21-T12-06
Equipment: Equipment quantities vs GLD</v>
      </c>
      <c r="B42" s="113" t="str">
        <f aca="false">SUBSTITUTE(Checks!$K$681&amp;IF(Checks!$O$681="","",IF(Checks!$K$681="","",CHAR(10))&amp;"Note: "&amp;Checks!$O$681),"AIRCRAFT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3" t="str">
        <f aca="false">Checks!$N$681&amp;CHAR(10)&amp;IF(ISNUMBER(Checks!$R$681),TEXT(Checks!$R$681,"DD-MMM-YY HH:MM"),"")&amp;" "&amp;Checks!$P$681</f>
        <v>Required
29-Oct-26 12:30 KUL</v>
      </c>
      <c r="D42" s="113" t="str">
        <f aca="false">IF(Checks!$U$681="","",Checks!$U$681)&amp;IF(Checks!$AB$681="","",CHAR(10)&amp;"CA: "&amp;Checks!$AB$681)</f>
        <v/>
      </c>
      <c r="E42" s="113" t="str">
        <f aca="false">IF(Checks!$V$681="","",Checks!$V$681)&amp;IF(Checks!$AC$681="","",IF(Checks!$V$681="","",CHAR(10))&amp;"N/A just.: "&amp;Checks!$AC$681)&amp;IF(Checks!$W$681="","",CHAR(10)&amp;"Batch: "&amp;Checks!$W$681)&amp;IF(AND(Checks!$X$681="",Checks!$Y$681=""),"",CHAR(10)&amp;"Exp: "&amp;Checks!$X$681&amp;"  /  Act: "&amp;Checks!$Y$681)</f>
        <v/>
      </c>
      <c r="F42" s="113" t="str">
        <f aca="false">IF(Checks!$Z$681="","","Evidence: "&amp;Checks!$Z$681)&amp;IF(Checks!$AA$681="","",IF(Checks!$Z$681="","",CHAR(10))&amp;"CA: "&amp;Checks!$AA$681)</f>
        <v/>
      </c>
      <c r="G42" s="113" t="str">
        <f aca="false">IF(ISNUMBER(Checks!$AD$681),TEXT(Checks!$AD$681,"DD-MMM-YY HH:MM")&amp;" "&amp;Checks!$P$681,"")&amp;IF(Checks!$AE$681="","",CHAR(10)&amp;"Verifier: "&amp;Checks!$AE$681)&amp;IF(Checks!$T$681="","",CHAR(10)&amp;"PIC: "&amp;Checks!$T$681)</f>
        <v/>
      </c>
      <c r="H42" s="114" t="str">
        <f aca="false">IF(Checks!$AH$681="","",Checks!$AH$681)</f>
        <v>OPEN</v>
      </c>
    </row>
    <row r="43" customFormat="false" ht="114" hidden="false" customHeight="true" outlineLevel="0" collapsed="false">
      <c r="A43" s="113" t="str">
        <f aca="false">Checks!$A$682&amp;CHAR(10)&amp;IF(Checks!$I$682="","",Checks!$I$682&amp;": ")&amp;Checks!$J$682</f>
        <v>F21-T12-07
Equipment: Loading positions planned vs GLD</v>
      </c>
      <c r="B43" s="113" t="str">
        <f aca="false">Checks!$K$682&amp;IF(Checks!$O$682="","",IF(Checks!$K$682="","",CHAR(10))&amp;"Note: "&amp;Checks!$O$682)</f>
        <v>Note: Preparation check at caterer - does NOT confirm loading. Round-trip catered from KUL: due capped at the KUL loading deadline (Flights AY).</v>
      </c>
      <c r="C43" s="113" t="str">
        <f aca="false">Checks!$N$682&amp;CHAR(10)&amp;IF(ISNUMBER(Checks!$R$682),TEXT(Checks!$R$682,"DD-MMM-YY HH:MM"),"")&amp;" "&amp;Checks!$P$682</f>
        <v>Required
29-Oct-26 12:30 KUL</v>
      </c>
      <c r="D43" s="113" t="str">
        <f aca="false">IF(Checks!$U$682="","",Checks!$U$682)&amp;IF(Checks!$AB$682="","",CHAR(10)&amp;"CA: "&amp;Checks!$AB$682)</f>
        <v/>
      </c>
      <c r="E43" s="113" t="str">
        <f aca="false">IF(Checks!$V$682="","",Checks!$V$682)&amp;IF(Checks!$AC$682="","",IF(Checks!$V$682="","",CHAR(10))&amp;"N/A just.: "&amp;Checks!$AC$682)&amp;IF(Checks!$W$682="","",CHAR(10)&amp;"Batch: "&amp;Checks!$W$682)&amp;IF(AND(Checks!$X$682="",Checks!$Y$682=""),"",CHAR(10)&amp;"Exp: "&amp;Checks!$X$682&amp;"  /  Act: "&amp;Checks!$Y$682)</f>
        <v/>
      </c>
      <c r="F43" s="113" t="str">
        <f aca="false">IF(Checks!$Z$682="","","Evidence: "&amp;Checks!$Z$682)&amp;IF(Checks!$AA$682="","",IF(Checks!$Z$682="","",CHAR(10))&amp;"CA: "&amp;Checks!$AA$682)</f>
        <v/>
      </c>
      <c r="G43" s="113" t="str">
        <f aca="false">IF(ISNUMBER(Checks!$AD$682),TEXT(Checks!$AD$682,"DD-MMM-YY HH:MM")&amp;" "&amp;Checks!$P$682,"")&amp;IF(Checks!$AE$682="","",CHAR(10)&amp;"Verifier: "&amp;Checks!$AE$682)&amp;IF(Checks!$T$682="","",CHAR(10)&amp;"PIC: "&amp;Checks!$T$682)</f>
        <v/>
      </c>
      <c r="H43" s="114" t="str">
        <f aca="false">IF(Checks!$AH$682="","",Checks!$AH$682)</f>
        <v>OPEN</v>
      </c>
    </row>
    <row r="44" customFormat="false" ht="223.5" hidden="false" customHeight="true" outlineLevel="0" collapsed="false">
      <c r="A44" s="113" t="str">
        <f aca="false">Checks!$A$683&amp;CHAR(10)&amp;IF(Checks!$I$683="","",Checks!$I$683&amp;": ")&amp;Checks!$J$683</f>
        <v>F21-T12-08
Amenities: Disposable slippers in DAM cart (BC, on request) - prepared</v>
      </c>
      <c r="B44" s="113"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v>
      </c>
      <c r="C44" s="113" t="str">
        <f aca="false">Checks!$N$683&amp;CHAR(10)&amp;IF(ISNUMBER(Checks!$R$683),TEXT(Checks!$R$683,"DD-MMM-YY HH:MM"),"")&amp;" "&amp;Checks!$P$683</f>
        <v>Required
29-Oct-26 12:30 KUL</v>
      </c>
      <c r="D44" s="113" t="str">
        <f aca="false">IF(Checks!$U$683="","",Checks!$U$683)&amp;IF(Checks!$AB$683="","",CHAR(10)&amp;"CA: "&amp;Checks!$AB$683)</f>
        <v/>
      </c>
      <c r="E44" s="113" t="str">
        <f aca="false">IF(Checks!$V$683="","",Checks!$V$683)&amp;IF(Checks!$AC$683="","",IF(Checks!$V$683="","",CHAR(10))&amp;"N/A just.: "&amp;Checks!$AC$683)&amp;IF(Checks!$W$683="","",CHAR(10)&amp;"Batch: "&amp;Checks!$W$683)&amp;IF(AND(Checks!$X$683="",Checks!$Y$683=""),"",CHAR(10)&amp;"Exp: "&amp;Checks!$X$683&amp;"  /  Act: "&amp;Checks!$Y$683)</f>
        <v/>
      </c>
      <c r="F44" s="113" t="str">
        <f aca="false">IF(Checks!$Z$683="","","Evidence: "&amp;Checks!$Z$683)&amp;IF(Checks!$AA$683="","",IF(Checks!$Z$683="","",CHAR(10))&amp;"CA: "&amp;Checks!$AA$683)</f>
        <v/>
      </c>
      <c r="G44" s="113" t="str">
        <f aca="false">IF(ISNUMBER(Checks!$AD$683),TEXT(Checks!$AD$683,"DD-MMM-YY HH:MM")&amp;" "&amp;Checks!$P$683,"")&amp;IF(Checks!$AE$683="","",CHAR(10)&amp;"Verifier: "&amp;Checks!$AE$683)&amp;IF(Checks!$T$683="","",CHAR(10)&amp;"PIC: "&amp;Checks!$T$683)</f>
        <v/>
      </c>
      <c r="H44" s="114" t="str">
        <f aca="false">IF(Checks!$AH$683="","",Checks!$AH$683)</f>
        <v>OPEN</v>
      </c>
    </row>
    <row r="45" customFormat="false" ht="157.5" hidden="false" customHeight="true" outlineLevel="0" collapsed="false">
      <c r="A45" s="113" t="str">
        <f aca="false">Checks!$A$684&amp;CHAR(10)&amp;IF(Checks!$I$684="","",Checks!$I$684&amp;": ")&amp;Checks!$J$684</f>
        <v>F21-T12-09
F&amp;B Linen: Towel - prepared</v>
      </c>
      <c r="B45" s="113"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45" s="113" t="str">
        <f aca="false">Checks!$N$684&amp;CHAR(10)&amp;IF(ISNUMBER(Checks!$R$684),TEXT(Checks!$R$684,"DD-MMM-YY HH:MM"),"")&amp;" "&amp;Checks!$P$684</f>
        <v>Required
29-Oct-26 12:30 KUL</v>
      </c>
      <c r="D45" s="113" t="str">
        <f aca="false">IF(Checks!$U$684="","",Checks!$U$684)&amp;IF(Checks!$AB$684="","",CHAR(10)&amp;"CA: "&amp;Checks!$AB$684)</f>
        <v/>
      </c>
      <c r="E45" s="113" t="str">
        <f aca="false">IF(Checks!$V$684="","",Checks!$V$684)&amp;IF(Checks!$AC$684="","",IF(Checks!$V$684="","",CHAR(10))&amp;"N/A just.: "&amp;Checks!$AC$684)&amp;IF(Checks!$W$684="","",CHAR(10)&amp;"Batch: "&amp;Checks!$W$684)&amp;IF(AND(Checks!$X$684="",Checks!$Y$684=""),"",CHAR(10)&amp;"Exp: "&amp;Checks!$X$684&amp;"  /  Act: "&amp;Checks!$Y$684)</f>
        <v/>
      </c>
      <c r="F45" s="113" t="str">
        <f aca="false">IF(Checks!$Z$684="","","Evidence: "&amp;Checks!$Z$684)&amp;IF(Checks!$AA$684="","",IF(Checks!$Z$684="","",CHAR(10))&amp;"CA: "&amp;Checks!$AA$684)</f>
        <v/>
      </c>
      <c r="G45" s="113" t="str">
        <f aca="false">IF(ISNUMBER(Checks!$AD$684),TEXT(Checks!$AD$684,"DD-MMM-YY HH:MM")&amp;" "&amp;Checks!$P$684,"")&amp;IF(Checks!$AE$684="","",CHAR(10)&amp;"Verifier: "&amp;Checks!$AE$684)&amp;IF(Checks!$T$684="","",CHAR(10)&amp;"PIC: "&amp;Checks!$T$684)</f>
        <v/>
      </c>
      <c r="H45" s="114" t="str">
        <f aca="false">IF(Checks!$AH$684="","",Checks!$AH$684)</f>
        <v>OPEN</v>
      </c>
    </row>
    <row r="46" customFormat="false" ht="157.5" hidden="false" customHeight="true" outlineLevel="0" collapsed="false">
      <c r="A46" s="113" t="str">
        <f aca="false">Checks!$A$685&amp;CHAR(10)&amp;IF(Checks!$I$685="","",Checks!$I$685&amp;": ")&amp;Checks!$J$685</f>
        <v>F21-T12-10
F&amp;B Linen: Tray cloth - prepared</v>
      </c>
      <c r="B46" s="113"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46" s="113" t="str">
        <f aca="false">Checks!$N$685&amp;CHAR(10)&amp;IF(ISNUMBER(Checks!$R$685),TEXT(Checks!$R$685,"DD-MMM-YY HH:MM"),"")&amp;" "&amp;Checks!$P$685</f>
        <v>Required
29-Oct-26 12:30 KUL</v>
      </c>
      <c r="D46" s="113" t="str">
        <f aca="false">IF(Checks!$U$685="","",Checks!$U$685)&amp;IF(Checks!$AB$685="","",CHAR(10)&amp;"CA: "&amp;Checks!$AB$685)</f>
        <v/>
      </c>
      <c r="E46" s="113" t="str">
        <f aca="false">IF(Checks!$V$685="","",Checks!$V$685)&amp;IF(Checks!$AC$685="","",IF(Checks!$V$685="","",CHAR(10))&amp;"N/A just.: "&amp;Checks!$AC$685)&amp;IF(Checks!$W$685="","",CHAR(10)&amp;"Batch: "&amp;Checks!$W$685)&amp;IF(AND(Checks!$X$685="",Checks!$Y$685=""),"",CHAR(10)&amp;"Exp: "&amp;Checks!$X$685&amp;"  /  Act: "&amp;Checks!$Y$685)</f>
        <v/>
      </c>
      <c r="F46" s="113" t="str">
        <f aca="false">IF(Checks!$Z$685="","","Evidence: "&amp;Checks!$Z$685)&amp;IF(Checks!$AA$685="","",IF(Checks!$Z$685="","",CHAR(10))&amp;"CA: "&amp;Checks!$AA$685)</f>
        <v/>
      </c>
      <c r="G46" s="113" t="str">
        <f aca="false">IF(ISNUMBER(Checks!$AD$685),TEXT(Checks!$AD$685,"DD-MMM-YY HH:MM")&amp;" "&amp;Checks!$P$685,"")&amp;IF(Checks!$AE$685="","",CHAR(10)&amp;"Verifier: "&amp;Checks!$AE$685)&amp;IF(Checks!$T$685="","",CHAR(10)&amp;"PIC: "&amp;Checks!$T$685)</f>
        <v/>
      </c>
      <c r="H46" s="114" t="str">
        <f aca="false">IF(Checks!$AH$685="","",Checks!$AH$685)</f>
        <v>OPEN</v>
      </c>
    </row>
    <row r="47" customFormat="false" ht="157.5" hidden="false" customHeight="true" outlineLevel="0" collapsed="false">
      <c r="A47" s="113" t="str">
        <f aca="false">Checks!$A$686&amp;CHAR(10)&amp;IF(Checks!$I$686="","",Checks!$I$686&amp;": ")&amp;Checks!$J$686</f>
        <v>F21-T12-11
F&amp;B Linen: Napkin - prepared</v>
      </c>
      <c r="B47" s="113"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47" s="113" t="str">
        <f aca="false">Checks!$N$686&amp;CHAR(10)&amp;IF(ISNUMBER(Checks!$R$686),TEXT(Checks!$R$686,"DD-MMM-YY HH:MM"),"")&amp;" "&amp;Checks!$P$686</f>
        <v>Required
29-Oct-26 12:30 KUL</v>
      </c>
      <c r="D47" s="113" t="str">
        <f aca="false">IF(Checks!$U$686="","",Checks!$U$686)&amp;IF(Checks!$AB$686="","",CHAR(10)&amp;"CA: "&amp;Checks!$AB$686)</f>
        <v/>
      </c>
      <c r="E47" s="113" t="str">
        <f aca="false">IF(Checks!$V$686="","",Checks!$V$686)&amp;IF(Checks!$AC$686="","",IF(Checks!$V$686="","",CHAR(10))&amp;"N/A just.: "&amp;Checks!$AC$686)&amp;IF(Checks!$W$686="","",CHAR(10)&amp;"Batch: "&amp;Checks!$W$686)&amp;IF(AND(Checks!$X$686="",Checks!$Y$686=""),"",CHAR(10)&amp;"Exp: "&amp;Checks!$X$686&amp;"  /  Act: "&amp;Checks!$Y$686)</f>
        <v/>
      </c>
      <c r="F47" s="113" t="str">
        <f aca="false">IF(Checks!$Z$686="","","Evidence: "&amp;Checks!$Z$686)&amp;IF(Checks!$AA$686="","",IF(Checks!$Z$686="","",CHAR(10))&amp;"CA: "&amp;Checks!$AA$686)</f>
        <v/>
      </c>
      <c r="G47" s="113" t="str">
        <f aca="false">IF(ISNUMBER(Checks!$AD$686),TEXT(Checks!$AD$686,"DD-MMM-YY HH:MM")&amp;" "&amp;Checks!$P$686,"")&amp;IF(Checks!$AE$686="","",CHAR(10)&amp;"Verifier: "&amp;Checks!$AE$686)&amp;IF(Checks!$T$686="","",CHAR(10)&amp;"PIC: "&amp;Checks!$T$686)</f>
        <v/>
      </c>
      <c r="H47" s="114" t="str">
        <f aca="false">IF(Checks!$AH$686="","",Checks!$AH$686)</f>
        <v>OPEN</v>
      </c>
    </row>
    <row r="48" customFormat="false" ht="168.75" hidden="false" customHeight="true" outlineLevel="0" collapsed="false">
      <c r="A48" s="113" t="str">
        <f aca="false">Checks!$A$687&amp;CHAR(10)&amp;IF(Checks!$I$687="","",Checks!$I$687&amp;": ")&amp;Checks!$J$687</f>
        <v>F21-T12-12
F&amp;B Linen: Trolley cloth - prepared</v>
      </c>
      <c r="B48" s="113" t="str">
        <f aca="false">SUBSTITUTE(Checks!$K$687&amp;IF(Checks!$O$687="","",IF(Checks!$K$687="","",CHAR(10))&amp;"Note: "&amp;Checks!$O$687),"F&amp;B LINEN!","Ref: F&amp;B LINEN!")</f>
        <v>Narrow body: Top only
Note: Per note Ref: F&amp;B LINEN!B79:C80. Reference gives no uplift stn for this item: preparation checked at the meal uplift stn (KUL) - confirm with caterer. Round-trip catered from KUL: due capped at the KUL loading deadline (Flights AY).</v>
      </c>
      <c r="C48" s="113" t="str">
        <f aca="false">Checks!$N$687&amp;CHAR(10)&amp;IF(ISNUMBER(Checks!$R$687),TEXT(Checks!$R$687,"DD-MMM-YY HH:MM"),"")&amp;" "&amp;Checks!$P$687</f>
        <v>Required
29-Oct-26 12:30 KUL</v>
      </c>
      <c r="D48" s="113" t="str">
        <f aca="false">IF(Checks!$U$687="","",Checks!$U$687)&amp;IF(Checks!$AB$687="","",CHAR(10)&amp;"CA: "&amp;Checks!$AB$687)</f>
        <v/>
      </c>
      <c r="E48" s="113" t="str">
        <f aca="false">IF(Checks!$V$687="","",Checks!$V$687)&amp;IF(Checks!$AC$687="","",IF(Checks!$V$687="","",CHAR(10))&amp;"N/A just.: "&amp;Checks!$AC$687)&amp;IF(Checks!$W$687="","",CHAR(10)&amp;"Batch: "&amp;Checks!$W$687)&amp;IF(AND(Checks!$X$687="",Checks!$Y$687=""),"",CHAR(10)&amp;"Exp: "&amp;Checks!$X$687&amp;"  /  Act: "&amp;Checks!$Y$687)</f>
        <v/>
      </c>
      <c r="F48" s="113" t="str">
        <f aca="false">IF(Checks!$Z$687="","","Evidence: "&amp;Checks!$Z$687)&amp;IF(Checks!$AA$687="","",IF(Checks!$Z$687="","",CHAR(10))&amp;"CA: "&amp;Checks!$AA$687)</f>
        <v/>
      </c>
      <c r="G48" s="113" t="str">
        <f aca="false">IF(ISNUMBER(Checks!$AD$687),TEXT(Checks!$AD$687,"DD-MMM-YY HH:MM")&amp;" "&amp;Checks!$P$687,"")&amp;IF(Checks!$AE$687="","",CHAR(10)&amp;"Verifier: "&amp;Checks!$AE$687)&amp;IF(Checks!$T$687="","",CHAR(10)&amp;"PIC: "&amp;Checks!$T$687)</f>
        <v/>
      </c>
      <c r="H48" s="114" t="str">
        <f aca="false">IF(Checks!$AH$687="","",Checks!$AH$687)</f>
        <v>OPEN</v>
      </c>
    </row>
    <row r="49" customFormat="false" ht="157.5" hidden="false" customHeight="true" outlineLevel="0" collapsed="false">
      <c r="A49" s="113" t="str">
        <f aca="false">Checks!$A$688&amp;CHAR(10)&amp;IF(Checks!$I$688="","",Checks!$I$688&amp;": ")&amp;Checks!$J$688</f>
        <v>F21-T12-13
F&amp;B Linen: Linen bag - prepared</v>
      </c>
      <c r="B49" s="113"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49" s="113" t="str">
        <f aca="false">Checks!$N$688&amp;CHAR(10)&amp;IF(ISNUMBER(Checks!$R$688),TEXT(Checks!$R$688,"DD-MMM-YY HH:MM"),"")&amp;" "&amp;Checks!$P$688</f>
        <v>Required
29-Oct-26 12:30 KUL</v>
      </c>
      <c r="D49" s="113" t="str">
        <f aca="false">IF(Checks!$U$688="","",Checks!$U$688)&amp;IF(Checks!$AB$688="","",CHAR(10)&amp;"CA: "&amp;Checks!$AB$688)</f>
        <v/>
      </c>
      <c r="E49" s="113" t="str">
        <f aca="false">IF(Checks!$V$688="","",Checks!$V$688)&amp;IF(Checks!$AC$688="","",IF(Checks!$V$688="","",CHAR(10))&amp;"N/A just.: "&amp;Checks!$AC$688)&amp;IF(Checks!$W$688="","",CHAR(10)&amp;"Batch: "&amp;Checks!$W$688)&amp;IF(AND(Checks!$X$688="",Checks!$Y$688=""),"",CHAR(10)&amp;"Exp: "&amp;Checks!$X$688&amp;"  /  Act: "&amp;Checks!$Y$688)</f>
        <v/>
      </c>
      <c r="F49" s="113" t="str">
        <f aca="false">IF(Checks!$Z$688="","","Evidence: "&amp;Checks!$Z$688)&amp;IF(Checks!$AA$688="","",IF(Checks!$Z$688="","",CHAR(10))&amp;"CA: "&amp;Checks!$AA$688)</f>
        <v/>
      </c>
      <c r="G49" s="113" t="str">
        <f aca="false">IF(ISNUMBER(Checks!$AD$688),TEXT(Checks!$AD$688,"DD-MMM-YY HH:MM")&amp;" "&amp;Checks!$P$688,"")&amp;IF(Checks!$AE$688="","",CHAR(10)&amp;"Verifier: "&amp;Checks!$AE$688)&amp;IF(Checks!$T$688="","",CHAR(10)&amp;"PIC: "&amp;Checks!$T$688)</f>
        <v/>
      </c>
      <c r="H49" s="114" t="str">
        <f aca="false">IF(Checks!$AH$688="","",Checks!$AH$688)</f>
        <v>OPEN</v>
      </c>
    </row>
    <row r="50" customFormat="false" ht="168.75" hidden="false" customHeight="true" outlineLevel="0" collapsed="false">
      <c r="A50" s="113" t="str">
        <f aca="false">Checks!$A$689&amp;CHAR(10)&amp;IF(Checks!$I$689="","",Checks!$I$689&amp;": ")&amp;Checks!$J$689</f>
        <v>F21-T12-14
Seat Linen: Seat pillow (BS &amp; BC) - prepared</v>
      </c>
      <c r="B50" s="113"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50" s="113" t="str">
        <f aca="false">Checks!$N$689&amp;CHAR(10)&amp;IF(ISNUMBER(Checks!$R$689),TEXT(Checks!$R$689,"DD-MMM-YY HH:MM"),"")&amp;" "&amp;Checks!$P$689</f>
        <v>Required
29-Oct-26 12:30 KUL</v>
      </c>
      <c r="D50" s="113" t="str">
        <f aca="false">IF(Checks!$U$689="","",Checks!$U$689)&amp;IF(Checks!$AB$689="","",CHAR(10)&amp;"CA: "&amp;Checks!$AB$689)</f>
        <v/>
      </c>
      <c r="E50" s="113" t="str">
        <f aca="false">IF(Checks!$V$689="","",Checks!$V$689)&amp;IF(Checks!$AC$689="","",IF(Checks!$V$689="","",CHAR(10))&amp;"N/A just.: "&amp;Checks!$AC$689)&amp;IF(Checks!$W$689="","",CHAR(10)&amp;"Batch: "&amp;Checks!$W$689)&amp;IF(AND(Checks!$X$689="",Checks!$Y$689=""),"",CHAR(10)&amp;"Exp: "&amp;Checks!$X$689&amp;"  /  Act: "&amp;Checks!$Y$689)</f>
        <v/>
      </c>
      <c r="F50" s="113" t="str">
        <f aca="false">IF(Checks!$Z$689="","","Evidence: "&amp;Checks!$Z$689)&amp;IF(Checks!$AA$689="","",IF(Checks!$Z$689="","",CHAR(10))&amp;"CA: "&amp;Checks!$AA$689)</f>
        <v/>
      </c>
      <c r="G50" s="113" t="str">
        <f aca="false">IF(ISNUMBER(Checks!$AD$689),TEXT(Checks!$AD$689,"DD-MMM-YY HH:MM")&amp;" "&amp;Checks!$P$689,"")&amp;IF(Checks!$AE$689="","",CHAR(10)&amp;"Verifier: "&amp;Checks!$AE$689)&amp;IF(Checks!$T$689="","",CHAR(10)&amp;"PIC: "&amp;Checks!$T$689)</f>
        <v/>
      </c>
      <c r="H50" s="114" t="str">
        <f aca="false">IF(Checks!$AH$689="","",Checks!$AH$689)</f>
        <v>OPEN</v>
      </c>
    </row>
    <row r="51" customFormat="false" ht="168.75" hidden="false" customHeight="true" outlineLevel="0" collapsed="false">
      <c r="A51" s="113" t="str">
        <f aca="false">Checks!$A$690&amp;CHAR(10)&amp;IF(Checks!$I$690="","",Checks!$I$690&amp;": ")&amp;Checks!$J$690</f>
        <v>F21-T12-15
Seat Linen: Blanket (BS &amp; BC) - prepared</v>
      </c>
      <c r="B51" s="113"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1" s="113" t="str">
        <f aca="false">Checks!$N$690&amp;CHAR(10)&amp;IF(ISNUMBER(Checks!$R$690),TEXT(Checks!$R$690,"DD-MMM-YY HH:MM"),"")&amp;" "&amp;Checks!$P$690</f>
        <v>Required
29-Oct-26 12:30 KUL</v>
      </c>
      <c r="D51" s="113" t="str">
        <f aca="false">IF(Checks!$U$690="","",Checks!$U$690)&amp;IF(Checks!$AB$690="","",CHAR(10)&amp;"CA: "&amp;Checks!$AB$690)</f>
        <v/>
      </c>
      <c r="E51" s="113" t="str">
        <f aca="false">IF(Checks!$V$690="","",Checks!$V$690)&amp;IF(Checks!$AC$690="","",IF(Checks!$V$690="","",CHAR(10))&amp;"N/A just.: "&amp;Checks!$AC$690)&amp;IF(Checks!$W$690="","",CHAR(10)&amp;"Batch: "&amp;Checks!$W$690)&amp;IF(AND(Checks!$X$690="",Checks!$Y$690=""),"",CHAR(10)&amp;"Exp: "&amp;Checks!$X$690&amp;"  /  Act: "&amp;Checks!$Y$690)</f>
        <v/>
      </c>
      <c r="F51" s="113" t="str">
        <f aca="false">IF(Checks!$Z$690="","","Evidence: "&amp;Checks!$Z$690)&amp;IF(Checks!$AA$690="","",IF(Checks!$Z$690="","",CHAR(10))&amp;"CA: "&amp;Checks!$AA$690)</f>
        <v/>
      </c>
      <c r="G51" s="113" t="str">
        <f aca="false">IF(ISNUMBER(Checks!$AD$690),TEXT(Checks!$AD$690,"DD-MMM-YY HH:MM")&amp;" "&amp;Checks!$P$690,"")&amp;IF(Checks!$AE$690="","",CHAR(10)&amp;"Verifier: "&amp;Checks!$AE$690)&amp;IF(Checks!$T$690="","",CHAR(10)&amp;"PIC: "&amp;Checks!$T$690)</f>
        <v/>
      </c>
      <c r="H51" s="114" t="str">
        <f aca="false">IF(Checks!$AH$690="","",Checks!$AH$690)</f>
        <v>OPEN</v>
      </c>
    </row>
    <row r="52" customFormat="false" ht="25.5" hidden="false" customHeight="true" outlineLevel="0" collapsed="false">
      <c r="A52" s="112"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2"/>
      <c r="C52" s="112"/>
      <c r="D52" s="112"/>
      <c r="E52" s="112"/>
      <c r="F52" s="112"/>
      <c r="G52" s="112"/>
      <c r="H52" s="112"/>
    </row>
    <row r="53" customFormat="false" ht="114" hidden="false" customHeight="true" outlineLevel="0" collapsed="false">
      <c r="A53" s="113" t="str">
        <f aca="false">Checks!$A$691&amp;CHAR(10)&amp;IF(Checks!$I$691="","",Checks!$I$691&amp;": ")&amp;Checks!$J$691</f>
        <v>F21-UPL-01
Meal: Meals physically uplifted on board - quantity vs menu checklist</v>
      </c>
      <c r="B53" s="113" t="str">
        <f aca="false">Checks!$K$691&amp;IF(Checks!$O$691="","",IF(Checks!$K$691="","",CHAR(10))&amp;"Note: "&amp;Checks!$O$691)</f>
        <v>Enter expected &amp; actual
Note: Confirm on board before departure; completion time must fall inside the uplift window.</v>
      </c>
      <c r="C53" s="113" t="str">
        <f aca="false">Checks!$N$691&amp;CHAR(10)&amp;IF(ISNUMBER(Checks!$R$691),TEXT(Checks!$R$691,"DD-MMM-YY HH:MM"),"")&amp;" "&amp;Checks!$P$691</f>
        <v>Required
30-Oct-26 14:45 LGK</v>
      </c>
      <c r="D53" s="113" t="str">
        <f aca="false">IF(Checks!$U$691="","",Checks!$U$691)&amp;IF(Checks!$AB$691="","",CHAR(10)&amp;"CA: "&amp;Checks!$AB$691)</f>
        <v/>
      </c>
      <c r="E53" s="113" t="str">
        <f aca="false">IF(Checks!$V$691="","",Checks!$V$691)&amp;IF(Checks!$AC$691="","",IF(Checks!$V$691="","",CHAR(10))&amp;"N/A just.: "&amp;Checks!$AC$691)&amp;IF(Checks!$W$691="","",CHAR(10)&amp;"Batch: "&amp;Checks!$W$691)&amp;IF(AND(Checks!$X$691="",Checks!$Y$691=""),"",CHAR(10)&amp;"Exp: "&amp;Checks!$X$691&amp;"  /  Act: "&amp;Checks!$Y$691)</f>
        <v/>
      </c>
      <c r="F53" s="113" t="str">
        <f aca="false">IF(Checks!$Z$691="","","Evidence: "&amp;Checks!$Z$691)&amp;IF(Checks!$AA$691="","",IF(Checks!$Z$691="","",CHAR(10))&amp;"CA: "&amp;Checks!$AA$691)</f>
        <v/>
      </c>
      <c r="G53" s="113" t="str">
        <f aca="false">IF(ISNUMBER(Checks!$AD$691),TEXT(Checks!$AD$691,"DD-MMM-YY HH:MM")&amp;" "&amp;Checks!$P$691,"")&amp;IF(Checks!$AE$691="","",CHAR(10)&amp;"Verifier: "&amp;Checks!$AE$691)&amp;IF(Checks!$T$691="","",CHAR(10)&amp;"PIC: "&amp;Checks!$T$691)</f>
        <v/>
      </c>
      <c r="H53" s="114" t="str">
        <f aca="false">IF(Checks!$AH$691="","",Checks!$AH$691)</f>
        <v>OPEN</v>
      </c>
    </row>
    <row r="54" customFormat="false" ht="114" hidden="false" customHeight="true" outlineLevel="0" collapsed="false">
      <c r="A54" s="113" t="str">
        <f aca="false">Checks!$A$692&amp;CHAR(10)&amp;IF(Checks!$I$692="","",Checks!$I$692&amp;": ")&amp;Checks!$J$692</f>
        <v>F21-UPL-02
Equipment: Equipment physically loaded at GLD positions - quantity &amp; positions</v>
      </c>
      <c r="B54" s="113" t="str">
        <f aca="false">Checks!$K$692&amp;IF(Checks!$O$692="","",IF(Checks!$K$692="","",CHAR(10))&amp;"Note: "&amp;Checks!$O$692)</f>
        <v>Enter expected &amp; actual
Note: Confirm on board before departure; completion time must fall inside the uplift window.</v>
      </c>
      <c r="C54" s="113" t="str">
        <f aca="false">Checks!$N$692&amp;CHAR(10)&amp;IF(ISNUMBER(Checks!$R$692),TEXT(Checks!$R$692,"DD-MMM-YY HH:MM"),"")&amp;" "&amp;Checks!$P$692</f>
        <v>Required
30-Oct-26 14:45 LGK</v>
      </c>
      <c r="D54" s="113" t="str">
        <f aca="false">IF(Checks!$U$692="","",Checks!$U$692)&amp;IF(Checks!$AB$692="","",CHAR(10)&amp;"CA: "&amp;Checks!$AB$692)</f>
        <v/>
      </c>
      <c r="E54" s="113" t="str">
        <f aca="false">IF(Checks!$V$692="","",Checks!$V$692)&amp;IF(Checks!$AC$692="","",IF(Checks!$V$692="","",CHAR(10))&amp;"N/A just.: "&amp;Checks!$AC$692)&amp;IF(Checks!$W$692="","",CHAR(10)&amp;"Batch: "&amp;Checks!$W$692)&amp;IF(AND(Checks!$X$692="",Checks!$Y$692=""),"",CHAR(10)&amp;"Exp: "&amp;Checks!$X$692&amp;"  /  Act: "&amp;Checks!$Y$692)</f>
        <v/>
      </c>
      <c r="F54" s="113" t="str">
        <f aca="false">IF(Checks!$Z$692="","","Evidence: "&amp;Checks!$Z$692)&amp;IF(Checks!$AA$692="","",IF(Checks!$Z$692="","",CHAR(10))&amp;"CA: "&amp;Checks!$AA$692)</f>
        <v/>
      </c>
      <c r="G54" s="113" t="str">
        <f aca="false">IF(ISNUMBER(Checks!$AD$692),TEXT(Checks!$AD$692,"DD-MMM-YY HH:MM")&amp;" "&amp;Checks!$P$692,"")&amp;IF(Checks!$AE$692="","",CHAR(10)&amp;"Verifier: "&amp;Checks!$AE$692)&amp;IF(Checks!$T$692="","",CHAR(10)&amp;"PIC: "&amp;Checks!$T$692)</f>
        <v/>
      </c>
      <c r="H54" s="114" t="str">
        <f aca="false">IF(Checks!$AH$692="","",Checks!$AH$692)</f>
        <v>OPEN</v>
      </c>
    </row>
    <row r="55" customFormat="false" ht="279" hidden="false" customHeight="true" outlineLevel="0" collapsed="false">
      <c r="A55" s="113" t="str">
        <f aca="false">Checks!$A$693&amp;CHAR(10)&amp;IF(Checks!$I$693="","",Checks!$I$693&amp;": ")&amp;Checks!$J$693</f>
        <v>F21-UPL-03
Uplift plan: Return catering for MH1437 physically loaded at KUL on the carrying flight (meals, equipment and all items below)</v>
      </c>
      <c r="B55" s="113" t="str">
        <f aca="false">Checks!$K$693&amp;IF(Checks!$O$693="","",IF(Checks!$K$693="","",CHAR(10))&amp;"Note: "&amp;Checks!$O$693)</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(Flights AX). The on-board lines below are then re-checked at the departure station.</v>
      </c>
      <c r="C55" s="113" t="str">
        <f aca="false">Checks!$N$693&amp;CHAR(10)&amp;IF(ISNUMBER(Checks!$R$693),TEXT(Checks!$R$693,"DD-MMM-YY HH:MM"),"")&amp;" "&amp;Checks!$P$693</f>
        <v>Required
29-Oct-26 18:30 KUL</v>
      </c>
      <c r="D55" s="113" t="str">
        <f aca="false">IF(Checks!$U$693="","",Checks!$U$693)&amp;IF(Checks!$AB$693="","",CHAR(10)&amp;"CA: "&amp;Checks!$AB$693)</f>
        <v/>
      </c>
      <c r="E55" s="113" t="str">
        <f aca="false">IF(Checks!$V$693="","",Checks!$V$693)&amp;IF(Checks!$AC$693="","",IF(Checks!$V$693="","",CHAR(10))&amp;"N/A just.: "&amp;Checks!$AC$693)&amp;IF(Checks!$W$693="","",CHAR(10)&amp;"Batch: "&amp;Checks!$W$693)&amp;IF(AND(Checks!$X$693="",Checks!$Y$693=""),"",CHAR(10)&amp;"Exp: "&amp;Checks!$X$693&amp;"  /  Act: "&amp;Checks!$Y$693)</f>
        <v/>
      </c>
      <c r="F55" s="113" t="str">
        <f aca="false">IF(Checks!$Z$693="","","Evidence: "&amp;Checks!$Z$693)&amp;IF(Checks!$AA$693="","",IF(Checks!$Z$693="","",CHAR(10))&amp;"CA: "&amp;Checks!$AA$693)</f>
        <v/>
      </c>
      <c r="G55" s="113" t="str">
        <f aca="false">IF(ISNUMBER(Checks!$AD$693),TEXT(Checks!$AD$693,"DD-MMM-YY HH:MM")&amp;" "&amp;Checks!$P$693,"")&amp;IF(Checks!$AE$693="","",CHAR(10)&amp;"Verifier: "&amp;Checks!$AE$693)&amp;IF(Checks!$T$693="","",CHAR(10)&amp;"PIC: "&amp;Checks!$T$693)</f>
        <v/>
      </c>
      <c r="H55" s="114" t="str">
        <f aca="false">IF(Checks!$AH$693="","",Checks!$AH$693)</f>
        <v>OPEN</v>
      </c>
    </row>
    <row r="56" customFormat="false" ht="114" hidden="false" customHeight="true" outlineLevel="0" collapsed="false">
      <c r="A56" s="113" t="str">
        <f aca="false">Checks!$A$694&amp;CHAR(10)&amp;IF(Checks!$I$694="","",Checks!$I$694&amp;": ")&amp;Checks!$J$694</f>
        <v>F21-UPL-04
Amenities: Disposable slippers in DAM cart (BC, on request) - on board</v>
      </c>
      <c r="B56" s="113" t="str">
        <f aca="false">Checks!$K$694&amp;IF(Checks!$O$694="","",IF(Checks!$K$694="","",CHAR(10))&amp;"Note: "&amp;Checks!$O$694)</f>
        <v>Available in DAM cart on request basis
Note: Sector has no BC slippers; note C83: disposable slipper available in DAM cart (on request basis).</v>
      </c>
      <c r="C56" s="113" t="str">
        <f aca="false">Checks!$N$694&amp;CHAR(10)&amp;IF(ISNUMBER(Checks!$R$694),TEXT(Checks!$R$694,"DD-MMM-YY HH:MM"),"")&amp;" "&amp;Checks!$P$694</f>
        <v>Required
30-Oct-26 14:45 LGK</v>
      </c>
      <c r="D56" s="113" t="str">
        <f aca="false">IF(Checks!$U$694="","",Checks!$U$694)&amp;IF(Checks!$AB$694="","",CHAR(10)&amp;"CA: "&amp;Checks!$AB$694)</f>
        <v/>
      </c>
      <c r="E56" s="113" t="str">
        <f aca="false">IF(Checks!$V$694="","",Checks!$V$694)&amp;IF(Checks!$AC$694="","",IF(Checks!$V$694="","",CHAR(10))&amp;"N/A just.: "&amp;Checks!$AC$694)&amp;IF(Checks!$W$694="","",CHAR(10)&amp;"Batch: "&amp;Checks!$W$694)&amp;IF(AND(Checks!$X$694="",Checks!$Y$694=""),"",CHAR(10)&amp;"Exp: "&amp;Checks!$X$694&amp;"  /  Act: "&amp;Checks!$Y$694)</f>
        <v/>
      </c>
      <c r="F56" s="113" t="str">
        <f aca="false">IF(Checks!$Z$694="","","Evidence: "&amp;Checks!$Z$694)&amp;IF(Checks!$AA$694="","",IF(Checks!$Z$694="","",CHAR(10))&amp;"CA: "&amp;Checks!$AA$694)</f>
        <v/>
      </c>
      <c r="G56" s="113" t="str">
        <f aca="false">IF(ISNUMBER(Checks!$AD$694),TEXT(Checks!$AD$694,"DD-MMM-YY HH:MM")&amp;" "&amp;Checks!$P$694,"")&amp;IF(Checks!$AE$694="","",CHAR(10)&amp;"Verifier: "&amp;Checks!$AE$694)&amp;IF(Checks!$T$694="","",CHAR(10)&amp;"PIC: "&amp;Checks!$T$694)</f>
        <v/>
      </c>
      <c r="H56" s="114" t="str">
        <f aca="false">IF(Checks!$AH$694="","",Checks!$AH$694)</f>
        <v>OPEN</v>
      </c>
    </row>
    <row r="57" customFormat="false" ht="114" hidden="false" customHeight="true" outlineLevel="0" collapsed="false">
      <c r="A57" s="113" t="str">
        <f aca="false">Checks!$A$695&amp;CHAR(10)&amp;IF(Checks!$I$695="","",Checks!$I$695&amp;": ")&amp;Checks!$J$695</f>
        <v>F21-UPL-05
F&amp;B Linen: Towel - on board</v>
      </c>
      <c r="B57" s="113" t="str">
        <f aca="false">Checks!$K$695&amp;IF(Checks!$O$695="","",IF(Checks!$K$695="","",CHAR(10))&amp;"Note: "&amp;Checks!$O$695)</f>
        <v>Available (ticked in reference)</v>
      </c>
      <c r="C57" s="113" t="str">
        <f aca="false">Checks!$N$695&amp;CHAR(10)&amp;IF(ISNUMBER(Checks!$R$695),TEXT(Checks!$R$695,"DD-MMM-YY HH:MM"),"")&amp;" "&amp;Checks!$P$695</f>
        <v>Required
30-Oct-26 14:45 LGK</v>
      </c>
      <c r="D57" s="113" t="str">
        <f aca="false">IF(Checks!$U$695="","",Checks!$U$695)&amp;IF(Checks!$AB$695="","",CHAR(10)&amp;"CA: "&amp;Checks!$AB$695)</f>
        <v/>
      </c>
      <c r="E57" s="113" t="str">
        <f aca="false">IF(Checks!$V$695="","",Checks!$V$695)&amp;IF(Checks!$AC$695="","",IF(Checks!$V$695="","",CHAR(10))&amp;"N/A just.: "&amp;Checks!$AC$695)&amp;IF(Checks!$W$695="","",CHAR(10)&amp;"Batch: "&amp;Checks!$W$695)&amp;IF(AND(Checks!$X$695="",Checks!$Y$695=""),"",CHAR(10)&amp;"Exp: "&amp;Checks!$X$695&amp;"  /  Act: "&amp;Checks!$Y$695)</f>
        <v/>
      </c>
      <c r="F57" s="113" t="str">
        <f aca="false">IF(Checks!$Z$695="","","Evidence: "&amp;Checks!$Z$695)&amp;IF(Checks!$AA$695="","",IF(Checks!$Z$695="","",CHAR(10))&amp;"CA: "&amp;Checks!$AA$695)</f>
        <v/>
      </c>
      <c r="G57" s="113" t="str">
        <f aca="false">IF(ISNUMBER(Checks!$AD$695),TEXT(Checks!$AD$695,"DD-MMM-YY HH:MM")&amp;" "&amp;Checks!$P$695,"")&amp;IF(Checks!$AE$695="","",CHAR(10)&amp;"Verifier: "&amp;Checks!$AE$695)&amp;IF(Checks!$T$695="","",CHAR(10)&amp;"PIC: "&amp;Checks!$T$695)</f>
        <v/>
      </c>
      <c r="H57" s="114" t="str">
        <f aca="false">IF(Checks!$AH$695="","",Checks!$AH$695)</f>
        <v>OPEN</v>
      </c>
    </row>
    <row r="58" customFormat="false" ht="114" hidden="false" customHeight="true" outlineLevel="0" collapsed="false">
      <c r="A58" s="113" t="str">
        <f aca="false">Checks!$A$696&amp;CHAR(10)&amp;IF(Checks!$I$696="","",Checks!$I$696&amp;": ")&amp;Checks!$J$696</f>
        <v>F21-UPL-06
F&amp;B Linen: Tray cloth - on board</v>
      </c>
      <c r="B58" s="113" t="str">
        <f aca="false">Checks!$K$696&amp;IF(Checks!$O$696="","",IF(Checks!$K$696="","",CHAR(10))&amp;"Note: "&amp;Checks!$O$696)</f>
        <v>Available (ticked in reference)</v>
      </c>
      <c r="C58" s="113" t="str">
        <f aca="false">Checks!$N$696&amp;CHAR(10)&amp;IF(ISNUMBER(Checks!$R$696),TEXT(Checks!$R$696,"DD-MMM-YY HH:MM"),"")&amp;" "&amp;Checks!$P$696</f>
        <v>Required
30-Oct-26 14:45 LGK</v>
      </c>
      <c r="D58" s="113" t="str">
        <f aca="false">IF(Checks!$U$696="","",Checks!$U$696)&amp;IF(Checks!$AB$696="","",CHAR(10)&amp;"CA: "&amp;Checks!$AB$696)</f>
        <v/>
      </c>
      <c r="E58" s="113" t="str">
        <f aca="false">IF(Checks!$V$696="","",Checks!$V$696)&amp;IF(Checks!$AC$696="","",IF(Checks!$V$696="","",CHAR(10))&amp;"N/A just.: "&amp;Checks!$AC$696)&amp;IF(Checks!$W$696="","",CHAR(10)&amp;"Batch: "&amp;Checks!$W$696)&amp;IF(AND(Checks!$X$696="",Checks!$Y$696=""),"",CHAR(10)&amp;"Exp: "&amp;Checks!$X$696&amp;"  /  Act: "&amp;Checks!$Y$696)</f>
        <v/>
      </c>
      <c r="F58" s="113" t="str">
        <f aca="false">IF(Checks!$Z$696="","","Evidence: "&amp;Checks!$Z$696)&amp;IF(Checks!$AA$696="","",IF(Checks!$Z$696="","",CHAR(10))&amp;"CA: "&amp;Checks!$AA$696)</f>
        <v/>
      </c>
      <c r="G58" s="113" t="str">
        <f aca="false">IF(ISNUMBER(Checks!$AD$696),TEXT(Checks!$AD$696,"DD-MMM-YY HH:MM")&amp;" "&amp;Checks!$P$696,"")&amp;IF(Checks!$AE$696="","",CHAR(10)&amp;"Verifier: "&amp;Checks!$AE$696)&amp;IF(Checks!$T$696="","",CHAR(10)&amp;"PIC: "&amp;Checks!$T$696)</f>
        <v/>
      </c>
      <c r="H58" s="114" t="str">
        <f aca="false">IF(Checks!$AH$696="","",Checks!$AH$696)</f>
        <v>OPEN</v>
      </c>
    </row>
    <row r="59" customFormat="false" ht="114" hidden="false" customHeight="true" outlineLevel="0" collapsed="false">
      <c r="A59" s="113" t="str">
        <f aca="false">Checks!$A$697&amp;CHAR(10)&amp;IF(Checks!$I$697="","",Checks!$I$697&amp;": ")&amp;Checks!$J$697</f>
        <v>F21-UPL-07
F&amp;B Linen: Napkin - on board</v>
      </c>
      <c r="B59" s="113" t="str">
        <f aca="false">Checks!$K$697&amp;IF(Checks!$O$697="","",IF(Checks!$K$697="","",CHAR(10))&amp;"Note: "&amp;Checks!$O$697)</f>
        <v>Available (ticked in reference)</v>
      </c>
      <c r="C59" s="113" t="str">
        <f aca="false">Checks!$N$697&amp;CHAR(10)&amp;IF(ISNUMBER(Checks!$R$697),TEXT(Checks!$R$697,"DD-MMM-YY HH:MM"),"")&amp;" "&amp;Checks!$P$697</f>
        <v>Required
30-Oct-26 14:45 LGK</v>
      </c>
      <c r="D59" s="113" t="str">
        <f aca="false">IF(Checks!$U$697="","",Checks!$U$697)&amp;IF(Checks!$AB$697="","",CHAR(10)&amp;"CA: "&amp;Checks!$AB$697)</f>
        <v/>
      </c>
      <c r="E59" s="113" t="str">
        <f aca="false">IF(Checks!$V$697="","",Checks!$V$697)&amp;IF(Checks!$AC$697="","",IF(Checks!$V$697="","",CHAR(10))&amp;"N/A just.: "&amp;Checks!$AC$697)&amp;IF(Checks!$W$697="","",CHAR(10)&amp;"Batch: "&amp;Checks!$W$697)&amp;IF(AND(Checks!$X$697="",Checks!$Y$697=""),"",CHAR(10)&amp;"Exp: "&amp;Checks!$X$697&amp;"  /  Act: "&amp;Checks!$Y$697)</f>
        <v/>
      </c>
      <c r="F59" s="113" t="str">
        <f aca="false">IF(Checks!$Z$697="","","Evidence: "&amp;Checks!$Z$697)&amp;IF(Checks!$AA$697="","",IF(Checks!$Z$697="","",CHAR(10))&amp;"CA: "&amp;Checks!$AA$697)</f>
        <v/>
      </c>
      <c r="G59" s="113" t="str">
        <f aca="false">IF(ISNUMBER(Checks!$AD$697),TEXT(Checks!$AD$697,"DD-MMM-YY HH:MM")&amp;" "&amp;Checks!$P$697,"")&amp;IF(Checks!$AE$697="","",CHAR(10)&amp;"Verifier: "&amp;Checks!$AE$697)&amp;IF(Checks!$T$697="","",CHAR(10)&amp;"PIC: "&amp;Checks!$T$697)</f>
        <v/>
      </c>
      <c r="H59" s="114" t="str">
        <f aca="false">IF(Checks!$AH$697="","",Checks!$AH$697)</f>
        <v>OPEN</v>
      </c>
    </row>
    <row r="60" customFormat="false" ht="114" hidden="false" customHeight="true" outlineLevel="0" collapsed="false">
      <c r="A60" s="113" t="str">
        <f aca="false">Checks!$A$698&amp;CHAR(10)&amp;IF(Checks!$I$698="","",Checks!$I$698&amp;": ")&amp;Checks!$J$698</f>
        <v>F21-UPL-08
F&amp;B Linen: Trolley cloth - on board</v>
      </c>
      <c r="B60" s="113" t="str">
        <f aca="false">SUBSTITUTE(Checks!$K$698&amp;IF(Checks!$O$698="","",IF(Checks!$K$698="","",CHAR(10))&amp;"Note: "&amp;Checks!$O$698),"F&amp;B LINEN!","Ref: F&amp;B LINEN!")</f>
        <v>Narrow body: Top only
Note: Per note Ref: F&amp;B LINEN!B79:C80.</v>
      </c>
      <c r="C60" s="113" t="str">
        <f aca="false">Checks!$N$698&amp;CHAR(10)&amp;IF(ISNUMBER(Checks!$R$698),TEXT(Checks!$R$698,"DD-MMM-YY HH:MM"),"")&amp;" "&amp;Checks!$P$698</f>
        <v>Required
30-Oct-26 14:45 LGK</v>
      </c>
      <c r="D60" s="113" t="str">
        <f aca="false">IF(Checks!$U$698="","",Checks!$U$698)&amp;IF(Checks!$AB$698="","",CHAR(10)&amp;"CA: "&amp;Checks!$AB$698)</f>
        <v/>
      </c>
      <c r="E60" s="113" t="str">
        <f aca="false">IF(Checks!$V$698="","",Checks!$V$698)&amp;IF(Checks!$AC$698="","",IF(Checks!$V$698="","",CHAR(10))&amp;"N/A just.: "&amp;Checks!$AC$698)&amp;IF(Checks!$W$698="","",CHAR(10)&amp;"Batch: "&amp;Checks!$W$698)&amp;IF(AND(Checks!$X$698="",Checks!$Y$698=""),"",CHAR(10)&amp;"Exp: "&amp;Checks!$X$698&amp;"  /  Act: "&amp;Checks!$Y$698)</f>
        <v/>
      </c>
      <c r="F60" s="113" t="str">
        <f aca="false">IF(Checks!$Z$698="","","Evidence: "&amp;Checks!$Z$698)&amp;IF(Checks!$AA$698="","",IF(Checks!$Z$698="","",CHAR(10))&amp;"CA: "&amp;Checks!$AA$698)</f>
        <v/>
      </c>
      <c r="G60" s="113" t="str">
        <f aca="false">IF(ISNUMBER(Checks!$AD$698),TEXT(Checks!$AD$698,"DD-MMM-YY HH:MM")&amp;" "&amp;Checks!$P$698,"")&amp;IF(Checks!$AE$698="","",CHAR(10)&amp;"Verifier: "&amp;Checks!$AE$698)&amp;IF(Checks!$T$698="","",CHAR(10)&amp;"PIC: "&amp;Checks!$T$698)</f>
        <v/>
      </c>
      <c r="H60" s="114" t="str">
        <f aca="false">IF(Checks!$AH$698="","",Checks!$AH$698)</f>
        <v>OPEN</v>
      </c>
    </row>
    <row r="61" customFormat="false" ht="114" hidden="false" customHeight="true" outlineLevel="0" collapsed="false">
      <c r="A61" s="113" t="str">
        <f aca="false">Checks!$A$699&amp;CHAR(10)&amp;IF(Checks!$I$699="","",Checks!$I$699&amp;": ")&amp;Checks!$J$699</f>
        <v>F21-UPL-09
F&amp;B Linen: Linen bag - on board</v>
      </c>
      <c r="B61" s="113" t="str">
        <f aca="false">Checks!$K$699&amp;IF(Checks!$O$699="","",IF(Checks!$K$699="","",CHAR(10))&amp;"Note: "&amp;Checks!$O$699)</f>
        <v>Available (ticked in reference)</v>
      </c>
      <c r="C61" s="113" t="str">
        <f aca="false">Checks!$N$699&amp;CHAR(10)&amp;IF(ISNUMBER(Checks!$R$699),TEXT(Checks!$R$699,"DD-MMM-YY HH:MM"),"")&amp;" "&amp;Checks!$P$699</f>
        <v>Required
30-Oct-26 14:45 LGK</v>
      </c>
      <c r="D61" s="113" t="str">
        <f aca="false">IF(Checks!$U$699="","",Checks!$U$699)&amp;IF(Checks!$AB$699="","",CHAR(10)&amp;"CA: "&amp;Checks!$AB$699)</f>
        <v/>
      </c>
      <c r="E61" s="113" t="str">
        <f aca="false">IF(Checks!$V$699="","",Checks!$V$699)&amp;IF(Checks!$AC$699="","",IF(Checks!$V$699="","",CHAR(10))&amp;"N/A just.: "&amp;Checks!$AC$699)&amp;IF(Checks!$W$699="","",CHAR(10)&amp;"Batch: "&amp;Checks!$W$699)&amp;IF(AND(Checks!$X$699="",Checks!$Y$699=""),"",CHAR(10)&amp;"Exp: "&amp;Checks!$X$699&amp;"  /  Act: "&amp;Checks!$Y$699)</f>
        <v/>
      </c>
      <c r="F61" s="113" t="str">
        <f aca="false">IF(Checks!$Z$699="","","Evidence: "&amp;Checks!$Z$699)&amp;IF(Checks!$AA$699="","",IF(Checks!$Z$699="","",CHAR(10))&amp;"CA: "&amp;Checks!$AA$699)</f>
        <v/>
      </c>
      <c r="G61" s="113" t="str">
        <f aca="false">IF(ISNUMBER(Checks!$AD$699),TEXT(Checks!$AD$699,"DD-MMM-YY HH:MM")&amp;" "&amp;Checks!$P$699,"")&amp;IF(Checks!$AE$699="","",CHAR(10)&amp;"Verifier: "&amp;Checks!$AE$699)&amp;IF(Checks!$T$699="","",CHAR(10)&amp;"PIC: "&amp;Checks!$T$699)</f>
        <v/>
      </c>
      <c r="H61" s="114" t="str">
        <f aca="false">IF(Checks!$AH$699="","",Checks!$AH$699)</f>
        <v>OPEN</v>
      </c>
    </row>
    <row r="62" customFormat="false" ht="114" hidden="false" customHeight="true" outlineLevel="0" collapsed="false">
      <c r="A62" s="113" t="str">
        <f aca="false">Checks!$A$700&amp;CHAR(10)&amp;IF(Checks!$I$700="","",Checks!$I$700&amp;": ")&amp;Checks!$J$700</f>
        <v>F21-UPL-10
Seat Linen: Seat pillow (BS &amp; BC) - on board</v>
      </c>
      <c r="B62" s="113" t="str">
        <f aca="false">Checks!$K$700&amp;IF(Checks!$O$700="","",IF(Checks!$K$700="","",CHAR(10))&amp;"Note: "&amp;Checks!$O$700)</f>
        <v>Available 100% (ticked in reference)</v>
      </c>
      <c r="C62" s="113" t="str">
        <f aca="false">Checks!$N$700&amp;CHAR(10)&amp;IF(ISNUMBER(Checks!$R$700),TEXT(Checks!$R$700,"DD-MMM-YY HH:MM"),"")&amp;" "&amp;Checks!$P$700</f>
        <v>Required
30-Oct-26 14:45 LGK</v>
      </c>
      <c r="D62" s="113" t="str">
        <f aca="false">IF(Checks!$U$700="","",Checks!$U$700)&amp;IF(Checks!$AB$700="","",CHAR(10)&amp;"CA: "&amp;Checks!$AB$700)</f>
        <v/>
      </c>
      <c r="E62" s="113" t="str">
        <f aca="false">IF(Checks!$V$700="","",Checks!$V$700)&amp;IF(Checks!$AC$700="","",IF(Checks!$V$700="","",CHAR(10))&amp;"N/A just.: "&amp;Checks!$AC$700)&amp;IF(Checks!$W$700="","",CHAR(10)&amp;"Batch: "&amp;Checks!$W$700)&amp;IF(AND(Checks!$X$700="",Checks!$Y$700=""),"",CHAR(10)&amp;"Exp: "&amp;Checks!$X$700&amp;"  /  Act: "&amp;Checks!$Y$700)</f>
        <v/>
      </c>
      <c r="F62" s="113" t="str">
        <f aca="false">IF(Checks!$Z$700="","","Evidence: "&amp;Checks!$Z$700)&amp;IF(Checks!$AA$700="","",IF(Checks!$Z$700="","",CHAR(10))&amp;"CA: "&amp;Checks!$AA$700)</f>
        <v/>
      </c>
      <c r="G62" s="113" t="str">
        <f aca="false">IF(ISNUMBER(Checks!$AD$700),TEXT(Checks!$AD$700,"DD-MMM-YY HH:MM")&amp;" "&amp;Checks!$P$700,"")&amp;IF(Checks!$AE$700="","",CHAR(10)&amp;"Verifier: "&amp;Checks!$AE$700)&amp;IF(Checks!$T$700="","",CHAR(10)&amp;"PIC: "&amp;Checks!$T$700)</f>
        <v/>
      </c>
      <c r="H62" s="114" t="str">
        <f aca="false">IF(Checks!$AH$700="","",Checks!$AH$700)</f>
        <v>OPEN</v>
      </c>
    </row>
    <row r="63" customFormat="false" ht="114" hidden="false" customHeight="true" outlineLevel="0" collapsed="false">
      <c r="A63" s="113" t="str">
        <f aca="false">Checks!$A$701&amp;CHAR(10)&amp;IF(Checks!$I$701="","",Checks!$I$701&amp;": ")&amp;Checks!$J$701</f>
        <v>F21-UPL-11
Seat Linen: Blanket (BS &amp; BC) - on board</v>
      </c>
      <c r="B63" s="113" t="str">
        <f aca="false">Checks!$K$701&amp;IF(Checks!$O$701="","",IF(Checks!$K$701="","",CHAR(10))&amp;"Note: "&amp;Checks!$O$701)</f>
        <v>Available 100% (ticked in reference)</v>
      </c>
      <c r="C63" s="113" t="str">
        <f aca="false">Checks!$N$701&amp;CHAR(10)&amp;IF(ISNUMBER(Checks!$R$701),TEXT(Checks!$R$701,"DD-MMM-YY HH:MM"),"")&amp;" "&amp;Checks!$P$701</f>
        <v>Required
30-Oct-26 14:45 LGK</v>
      </c>
      <c r="D63" s="113" t="str">
        <f aca="false">IF(Checks!$U$701="","",Checks!$U$701)&amp;IF(Checks!$AB$701="","",CHAR(10)&amp;"CA: "&amp;Checks!$AB$701)</f>
        <v/>
      </c>
      <c r="E63" s="113" t="str">
        <f aca="false">IF(Checks!$V$701="","",Checks!$V$701)&amp;IF(Checks!$AC$701="","",IF(Checks!$V$701="","",CHAR(10))&amp;"N/A just.: "&amp;Checks!$AC$701)&amp;IF(Checks!$W$701="","",CHAR(10)&amp;"Batch: "&amp;Checks!$W$701)&amp;IF(AND(Checks!$X$701="",Checks!$Y$701=""),"",CHAR(10)&amp;"Exp: "&amp;Checks!$X$701&amp;"  /  Act: "&amp;Checks!$Y$701)</f>
        <v/>
      </c>
      <c r="F63" s="113" t="str">
        <f aca="false">IF(Checks!$Z$701="","","Evidence: "&amp;Checks!$Z$701)&amp;IF(Checks!$AA$701="","",IF(Checks!$Z$701="","",CHAR(10))&amp;"CA: "&amp;Checks!$AA$701)</f>
        <v/>
      </c>
      <c r="G63" s="113" t="str">
        <f aca="false">IF(ISNUMBER(Checks!$AD$701),TEXT(Checks!$AD$701,"DD-MMM-YY HH:MM")&amp;" "&amp;Checks!$P$701,"")&amp;IF(Checks!$AE$701="","",CHAR(10)&amp;"Verifier: "&amp;Checks!$AE$701)&amp;IF(Checks!$T$701="","",CHAR(10)&amp;"PIC: "&amp;Checks!$T$701)</f>
        <v/>
      </c>
      <c r="H63" s="114" t="str">
        <f aca="false">IF(Checks!$AH$701="","",Checks!$AH$701)</f>
        <v>OPEN</v>
      </c>
    </row>
    <row r="65" customFormat="false" ht="24" hidden="false" customHeight="true" outlineLevel="0" collapsed="false">
      <c r="A65" s="115" t="s">
        <v>1650</v>
      </c>
      <c r="B65" s="115"/>
      <c r="C65" s="115"/>
      <c r="D65" s="115"/>
      <c r="E65" s="115" t="s">
        <v>1651</v>
      </c>
      <c r="F65" s="115"/>
      <c r="G65" s="115"/>
      <c r="H65" s="115"/>
    </row>
    <row r="66" customFormat="false" ht="21.75" hidden="false" customHeight="true" outlineLevel="0" collapsed="false">
      <c r="A66" s="116"/>
      <c r="B66" s="116"/>
      <c r="C66" s="116"/>
      <c r="D66" s="116"/>
      <c r="E66" s="116"/>
      <c r="F66" s="116"/>
      <c r="G66" s="116"/>
      <c r="H66" s="116"/>
    </row>
    <row r="67" customFormat="false" ht="21.75" hidden="false" customHeight="true" outlineLevel="0" collapsed="false">
      <c r="A67" s="116"/>
      <c r="B67" s="116"/>
      <c r="C67" s="116"/>
      <c r="D67" s="116"/>
      <c r="E67" s="116"/>
      <c r="F67" s="116"/>
      <c r="G67" s="116"/>
      <c r="H67" s="116"/>
    </row>
    <row r="68" customFormat="false" ht="21.75" hidden="false" customHeight="true" outlineLevel="0" collapsed="false">
      <c r="A68" s="116"/>
      <c r="B68" s="116"/>
      <c r="C68" s="116"/>
      <c r="D68" s="116"/>
      <c r="E68" s="116"/>
      <c r="F68" s="116"/>
      <c r="G68" s="116"/>
      <c r="H68" s="116"/>
    </row>
    <row r="69" customFormat="false" ht="21.75" hidden="false" customHeight="true" outlineLevel="0" collapsed="false">
      <c r="A69" s="116"/>
      <c r="B69" s="116"/>
      <c r="C69" s="116"/>
      <c r="D69" s="116"/>
      <c r="E69" s="116"/>
      <c r="F69" s="116"/>
      <c r="G69" s="116"/>
      <c r="H69" s="116"/>
    </row>
    <row r="70" customFormat="false" ht="21.75" hidden="false" customHeight="true" outlineLevel="0" collapsed="false">
      <c r="A70" s="116"/>
      <c r="B70" s="116"/>
      <c r="C70" s="116"/>
      <c r="D70" s="116"/>
      <c r="E70" s="116"/>
      <c r="F70" s="116"/>
      <c r="G70" s="116"/>
      <c r="H70" s="116"/>
    </row>
    <row r="71" customFormat="false" ht="21.75" hidden="false" customHeight="true" outlineLevel="0" collapsed="false">
      <c r="A71" s="116"/>
      <c r="B71" s="116"/>
      <c r="C71" s="116"/>
      <c r="D71" s="116"/>
      <c r="E71" s="116"/>
      <c r="F71" s="116"/>
      <c r="G71" s="116"/>
      <c r="H71" s="116"/>
    </row>
    <row r="72" customFormat="false" ht="21.75" hidden="false" customHeight="true" outlineLevel="0" collapsed="false">
      <c r="A72" s="116"/>
      <c r="B72" s="116"/>
      <c r="C72" s="116"/>
      <c r="D72" s="116"/>
      <c r="E72" s="116"/>
      <c r="F72" s="116"/>
      <c r="G72" s="116"/>
      <c r="H72" s="116"/>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sheetData>
  <sheetProtection sheet="true" formatCells="false" formatColumns="false" formatRows="false" sort="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3">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63">
    <cfRule type="expression" priority="17" aboveAverage="0" equalAverage="0" bottom="0" percent="0" rank="0" text="" dxfId="34">
      <formula>LEFT($H24,3)="N/A"</formula>
    </cfRule>
  </conditionalFormatting>
  <conditionalFormatting sqref="D24:D63">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1" t="str">
        <f aca="false">"SKYTRAX 2026 CATERING READINESS CHECKLIST  |  F22  "&amp;Flights!$F$26&amp;"  "&amp;TEXT(Flights!$D$26,"DD-MMM-YY")&amp;" ("&amp;Flights!$E$26&amp;")  "&amp;Flights!$G$26&amp;" → "&amp;Flights!$H$26&amp;"  |  Class "&amp;Flights!$K$26</f>
        <v>SKYTRAX 2026 CATERING READINESS CHECKLIST  |  F22  MH0002  30-Oct-26 (FRI)  KUL → LHR  |  Class BC</v>
      </c>
      <c r="B1" s="91"/>
      <c r="C1" s="91"/>
      <c r="D1" s="91"/>
      <c r="E1" s="91"/>
      <c r="F1" s="91"/>
      <c r="G1" s="91"/>
      <c r="H1" s="91"/>
    </row>
    <row r="2" customFormat="false" ht="12.75" hidden="false" customHeight="true" outlineLevel="0" collapsed="false">
      <c r="A2" s="92" t="s">
        <v>1605</v>
      </c>
      <c r="B2" s="93" t="str">
        <f aca="false">Flights!$F$26&amp;"   "&amp;TEXT(Flights!$D$26,"DD-MMM-YY")&amp;" ("&amp;Flights!$E$26&amp;")"</f>
        <v>MH0002   30-Oct-26 (FRI)</v>
      </c>
      <c r="C2" s="93"/>
      <c r="D2" s="93"/>
      <c r="E2" s="94" t="s">
        <v>1606</v>
      </c>
      <c r="F2" s="95" t="str">
        <f aca="false">Flights!$AT$26</f>
        <v>NOT READY – DOCUMENTS</v>
      </c>
      <c r="G2" s="95"/>
      <c r="H2" s="95"/>
    </row>
    <row r="3" customFormat="false" ht="24" hidden="false" customHeight="true" outlineLevel="0" collapsed="false">
      <c r="A3" s="92" t="s">
        <v>1607</v>
      </c>
      <c r="B3" s="93" t="str">
        <f aca="false">Flights!$G$26&amp;" → "&amp;Flights!$H$26&amp;"   Class "&amp;Flights!$K$26&amp;"   Seat "&amp;Flights!$O$26</f>
        <v>KUL → LHR   Class BC   Seat 5A</v>
      </c>
      <c r="C3" s="93"/>
      <c r="D3" s="93"/>
      <c r="E3" s="94" t="s">
        <v>68</v>
      </c>
      <c r="F3" s="94" t="s">
        <v>1608</v>
      </c>
      <c r="G3" s="94" t="s">
        <v>1609</v>
      </c>
      <c r="H3" s="94"/>
    </row>
    <row r="4" customFormat="false" ht="24" hidden="false" customHeight="true" outlineLevel="0" collapsed="false">
      <c r="A4" s="92" t="s">
        <v>1610</v>
      </c>
      <c r="B4" s="93" t="str">
        <f aca="false">IF(ISNUMBER(Flights!$I$26),TEXT(Flights!$I$26,"DD-MMM-YY HH:MM"),"")&amp;" "&amp;Flights!$G$26&amp;"  →  "&amp;IF(ISNUMBER(Flights!$J$26),TEXT(Flights!$J$26,"DD-MMM-YY HH:MM"),"")&amp;" "&amp;Flights!$H$26</f>
        <v>30-Oct-26 23:20 KUL  →  31-Oct-26 05:55 LHR</v>
      </c>
      <c r="C4" s="93"/>
      <c r="D4" s="93"/>
      <c r="E4" s="92" t="s">
        <v>1611</v>
      </c>
      <c r="F4" s="96" t="str">
        <f aca="false">IF(ISNUMBER(Flights!$AG$26),TEXT(Flights!$AG$26,"DD-MMM-YY HH:MM"),"")&amp;" "&amp;Flights!$V$26</f>
        <v>23-Oct-26 23:20 KUL</v>
      </c>
      <c r="G4" s="97" t="n">
        <f aca="false">Flights!$AJ$26</f>
        <v>0</v>
      </c>
      <c r="H4" s="97"/>
    </row>
    <row r="5" customFormat="false" ht="24" hidden="false" customHeight="true" outlineLevel="0" collapsed="false">
      <c r="A5" s="92" t="s">
        <v>1612</v>
      </c>
      <c r="B5" s="93" t="str">
        <f aca="false">Flights!$L$26&amp;" – "&amp;Flights!$M$26</f>
        <v>A350 – A350-900: A359 (9M-MAB..MAG, row 6) or A350 9M-MAH (row 7) - tail to confirm</v>
      </c>
      <c r="C5" s="93"/>
      <c r="D5" s="93"/>
      <c r="E5" s="92" t="s">
        <v>1613</v>
      </c>
      <c r="F5" s="96" t="str">
        <f aca="false">IF(ISNUMBER(Flights!$AH$26),TEXT(Flights!$AH$26,"DD-MMM-YY HH:MM"),"")&amp;" "&amp;Flights!$V$26</f>
        <v>29-Oct-26 23:20 KUL</v>
      </c>
      <c r="G5" s="97" t="n">
        <f aca="false">Flights!$AK$26</f>
        <v>0</v>
      </c>
      <c r="H5" s="97"/>
    </row>
    <row r="6" customFormat="false" ht="24" hidden="false" customHeight="true" outlineLevel="0" collapsed="false">
      <c r="A6" s="92" t="s">
        <v>1614</v>
      </c>
      <c r="B6" s="93" t="str">
        <f aca="false">IF(TRIM(Flights!$N$26)="","__________________",Flights!$N$26)</f>
        <v>__________________</v>
      </c>
      <c r="C6" s="93"/>
      <c r="D6" s="93"/>
      <c r="E6" s="92" t="s">
        <v>1615</v>
      </c>
      <c r="F6" s="96" t="str">
        <f aca="false">IF(ISNUMBER(Flights!$AI$26),TEXT(Flights!$AI$26,"DD-MMM-YY HH:MM"),"")&amp;" "&amp;Flights!$V$26&amp;IF(Flights!$AI$26=Flights!$AH$26,"  (= T-24H due)","")</f>
        <v>30-Oct-26 11:20 KUL</v>
      </c>
      <c r="G6" s="97" t="n">
        <f aca="false">Flights!$AL$26</f>
        <v>0</v>
      </c>
      <c r="H6" s="97"/>
    </row>
    <row r="7" customFormat="false" ht="24" hidden="false" customHeight="true" outlineLevel="0" collapsed="false">
      <c r="A7" s="92" t="s">
        <v>1616</v>
      </c>
      <c r="B7" s="93" t="str">
        <f aca="false">Flights!$T$26</f>
        <v>2.5 Meal (Meal)</v>
      </c>
      <c r="C7" s="93"/>
      <c r="D7" s="93"/>
      <c r="E7" s="92" t="s">
        <v>1617</v>
      </c>
      <c r="F7" s="96" t="str">
        <f aca="false">"STD "&amp;IF(ISNUMBER(Flights!$I$26),TEXT(Flights!$I$26,"DD-MMM-YY HH:MM"),"")&amp;" "&amp;Flights!$G$26&amp;" (dep stn)"</f>
        <v>STD 30-Oct-26 23:20 KUL (dep stn)</v>
      </c>
      <c r="G7" s="97" t="n">
        <f aca="false">Flights!$AM$26</f>
        <v>0</v>
      </c>
      <c r="H7" s="97"/>
    </row>
    <row r="8" customFormat="false" ht="12.75" hidden="false" customHeight="true" outlineLevel="0" collapsed="false">
      <c r="A8" s="92" t="s">
        <v>150</v>
      </c>
      <c r="B8" s="93" t="str">
        <f aca="false">Flights!$V$26&amp;"   (reference uplift stns: "&amp;Flights!$U$26&amp;")"</f>
        <v>KUL   (reference uplift stns: KUL/LHR)</v>
      </c>
      <c r="C8" s="93"/>
      <c r="D8" s="93"/>
      <c r="E8" s="92" t="s">
        <v>1618</v>
      </c>
      <c r="F8" s="98" t="s">
        <v>1619</v>
      </c>
      <c r="G8" s="97" t="n">
        <f aca="false">Flights!$AN$26</f>
        <v>0</v>
      </c>
      <c r="H8" s="97"/>
    </row>
    <row r="9" customFormat="false" ht="12.75" hidden="false" customHeight="true" outlineLevel="0" collapsed="false">
      <c r="A9" s="92" t="s">
        <v>1620</v>
      </c>
      <c r="B9" s="93" t="str">
        <f aca="false">TRIM(Flights!$P$26&amp;"  "&amp;Flights!$Q$26)</f>
        <v>7H 15M</v>
      </c>
      <c r="C9" s="93"/>
      <c r="D9" s="93"/>
      <c r="E9" s="92" t="s">
        <v>1621</v>
      </c>
      <c r="F9" s="99" t="n">
        <f aca="false">Flights!$AP$26</f>
        <v>0</v>
      </c>
      <c r="G9" s="99" t="n">
        <f aca="false">Flights!$AQ$26</f>
        <v>0</v>
      </c>
      <c r="H9" s="99" t="n">
        <f aca="false">Flights!$AU$26</f>
        <v>0</v>
      </c>
    </row>
    <row r="10" customFormat="false" ht="24" hidden="false" customHeight="true" outlineLevel="0" collapsed="false">
      <c r="A10" s="92" t="s">
        <v>1622</v>
      </c>
      <c r="B10" s="93" t="str">
        <f aca="false">IF(TRIM(Flights!$X$26)="","__________________",Flights!$X$26)</f>
        <v>__________________</v>
      </c>
      <c r="C10" s="93"/>
      <c r="D10" s="93"/>
      <c r="E10" s="92" t="s">
        <v>1623</v>
      </c>
      <c r="F10" s="99" t="n">
        <f aca="false">Flights!$AO$26</f>
        <v>46</v>
      </c>
      <c r="G10" s="99" t="n">
        <f aca="false">Flights!$AS$26</f>
        <v>2</v>
      </c>
      <c r="H10" s="99" t="n">
        <f aca="false">Flights!$AR$26</f>
        <v>2</v>
      </c>
    </row>
    <row r="11" customFormat="false" ht="21" hidden="false" customHeight="true" outlineLevel="0" collapsed="false">
      <c r="A11" s="92" t="s">
        <v>1624</v>
      </c>
      <c r="B11" s="93" t="str">
        <f aca="false">IF(TRIM(Flights!$Y$26)="","__________________",Flights!$Y$26)</f>
        <v>__________________</v>
      </c>
      <c r="C11" s="93"/>
      <c r="D11" s="93"/>
      <c r="E11" s="92" t="s">
        <v>1625</v>
      </c>
      <c r="F11" s="99" t="str">
        <f aca="false">Flights!$AV$26&amp;" / "&amp;Flights!$AW$26</f>
        <v>0 / 46</v>
      </c>
      <c r="G11" s="100" t="str">
        <f aca="false">IF(ISNUMBER(Settings!$B$6),TEXT(Settings!$B$6,"DD-MMM-YY HH:MM"),"")</f>
        <v>28-Sep-26 03:19</v>
      </c>
      <c r="H11" s="100"/>
    </row>
    <row r="12" customFormat="false" ht="34.5" hidden="false" customHeight="true" outlineLevel="0" collapsed="false">
      <c r="A12" s="101" t="s">
        <v>1626</v>
      </c>
      <c r="B12" s="101"/>
      <c r="C12" s="101"/>
      <c r="D12" s="101"/>
      <c r="E12" s="102" t="s">
        <v>1627</v>
      </c>
      <c r="F12" s="103" t="s">
        <v>1628</v>
      </c>
      <c r="G12" s="104" t="s">
        <v>89</v>
      </c>
      <c r="H12" s="105" t="s">
        <v>1629</v>
      </c>
    </row>
    <row r="13" customFormat="false" ht="13.5" hidden="false" customHeight="true" outlineLevel="0" collapsed="false">
      <c r="A13" s="94" t="s">
        <v>1630</v>
      </c>
      <c r="B13" s="94" t="s">
        <v>1631</v>
      </c>
      <c r="C13" s="94" t="s">
        <v>1632</v>
      </c>
      <c r="D13" s="94"/>
      <c r="E13" s="94" t="s">
        <v>1633</v>
      </c>
      <c r="F13" s="94" t="s">
        <v>1634</v>
      </c>
      <c r="G13" s="94"/>
      <c r="H13" s="94"/>
    </row>
    <row r="14" customFormat="false" ht="36" hidden="false" customHeight="true" outlineLevel="0" collapsed="false">
      <c r="A14" s="92" t="s">
        <v>1635</v>
      </c>
      <c r="B14" s="93" t="str">
        <f aca="false">IF(Documents!$F$26="","",Documents!$F$26)</f>
        <v/>
      </c>
      <c r="C14" s="98" t="str">
        <f aca="false">IF(Documents!$G$26="","",Documents!$G$26)&amp;IF(ISNUMBER(Documents!$H$26),"  "&amp;TEXT(Documents!$H$26,"DD-MMM-YY"),"")</f>
        <v/>
      </c>
      <c r="D14" s="98"/>
      <c r="E14" s="106" t="str">
        <f aca="false">IF(Documents!$J$26="OUTSTANDING","OUTSTANDING – attach before T-7D (due "&amp;IF(ISNUMBER(Flights!$AG$26),TEXT(Flights!$AG$26,"DD-MMM-YY HH:MM"),"")&amp;" "&amp;Flights!$V$26&amp;")",IF(Documents!$J$26="","Status not recorded",Documents!$J$26))</f>
        <v>OUTSTANDING – attach before T-7D (due 23-Oct-26 23:20 KUL)</v>
      </c>
      <c r="F14" s="107" t="str">
        <f aca="false">"Staple behind this sheet as page A1."&amp;IF(Documents!$I$26="",""," Location: "&amp;Documents!$I$26)</f>
        <v>Staple behind this sheet as page A1.</v>
      </c>
      <c r="G14" s="107"/>
      <c r="H14" s="107"/>
    </row>
    <row r="15" customFormat="false" ht="36" hidden="false" customHeight="true" outlineLevel="0" collapsed="false">
      <c r="A15" s="92" t="s">
        <v>1636</v>
      </c>
      <c r="B15" s="93" t="str">
        <f aca="false">IF(Documents!$K$26="","",Documents!$K$26)</f>
        <v/>
      </c>
      <c r="C15" s="98" t="str">
        <f aca="false">IF(Documents!$L$26="","",Documents!$L$26)&amp;IF(ISNUMBER(Documents!$M$26),"  "&amp;TEXT(Documents!$M$26,"DD-MMM-YY"),"")</f>
        <v/>
      </c>
      <c r="D15" s="98"/>
      <c r="E15" s="106" t="str">
        <f aca="false">IF(Documents!$O$26="OUTSTANDING","OUTSTANDING – attach before T-7D (due "&amp;IF(ISNUMBER(Flights!$AG$26),TEXT(Flights!$AG$26,"DD-MMM-YY HH:MM"),"")&amp;" "&amp;Flights!$V$26&amp;")",IF(Documents!$O$26="","Status not recorded",Documents!$O$26))</f>
        <v>OUTSTANDING – attach before T-7D (due 23-Oct-26 23:20 KUL)</v>
      </c>
      <c r="F15" s="107" t="str">
        <f aca="false">"Staple behind this sheet as page A2."&amp;IF(Documents!$N$26="",""," Location: "&amp;Documents!$N$26)</f>
        <v>Staple behind this sheet as page A2.</v>
      </c>
      <c r="G15" s="107"/>
      <c r="H15" s="107"/>
    </row>
    <row r="16" customFormat="false" ht="22.5" hidden="false" customHeight="true" outlineLevel="0" collapsed="false">
      <c r="A16" s="92" t="s">
        <v>1637</v>
      </c>
      <c r="B16" s="108" t="str">
        <f aca="false">IF(Documents!$Q$26="","",Documents!$Q$26)</f>
        <v>Not supplied with brief – obtain from caterer / MAGCS.</v>
      </c>
      <c r="C16" s="108"/>
      <c r="D16" s="108"/>
      <c r="E16" s="108"/>
      <c r="F16" s="108"/>
      <c r="G16" s="108"/>
      <c r="H16" s="108"/>
    </row>
    <row r="17" customFormat="false" ht="13.5" hidden="false" customHeight="true" outlineLevel="0" collapsed="false">
      <c r="A17" s="109" t="s">
        <v>1638</v>
      </c>
      <c r="B17" s="109"/>
      <c r="C17" s="109" t="s">
        <v>1639</v>
      </c>
      <c r="D17" s="109"/>
      <c r="E17" s="109"/>
      <c r="F17" s="109" t="s">
        <v>1640</v>
      </c>
      <c r="G17" s="109"/>
      <c r="H17" s="109"/>
    </row>
    <row r="18" customFormat="false" ht="18" hidden="false" customHeight="true" outlineLevel="0" collapsed="false">
      <c r="A18" s="93" t="str">
        <f aca="false">"Name: "&amp;IF(TRIM(Flights!$Y$26)="","__________________",Flights!$Y$26)</f>
        <v>Name: __________________</v>
      </c>
      <c r="B18" s="93"/>
      <c r="C18" s="93" t="str">
        <f aca="false">"Name: __________________"</f>
        <v>Name: __________________</v>
      </c>
      <c r="D18" s="93"/>
      <c r="E18" s="93"/>
      <c r="F18" s="93" t="str">
        <f aca="false">"Name: __________________"&amp;"   Station: "&amp;Flights!$V$26</f>
        <v>Name: __________________   Station: KUL</v>
      </c>
      <c r="G18" s="93"/>
      <c r="H18" s="93"/>
    </row>
    <row r="19" customFormat="false" ht="30" hidden="false" customHeight="true" outlineLevel="0" collapsed="false">
      <c r="A19" s="110" t="s">
        <v>1641</v>
      </c>
      <c r="B19" s="110"/>
      <c r="C19" s="110" t="s">
        <v>1641</v>
      </c>
      <c r="D19" s="110"/>
      <c r="E19" s="110"/>
      <c r="F19" s="110" t="s">
        <v>1641</v>
      </c>
      <c r="G19" s="110"/>
      <c r="H19" s="110"/>
    </row>
    <row r="20" customFormat="false" ht="13.5" hidden="false" customHeight="true" outlineLevel="0" collapsed="false">
      <c r="A20" s="111" t="s">
        <v>1642</v>
      </c>
      <c r="B20" s="111"/>
      <c r="C20" s="111"/>
      <c r="D20" s="111"/>
      <c r="E20" s="111"/>
      <c r="F20" s="111"/>
      <c r="G20" s="111"/>
      <c r="H20" s="111"/>
    </row>
    <row r="21" customFormat="false" ht="24" hidden="false" customHeight="true" outlineLevel="0" collapsed="false">
      <c r="A21" s="94" t="s">
        <v>1643</v>
      </c>
      <c r="B21" s="94" t="s">
        <v>1644</v>
      </c>
      <c r="C21" s="94" t="s">
        <v>1645</v>
      </c>
      <c r="D21" s="94" t="s">
        <v>1646</v>
      </c>
      <c r="E21" s="94" t="s">
        <v>1647</v>
      </c>
      <c r="F21" s="94" t="s">
        <v>1648</v>
      </c>
      <c r="G21" s="94" t="s">
        <v>1649</v>
      </c>
      <c r="H21" s="94" t="s">
        <v>121</v>
      </c>
    </row>
    <row r="22" customFormat="false" ht="25.5" hidden="false" customHeight="true" outlineLevel="0" collapsed="false">
      <c r="A22" s="112"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2"/>
      <c r="C22" s="112"/>
      <c r="D22" s="112"/>
      <c r="E22" s="112"/>
      <c r="F22" s="112"/>
      <c r="G22" s="112"/>
      <c r="H22" s="112"/>
    </row>
    <row r="23" customFormat="false" ht="114" hidden="false" customHeight="true" outlineLevel="0" collapsed="false">
      <c r="A23" s="113" t="str">
        <f aca="false">Checks!$A$702&amp;CHAR(10)&amp;IF(Checks!$I$702="","",Checks!$I$702&amp;": ")&amp;Checks!$J$702</f>
        <v>F22-T7-01
Meal: Meal sensory testing completed for this flight's menu cycle (assessed class)</v>
      </c>
      <c r="B23" s="113" t="str">
        <f aca="false">Checks!$K$702&amp;IF(Checks!$O$702="","",IF(Checks!$K$702="","",CHAR(10))&amp;"Note: "&amp;Checks!$O$702)</f>
        <v>Record panel result / score in Result</v>
      </c>
      <c r="C23" s="113" t="str">
        <f aca="false">Checks!$N$702&amp;CHAR(10)&amp;IF(ISNUMBER(Checks!$R$702),TEXT(Checks!$R$702,"DD-MMM-YY HH:MM"),"")&amp;" "&amp;Checks!$P$702</f>
        <v>Required
23-Oct-26 23:20 KUL</v>
      </c>
      <c r="D23" s="113" t="str">
        <f aca="false">IF(Checks!$U$702="","",Checks!$U$702)&amp;IF(Checks!$AB$702="","",CHAR(10)&amp;"CA: "&amp;Checks!$AB$702)</f>
        <v/>
      </c>
      <c r="E23" s="113" t="str">
        <f aca="false">IF(Checks!$V$702="","",Checks!$V$702)&amp;IF(Checks!$AC$702="","",IF(Checks!$V$702="","",CHAR(10))&amp;"N/A just.: "&amp;Checks!$AC$702)&amp;IF(Checks!$W$702="","",CHAR(10)&amp;"Batch: "&amp;Checks!$W$702)&amp;IF(AND(Checks!$X$702="",Checks!$Y$702=""),"",CHAR(10)&amp;"Exp: "&amp;Checks!$X$702&amp;"  /  Act: "&amp;Checks!$Y$702)</f>
        <v/>
      </c>
      <c r="F23" s="113" t="str">
        <f aca="false">IF(Checks!$Z$702="","","Evidence: "&amp;Checks!$Z$702)&amp;IF(Checks!$AA$702="","",IF(Checks!$Z$702="","",CHAR(10))&amp;"CA: "&amp;Checks!$AA$702)</f>
        <v/>
      </c>
      <c r="G23" s="113" t="str">
        <f aca="false">IF(ISNUMBER(Checks!$AD$702),TEXT(Checks!$AD$702,"DD-MMM-YY HH:MM")&amp;" "&amp;Checks!$P$702,"")&amp;IF(Checks!$AE$702="","",CHAR(10)&amp;"Verifier: "&amp;Checks!$AE$702)&amp;IF(Checks!$T$702="","",CHAR(10)&amp;"PIC: "&amp;Checks!$T$702)</f>
        <v/>
      </c>
      <c r="H23" s="114" t="str">
        <f aca="false">IF(Checks!$AH$702="","",Checks!$AH$702)</f>
        <v>OPEN</v>
      </c>
    </row>
    <row r="24" customFormat="false" ht="114" hidden="false" customHeight="true" outlineLevel="0" collapsed="false">
      <c r="A24" s="113" t="str">
        <f aca="false">Checks!$A$703&amp;CHAR(10)&amp;IF(Checks!$I$703="","",Checks!$I$703&amp;": ")&amp;Checks!$J$703</f>
        <v>F22-T7-02
Menu: Printed menu cards confirmed (content, cycle, language, quantity)</v>
      </c>
      <c r="B24" s="113" t="str">
        <f aca="false">Checks!$K$703&amp;IF(Checks!$O$703="","",IF(Checks!$K$703="","",CHAR(10))&amp;"Note: "&amp;Checks!$O$703)</f>
        <v>Menu card matches approved menu for this flight</v>
      </c>
      <c r="C24" s="113" t="str">
        <f aca="false">Checks!$N$703&amp;CHAR(10)&amp;IF(ISNUMBER(Checks!$R$703),TEXT(Checks!$R$703,"DD-MMM-YY HH:MM"),"")&amp;" "&amp;Checks!$P$703</f>
        <v>Required
23-Oct-26 23:20 KUL</v>
      </c>
      <c r="D24" s="113" t="str">
        <f aca="false">IF(Checks!$U$703="","",Checks!$U$703)&amp;IF(Checks!$AB$703="","",CHAR(10)&amp;"CA: "&amp;Checks!$AB$703)</f>
        <v/>
      </c>
      <c r="E24" s="113" t="str">
        <f aca="false">IF(Checks!$V$703="","",Checks!$V$703)&amp;IF(Checks!$AC$703="","",IF(Checks!$V$703="","",CHAR(10))&amp;"N/A just.: "&amp;Checks!$AC$703)&amp;IF(Checks!$W$703="","",CHAR(10)&amp;"Batch: "&amp;Checks!$W$703)&amp;IF(AND(Checks!$X$703="",Checks!$Y$703=""),"",CHAR(10)&amp;"Exp: "&amp;Checks!$X$703&amp;"  /  Act: "&amp;Checks!$Y$703)</f>
        <v/>
      </c>
      <c r="F24" s="113" t="str">
        <f aca="false">IF(Checks!$Z$703="","","Evidence: "&amp;Checks!$Z$703)&amp;IF(Checks!$AA$703="","",IF(Checks!$Z$703="","",CHAR(10))&amp;"CA: "&amp;Checks!$AA$703)</f>
        <v/>
      </c>
      <c r="G24" s="113" t="str">
        <f aca="false">IF(ISNUMBER(Checks!$AD$703),TEXT(Checks!$AD$703,"DD-MMM-YY HH:MM")&amp;" "&amp;Checks!$P$703,"")&amp;IF(Checks!$AE$703="","",CHAR(10)&amp;"Verifier: "&amp;Checks!$AE$703)&amp;IF(Checks!$T$703="","",CHAR(10)&amp;"PIC: "&amp;Checks!$T$703)</f>
        <v/>
      </c>
      <c r="H24" s="114" t="str">
        <f aca="false">IF(Checks!$AH$703="","",Checks!$AH$703)</f>
        <v>OPEN</v>
      </c>
    </row>
    <row r="25" customFormat="false" ht="114" hidden="false" customHeight="true" outlineLevel="0" collapsed="false">
      <c r="A25" s="113" t="str">
        <f aca="false">Checks!$A$704&amp;CHAR(10)&amp;IF(Checks!$I$704="","",Checks!$I$704&amp;": ")&amp;Checks!$J$704</f>
        <v>F22-T7-03
IFE: Digital menu in IFE confirmed (A339 only)</v>
      </c>
      <c r="B25" s="113" t="str">
        <f aca="false">Checks!$K$704&amp;IF(Checks!$O$704="","",IF(Checks!$K$704="","",CHAR(10))&amp;"Note: "&amp;Checks!$O$704)</f>
        <v>Applies when fleet = A339
Note: Digital IFE menu applies to A339 only (user brief). Applicability follows the Fleet cell on Flights.</v>
      </c>
      <c r="C25" s="113" t="str">
        <f aca="false">Checks!$N$704&amp;CHAR(10)&amp;IF(ISNUMBER(Checks!$R$704),TEXT(Checks!$R$704,"DD-MMM-YY HH:MM"),"")&amp;" "&amp;Checks!$P$704</f>
        <v>N/A – rule
23-Oct-26 23:20 KUL</v>
      </c>
      <c r="D25" s="113" t="str">
        <f aca="false">IF(Checks!$U$704="","",Checks!$U$704)&amp;IF(Checks!$AB$704="","",CHAR(10)&amp;"CA: "&amp;Checks!$AB$704)</f>
        <v/>
      </c>
      <c r="E25" s="113" t="str">
        <f aca="false">IF(Checks!$V$704="","",Checks!$V$704)&amp;IF(Checks!$AC$704="","",IF(Checks!$V$704="","",CHAR(10))&amp;"N/A just.: "&amp;Checks!$AC$704)&amp;IF(Checks!$W$704="","",CHAR(10)&amp;"Batch: "&amp;Checks!$W$704)&amp;IF(AND(Checks!$X$704="",Checks!$Y$704=""),"",CHAR(10)&amp;"Exp: "&amp;Checks!$X$704&amp;"  /  Act: "&amp;Checks!$Y$704)</f>
        <v/>
      </c>
      <c r="F25" s="113" t="str">
        <f aca="false">IF(Checks!$Z$704="","","Evidence: "&amp;Checks!$Z$704)&amp;IF(Checks!$AA$704="","",IF(Checks!$Z$704="","",CHAR(10))&amp;"CA: "&amp;Checks!$AA$704)</f>
        <v/>
      </c>
      <c r="G25" s="113" t="str">
        <f aca="false">IF(ISNUMBER(Checks!$AD$704),TEXT(Checks!$AD$704,"DD-MMM-YY HH:MM")&amp;" "&amp;Checks!$P$704,"")&amp;IF(Checks!$AE$704="","",CHAR(10)&amp;"Verifier: "&amp;Checks!$AE$704)&amp;IF(Checks!$T$704="","",CHAR(10)&amp;"PIC: "&amp;Checks!$T$704)</f>
        <v/>
      </c>
      <c r="H25" s="114" t="str">
        <f aca="false">IF(Checks!$AH$704="","",Checks!$AH$704)</f>
        <v>N/A – RULE</v>
      </c>
    </row>
    <row r="26" customFormat="false" ht="114" hidden="false" customHeight="true" outlineLevel="0" collapsed="false">
      <c r="A26" s="113" t="str">
        <f aca="false">Checks!$A$705&amp;CHAR(10)&amp;IF(Checks!$I$705="","",Checks!$I$705&amp;": ")&amp;Checks!$J$705</f>
        <v>F22-T7-04
Staffing: Experienced catering officer assigned to this flight</v>
      </c>
      <c r="B26" s="113" t="str">
        <f aca="false">Checks!$K$705&amp;IF(Checks!$O$705="","",IF(Checks!$K$705="","",CHAR(10))&amp;"Note: "&amp;Checks!$O$705)</f>
        <v>Record officer name in Result</v>
      </c>
      <c r="C26" s="113" t="str">
        <f aca="false">Checks!$N$705&amp;CHAR(10)&amp;IF(ISNUMBER(Checks!$R$705),TEXT(Checks!$R$705,"DD-MMM-YY HH:MM"),"")&amp;" "&amp;Checks!$P$705</f>
        <v>Required
23-Oct-26 23:20 KUL</v>
      </c>
      <c r="D26" s="113" t="str">
        <f aca="false">IF(Checks!$U$705="","",Checks!$U$705)&amp;IF(Checks!$AB$705="","",CHAR(10)&amp;"CA: "&amp;Checks!$AB$705)</f>
        <v/>
      </c>
      <c r="E26" s="113" t="str">
        <f aca="false">IF(Checks!$V$705="","",Checks!$V$705)&amp;IF(Checks!$AC$705="","",IF(Checks!$V$705="","",CHAR(10))&amp;"N/A just.: "&amp;Checks!$AC$705)&amp;IF(Checks!$W$705="","",CHAR(10)&amp;"Batch: "&amp;Checks!$W$705)&amp;IF(AND(Checks!$X$705="",Checks!$Y$705=""),"",CHAR(10)&amp;"Exp: "&amp;Checks!$X$705&amp;"  /  Act: "&amp;Checks!$Y$705)</f>
        <v/>
      </c>
      <c r="F26" s="113" t="str">
        <f aca="false">IF(Checks!$Z$705="","","Evidence: "&amp;Checks!$Z$705)&amp;IF(Checks!$AA$705="","",IF(Checks!$Z$705="","",CHAR(10))&amp;"CA: "&amp;Checks!$AA$705)</f>
        <v/>
      </c>
      <c r="G26" s="113" t="str">
        <f aca="false">IF(ISNUMBER(Checks!$AD$705),TEXT(Checks!$AD$705,"DD-MMM-YY HH:MM")&amp;" "&amp;Checks!$P$705,"")&amp;IF(Checks!$AE$705="","",CHAR(10)&amp;"Verifier: "&amp;Checks!$AE$705)&amp;IF(Checks!$T$705="","",CHAR(10)&amp;"PIC: "&amp;Checks!$T$705)</f>
        <v/>
      </c>
      <c r="H26" s="114" t="str">
        <f aca="false">IF(Checks!$AH$705="","",Checks!$AH$705)</f>
        <v>OPEN</v>
      </c>
    </row>
    <row r="27" customFormat="false" ht="114" hidden="false" customHeight="true" outlineLevel="0" collapsed="false">
      <c r="A27" s="113" t="str">
        <f aca="false">Checks!$A$706&amp;CHAR(10)&amp;IF(Checks!$I$706="","",Checks!$I$706&amp;": ")&amp;Checks!$J$706</f>
        <v>F22-T7-05
ISOP: All latest applicable ISOP revisions communicated to caterer</v>
      </c>
      <c r="B27" s="113" t="str">
        <f aca="false">Checks!$K$706&amp;IF(Checks!$O$706="","",IF(Checks!$K$706="","",CHAR(10))&amp;"Note: "&amp;Checks!$O$706)</f>
        <v>List revision numbers in Result (see ISOP register)</v>
      </c>
      <c r="C27" s="113" t="str">
        <f aca="false">Checks!$N$706&amp;CHAR(10)&amp;IF(ISNUMBER(Checks!$R$706),TEXT(Checks!$R$706,"DD-MMM-YY HH:MM"),"")&amp;" "&amp;Checks!$P$706</f>
        <v>Required
23-Oct-26 23:20 KUL</v>
      </c>
      <c r="D27" s="113" t="str">
        <f aca="false">IF(Checks!$U$706="","",Checks!$U$706)&amp;IF(Checks!$AB$706="","",CHAR(10)&amp;"CA: "&amp;Checks!$AB$706)</f>
        <v/>
      </c>
      <c r="E27" s="113" t="str">
        <f aca="false">IF(Checks!$V$706="","",Checks!$V$706)&amp;IF(Checks!$AC$706="","",IF(Checks!$V$706="","",CHAR(10))&amp;"N/A just.: "&amp;Checks!$AC$706)&amp;IF(Checks!$W$706="","",CHAR(10)&amp;"Batch: "&amp;Checks!$W$706)&amp;IF(AND(Checks!$X$706="",Checks!$Y$706=""),"",CHAR(10)&amp;"Exp: "&amp;Checks!$X$706&amp;"  /  Act: "&amp;Checks!$Y$706)</f>
        <v/>
      </c>
      <c r="F27" s="113" t="str">
        <f aca="false">IF(Checks!$Z$706="","","Evidence: "&amp;Checks!$Z$706)&amp;IF(Checks!$AA$706="","",IF(Checks!$Z$706="","",CHAR(10))&amp;"CA: "&amp;Checks!$AA$706)</f>
        <v/>
      </c>
      <c r="G27" s="113" t="str">
        <f aca="false">IF(ISNUMBER(Checks!$AD$706),TEXT(Checks!$AD$706,"DD-MMM-YY HH:MM")&amp;" "&amp;Checks!$P$706,"")&amp;IF(Checks!$AE$706="","",CHAR(10)&amp;"Verifier: "&amp;Checks!$AE$706)&amp;IF(Checks!$T$706="","",CHAR(10)&amp;"PIC: "&amp;Checks!$T$706)</f>
        <v/>
      </c>
      <c r="H27" s="114" t="str">
        <f aca="false">IF(Checks!$AH$706="","",Checks!$AH$706)</f>
        <v>OPEN</v>
      </c>
    </row>
    <row r="28" customFormat="false" ht="114" hidden="false" customHeight="true" outlineLevel="0" collapsed="false">
      <c r="A28" s="113" t="str">
        <f aca="false">Checks!$A$707&amp;CHAR(10)&amp;IF(Checks!$I$707="","",Checks!$I$707&amp;": ")&amp;Checks!$J$707</f>
        <v>F22-T7-06
ISOP: Caterer acknowledgement of ISOP revisions recorded</v>
      </c>
      <c r="B28" s="113" t="str">
        <f aca="false">Checks!$K$707&amp;IF(Checks!$O$707="","",IF(Checks!$K$707="","",CHAR(10))&amp;"Note: "&amp;Checks!$O$707)</f>
        <v>Record acknowledgement ref in Evidence</v>
      </c>
      <c r="C28" s="113" t="str">
        <f aca="false">Checks!$N$707&amp;CHAR(10)&amp;IF(ISNUMBER(Checks!$R$707),TEXT(Checks!$R$707,"DD-MMM-YY HH:MM"),"")&amp;" "&amp;Checks!$P$707</f>
        <v>Required
23-Oct-26 23:20 KUL</v>
      </c>
      <c r="D28" s="113" t="str">
        <f aca="false">IF(Checks!$U$707="","",Checks!$U$707)&amp;IF(Checks!$AB$707="","",CHAR(10)&amp;"CA: "&amp;Checks!$AB$707)</f>
        <v/>
      </c>
      <c r="E28" s="113" t="str">
        <f aca="false">IF(Checks!$V$707="","",Checks!$V$707)&amp;IF(Checks!$AC$707="","",IF(Checks!$V$707="","",CHAR(10))&amp;"N/A just.: "&amp;Checks!$AC$707)&amp;IF(Checks!$W$707="","",CHAR(10)&amp;"Batch: "&amp;Checks!$W$707)&amp;IF(AND(Checks!$X$707="",Checks!$Y$707=""),"",CHAR(10)&amp;"Exp: "&amp;Checks!$X$707&amp;"  /  Act: "&amp;Checks!$Y$707)</f>
        <v/>
      </c>
      <c r="F28" s="113" t="str">
        <f aca="false">IF(Checks!$Z$707="","","Evidence: "&amp;Checks!$Z$707)&amp;IF(Checks!$AA$707="","",IF(Checks!$Z$707="","",CHAR(10))&amp;"CA: "&amp;Checks!$AA$707)</f>
        <v/>
      </c>
      <c r="G28" s="113" t="str">
        <f aca="false">IF(ISNUMBER(Checks!$AD$707),TEXT(Checks!$AD$707,"DD-MMM-YY HH:MM")&amp;" "&amp;Checks!$P$707,"")&amp;IF(Checks!$AE$707="","",CHAR(10)&amp;"Verifier: "&amp;Checks!$AE$707)&amp;IF(Checks!$T$707="","",CHAR(10)&amp;"PIC: "&amp;Checks!$T$707)</f>
        <v/>
      </c>
      <c r="H28" s="114" t="str">
        <f aca="false">IF(Checks!$AH$707="","",Checks!$AH$707)</f>
        <v>OPEN</v>
      </c>
    </row>
    <row r="29" customFormat="false" ht="114" hidden="false" customHeight="true" outlineLevel="0" collapsed="false">
      <c r="A29" s="113" t="str">
        <f aca="false">Checks!$A$708&amp;CHAR(10)&amp;IF(Checks!$I$708="","",Checks!$I$708&amp;": ")&amp;Checks!$J$708</f>
        <v>F22-T7-07
Documents: Galley loading diagram (GLD) received, revision recorded &amp; attached</v>
      </c>
      <c r="B29" s="113" t="str">
        <f aca="false">Checks!$K$708&amp;IF(Checks!$O$708="","",IF(Checks!$K$708="","",CHAR(10))&amp;"Note: "&amp;Checks!$O$708)</f>
        <v>Documents sheet row complete</v>
      </c>
      <c r="C29" s="113" t="str">
        <f aca="false">Checks!$N$708&amp;CHAR(10)&amp;IF(ISNUMBER(Checks!$R$708),TEXT(Checks!$R$708,"DD-MMM-YY HH:MM"),"")&amp;" "&amp;Checks!$P$708</f>
        <v>Required
23-Oct-26 23:20 KUL</v>
      </c>
      <c r="D29" s="113" t="str">
        <f aca="false">IF(Checks!$U$708="","",Checks!$U$708)&amp;IF(Checks!$AB$708="","",CHAR(10)&amp;"CA: "&amp;Checks!$AB$708)</f>
        <v/>
      </c>
      <c r="E29" s="113" t="str">
        <f aca="false">IF(Checks!$V$708="","",Checks!$V$708)&amp;IF(Checks!$AC$708="","",IF(Checks!$V$708="","",CHAR(10))&amp;"N/A just.: "&amp;Checks!$AC$708)&amp;IF(Checks!$W$708="","",CHAR(10)&amp;"Batch: "&amp;Checks!$W$708)&amp;IF(AND(Checks!$X$708="",Checks!$Y$708=""),"",CHAR(10)&amp;"Exp: "&amp;Checks!$X$708&amp;"  /  Act: "&amp;Checks!$Y$708)</f>
        <v/>
      </c>
      <c r="F29" s="113" t="str">
        <f aca="false">IF(Checks!$Z$708="","","Evidence: "&amp;Checks!$Z$708)&amp;IF(Checks!$AA$708="","",IF(Checks!$Z$708="","",CHAR(10))&amp;"CA: "&amp;Checks!$AA$708)</f>
        <v/>
      </c>
      <c r="G29" s="113" t="str">
        <f aca="false">IF(ISNUMBER(Checks!$AD$708),TEXT(Checks!$AD$708,"DD-MMM-YY HH:MM")&amp;" "&amp;Checks!$P$708,"")&amp;IF(Checks!$AE$708="","",CHAR(10)&amp;"Verifier: "&amp;Checks!$AE$708)&amp;IF(Checks!$T$708="","",CHAR(10)&amp;"PIC: "&amp;Checks!$T$708)</f>
        <v/>
      </c>
      <c r="H29" s="114" t="str">
        <f aca="false">IF(Checks!$AH$708="","",Checks!$AH$708)</f>
        <v>OPEN</v>
      </c>
    </row>
    <row r="30" customFormat="false" ht="114" hidden="false" customHeight="true" outlineLevel="0" collapsed="false">
      <c r="A30" s="113" t="str">
        <f aca="false">Checks!$A$709&amp;CHAR(10)&amp;IF(Checks!$I$709="","",Checks!$I$709&amp;": ")&amp;Checks!$J$709</f>
        <v>F22-T7-08
Documents: Menu checklist received, revision recorded &amp; attached</v>
      </c>
      <c r="B30" s="113" t="str">
        <f aca="false">Checks!$K$709&amp;IF(Checks!$O$709="","",IF(Checks!$K$709="","",CHAR(10))&amp;"Note: "&amp;Checks!$O$709)</f>
        <v>Documents sheet row complete</v>
      </c>
      <c r="C30" s="113" t="str">
        <f aca="false">Checks!$N$709&amp;CHAR(10)&amp;IF(ISNUMBER(Checks!$R$709),TEXT(Checks!$R$709,"DD-MMM-YY HH:MM"),"")&amp;" "&amp;Checks!$P$709</f>
        <v>Required
23-Oct-26 23:20 KUL</v>
      </c>
      <c r="D30" s="113" t="str">
        <f aca="false">IF(Checks!$U$709="","",Checks!$U$709)&amp;IF(Checks!$AB$709="","",CHAR(10)&amp;"CA: "&amp;Checks!$AB$709)</f>
        <v/>
      </c>
      <c r="E30" s="113" t="str">
        <f aca="false">IF(Checks!$V$709="","",Checks!$V$709)&amp;IF(Checks!$AC$709="","",IF(Checks!$V$709="","",CHAR(10))&amp;"N/A just.: "&amp;Checks!$AC$709)&amp;IF(Checks!$W$709="","",CHAR(10)&amp;"Batch: "&amp;Checks!$W$709)&amp;IF(AND(Checks!$X$709="",Checks!$Y$709=""),"",CHAR(10)&amp;"Exp: "&amp;Checks!$X$709&amp;"  /  Act: "&amp;Checks!$Y$709)</f>
        <v/>
      </c>
      <c r="F30" s="113" t="str">
        <f aca="false">IF(Checks!$Z$709="","","Evidence: "&amp;Checks!$Z$709)&amp;IF(Checks!$AA$709="","",IF(Checks!$Z$709="","",CHAR(10))&amp;"CA: "&amp;Checks!$AA$709)</f>
        <v/>
      </c>
      <c r="G30" s="113" t="str">
        <f aca="false">IF(ISNUMBER(Checks!$AD$709),TEXT(Checks!$AD$709,"DD-MMM-YY HH:MM")&amp;" "&amp;Checks!$P$709,"")&amp;IF(Checks!$AE$709="","",CHAR(10)&amp;"Verifier: "&amp;Checks!$AE$709)&amp;IF(Checks!$T$709="","",CHAR(10)&amp;"PIC: "&amp;Checks!$T$709)</f>
        <v/>
      </c>
      <c r="H30" s="114" t="str">
        <f aca="false">IF(Checks!$AH$709="","",Checks!$AH$709)</f>
        <v>OPEN</v>
      </c>
    </row>
    <row r="31" customFormat="false" ht="114" hidden="false" customHeight="true" outlineLevel="0" collapsed="false">
      <c r="A31" s="113" t="str">
        <f aca="false">Checks!$A$710&amp;CHAR(10)&amp;IF(Checks!$I$710="","",Checks!$I$710&amp;": ")&amp;Checks!$J$710</f>
        <v>F22-T7-09
Uplift plan: Uplift plan confirmed with caterer vs STD Uplift Information</v>
      </c>
      <c r="B31" s="113" t="str">
        <f aca="false">Checks!$K$710&amp;IF(Checks!$O$710="","",IF(Checks!$K$710="","",CHAR(10))&amp;"Note: "&amp;Checks!$O$710)</f>
        <v>Service: 2.5 Meal (Meal); meal uplift stn KUL (ref lists KUL/LHR)</v>
      </c>
      <c r="C31" s="113" t="str">
        <f aca="false">Checks!$N$710&amp;CHAR(10)&amp;IF(ISNUMBER(Checks!$R$710),TEXT(Checks!$R$710,"DD-MMM-YY HH:MM"),"")&amp;" "&amp;Checks!$P$710</f>
        <v>Required
23-Oct-26 23:20 KUL</v>
      </c>
      <c r="D31" s="113" t="str">
        <f aca="false">IF(Checks!$U$710="","",Checks!$U$710)&amp;IF(Checks!$AB$710="","",CHAR(10)&amp;"CA: "&amp;Checks!$AB$710)</f>
        <v/>
      </c>
      <c r="E31" s="113" t="str">
        <f aca="false">IF(Checks!$V$710="","",Checks!$V$710)&amp;IF(Checks!$AC$710="","",IF(Checks!$V$710="","",CHAR(10))&amp;"N/A just.: "&amp;Checks!$AC$710)&amp;IF(Checks!$W$710="","",CHAR(10)&amp;"Batch: "&amp;Checks!$W$710)&amp;IF(AND(Checks!$X$710="",Checks!$Y$710=""),"",CHAR(10)&amp;"Exp: "&amp;Checks!$X$710&amp;"  /  Act: "&amp;Checks!$Y$710)</f>
        <v/>
      </c>
      <c r="F31" s="113" t="str">
        <f aca="false">IF(Checks!$Z$710="","","Evidence: "&amp;Checks!$Z$710)&amp;IF(Checks!$AA$710="","",IF(Checks!$Z$710="","",CHAR(10))&amp;"CA: "&amp;Checks!$AA$710)</f>
        <v/>
      </c>
      <c r="G31" s="113" t="str">
        <f aca="false">IF(ISNUMBER(Checks!$AD$710),TEXT(Checks!$AD$710,"DD-MMM-YY HH:MM")&amp;" "&amp;Checks!$P$710,"")&amp;IF(Checks!$AE$710="","",CHAR(10)&amp;"Verifier: "&amp;Checks!$AE$710)&amp;IF(Checks!$T$710="","",CHAR(10)&amp;"PIC: "&amp;Checks!$T$710)</f>
        <v/>
      </c>
      <c r="H31" s="114" t="str">
        <f aca="false">IF(Checks!$AH$710="","",Checks!$AH$710)</f>
        <v>OPEN</v>
      </c>
    </row>
    <row r="32" customFormat="false" ht="25.5" hidden="false" customHeight="true" outlineLevel="0" collapsed="false">
      <c r="A32" s="112"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2"/>
      <c r="C32" s="112"/>
      <c r="D32" s="112"/>
      <c r="E32" s="112"/>
      <c r="F32" s="112"/>
      <c r="G32" s="112"/>
      <c r="H32" s="112"/>
    </row>
    <row r="33" customFormat="false" ht="114" hidden="false" customHeight="true" outlineLevel="0" collapsed="false">
      <c r="A33" s="113" t="str">
        <f aca="false">Checks!$A$711&amp;CHAR(10)&amp;IF(Checks!$I$711="","",Checks!$I$711&amp;": ")&amp;Checks!$J$711</f>
        <v>F22-T24-01
Meal: Sensory test repeated on ACTUAL production batch for this flight</v>
      </c>
      <c r="B33" s="113" t="str">
        <f aca="false">Checks!$K$711&amp;IF(Checks!$O$711="","",IF(Checks!$K$711="","",CHAR(10))&amp;"Note: "&amp;Checks!$O$711)</f>
        <v>Batch ID, result, CA and acceptance mandatory</v>
      </c>
      <c r="C33" s="113" t="str">
        <f aca="false">Checks!$N$711&amp;CHAR(10)&amp;IF(ISNUMBER(Checks!$R$711),TEXT(Checks!$R$711,"DD-MMM-YY HH:MM"),"")&amp;" "&amp;Checks!$P$711</f>
        <v>Required
29-Oct-26 23:20 KUL</v>
      </c>
      <c r="D33" s="113" t="str">
        <f aca="false">IF(Checks!$U$711="","",Checks!$U$711)&amp;IF(Checks!$AB$711="","",CHAR(10)&amp;"CA: "&amp;Checks!$AB$711)</f>
        <v/>
      </c>
      <c r="E33" s="113" t="str">
        <f aca="false">IF(Checks!$V$711="","",Checks!$V$711)&amp;IF(Checks!$AC$711="","",IF(Checks!$V$711="","",CHAR(10))&amp;"N/A just.: "&amp;Checks!$AC$711)&amp;IF(Checks!$W$711="","",CHAR(10)&amp;"Batch: "&amp;Checks!$W$711)&amp;IF(AND(Checks!$X$711="",Checks!$Y$711=""),"",CHAR(10)&amp;"Exp: "&amp;Checks!$X$711&amp;"  /  Act: "&amp;Checks!$Y$711)</f>
        <v/>
      </c>
      <c r="F33" s="113" t="str">
        <f aca="false">IF(Checks!$Z$711="","","Evidence: "&amp;Checks!$Z$711)&amp;IF(Checks!$AA$711="","",IF(Checks!$Z$711="","",CHAR(10))&amp;"CA: "&amp;Checks!$AA$711)</f>
        <v/>
      </c>
      <c r="G33" s="113" t="str">
        <f aca="false">IF(ISNUMBER(Checks!$AD$711),TEXT(Checks!$AD$711,"DD-MMM-YY HH:MM")&amp;" "&amp;Checks!$P$711,"")&amp;IF(Checks!$AE$711="","",CHAR(10)&amp;"Verifier: "&amp;Checks!$AE$711)&amp;IF(Checks!$T$711="","",CHAR(10)&amp;"PIC: "&amp;Checks!$T$711)</f>
        <v/>
      </c>
      <c r="H33" s="114" t="str">
        <f aca="false">IF(Checks!$AH$711="","",Checks!$AH$711)</f>
        <v>OPEN</v>
      </c>
    </row>
    <row r="34" customFormat="false" ht="25.5" hidden="false" customHeight="true" outlineLevel="0" collapsed="false">
      <c r="A34" s="112"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2"/>
      <c r="C34" s="112"/>
      <c r="D34" s="112"/>
      <c r="E34" s="112"/>
      <c r="F34" s="112"/>
      <c r="G34" s="112"/>
      <c r="H34" s="112"/>
    </row>
    <row r="35" customFormat="false" ht="114" hidden="false" customHeight="true" outlineLevel="0" collapsed="false">
      <c r="A35" s="113" t="str">
        <f aca="false">Checks!$A$712&amp;CHAR(10)&amp;IF(Checks!$I$712="","",Checks!$I$712&amp;": ")&amp;Checks!$J$712</f>
        <v>F22-T12-01
Meal: Meal quality vs menu checklist</v>
      </c>
      <c r="B35" s="113" t="str">
        <f aca="false">Checks!$K$712&amp;IF(Checks!$O$712="","",IF(Checks!$K$712="","",CHAR(10))&amp;"Note: "&amp;Checks!$O$712)</f>
        <v>Note: Preparation check at caterer - does NOT confirm loading.</v>
      </c>
      <c r="C35" s="113" t="str">
        <f aca="false">Checks!$N$712&amp;CHAR(10)&amp;IF(ISNUMBER(Checks!$R$712),TEXT(Checks!$R$712,"DD-MMM-YY HH:MM"),"")&amp;" "&amp;Checks!$P$712</f>
        <v>Required
30-Oct-26 11:20 KUL</v>
      </c>
      <c r="D35" s="113" t="str">
        <f aca="false">IF(Checks!$U$712="","",Checks!$U$712)&amp;IF(Checks!$AB$712="","",CHAR(10)&amp;"CA: "&amp;Checks!$AB$712)</f>
        <v/>
      </c>
      <c r="E35" s="113" t="str">
        <f aca="false">IF(Checks!$V$712="","",Checks!$V$712)&amp;IF(Checks!$AC$712="","",IF(Checks!$V$712="","",CHAR(10))&amp;"N/A just.: "&amp;Checks!$AC$712)&amp;IF(Checks!$W$712="","",CHAR(10)&amp;"Batch: "&amp;Checks!$W$712)&amp;IF(AND(Checks!$X$712="",Checks!$Y$712=""),"",CHAR(10)&amp;"Exp: "&amp;Checks!$X$712&amp;"  /  Act: "&amp;Checks!$Y$712)</f>
        <v/>
      </c>
      <c r="F35" s="113" t="str">
        <f aca="false">IF(Checks!$Z$712="","","Evidence: "&amp;Checks!$Z$712)&amp;IF(Checks!$AA$712="","",IF(Checks!$Z$712="","",CHAR(10))&amp;"CA: "&amp;Checks!$AA$712)</f>
        <v/>
      </c>
      <c r="G35" s="113" t="str">
        <f aca="false">IF(ISNUMBER(Checks!$AD$712),TEXT(Checks!$AD$712,"DD-MMM-YY HH:MM")&amp;" "&amp;Checks!$P$712,"")&amp;IF(Checks!$AE$712="","",CHAR(10)&amp;"Verifier: "&amp;Checks!$AE$712)&amp;IF(Checks!$T$712="","",CHAR(10)&amp;"PIC: "&amp;Checks!$T$712)</f>
        <v/>
      </c>
      <c r="H35" s="114" t="str">
        <f aca="false">IF(Checks!$AH$712="","",Checks!$AH$712)</f>
        <v>OPEN</v>
      </c>
    </row>
    <row r="36" customFormat="false" ht="114" hidden="false" customHeight="true" outlineLevel="0" collapsed="false">
      <c r="A36" s="113" t="str">
        <f aca="false">Checks!$A$713&amp;CHAR(10)&amp;IF(Checks!$I$713="","",Checks!$I$713&amp;": ")&amp;Checks!$J$713</f>
        <v>F22-T12-02
Meal: Meal quantities vs menu checklist</v>
      </c>
      <c r="B36" s="113" t="str">
        <f aca="false">Checks!$K$713&amp;IF(Checks!$O$713="","",IF(Checks!$K$713="","",CHAR(10))&amp;"Note: "&amp;Checks!$O$713)</f>
        <v>Enter expected &amp; actual
Note: Preparation check at caterer - does NOT confirm loading.</v>
      </c>
      <c r="C36" s="113" t="str">
        <f aca="false">Checks!$N$713&amp;CHAR(10)&amp;IF(ISNUMBER(Checks!$R$713),TEXT(Checks!$R$713,"DD-MMM-YY HH:MM"),"")&amp;" "&amp;Checks!$P$713</f>
        <v>Required
30-Oct-26 11:20 KUL</v>
      </c>
      <c r="D36" s="113" t="str">
        <f aca="false">IF(Checks!$U$713="","",Checks!$U$713)&amp;IF(Checks!$AB$713="","",CHAR(10)&amp;"CA: "&amp;Checks!$AB$713)</f>
        <v/>
      </c>
      <c r="E36" s="113" t="str">
        <f aca="false">IF(Checks!$V$713="","",Checks!$V$713)&amp;IF(Checks!$AC$713="","",IF(Checks!$V$713="","",CHAR(10))&amp;"N/A just.: "&amp;Checks!$AC$713)&amp;IF(Checks!$W$713="","",CHAR(10)&amp;"Batch: "&amp;Checks!$W$713)&amp;IF(AND(Checks!$X$713="",Checks!$Y$713=""),"",CHAR(10)&amp;"Exp: "&amp;Checks!$X$713&amp;"  /  Act: "&amp;Checks!$Y$713)</f>
        <v/>
      </c>
      <c r="F36" s="113" t="str">
        <f aca="false">IF(Checks!$Z$713="","","Evidence: "&amp;Checks!$Z$713)&amp;IF(Checks!$AA$713="","",IF(Checks!$Z$713="","",CHAR(10))&amp;"CA: "&amp;Checks!$AA$713)</f>
        <v/>
      </c>
      <c r="G36" s="113" t="str">
        <f aca="false">IF(ISNUMBER(Checks!$AD$713),TEXT(Checks!$AD$713,"DD-MMM-YY HH:MM")&amp;" "&amp;Checks!$P$713,"")&amp;IF(Checks!$AE$713="","",CHAR(10)&amp;"Verifier: "&amp;Checks!$AE$713)&amp;IF(Checks!$T$713="","",CHAR(10)&amp;"PIC: "&amp;Checks!$T$713)</f>
        <v/>
      </c>
      <c r="H36" s="114" t="str">
        <f aca="false">IF(Checks!$AH$713="","",Checks!$AH$713)</f>
        <v>OPEN</v>
      </c>
    </row>
    <row r="37" customFormat="false" ht="114" hidden="false" customHeight="true" outlineLevel="0" collapsed="false">
      <c r="A37" s="113" t="str">
        <f aca="false">Checks!$A$714&amp;CHAR(10)&amp;IF(Checks!$I$714="","",Checks!$I$714&amp;": ")&amp;Checks!$J$714</f>
        <v>F22-T12-03
Equipment: Equipment cleanliness vs GLD</v>
      </c>
      <c r="B37" s="113" t="str">
        <f aca="false">Checks!$K$714&amp;IF(Checks!$O$714="","",IF(Checks!$K$714="","",CHAR(10))&amp;"Note: "&amp;Checks!$O$714)</f>
        <v>Note: Preparation check at caterer - does NOT confirm loading.</v>
      </c>
      <c r="C37" s="113" t="str">
        <f aca="false">Checks!$N$714&amp;CHAR(10)&amp;IF(ISNUMBER(Checks!$R$714),TEXT(Checks!$R$714,"DD-MMM-YY HH:MM"),"")&amp;" "&amp;Checks!$P$714</f>
        <v>Required
30-Oct-26 11:20 KUL</v>
      </c>
      <c r="D37" s="113" t="str">
        <f aca="false">IF(Checks!$U$714="","",Checks!$U$714)&amp;IF(Checks!$AB$714="","",CHAR(10)&amp;"CA: "&amp;Checks!$AB$714)</f>
        <v/>
      </c>
      <c r="E37" s="113" t="str">
        <f aca="false">IF(Checks!$V$714="","",Checks!$V$714)&amp;IF(Checks!$AC$714="","",IF(Checks!$V$714="","",CHAR(10))&amp;"N/A just.: "&amp;Checks!$AC$714)&amp;IF(Checks!$W$714="","",CHAR(10)&amp;"Batch: "&amp;Checks!$W$714)&amp;IF(AND(Checks!$X$714="",Checks!$Y$714=""),"",CHAR(10)&amp;"Exp: "&amp;Checks!$X$714&amp;"  /  Act: "&amp;Checks!$Y$714)</f>
        <v/>
      </c>
      <c r="F37" s="113" t="str">
        <f aca="false">IF(Checks!$Z$714="","","Evidence: "&amp;Checks!$Z$714)&amp;IF(Checks!$AA$714="","",IF(Checks!$Z$714="","",CHAR(10))&amp;"CA: "&amp;Checks!$AA$714)</f>
        <v/>
      </c>
      <c r="G37" s="113" t="str">
        <f aca="false">IF(ISNUMBER(Checks!$AD$714),TEXT(Checks!$AD$714,"DD-MMM-YY HH:MM")&amp;" "&amp;Checks!$P$714,"")&amp;IF(Checks!$AE$714="","",CHAR(10)&amp;"Verifier: "&amp;Checks!$AE$714)&amp;IF(Checks!$T$714="","",CHAR(10)&amp;"PIC: "&amp;Checks!$T$714)</f>
        <v/>
      </c>
      <c r="H37" s="114" t="str">
        <f aca="false">IF(Checks!$AH$714="","",Checks!$AH$714)</f>
        <v>OPEN</v>
      </c>
    </row>
    <row r="38" customFormat="false" ht="114" hidden="false" customHeight="true" outlineLevel="0" collapsed="false">
      <c r="A38" s="113" t="str">
        <f aca="false">Checks!$A$715&amp;CHAR(10)&amp;IF(Checks!$I$715="","",Checks!$I$715&amp;": ")&amp;Checks!$J$715</f>
        <v>F22-T12-04
Equipment: Equipment presentation vs GLD</v>
      </c>
      <c r="B38" s="113" t="str">
        <f aca="false">Checks!$K$715&amp;IF(Checks!$O$715="","",IF(Checks!$K$715="","",CHAR(10))&amp;"Note: "&amp;Checks!$O$715)</f>
        <v>Note: Preparation check at caterer - does NOT confirm loading.</v>
      </c>
      <c r="C38" s="113" t="str">
        <f aca="false">Checks!$N$715&amp;CHAR(10)&amp;IF(ISNUMBER(Checks!$R$715),TEXT(Checks!$R$715,"DD-MMM-YY HH:MM"),"")&amp;" "&amp;Checks!$P$715</f>
        <v>Required
30-Oct-26 11:20 KUL</v>
      </c>
      <c r="D38" s="113" t="str">
        <f aca="false">IF(Checks!$U$715="","",Checks!$U$715)&amp;IF(Checks!$AB$715="","",CHAR(10)&amp;"CA: "&amp;Checks!$AB$715)</f>
        <v/>
      </c>
      <c r="E38" s="113" t="str">
        <f aca="false">IF(Checks!$V$715="","",Checks!$V$715)&amp;IF(Checks!$AC$715="","",IF(Checks!$V$715="","",CHAR(10))&amp;"N/A just.: "&amp;Checks!$AC$715)&amp;IF(Checks!$W$715="","",CHAR(10)&amp;"Batch: "&amp;Checks!$W$715)&amp;IF(AND(Checks!$X$715="",Checks!$Y$715=""),"",CHAR(10)&amp;"Exp: "&amp;Checks!$X$715&amp;"  /  Act: "&amp;Checks!$Y$715)</f>
        <v/>
      </c>
      <c r="F38" s="113" t="str">
        <f aca="false">IF(Checks!$Z$715="","","Evidence: "&amp;Checks!$Z$715)&amp;IF(Checks!$AA$715="","",IF(Checks!$Z$715="","",CHAR(10))&amp;"CA: "&amp;Checks!$AA$715)</f>
        <v/>
      </c>
      <c r="G38" s="113" t="str">
        <f aca="false">IF(ISNUMBER(Checks!$AD$715),TEXT(Checks!$AD$715,"DD-MMM-YY HH:MM")&amp;" "&amp;Checks!$P$715,"")&amp;IF(Checks!$AE$715="","",CHAR(10)&amp;"Verifier: "&amp;Checks!$AE$715)&amp;IF(Checks!$T$715="","",CHAR(10)&amp;"PIC: "&amp;Checks!$T$715)</f>
        <v/>
      </c>
      <c r="H38" s="114" t="str">
        <f aca="false">IF(Checks!$AH$715="","",Checks!$AH$715)</f>
        <v>OPEN</v>
      </c>
    </row>
    <row r="39" customFormat="false" ht="114" hidden="false" customHeight="true" outlineLevel="0" collapsed="false">
      <c r="A39" s="113" t="str">
        <f aca="false">Checks!$A$716&amp;CHAR(10)&amp;IF(Checks!$I$716="","",Checks!$I$716&amp;": ")&amp;Checks!$J$716</f>
        <v>F22-T12-05
Equipment: Equipment serviceability vs GLD</v>
      </c>
      <c r="B39" s="113" t="str">
        <f aca="false">Checks!$K$716&amp;IF(Checks!$O$716="","",IF(Checks!$K$716="","",CHAR(10))&amp;"Note: "&amp;Checks!$O$716)</f>
        <v>Note: Preparation check at caterer - does NOT confirm loading.</v>
      </c>
      <c r="C39" s="113" t="str">
        <f aca="false">Checks!$N$716&amp;CHAR(10)&amp;IF(ISNUMBER(Checks!$R$716),TEXT(Checks!$R$716,"DD-MMM-YY HH:MM"),"")&amp;" "&amp;Checks!$P$716</f>
        <v>Required
30-Oct-26 11:20 KUL</v>
      </c>
      <c r="D39" s="113" t="str">
        <f aca="false">IF(Checks!$U$716="","",Checks!$U$716)&amp;IF(Checks!$AB$716="","",CHAR(10)&amp;"CA: "&amp;Checks!$AB$716)</f>
        <v/>
      </c>
      <c r="E39" s="113" t="str">
        <f aca="false">IF(Checks!$V$716="","",Checks!$V$716)&amp;IF(Checks!$AC$716="","",IF(Checks!$V$716="","",CHAR(10))&amp;"N/A just.: "&amp;Checks!$AC$716)&amp;IF(Checks!$W$716="","",CHAR(10)&amp;"Batch: "&amp;Checks!$W$716)&amp;IF(AND(Checks!$X$716="",Checks!$Y$716=""),"",CHAR(10)&amp;"Exp: "&amp;Checks!$X$716&amp;"  /  Act: "&amp;Checks!$Y$716)</f>
        <v/>
      </c>
      <c r="F39" s="113" t="str">
        <f aca="false">IF(Checks!$Z$716="","","Evidence: "&amp;Checks!$Z$716)&amp;IF(Checks!$AA$716="","",IF(Checks!$Z$716="","",CHAR(10))&amp;"CA: "&amp;Checks!$AA$716)</f>
        <v/>
      </c>
      <c r="G39" s="113" t="str">
        <f aca="false">IF(ISNUMBER(Checks!$AD$716),TEXT(Checks!$AD$716,"DD-MMM-YY HH:MM")&amp;" "&amp;Checks!$P$716,"")&amp;IF(Checks!$AE$716="","",CHAR(10)&amp;"Verifier: "&amp;Checks!$AE$716)&amp;IF(Checks!$T$716="","",CHAR(10)&amp;"PIC: "&amp;Checks!$T$716)</f>
        <v/>
      </c>
      <c r="H39" s="114" t="str">
        <f aca="false">IF(Checks!$AH$716="","",Checks!$AH$716)</f>
        <v>OPEN</v>
      </c>
    </row>
    <row r="40" customFormat="false" ht="322.5" hidden="false" customHeight="true" outlineLevel="0" collapsed="false">
      <c r="A40" s="113" t="str">
        <f aca="false">Checks!$A$717&amp;CHAR(10)&amp;IF(Checks!$I$717="","",Checks!$I$717&amp;": ")&amp;Checks!$J$717</f>
        <v>F22-T12-06
Equipment: Equipment quantities vs GLD</v>
      </c>
      <c r="B40" s="113" t="str">
        <f aca="false">SUBSTITUTE(Checks!$K$717&amp;IF(Checks!$O$717="","",IF(Checks!$K$717="","",CHAR(10))&amp;"Note: "&amp;Checks!$O$717),"AIRCRAFT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Checks!$N$717&amp;CHAR(10)&amp;IF(ISNUMBER(Checks!$R$717),TEXT(Checks!$R$717,"DD-MMM-YY HH:MM"),"")&amp;" "&amp;Checks!$P$717</f>
        <v>Required
30-Oct-26 11:20 KUL</v>
      </c>
      <c r="D40" s="113" t="str">
        <f aca="false">IF(Checks!$U$717="","",Checks!$U$717)&amp;IF(Checks!$AB$717="","",CHAR(10)&amp;"CA: "&amp;Checks!$AB$717)</f>
        <v/>
      </c>
      <c r="E40" s="113" t="str">
        <f aca="false">IF(Checks!$V$717="","",Checks!$V$717)&amp;IF(Checks!$AC$717="","",IF(Checks!$V$717="","",CHAR(10))&amp;"N/A just.: "&amp;Checks!$AC$717)&amp;IF(Checks!$W$717="","",CHAR(10)&amp;"Batch: "&amp;Checks!$W$717)&amp;IF(AND(Checks!$X$717="",Checks!$Y$717=""),"",CHAR(10)&amp;"Exp: "&amp;Checks!$X$717&amp;"  /  Act: "&amp;Checks!$Y$717)</f>
        <v/>
      </c>
      <c r="F40" s="113" t="str">
        <f aca="false">IF(Checks!$Z$717="","","Evidence: "&amp;Checks!$Z$717)&amp;IF(Checks!$AA$717="","",IF(Checks!$Z$717="","",CHAR(10))&amp;"CA: "&amp;Checks!$AA$717)</f>
        <v/>
      </c>
      <c r="G40" s="113" t="str">
        <f aca="false">IF(ISNUMBER(Checks!$AD$717),TEXT(Checks!$AD$717,"DD-MMM-YY HH:MM")&amp;" "&amp;Checks!$P$717,"")&amp;IF(Checks!$AE$717="","",CHAR(10)&amp;"Verifier: "&amp;Checks!$AE$717)&amp;IF(Checks!$T$717="","",CHAR(10)&amp;"PIC: "&amp;Checks!$T$717)</f>
        <v/>
      </c>
      <c r="H40" s="114" t="str">
        <f aca="false">IF(Checks!$AH$717="","",Checks!$AH$717)</f>
        <v>OPEN</v>
      </c>
    </row>
    <row r="41" customFormat="false" ht="114" hidden="false" customHeight="true" outlineLevel="0" collapsed="false">
      <c r="A41" s="113" t="str">
        <f aca="false">Checks!$A$718&amp;CHAR(10)&amp;IF(Checks!$I$718="","",Checks!$I$718&amp;": ")&amp;Checks!$J$718</f>
        <v>F22-T12-07
Equipment: Loading positions planned vs GLD</v>
      </c>
      <c r="B41" s="113" t="str">
        <f aca="false">Checks!$K$718&amp;IF(Checks!$O$718="","",IF(Checks!$K$718="","",CHAR(10))&amp;"Note: "&amp;Checks!$O$718)</f>
        <v>Note: Preparation check at caterer - does NOT confirm loading.</v>
      </c>
      <c r="C41" s="113" t="str">
        <f aca="false">Checks!$N$718&amp;CHAR(10)&amp;IF(ISNUMBER(Checks!$R$718),TEXT(Checks!$R$718,"DD-MMM-YY HH:MM"),"")&amp;" "&amp;Checks!$P$718</f>
        <v>Required
30-Oct-26 11:20 KUL</v>
      </c>
      <c r="D41" s="113" t="str">
        <f aca="false">IF(Checks!$U$718="","",Checks!$U$718)&amp;IF(Checks!$AB$718="","",CHAR(10)&amp;"CA: "&amp;Checks!$AB$718)</f>
        <v/>
      </c>
      <c r="E41" s="113" t="str">
        <f aca="false">IF(Checks!$V$718="","",Checks!$V$718)&amp;IF(Checks!$AC$718="","",IF(Checks!$V$718="","",CHAR(10))&amp;"N/A just.: "&amp;Checks!$AC$718)&amp;IF(Checks!$W$718="","",CHAR(10)&amp;"Batch: "&amp;Checks!$W$718)&amp;IF(AND(Checks!$X$718="",Checks!$Y$718=""),"",CHAR(10)&amp;"Exp: "&amp;Checks!$X$718&amp;"  /  Act: "&amp;Checks!$Y$718)</f>
        <v/>
      </c>
      <c r="F41" s="113" t="str">
        <f aca="false">IF(Checks!$Z$718="","","Evidence: "&amp;Checks!$Z$718)&amp;IF(Checks!$AA$718="","",IF(Checks!$Z$718="","",CHAR(10))&amp;"CA: "&amp;Checks!$AA$718)</f>
        <v/>
      </c>
      <c r="G41" s="113" t="str">
        <f aca="false">IF(ISNUMBER(Checks!$AD$718),TEXT(Checks!$AD$718,"DD-MMM-YY HH:MM")&amp;" "&amp;Checks!$P$718,"")&amp;IF(Checks!$AE$718="","",CHAR(10)&amp;"Verifier: "&amp;Checks!$AE$718)&amp;IF(Checks!$T$718="","",CHAR(10)&amp;"PIC: "&amp;Checks!$T$718)</f>
        <v/>
      </c>
      <c r="H41" s="114" t="str">
        <f aca="false">IF(Checks!$AH$718="","",Checks!$AH$718)</f>
        <v>OPEN</v>
      </c>
    </row>
    <row r="42" customFormat="false" ht="213" hidden="false" customHeight="true" outlineLevel="0" collapsed="false">
      <c r="A42" s="113" t="str">
        <f aca="false">Checks!$A$719&amp;CHAR(10)&amp;IF(Checks!$I$719="","",Checks!$I$719&amp;": ")&amp;Checks!$J$719</f>
        <v>F22-T12-08
Amenities: Toiletry kits - prepared</v>
      </c>
      <c r="B42" s="113" t="str">
        <f aca="false">SUBSTITUTE(Checks!$K$719&amp;IF(Checks!$O$719="","",IF(Checks!$K$719="","",CHAR(10))&amp;"Note: "&amp;Checks!$O$719),"AMENITIES!","Ref: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3" t="str">
        <f aca="false">Checks!$N$719&amp;CHAR(10)&amp;IF(ISNUMBER(Checks!$R$719),TEXT(Checks!$R$719,"DD-MMM-YY HH:MM"),"")&amp;" "&amp;Checks!$P$719</f>
        <v>Clarification required
30-Oct-26 11:20 KUL</v>
      </c>
      <c r="D42" s="113" t="str">
        <f aca="false">IF(Checks!$U$719="","",Checks!$U$719)&amp;IF(Checks!$AB$719="","",CHAR(10)&amp;"CA: "&amp;Checks!$AB$719)</f>
        <v/>
      </c>
      <c r="E42" s="113" t="str">
        <f aca="false">IF(Checks!$V$719="","",Checks!$V$719)&amp;IF(Checks!$AC$719="","",IF(Checks!$V$719="","",CHAR(10))&amp;"N/A just.: "&amp;Checks!$AC$719)&amp;IF(Checks!$W$719="","",CHAR(10)&amp;"Batch: "&amp;Checks!$W$719)&amp;IF(AND(Checks!$X$719="",Checks!$Y$719=""),"",CHAR(10)&amp;"Exp: "&amp;Checks!$X$719&amp;"  /  Act: "&amp;Checks!$Y$719)</f>
        <v/>
      </c>
      <c r="F42" s="113" t="str">
        <f aca="false">IF(Checks!$Z$719="","","Evidence: "&amp;Checks!$Z$719)&amp;IF(Checks!$AA$719="","",IF(Checks!$Z$719="","",CHAR(10))&amp;"CA: "&amp;Checks!$AA$719)</f>
        <v/>
      </c>
      <c r="G42" s="113" t="str">
        <f aca="false">IF(ISNUMBER(Checks!$AD$719),TEXT(Checks!$AD$719,"DD-MMM-YY HH:MM")&amp;" "&amp;Checks!$P$719,"")&amp;IF(Checks!$AE$719="","",CHAR(10)&amp;"Verifier: "&amp;Checks!$AE$719)&amp;IF(Checks!$T$719="","",CHAR(10)&amp;"PIC: "&amp;Checks!$T$719)</f>
        <v/>
      </c>
      <c r="H42" s="114" t="str">
        <f aca="false">IF(Checks!$AH$719="","",Checks!$AH$719)</f>
        <v>OPEN – CLARIFICATION</v>
      </c>
    </row>
    <row r="43" customFormat="false" ht="114" hidden="false" customHeight="true" outlineLevel="0" collapsed="false">
      <c r="A43" s="113" t="str">
        <f aca="false">Checks!$A$720&amp;CHAR(10)&amp;IF(Checks!$I$720="","",Checks!$I$720&amp;": ")&amp;Checks!$J$720</f>
        <v>F22-T12-09
Amenities: Pajamas (BC) - prepared</v>
      </c>
      <c r="B43" s="113" t="str">
        <f aca="false">Checks!$K$720&amp;IF(Checks!$O$720="","",IF(Checks!$K$720="","",CHAR(10))&amp;"Note: "&amp;Checks!$O$720)</f>
        <v>Available - BC red-eye only
Note: Red-eye departure 2320 local.</v>
      </c>
      <c r="C43" s="113" t="str">
        <f aca="false">Checks!$N$720&amp;CHAR(10)&amp;IF(ISNUMBER(Checks!$R$720),TEXT(Checks!$R$720,"DD-MMM-YY HH:MM"),"")&amp;" "&amp;Checks!$P$720</f>
        <v>Required
30-Oct-26 11:20 KUL</v>
      </c>
      <c r="D43" s="113" t="str">
        <f aca="false">IF(Checks!$U$720="","",Checks!$U$720)&amp;IF(Checks!$AB$720="","",CHAR(10)&amp;"CA: "&amp;Checks!$AB$720)</f>
        <v/>
      </c>
      <c r="E43" s="113" t="str">
        <f aca="false">IF(Checks!$V$720="","",Checks!$V$720)&amp;IF(Checks!$AC$720="","",IF(Checks!$V$720="","",CHAR(10))&amp;"N/A just.: "&amp;Checks!$AC$720)&amp;IF(Checks!$W$720="","",CHAR(10)&amp;"Batch: "&amp;Checks!$W$720)&amp;IF(AND(Checks!$X$720="",Checks!$Y$720=""),"",CHAR(10)&amp;"Exp: "&amp;Checks!$X$720&amp;"  /  Act: "&amp;Checks!$Y$720)</f>
        <v/>
      </c>
      <c r="F43" s="113" t="str">
        <f aca="false">IF(Checks!$Z$720="","","Evidence: "&amp;Checks!$Z$720)&amp;IF(Checks!$AA$720="","",IF(Checks!$Z$720="","",CHAR(10))&amp;"CA: "&amp;Checks!$AA$720)</f>
        <v/>
      </c>
      <c r="G43" s="113" t="str">
        <f aca="false">IF(ISNUMBER(Checks!$AD$720),TEXT(Checks!$AD$720,"DD-MMM-YY HH:MM")&amp;" "&amp;Checks!$P$720,"")&amp;IF(Checks!$AE$720="","",CHAR(10)&amp;"Verifier: "&amp;Checks!$AE$720)&amp;IF(Checks!$T$720="","",CHAR(10)&amp;"PIC: "&amp;Checks!$T$720)</f>
        <v/>
      </c>
      <c r="H43" s="114" t="str">
        <f aca="false">IF(Checks!$AH$720="","",Checks!$AH$720)</f>
        <v>OPEN</v>
      </c>
    </row>
    <row r="44" customFormat="false" ht="114" hidden="false" customHeight="true" outlineLevel="0" collapsed="false">
      <c r="A44" s="113" t="str">
        <f aca="false">Checks!$A$721&amp;CHAR(10)&amp;IF(Checks!$I$721="","",Checks!$I$721&amp;": ")&amp;Checks!$J$721</f>
        <v>F22-T12-10
Amenities: Slippers (BS/BC) - prepared</v>
      </c>
      <c r="B44" s="113" t="str">
        <f aca="false">Checks!$K$721&amp;IF(Checks!$O$721="","",IF(Checks!$K$721="","",CHAR(10))&amp;"Note: "&amp;Checks!$O$721)</f>
        <v>Available (ticked in reference)</v>
      </c>
      <c r="C44" s="113" t="str">
        <f aca="false">Checks!$N$721&amp;CHAR(10)&amp;IF(ISNUMBER(Checks!$R$721),TEXT(Checks!$R$721,"DD-MMM-YY HH:MM"),"")&amp;" "&amp;Checks!$P$721</f>
        <v>Required
30-Oct-26 11:20 KUL</v>
      </c>
      <c r="D44" s="113" t="str">
        <f aca="false">IF(Checks!$U$721="","",Checks!$U$721)&amp;IF(Checks!$AB$721="","",CHAR(10)&amp;"CA: "&amp;Checks!$AB$721)</f>
        <v/>
      </c>
      <c r="E44" s="113" t="str">
        <f aca="false">IF(Checks!$V$721="","",Checks!$V$721)&amp;IF(Checks!$AC$721="","",IF(Checks!$V$721="","",CHAR(10))&amp;"N/A just.: "&amp;Checks!$AC$721)&amp;IF(Checks!$W$721="","",CHAR(10)&amp;"Batch: "&amp;Checks!$W$721)&amp;IF(AND(Checks!$X$721="",Checks!$Y$721=""),"",CHAR(10)&amp;"Exp: "&amp;Checks!$X$721&amp;"  /  Act: "&amp;Checks!$Y$721)</f>
        <v/>
      </c>
      <c r="F44" s="113" t="str">
        <f aca="false">IF(Checks!$Z$721="","","Evidence: "&amp;Checks!$Z$721)&amp;IF(Checks!$AA$721="","",IF(Checks!$Z$721="","",CHAR(10))&amp;"CA: "&amp;Checks!$AA$721)</f>
        <v/>
      </c>
      <c r="G44" s="113" t="str">
        <f aca="false">IF(ISNUMBER(Checks!$AD$721),TEXT(Checks!$AD$721,"DD-MMM-YY HH:MM")&amp;" "&amp;Checks!$P$721,"")&amp;IF(Checks!$AE$721="","",CHAR(10)&amp;"Verifier: "&amp;Checks!$AE$721)&amp;IF(Checks!$T$721="","",CHAR(10)&amp;"PIC: "&amp;Checks!$T$721)</f>
        <v/>
      </c>
      <c r="H44" s="114" t="str">
        <f aca="false">IF(Checks!$AH$721="","",Checks!$AH$721)</f>
        <v>OPEN</v>
      </c>
    </row>
    <row r="45" customFormat="false" ht="114" hidden="false" customHeight="true" outlineLevel="0" collapsed="false">
      <c r="A45" s="113" t="str">
        <f aca="false">Checks!$A$722&amp;CHAR(10)&amp;IF(Checks!$I$722="","",Checks!$I$722&amp;": ")&amp;Checks!$J$722</f>
        <v>F22-T12-11
F&amp;B Linen: Towel - prepared</v>
      </c>
      <c r="B45" s="113" t="str">
        <f aca="false">Checks!$K$722&amp;IF(Checks!$O$722="","",IF(Checks!$K$722="","",CHAR(10))&amp;"Note: "&amp;Checks!$O$722)</f>
        <v>Available (ticked in reference)
Note: Reference gives no uplift stn for this item: preparation checked at the meal uplift stn (KUL) - confirm with caterer.</v>
      </c>
      <c r="C45" s="113" t="str">
        <f aca="false">Checks!$N$722&amp;CHAR(10)&amp;IF(ISNUMBER(Checks!$R$722),TEXT(Checks!$R$722,"DD-MMM-YY HH:MM"),"")&amp;" "&amp;Checks!$P$722</f>
        <v>Required
30-Oct-26 11:20 KUL</v>
      </c>
      <c r="D45" s="113" t="str">
        <f aca="false">IF(Checks!$U$722="","",Checks!$U$722)&amp;IF(Checks!$AB$722="","",CHAR(10)&amp;"CA: "&amp;Checks!$AB$722)</f>
        <v/>
      </c>
      <c r="E45" s="113" t="str">
        <f aca="false">IF(Checks!$V$722="","",Checks!$V$722)&amp;IF(Checks!$AC$722="","",IF(Checks!$V$722="","",CHAR(10))&amp;"N/A just.: "&amp;Checks!$AC$722)&amp;IF(Checks!$W$722="","",CHAR(10)&amp;"Batch: "&amp;Checks!$W$722)&amp;IF(AND(Checks!$X$722="",Checks!$Y$722=""),"",CHAR(10)&amp;"Exp: "&amp;Checks!$X$722&amp;"  /  Act: "&amp;Checks!$Y$722)</f>
        <v/>
      </c>
      <c r="F45" s="113" t="str">
        <f aca="false">IF(Checks!$Z$722="","","Evidence: "&amp;Checks!$Z$722)&amp;IF(Checks!$AA$722="","",IF(Checks!$Z$722="","",CHAR(10))&amp;"CA: "&amp;Checks!$AA$722)</f>
        <v/>
      </c>
      <c r="G45" s="113" t="str">
        <f aca="false">IF(ISNUMBER(Checks!$AD$722),TEXT(Checks!$AD$722,"DD-MMM-YY HH:MM")&amp;" "&amp;Checks!$P$722,"")&amp;IF(Checks!$AE$722="","",CHAR(10)&amp;"Verifier: "&amp;Checks!$AE$722)&amp;IF(Checks!$T$722="","",CHAR(10)&amp;"PIC: "&amp;Checks!$T$722)</f>
        <v/>
      </c>
      <c r="H45" s="114" t="str">
        <f aca="false">IF(Checks!$AH$722="","",Checks!$AH$722)</f>
        <v>OPEN</v>
      </c>
    </row>
    <row r="46" customFormat="false" ht="114" hidden="false" customHeight="true" outlineLevel="0" collapsed="false">
      <c r="A46" s="113" t="str">
        <f aca="false">Checks!$A$723&amp;CHAR(10)&amp;IF(Checks!$I$723="","",Checks!$I$723&amp;": ")&amp;Checks!$J$723</f>
        <v>F22-T12-12
F&amp;B Linen: Tray cloth - prepared</v>
      </c>
      <c r="B46" s="113" t="str">
        <f aca="false">Checks!$K$723&amp;IF(Checks!$O$723="","",IF(Checks!$K$723="","",CHAR(10))&amp;"Note: "&amp;Checks!$O$723)</f>
        <v>Available (ticked in reference)
Note: Reference gives no uplift stn for this item: preparation checked at the meal uplift stn (KUL) - confirm with caterer.</v>
      </c>
      <c r="C46" s="113" t="str">
        <f aca="false">Checks!$N$723&amp;CHAR(10)&amp;IF(ISNUMBER(Checks!$R$723),TEXT(Checks!$R$723,"DD-MMM-YY HH:MM"),"")&amp;" "&amp;Checks!$P$723</f>
        <v>Required
30-Oct-26 11:20 KUL</v>
      </c>
      <c r="D46" s="113" t="str">
        <f aca="false">IF(Checks!$U$723="","",Checks!$U$723)&amp;IF(Checks!$AB$723="","",CHAR(10)&amp;"CA: "&amp;Checks!$AB$723)</f>
        <v/>
      </c>
      <c r="E46" s="113" t="str">
        <f aca="false">IF(Checks!$V$723="","",Checks!$V$723)&amp;IF(Checks!$AC$723="","",IF(Checks!$V$723="","",CHAR(10))&amp;"N/A just.: "&amp;Checks!$AC$723)&amp;IF(Checks!$W$723="","",CHAR(10)&amp;"Batch: "&amp;Checks!$W$723)&amp;IF(AND(Checks!$X$723="",Checks!$Y$723=""),"",CHAR(10)&amp;"Exp: "&amp;Checks!$X$723&amp;"  /  Act: "&amp;Checks!$Y$723)</f>
        <v/>
      </c>
      <c r="F46" s="113" t="str">
        <f aca="false">IF(Checks!$Z$723="","","Evidence: "&amp;Checks!$Z$723)&amp;IF(Checks!$AA$723="","",IF(Checks!$Z$723="","",CHAR(10))&amp;"CA: "&amp;Checks!$AA$723)</f>
        <v/>
      </c>
      <c r="G46" s="113" t="str">
        <f aca="false">IF(ISNUMBER(Checks!$AD$723),TEXT(Checks!$AD$723,"DD-MMM-YY HH:MM")&amp;" "&amp;Checks!$P$723,"")&amp;IF(Checks!$AE$723="","",CHAR(10)&amp;"Verifier: "&amp;Checks!$AE$723)&amp;IF(Checks!$T$723="","",CHAR(10)&amp;"PIC: "&amp;Checks!$T$723)</f>
        <v/>
      </c>
      <c r="H46" s="114" t="str">
        <f aca="false">IF(Checks!$AH$723="","",Checks!$AH$723)</f>
        <v>OPEN</v>
      </c>
    </row>
    <row r="47" customFormat="false" ht="114" hidden="false" customHeight="true" outlineLevel="0" collapsed="false">
      <c r="A47" s="113" t="str">
        <f aca="false">Checks!$A$724&amp;CHAR(10)&amp;IF(Checks!$I$724="","",Checks!$I$724&amp;": ")&amp;Checks!$J$724</f>
        <v>F22-T12-13
F&amp;B Linen: Napkin - prepared</v>
      </c>
      <c r="B47" s="113" t="str">
        <f aca="false">Checks!$K$724&amp;IF(Checks!$O$724="","",IF(Checks!$K$724="","",CHAR(10))&amp;"Note: "&amp;Checks!$O$724)</f>
        <v>Available (ticked in reference)
Note: Reference gives no uplift stn for this item: preparation checked at the meal uplift stn (KUL) - confirm with caterer.</v>
      </c>
      <c r="C47" s="113" t="str">
        <f aca="false">Checks!$N$724&amp;CHAR(10)&amp;IF(ISNUMBER(Checks!$R$724),TEXT(Checks!$R$724,"DD-MMM-YY HH:MM"),"")&amp;" "&amp;Checks!$P$724</f>
        <v>Required
30-Oct-26 11:20 KUL</v>
      </c>
      <c r="D47" s="113" t="str">
        <f aca="false">IF(Checks!$U$724="","",Checks!$U$724)&amp;IF(Checks!$AB$724="","",CHAR(10)&amp;"CA: "&amp;Checks!$AB$724)</f>
        <v/>
      </c>
      <c r="E47" s="113" t="str">
        <f aca="false">IF(Checks!$V$724="","",Checks!$V$724)&amp;IF(Checks!$AC$724="","",IF(Checks!$V$724="","",CHAR(10))&amp;"N/A just.: "&amp;Checks!$AC$724)&amp;IF(Checks!$W$724="","",CHAR(10)&amp;"Batch: "&amp;Checks!$W$724)&amp;IF(AND(Checks!$X$724="",Checks!$Y$724=""),"",CHAR(10)&amp;"Exp: "&amp;Checks!$X$724&amp;"  /  Act: "&amp;Checks!$Y$724)</f>
        <v/>
      </c>
      <c r="F47" s="113" t="str">
        <f aca="false">IF(Checks!$Z$724="","","Evidence: "&amp;Checks!$Z$724)&amp;IF(Checks!$AA$724="","",IF(Checks!$Z$724="","",CHAR(10))&amp;"CA: "&amp;Checks!$AA$724)</f>
        <v/>
      </c>
      <c r="G47" s="113" t="str">
        <f aca="false">IF(ISNUMBER(Checks!$AD$724),TEXT(Checks!$AD$724,"DD-MMM-YY HH:MM")&amp;" "&amp;Checks!$P$724,"")&amp;IF(Checks!$AE$724="","",CHAR(10)&amp;"Verifier: "&amp;Checks!$AE$724)&amp;IF(Checks!$T$724="","",CHAR(10)&amp;"PIC: "&amp;Checks!$T$724)</f>
        <v/>
      </c>
      <c r="H47" s="114" t="str">
        <f aca="false">IF(Checks!$AH$724="","",Checks!$AH$724)</f>
        <v>OPEN</v>
      </c>
    </row>
    <row r="48" customFormat="false" ht="114" hidden="false" customHeight="true" outlineLevel="0" collapsed="false">
      <c r="A48" s="113" t="str">
        <f aca="false">Checks!$A$725&amp;CHAR(10)&amp;IF(Checks!$I$725="","",Checks!$I$725&amp;": ")&amp;Checks!$J$725</f>
        <v>F22-T12-14
F&amp;B Linen: Table cloth - prepared</v>
      </c>
      <c r="B48" s="113" t="str">
        <f aca="false">Checks!$K$725&amp;IF(Checks!$O$725="","",IF(Checks!$K$725="","",CHAR(10))&amp;"Note: "&amp;Checks!$O$725)</f>
        <v>Available (ticked in reference)
Note: Reference gives no uplift stn for this item: preparation checked at the meal uplift stn (KUL) - confirm with caterer.</v>
      </c>
      <c r="C48" s="113" t="str">
        <f aca="false">Checks!$N$725&amp;CHAR(10)&amp;IF(ISNUMBER(Checks!$R$725),TEXT(Checks!$R$725,"DD-MMM-YY HH:MM"),"")&amp;" "&amp;Checks!$P$725</f>
        <v>Required
30-Oct-26 11:20 KUL</v>
      </c>
      <c r="D48" s="113" t="str">
        <f aca="false">IF(Checks!$U$725="","",Checks!$U$725)&amp;IF(Checks!$AB$725="","",CHAR(10)&amp;"CA: "&amp;Checks!$AB$725)</f>
        <v/>
      </c>
      <c r="E48" s="113" t="str">
        <f aca="false">IF(Checks!$V$725="","",Checks!$V$725)&amp;IF(Checks!$AC$725="","",IF(Checks!$V$725="","",CHAR(10))&amp;"N/A just.: "&amp;Checks!$AC$725)&amp;IF(Checks!$W$725="","",CHAR(10)&amp;"Batch: "&amp;Checks!$W$725)&amp;IF(AND(Checks!$X$725="",Checks!$Y$725=""),"",CHAR(10)&amp;"Exp: "&amp;Checks!$X$725&amp;"  /  Act: "&amp;Checks!$Y$725)</f>
        <v/>
      </c>
      <c r="F48" s="113" t="str">
        <f aca="false">IF(Checks!$Z$725="","","Evidence: "&amp;Checks!$Z$725)&amp;IF(Checks!$AA$725="","",IF(Checks!$Z$725="","",CHAR(10))&amp;"CA: "&amp;Checks!$AA$725)</f>
        <v/>
      </c>
      <c r="G48" s="113" t="str">
        <f aca="false">IF(ISNUMBER(Checks!$AD$725),TEXT(Checks!$AD$725,"DD-MMM-YY HH:MM")&amp;" "&amp;Checks!$P$725,"")&amp;IF(Checks!$AE$725="","",CHAR(10)&amp;"Verifier: "&amp;Checks!$AE$725)&amp;IF(Checks!$T$725="","",CHAR(10)&amp;"PIC: "&amp;Checks!$T$725)</f>
        <v/>
      </c>
      <c r="H48" s="114" t="str">
        <f aca="false">IF(Checks!$AH$725="","",Checks!$AH$725)</f>
        <v>OPEN</v>
      </c>
    </row>
    <row r="49" customFormat="false" ht="114" hidden="false" customHeight="true" outlineLevel="0" collapsed="false">
      <c r="A49" s="113" t="str">
        <f aca="false">Checks!$A$726&amp;CHAR(10)&amp;IF(Checks!$I$726="","",Checks!$I$726&amp;": ")&amp;Checks!$J$726</f>
        <v>F22-T12-15
F&amp;B Linen: Bread linen (using table cloth) - prepared</v>
      </c>
      <c r="B49" s="113" t="str">
        <f aca="false">Checks!$K$726&amp;IF(Checks!$O$726="","",IF(Checks!$K$726="","",CHAR(10))&amp;"Note: "&amp;Checks!$O$726)</f>
        <v>Available (ticked in reference)
Note: Reference gives no uplift stn for this item: preparation checked at the meal uplift stn (KUL) - confirm with caterer.</v>
      </c>
      <c r="C49" s="113" t="str">
        <f aca="false">Checks!$N$726&amp;CHAR(10)&amp;IF(ISNUMBER(Checks!$R$726),TEXT(Checks!$R$726,"DD-MMM-YY HH:MM"),"")&amp;" "&amp;Checks!$P$726</f>
        <v>Required
30-Oct-26 11:20 KUL</v>
      </c>
      <c r="D49" s="113" t="str">
        <f aca="false">IF(Checks!$U$726="","",Checks!$U$726)&amp;IF(Checks!$AB$726="","",CHAR(10)&amp;"CA: "&amp;Checks!$AB$726)</f>
        <v/>
      </c>
      <c r="E49" s="113" t="str">
        <f aca="false">IF(Checks!$V$726="","",Checks!$V$726)&amp;IF(Checks!$AC$726="","",IF(Checks!$V$726="","",CHAR(10))&amp;"N/A just.: "&amp;Checks!$AC$726)&amp;IF(Checks!$W$726="","",CHAR(10)&amp;"Batch: "&amp;Checks!$W$726)&amp;IF(AND(Checks!$X$726="",Checks!$Y$726=""),"",CHAR(10)&amp;"Exp: "&amp;Checks!$X$726&amp;"  /  Act: "&amp;Checks!$Y$726)</f>
        <v/>
      </c>
      <c r="F49" s="113" t="str">
        <f aca="false">IF(Checks!$Z$726="","","Evidence: "&amp;Checks!$Z$726)&amp;IF(Checks!$AA$726="","",IF(Checks!$Z$726="","",CHAR(10))&amp;"CA: "&amp;Checks!$AA$726)</f>
        <v/>
      </c>
      <c r="G49" s="113" t="str">
        <f aca="false">IF(ISNUMBER(Checks!$AD$726),TEXT(Checks!$AD$726,"DD-MMM-YY HH:MM")&amp;" "&amp;Checks!$P$726,"")&amp;IF(Checks!$AE$726="","",CHAR(10)&amp;"Verifier: "&amp;Checks!$AE$726)&amp;IF(Checks!$T$726="","",CHAR(10)&amp;"PIC: "&amp;Checks!$T$726)</f>
        <v/>
      </c>
      <c r="H49" s="114" t="str">
        <f aca="false">IF(Checks!$AH$726="","",Checks!$AH$726)</f>
        <v>OPEN</v>
      </c>
    </row>
    <row r="50" customFormat="false" ht="124.5" hidden="false" customHeight="true" outlineLevel="0" collapsed="false">
      <c r="A50" s="113" t="str">
        <f aca="false">Checks!$A$727&amp;CHAR(10)&amp;IF(Checks!$I$727="","",Checks!$I$727&amp;": ")&amp;Checks!$J$727</f>
        <v>F22-T12-16
F&amp;B Linen: Trolley cloth - prepared</v>
      </c>
      <c r="B50" s="113" t="str">
        <f aca="false">SUBSTITUTE(Checks!$K$727&amp;IF(Checks!$O$727="","",IF(Checks!$K$727="","",CHAR(10))&amp;"Note: "&amp;Checks!$O$727),"F&amp;B LINEN!","Ref: F&amp;B LINEN!")</f>
        <v>Wide body: Top/Middle &amp; Bottom
Note: Per note Ref: F&amp;B LINEN!B79:C80. Reference gives no uplift stn for this item: preparation checked at the meal uplift stn (KUL) - confirm with caterer.</v>
      </c>
      <c r="C50" s="113" t="str">
        <f aca="false">Checks!$N$727&amp;CHAR(10)&amp;IF(ISNUMBER(Checks!$R$727),TEXT(Checks!$R$727,"DD-MMM-YY HH:MM"),"")&amp;" "&amp;Checks!$P$727</f>
        <v>Required
30-Oct-26 11:20 KUL</v>
      </c>
      <c r="D50" s="113" t="str">
        <f aca="false">IF(Checks!$U$727="","",Checks!$U$727)&amp;IF(Checks!$AB$727="","",CHAR(10)&amp;"CA: "&amp;Checks!$AB$727)</f>
        <v/>
      </c>
      <c r="E50" s="113" t="str">
        <f aca="false">IF(Checks!$V$727="","",Checks!$V$727)&amp;IF(Checks!$AC$727="","",IF(Checks!$V$727="","",CHAR(10))&amp;"N/A just.: "&amp;Checks!$AC$727)&amp;IF(Checks!$W$727="","",CHAR(10)&amp;"Batch: "&amp;Checks!$W$727)&amp;IF(AND(Checks!$X$727="",Checks!$Y$727=""),"",CHAR(10)&amp;"Exp: "&amp;Checks!$X$727&amp;"  /  Act: "&amp;Checks!$Y$727)</f>
        <v/>
      </c>
      <c r="F50" s="113" t="str">
        <f aca="false">IF(Checks!$Z$727="","","Evidence: "&amp;Checks!$Z$727)&amp;IF(Checks!$AA$727="","",IF(Checks!$Z$727="","",CHAR(10))&amp;"CA: "&amp;Checks!$AA$727)</f>
        <v/>
      </c>
      <c r="G50" s="113" t="str">
        <f aca="false">IF(ISNUMBER(Checks!$AD$727),TEXT(Checks!$AD$727,"DD-MMM-YY HH:MM")&amp;" "&amp;Checks!$P$727,"")&amp;IF(Checks!$AE$727="","",CHAR(10)&amp;"Verifier: "&amp;Checks!$AE$727)&amp;IF(Checks!$T$727="","",CHAR(10)&amp;"PIC: "&amp;Checks!$T$727)</f>
        <v/>
      </c>
      <c r="H50" s="114" t="str">
        <f aca="false">IF(Checks!$AH$727="","",Checks!$AH$727)</f>
        <v>OPEN</v>
      </c>
    </row>
    <row r="51" customFormat="false" ht="114" hidden="false" customHeight="true" outlineLevel="0" collapsed="false">
      <c r="A51" s="113" t="str">
        <f aca="false">Checks!$A$728&amp;CHAR(10)&amp;IF(Checks!$I$728="","",Checks!$I$728&amp;": ")&amp;Checks!$J$728</f>
        <v>F22-T12-17
F&amp;B Linen: Linen bag - prepared</v>
      </c>
      <c r="B51" s="113" t="str">
        <f aca="false">Checks!$K$728&amp;IF(Checks!$O$728="","",IF(Checks!$K$728="","",CHAR(10))&amp;"Note: "&amp;Checks!$O$728)</f>
        <v>Available (ticked in reference)
Note: Reference gives no uplift stn for this item: preparation checked at the meal uplift stn (KUL) - confirm with caterer.</v>
      </c>
      <c r="C51" s="113" t="str">
        <f aca="false">Checks!$N$728&amp;CHAR(10)&amp;IF(ISNUMBER(Checks!$R$728),TEXT(Checks!$R$728,"DD-MMM-YY HH:MM"),"")&amp;" "&amp;Checks!$P$728</f>
        <v>Required
30-Oct-26 11:20 KUL</v>
      </c>
      <c r="D51" s="113" t="str">
        <f aca="false">IF(Checks!$U$728="","",Checks!$U$728)&amp;IF(Checks!$AB$728="","",CHAR(10)&amp;"CA: "&amp;Checks!$AB$728)</f>
        <v/>
      </c>
      <c r="E51" s="113" t="str">
        <f aca="false">IF(Checks!$V$728="","",Checks!$V$728)&amp;IF(Checks!$AC$728="","",IF(Checks!$V$728="","",CHAR(10))&amp;"N/A just.: "&amp;Checks!$AC$728)&amp;IF(Checks!$W$728="","",CHAR(10)&amp;"Batch: "&amp;Checks!$W$728)&amp;IF(AND(Checks!$X$728="",Checks!$Y$728=""),"",CHAR(10)&amp;"Exp: "&amp;Checks!$X$728&amp;"  /  Act: "&amp;Checks!$Y$728)</f>
        <v/>
      </c>
      <c r="F51" s="113" t="str">
        <f aca="false">IF(Checks!$Z$728="","","Evidence: "&amp;Checks!$Z$728)&amp;IF(Checks!$AA$728="","",IF(Checks!$Z$728="","",CHAR(10))&amp;"CA: "&amp;Checks!$AA$728)</f>
        <v/>
      </c>
      <c r="G51" s="113" t="str">
        <f aca="false">IF(ISNUMBER(Checks!$AD$728),TEXT(Checks!$AD$728,"DD-MMM-YY HH:MM")&amp;" "&amp;Checks!$P$728,"")&amp;IF(Checks!$AE$728="","",CHAR(10)&amp;"Verifier: "&amp;Checks!$AE$728)&amp;IF(Checks!$T$728="","",CHAR(10)&amp;"PIC: "&amp;Checks!$T$728)</f>
        <v/>
      </c>
      <c r="H51" s="114" t="str">
        <f aca="false">IF(Checks!$AH$728="","",Checks!$AH$728)</f>
        <v>OPEN</v>
      </c>
    </row>
    <row r="52" customFormat="false" ht="114" hidden="false" customHeight="true" outlineLevel="0" collapsed="false">
      <c r="A52" s="113" t="str">
        <f aca="false">Checks!$A$729&amp;CHAR(10)&amp;IF(Checks!$I$729="","",Checks!$I$729&amp;": ")&amp;Checks!$J$729</f>
        <v>F22-T12-18
Seat Linen: Seat pillow (BS &amp; BC) - prepared</v>
      </c>
      <c r="B52" s="113" t="str">
        <f aca="false">Checks!$K$729&amp;IF(Checks!$O$729="","",IF(Checks!$K$729="","",CHAR(10))&amp;"Note: "&amp;Checks!$O$729)</f>
        <v>Available 100% (ticked in reference)
Note: Reference gives no uplift stn for this item: preparation checked at the meal uplift stn (KUL) - confirm with caterer.</v>
      </c>
      <c r="C52" s="113" t="str">
        <f aca="false">Checks!$N$729&amp;CHAR(10)&amp;IF(ISNUMBER(Checks!$R$729),TEXT(Checks!$R$729,"DD-MMM-YY HH:MM"),"")&amp;" "&amp;Checks!$P$729</f>
        <v>Required
30-Oct-26 11:20 KUL</v>
      </c>
      <c r="D52" s="113" t="str">
        <f aca="false">IF(Checks!$U$729="","",Checks!$U$729)&amp;IF(Checks!$AB$729="","",CHAR(10)&amp;"CA: "&amp;Checks!$AB$729)</f>
        <v/>
      </c>
      <c r="E52" s="113" t="str">
        <f aca="false">IF(Checks!$V$729="","",Checks!$V$729)&amp;IF(Checks!$AC$729="","",IF(Checks!$V$729="","",CHAR(10))&amp;"N/A just.: "&amp;Checks!$AC$729)&amp;IF(Checks!$W$729="","",CHAR(10)&amp;"Batch: "&amp;Checks!$W$729)&amp;IF(AND(Checks!$X$729="",Checks!$Y$729=""),"",CHAR(10)&amp;"Exp: "&amp;Checks!$X$729&amp;"  /  Act: "&amp;Checks!$Y$729)</f>
        <v/>
      </c>
      <c r="F52" s="113" t="str">
        <f aca="false">IF(Checks!$Z$729="","","Evidence: "&amp;Checks!$Z$729)&amp;IF(Checks!$AA$729="","",IF(Checks!$Z$729="","",CHAR(10))&amp;"CA: "&amp;Checks!$AA$729)</f>
        <v/>
      </c>
      <c r="G52" s="113" t="str">
        <f aca="false">IF(ISNUMBER(Checks!$AD$729),TEXT(Checks!$AD$729,"DD-MMM-YY HH:MM")&amp;" "&amp;Checks!$P$729,"")&amp;IF(Checks!$AE$729="","",CHAR(10)&amp;"Verifier: "&amp;Checks!$AE$729)&amp;IF(Checks!$T$729="","",CHAR(10)&amp;"PIC: "&amp;Checks!$T$729)</f>
        <v/>
      </c>
      <c r="H52" s="114" t="str">
        <f aca="false">IF(Checks!$AH$729="","",Checks!$AH$729)</f>
        <v>OPEN</v>
      </c>
    </row>
    <row r="53" customFormat="false" ht="114" hidden="false" customHeight="true" outlineLevel="0" collapsed="false">
      <c r="A53" s="113" t="str">
        <f aca="false">Checks!$A$730&amp;CHAR(10)&amp;IF(Checks!$I$730="","",Checks!$I$730&amp;": ")&amp;Checks!$J$730</f>
        <v>F22-T12-19
Seat Linen: Duvet (BS &amp; BC) - prepared</v>
      </c>
      <c r="B53" s="113" t="str">
        <f aca="false">Checks!$K$730&amp;IF(Checks!$O$730="","",IF(Checks!$K$730="","",CHAR(10))&amp;"Note: "&amp;Checks!$O$730)</f>
        <v>Available 100% (ticked in reference)
Note: Reference gives no uplift stn for this item: preparation checked at the meal uplift stn (KUL) - confirm with caterer.</v>
      </c>
      <c r="C53" s="113" t="str">
        <f aca="false">Checks!$N$730&amp;CHAR(10)&amp;IF(ISNUMBER(Checks!$R$730),TEXT(Checks!$R$730,"DD-MMM-YY HH:MM"),"")&amp;" "&amp;Checks!$P$730</f>
        <v>Required
30-Oct-26 11:20 KUL</v>
      </c>
      <c r="D53" s="113" t="str">
        <f aca="false">IF(Checks!$U$730="","",Checks!$U$730)&amp;IF(Checks!$AB$730="","",CHAR(10)&amp;"CA: "&amp;Checks!$AB$730)</f>
        <v/>
      </c>
      <c r="E53" s="113" t="str">
        <f aca="false">IF(Checks!$V$730="","",Checks!$V$730)&amp;IF(Checks!$AC$730="","",IF(Checks!$V$730="","",CHAR(10))&amp;"N/A just.: "&amp;Checks!$AC$730)&amp;IF(Checks!$W$730="","",CHAR(10)&amp;"Batch: "&amp;Checks!$W$730)&amp;IF(AND(Checks!$X$730="",Checks!$Y$730=""),"",CHAR(10)&amp;"Exp: "&amp;Checks!$X$730&amp;"  /  Act: "&amp;Checks!$Y$730)</f>
        <v/>
      </c>
      <c r="F53" s="113" t="str">
        <f aca="false">IF(Checks!$Z$730="","","Evidence: "&amp;Checks!$Z$730)&amp;IF(Checks!$AA$730="","",IF(Checks!$Z$730="","",CHAR(10))&amp;"CA: "&amp;Checks!$AA$730)</f>
        <v/>
      </c>
      <c r="G53" s="113" t="str">
        <f aca="false">IF(ISNUMBER(Checks!$AD$730),TEXT(Checks!$AD$730,"DD-MMM-YY HH:MM")&amp;" "&amp;Checks!$P$730,"")&amp;IF(Checks!$AE$730="","",CHAR(10)&amp;"Verifier: "&amp;Checks!$AE$730)&amp;IF(Checks!$T$730="","",CHAR(10)&amp;"PIC: "&amp;Checks!$T$730)</f>
        <v/>
      </c>
      <c r="H53" s="114" t="str">
        <f aca="false">IF(Checks!$AH$730="","",Checks!$AH$730)</f>
        <v>OPEN</v>
      </c>
    </row>
    <row r="54" customFormat="false" ht="114" hidden="false" customHeight="true" outlineLevel="0" collapsed="false">
      <c r="A54" s="113" t="str">
        <f aca="false">Checks!$A$731&amp;CHAR(10)&amp;IF(Checks!$I$731="","",Checks!$I$731&amp;": ")&amp;Checks!$J$731</f>
        <v>F22-T12-20
Seat Linen: Mattress (BS &amp; BC) - prepared</v>
      </c>
      <c r="B54" s="113" t="str">
        <f aca="false">Checks!$K$731&amp;IF(Checks!$O$731="","",IF(Checks!$K$731="","",CHAR(10))&amp;"Note: "&amp;Checks!$O$731)</f>
        <v>Available 100% (ticked in reference)
Note: Reference gives no uplift stn for this item: preparation checked at the meal uplift stn (KUL) - confirm with caterer.</v>
      </c>
      <c r="C54" s="113" t="str">
        <f aca="false">Checks!$N$731&amp;CHAR(10)&amp;IF(ISNUMBER(Checks!$R$731),TEXT(Checks!$R$731,"DD-MMM-YY HH:MM"),"")&amp;" "&amp;Checks!$P$731</f>
        <v>Required
30-Oct-26 11:20 KUL</v>
      </c>
      <c r="D54" s="113" t="str">
        <f aca="false">IF(Checks!$U$731="","",Checks!$U$731)&amp;IF(Checks!$AB$731="","",CHAR(10)&amp;"CA: "&amp;Checks!$AB$731)</f>
        <v/>
      </c>
      <c r="E54" s="113" t="str">
        <f aca="false">IF(Checks!$V$731="","",Checks!$V$731)&amp;IF(Checks!$AC$731="","",IF(Checks!$V$731="","",CHAR(10))&amp;"N/A just.: "&amp;Checks!$AC$731)&amp;IF(Checks!$W$731="","",CHAR(10)&amp;"Batch: "&amp;Checks!$W$731)&amp;IF(AND(Checks!$X$731="",Checks!$Y$731=""),"",CHAR(10)&amp;"Exp: "&amp;Checks!$X$731&amp;"  /  Act: "&amp;Checks!$Y$731)</f>
        <v/>
      </c>
      <c r="F54" s="113" t="str">
        <f aca="false">IF(Checks!$Z$731="","","Evidence: "&amp;Checks!$Z$731)&amp;IF(Checks!$AA$731="","",IF(Checks!$Z$731="","",CHAR(10))&amp;"CA: "&amp;Checks!$AA$731)</f>
        <v/>
      </c>
      <c r="G54" s="113" t="str">
        <f aca="false">IF(ISNUMBER(Checks!$AD$731),TEXT(Checks!$AD$731,"DD-MMM-YY HH:MM")&amp;" "&amp;Checks!$P$731,"")&amp;IF(Checks!$AE$731="","",CHAR(10)&amp;"Verifier: "&amp;Checks!$AE$731)&amp;IF(Checks!$T$731="","",CHAR(10)&amp;"PIC: "&amp;Checks!$T$731)</f>
        <v/>
      </c>
      <c r="H54" s="114" t="str">
        <f aca="false">IF(Checks!$AH$731="","",Checks!$AH$731)</f>
        <v>OPEN</v>
      </c>
    </row>
    <row r="55" customFormat="false" ht="114" hidden="false" customHeight="true" outlineLevel="0" collapsed="false">
      <c r="A55" s="113" t="str">
        <f aca="false">Checks!$A$732&amp;CHAR(10)&amp;IF(Checks!$I$732="","",Checks!$I$732&amp;": ")&amp;Checks!$J$732</f>
        <v>F22-T12-21
Signature Drinks: Signature drink &amp; garnish (BC) - prepared</v>
      </c>
      <c r="B55" s="113" t="str">
        <f aca="false">Checks!$K$732&amp;IF(Checks!$O$732="","",IF(Checks!$K$732="","",CHAR(10))&amp;"Note: "&amp;Checks!$O$732)</f>
        <v>Available (ticked in reference)
Note: Signature drinks &amp; garnish uplifted from KUL (note D79).</v>
      </c>
      <c r="C55" s="113" t="str">
        <f aca="false">Checks!$N$732&amp;CHAR(10)&amp;IF(ISNUMBER(Checks!$R$732),TEXT(Checks!$R$732,"DD-MMM-YY HH:MM"),"")&amp;" "&amp;Checks!$P$732</f>
        <v>Required
30-Oct-26 11:20 KUL</v>
      </c>
      <c r="D55" s="113" t="str">
        <f aca="false">IF(Checks!$U$732="","",Checks!$U$732)&amp;IF(Checks!$AB$732="","",CHAR(10)&amp;"CA: "&amp;Checks!$AB$732)</f>
        <v/>
      </c>
      <c r="E55" s="113" t="str">
        <f aca="false">IF(Checks!$V$732="","",Checks!$V$732)&amp;IF(Checks!$AC$732="","",IF(Checks!$V$732="","",CHAR(10))&amp;"N/A just.: "&amp;Checks!$AC$732)&amp;IF(Checks!$W$732="","",CHAR(10)&amp;"Batch: "&amp;Checks!$W$732)&amp;IF(AND(Checks!$X$732="",Checks!$Y$732=""),"",CHAR(10)&amp;"Exp: "&amp;Checks!$X$732&amp;"  /  Act: "&amp;Checks!$Y$732)</f>
        <v/>
      </c>
      <c r="F55" s="113" t="str">
        <f aca="false">IF(Checks!$Z$732="","","Evidence: "&amp;Checks!$Z$732)&amp;IF(Checks!$AA$732="","",IF(Checks!$Z$732="","",CHAR(10))&amp;"CA: "&amp;Checks!$AA$732)</f>
        <v/>
      </c>
      <c r="G55" s="113" t="str">
        <f aca="false">IF(ISNUMBER(Checks!$AD$732),TEXT(Checks!$AD$732,"DD-MMM-YY HH:MM")&amp;" "&amp;Checks!$P$732,"")&amp;IF(Checks!$AE$732="","",CHAR(10)&amp;"Verifier: "&amp;Checks!$AE$732)&amp;IF(Checks!$T$732="","",CHAR(10)&amp;"PIC: "&amp;Checks!$T$732)</f>
        <v/>
      </c>
      <c r="H55" s="114" t="str">
        <f aca="false">IF(Checks!$AH$732="","",Checks!$AH$732)</f>
        <v>OPEN</v>
      </c>
    </row>
    <row r="56" customFormat="false" ht="25.5" hidden="false" customHeight="true" outlineLevel="0" collapsed="false">
      <c r="A56" s="112"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2"/>
      <c r="C56" s="112"/>
      <c r="D56" s="112"/>
      <c r="E56" s="112"/>
      <c r="F56" s="112"/>
      <c r="G56" s="112"/>
      <c r="H56" s="112"/>
    </row>
    <row r="57" customFormat="false" ht="114" hidden="false" customHeight="true" outlineLevel="0" collapsed="false">
      <c r="A57" s="113" t="str">
        <f aca="false">Checks!$A$733&amp;CHAR(10)&amp;IF(Checks!$I$733="","",Checks!$I$733&amp;": ")&amp;Checks!$J$733</f>
        <v>F22-UPL-01
Meal: Meals physically uplifted on board - quantity vs menu checklist</v>
      </c>
      <c r="B57" s="113" t="str">
        <f aca="false">Checks!$K$733&amp;IF(Checks!$O$733="","",IF(Checks!$K$733="","",CHAR(10))&amp;"Note: "&amp;Checks!$O$733)</f>
        <v>Enter expected &amp; actual
Note: Confirm on board before departure; completion time must fall inside the uplift window.</v>
      </c>
      <c r="C57" s="113" t="str">
        <f aca="false">Checks!$N$733&amp;CHAR(10)&amp;IF(ISNUMBER(Checks!$R$733),TEXT(Checks!$R$733,"DD-MMM-YY HH:MM"),"")&amp;" "&amp;Checks!$P$733</f>
        <v>Required
30-Oct-26 23:20 KUL</v>
      </c>
      <c r="D57" s="113" t="str">
        <f aca="false">IF(Checks!$U$733="","",Checks!$U$733)&amp;IF(Checks!$AB$733="","",CHAR(10)&amp;"CA: "&amp;Checks!$AB$733)</f>
        <v/>
      </c>
      <c r="E57" s="113" t="str">
        <f aca="false">IF(Checks!$V$733="","",Checks!$V$733)&amp;IF(Checks!$AC$733="","",IF(Checks!$V$733="","",CHAR(10))&amp;"N/A just.: "&amp;Checks!$AC$733)&amp;IF(Checks!$W$733="","",CHAR(10)&amp;"Batch: "&amp;Checks!$W$733)&amp;IF(AND(Checks!$X$733="",Checks!$Y$733=""),"",CHAR(10)&amp;"Exp: "&amp;Checks!$X$733&amp;"  /  Act: "&amp;Checks!$Y$733)</f>
        <v/>
      </c>
      <c r="F57" s="113" t="str">
        <f aca="false">IF(Checks!$Z$733="","","Evidence: "&amp;Checks!$Z$733)&amp;IF(Checks!$AA$733="","",IF(Checks!$Z$733="","",CHAR(10))&amp;"CA: "&amp;Checks!$AA$733)</f>
        <v/>
      </c>
      <c r="G57" s="113" t="str">
        <f aca="false">IF(ISNUMBER(Checks!$AD$733),TEXT(Checks!$AD$733,"DD-MMM-YY HH:MM")&amp;" "&amp;Checks!$P$733,"")&amp;IF(Checks!$AE$733="","",CHAR(10)&amp;"Verifier: "&amp;Checks!$AE$733)&amp;IF(Checks!$T$733="","",CHAR(10)&amp;"PIC: "&amp;Checks!$T$733)</f>
        <v/>
      </c>
      <c r="H57" s="114" t="str">
        <f aca="false">IF(Checks!$AH$733="","",Checks!$AH$733)</f>
        <v>OPEN</v>
      </c>
    </row>
    <row r="58" customFormat="false" ht="114" hidden="false" customHeight="true" outlineLevel="0" collapsed="false">
      <c r="A58" s="113" t="str">
        <f aca="false">Checks!$A$734&amp;CHAR(10)&amp;IF(Checks!$I$734="","",Checks!$I$734&amp;": ")&amp;Checks!$J$734</f>
        <v>F22-UPL-02
Equipment: Equipment physically loaded at GLD positions - quantity &amp; positions</v>
      </c>
      <c r="B58" s="113" t="str">
        <f aca="false">Checks!$K$734&amp;IF(Checks!$O$734="","",IF(Checks!$K$734="","",CHAR(10))&amp;"Note: "&amp;Checks!$O$734)</f>
        <v>Enter expected &amp; actual
Note: Confirm on board before departure; completion time must fall inside the uplift window.</v>
      </c>
      <c r="C58" s="113" t="str">
        <f aca="false">Checks!$N$734&amp;CHAR(10)&amp;IF(ISNUMBER(Checks!$R$734),TEXT(Checks!$R$734,"DD-MMM-YY HH:MM"),"")&amp;" "&amp;Checks!$P$734</f>
        <v>Required
30-Oct-26 23:20 KUL</v>
      </c>
      <c r="D58" s="113" t="str">
        <f aca="false">IF(Checks!$U$734="","",Checks!$U$734)&amp;IF(Checks!$AB$734="","",CHAR(10)&amp;"CA: "&amp;Checks!$AB$734)</f>
        <v/>
      </c>
      <c r="E58" s="113" t="str">
        <f aca="false">IF(Checks!$V$734="","",Checks!$V$734)&amp;IF(Checks!$AC$734="","",IF(Checks!$V$734="","",CHAR(10))&amp;"N/A just.: "&amp;Checks!$AC$734)&amp;IF(Checks!$W$734="","",CHAR(10)&amp;"Batch: "&amp;Checks!$W$734)&amp;IF(AND(Checks!$X$734="",Checks!$Y$734=""),"",CHAR(10)&amp;"Exp: "&amp;Checks!$X$734&amp;"  /  Act: "&amp;Checks!$Y$734)</f>
        <v/>
      </c>
      <c r="F58" s="113" t="str">
        <f aca="false">IF(Checks!$Z$734="","","Evidence: "&amp;Checks!$Z$734)&amp;IF(Checks!$AA$734="","",IF(Checks!$Z$734="","",CHAR(10))&amp;"CA: "&amp;Checks!$AA$734)</f>
        <v/>
      </c>
      <c r="G58" s="113" t="str">
        <f aca="false">IF(ISNUMBER(Checks!$AD$734),TEXT(Checks!$AD$734,"DD-MMM-YY HH:MM")&amp;" "&amp;Checks!$P$734,"")&amp;IF(Checks!$AE$734="","",CHAR(10)&amp;"Verifier: "&amp;Checks!$AE$734)&amp;IF(Checks!$T$734="","",CHAR(10)&amp;"PIC: "&amp;Checks!$T$734)</f>
        <v/>
      </c>
      <c r="H58" s="114" t="str">
        <f aca="false">IF(Checks!$AH$734="","",Checks!$AH$734)</f>
        <v>OPEN</v>
      </c>
    </row>
    <row r="59" customFormat="false" ht="213" hidden="false" customHeight="true" outlineLevel="0" collapsed="false">
      <c r="A59" s="113" t="str">
        <f aca="false">Checks!$A$735&amp;CHAR(10)&amp;IF(Checks!$I$735="","",Checks!$I$735&amp;": ")&amp;Checks!$J$735</f>
        <v>F22-UPL-03
Amenities: Toiletry kits - on board</v>
      </c>
      <c r="B59" s="113" t="str">
        <f aca="false">SUBSTITUTE(Checks!$K$735&amp;IF(Checks!$O$735="","",IF(Checks!$K$735="","",CHAR(10))&amp;"Note: "&amp;Checks!$O$735),"AMENITIES!","Ref: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3" t="str">
        <f aca="false">Checks!$N$735&amp;CHAR(10)&amp;IF(ISNUMBER(Checks!$R$735),TEXT(Checks!$R$735,"DD-MMM-YY HH:MM"),"")&amp;" "&amp;Checks!$P$735</f>
        <v>Clarification required
30-Oct-26 23:20 KUL</v>
      </c>
      <c r="D59" s="113" t="str">
        <f aca="false">IF(Checks!$U$735="","",Checks!$U$735)&amp;IF(Checks!$AB$735="","",CHAR(10)&amp;"CA: "&amp;Checks!$AB$735)</f>
        <v/>
      </c>
      <c r="E59" s="113" t="str">
        <f aca="false">IF(Checks!$V$735="","",Checks!$V$735)&amp;IF(Checks!$AC$735="","",IF(Checks!$V$735="","",CHAR(10))&amp;"N/A just.: "&amp;Checks!$AC$735)&amp;IF(Checks!$W$735="","",CHAR(10)&amp;"Batch: "&amp;Checks!$W$735)&amp;IF(AND(Checks!$X$735="",Checks!$Y$735=""),"",CHAR(10)&amp;"Exp: "&amp;Checks!$X$735&amp;"  /  Act: "&amp;Checks!$Y$735)</f>
        <v/>
      </c>
      <c r="F59" s="113" t="str">
        <f aca="false">IF(Checks!$Z$735="","","Evidence: "&amp;Checks!$Z$735)&amp;IF(Checks!$AA$735="","",IF(Checks!$Z$735="","",CHAR(10))&amp;"CA: "&amp;Checks!$AA$735)</f>
        <v/>
      </c>
      <c r="G59" s="113" t="str">
        <f aca="false">IF(ISNUMBER(Checks!$AD$735),TEXT(Checks!$AD$735,"DD-MMM-YY HH:MM")&amp;" "&amp;Checks!$P$735,"")&amp;IF(Checks!$AE$735="","",CHAR(10)&amp;"Verifier: "&amp;Checks!$AE$735)&amp;IF(Checks!$T$735="","",CHAR(10)&amp;"PIC: "&amp;Checks!$T$735)</f>
        <v/>
      </c>
      <c r="H59" s="114" t="str">
        <f aca="false">IF(Checks!$AH$735="","",Checks!$AH$735)</f>
        <v>OPEN – CLARIFICATION</v>
      </c>
    </row>
    <row r="60" customFormat="false" ht="114" hidden="false" customHeight="true" outlineLevel="0" collapsed="false">
      <c r="A60" s="113" t="str">
        <f aca="false">Checks!$A$736&amp;CHAR(10)&amp;IF(Checks!$I$736="","",Checks!$I$736&amp;": ")&amp;Checks!$J$736</f>
        <v>F22-UPL-04
Amenities: Pajamas (BC) - on board</v>
      </c>
      <c r="B60" s="113" t="str">
        <f aca="false">Checks!$K$736&amp;IF(Checks!$O$736="","",IF(Checks!$K$736="","",CHAR(10))&amp;"Note: "&amp;Checks!$O$736)</f>
        <v>Available - BC red-eye only
Note: Red-eye departure 2320 local.</v>
      </c>
      <c r="C60" s="113" t="str">
        <f aca="false">Checks!$N$736&amp;CHAR(10)&amp;IF(ISNUMBER(Checks!$R$736),TEXT(Checks!$R$736,"DD-MMM-YY HH:MM"),"")&amp;" "&amp;Checks!$P$736</f>
        <v>Required
30-Oct-26 23:20 KUL</v>
      </c>
      <c r="D60" s="113" t="str">
        <f aca="false">IF(Checks!$U$736="","",Checks!$U$736)&amp;IF(Checks!$AB$736="","",CHAR(10)&amp;"CA: "&amp;Checks!$AB$736)</f>
        <v/>
      </c>
      <c r="E60" s="113" t="str">
        <f aca="false">IF(Checks!$V$736="","",Checks!$V$736)&amp;IF(Checks!$AC$736="","",IF(Checks!$V$736="","",CHAR(10))&amp;"N/A just.: "&amp;Checks!$AC$736)&amp;IF(Checks!$W$736="","",CHAR(10)&amp;"Batch: "&amp;Checks!$W$736)&amp;IF(AND(Checks!$X$736="",Checks!$Y$736=""),"",CHAR(10)&amp;"Exp: "&amp;Checks!$X$736&amp;"  /  Act: "&amp;Checks!$Y$736)</f>
        <v/>
      </c>
      <c r="F60" s="113" t="str">
        <f aca="false">IF(Checks!$Z$736="","","Evidence: "&amp;Checks!$Z$736)&amp;IF(Checks!$AA$736="","",IF(Checks!$Z$736="","",CHAR(10))&amp;"CA: "&amp;Checks!$AA$736)</f>
        <v/>
      </c>
      <c r="G60" s="113" t="str">
        <f aca="false">IF(ISNUMBER(Checks!$AD$736),TEXT(Checks!$AD$736,"DD-MMM-YY HH:MM")&amp;" "&amp;Checks!$P$736,"")&amp;IF(Checks!$AE$736="","",CHAR(10)&amp;"Verifier: "&amp;Checks!$AE$736)&amp;IF(Checks!$T$736="","",CHAR(10)&amp;"PIC: "&amp;Checks!$T$736)</f>
        <v/>
      </c>
      <c r="H60" s="114" t="str">
        <f aca="false">IF(Checks!$AH$736="","",Checks!$AH$736)</f>
        <v>OPEN</v>
      </c>
    </row>
    <row r="61" customFormat="false" ht="114" hidden="false" customHeight="true" outlineLevel="0" collapsed="false">
      <c r="A61" s="113" t="str">
        <f aca="false">Checks!$A$737&amp;CHAR(10)&amp;IF(Checks!$I$737="","",Checks!$I$737&amp;": ")&amp;Checks!$J$737</f>
        <v>F22-UPL-05
Amenities: Slippers (BS/BC) - on board</v>
      </c>
      <c r="B61" s="113" t="str">
        <f aca="false">Checks!$K$737&amp;IF(Checks!$O$737="","",IF(Checks!$K$737="","",CHAR(10))&amp;"Note: "&amp;Checks!$O$737)</f>
        <v>Available (ticked in reference)</v>
      </c>
      <c r="C61" s="113" t="str">
        <f aca="false">Checks!$N$737&amp;CHAR(10)&amp;IF(ISNUMBER(Checks!$R$737),TEXT(Checks!$R$737,"DD-MMM-YY HH:MM"),"")&amp;" "&amp;Checks!$P$737</f>
        <v>Required
30-Oct-26 23:20 KUL</v>
      </c>
      <c r="D61" s="113" t="str">
        <f aca="false">IF(Checks!$U$737="","",Checks!$U$737)&amp;IF(Checks!$AB$737="","",CHAR(10)&amp;"CA: "&amp;Checks!$AB$737)</f>
        <v/>
      </c>
      <c r="E61" s="113" t="str">
        <f aca="false">IF(Checks!$V$737="","",Checks!$V$737)&amp;IF(Checks!$AC$737="","",IF(Checks!$V$737="","",CHAR(10))&amp;"N/A just.: "&amp;Checks!$AC$737)&amp;IF(Checks!$W$737="","",CHAR(10)&amp;"Batch: "&amp;Checks!$W$737)&amp;IF(AND(Checks!$X$737="",Checks!$Y$737=""),"",CHAR(10)&amp;"Exp: "&amp;Checks!$X$737&amp;"  /  Act: "&amp;Checks!$Y$737)</f>
        <v/>
      </c>
      <c r="F61" s="113" t="str">
        <f aca="false">IF(Checks!$Z$737="","","Evidence: "&amp;Checks!$Z$737)&amp;IF(Checks!$AA$737="","",IF(Checks!$Z$737="","",CHAR(10))&amp;"CA: "&amp;Checks!$AA$737)</f>
        <v/>
      </c>
      <c r="G61" s="113" t="str">
        <f aca="false">IF(ISNUMBER(Checks!$AD$737),TEXT(Checks!$AD$737,"DD-MMM-YY HH:MM")&amp;" "&amp;Checks!$P$737,"")&amp;IF(Checks!$AE$737="","",CHAR(10)&amp;"Verifier: "&amp;Checks!$AE$737)&amp;IF(Checks!$T$737="","",CHAR(10)&amp;"PIC: "&amp;Checks!$T$737)</f>
        <v/>
      </c>
      <c r="H61" s="114" t="str">
        <f aca="false">IF(Checks!$AH$737="","",Checks!$AH$737)</f>
        <v>OPEN</v>
      </c>
    </row>
    <row r="62" customFormat="false" ht="114" hidden="false" customHeight="true" outlineLevel="0" collapsed="false">
      <c r="A62" s="113" t="str">
        <f aca="false">Checks!$A$738&amp;CHAR(10)&amp;IF(Checks!$I$738="","",Checks!$I$738&amp;": ")&amp;Checks!$J$738</f>
        <v>F22-UPL-06
F&amp;B Linen: Towel - on board</v>
      </c>
      <c r="B62" s="113" t="str">
        <f aca="false">Checks!$K$738&amp;IF(Checks!$O$738="","",IF(Checks!$K$738="","",CHAR(10))&amp;"Note: "&amp;Checks!$O$738)</f>
        <v>Available (ticked in reference)</v>
      </c>
      <c r="C62" s="113" t="str">
        <f aca="false">Checks!$N$738&amp;CHAR(10)&amp;IF(ISNUMBER(Checks!$R$738),TEXT(Checks!$R$738,"DD-MMM-YY HH:MM"),"")&amp;" "&amp;Checks!$P$738</f>
        <v>Required
30-Oct-26 23:20 KUL</v>
      </c>
      <c r="D62" s="113" t="str">
        <f aca="false">IF(Checks!$U$738="","",Checks!$U$738)&amp;IF(Checks!$AB$738="","",CHAR(10)&amp;"CA: "&amp;Checks!$AB$738)</f>
        <v/>
      </c>
      <c r="E62" s="113" t="str">
        <f aca="false">IF(Checks!$V$738="","",Checks!$V$738)&amp;IF(Checks!$AC$738="","",IF(Checks!$V$738="","",CHAR(10))&amp;"N/A just.: "&amp;Checks!$AC$738)&amp;IF(Checks!$W$738="","",CHAR(10)&amp;"Batch: "&amp;Checks!$W$738)&amp;IF(AND(Checks!$X$738="",Checks!$Y$738=""),"",CHAR(10)&amp;"Exp: "&amp;Checks!$X$738&amp;"  /  Act: "&amp;Checks!$Y$738)</f>
        <v/>
      </c>
      <c r="F62" s="113" t="str">
        <f aca="false">IF(Checks!$Z$738="","","Evidence: "&amp;Checks!$Z$738)&amp;IF(Checks!$AA$738="","",IF(Checks!$Z$738="","",CHAR(10))&amp;"CA: "&amp;Checks!$AA$738)</f>
        <v/>
      </c>
      <c r="G62" s="113" t="str">
        <f aca="false">IF(ISNUMBER(Checks!$AD$738),TEXT(Checks!$AD$738,"DD-MMM-YY HH:MM")&amp;" "&amp;Checks!$P$738,"")&amp;IF(Checks!$AE$738="","",CHAR(10)&amp;"Verifier: "&amp;Checks!$AE$738)&amp;IF(Checks!$T$738="","",CHAR(10)&amp;"PIC: "&amp;Checks!$T$738)</f>
        <v/>
      </c>
      <c r="H62" s="114" t="str">
        <f aca="false">IF(Checks!$AH$738="","",Checks!$AH$738)</f>
        <v>OPEN</v>
      </c>
    </row>
    <row r="63" customFormat="false" ht="114" hidden="false" customHeight="true" outlineLevel="0" collapsed="false">
      <c r="A63" s="113" t="str">
        <f aca="false">Checks!$A$739&amp;CHAR(10)&amp;IF(Checks!$I$739="","",Checks!$I$739&amp;": ")&amp;Checks!$J$739</f>
        <v>F22-UPL-07
F&amp;B Linen: Tray cloth - on board</v>
      </c>
      <c r="B63" s="113" t="str">
        <f aca="false">Checks!$K$739&amp;IF(Checks!$O$739="","",IF(Checks!$K$739="","",CHAR(10))&amp;"Note: "&amp;Checks!$O$739)</f>
        <v>Available (ticked in reference)</v>
      </c>
      <c r="C63" s="113" t="str">
        <f aca="false">Checks!$N$739&amp;CHAR(10)&amp;IF(ISNUMBER(Checks!$R$739),TEXT(Checks!$R$739,"DD-MMM-YY HH:MM"),"")&amp;" "&amp;Checks!$P$739</f>
        <v>Required
30-Oct-26 23:20 KUL</v>
      </c>
      <c r="D63" s="113" t="str">
        <f aca="false">IF(Checks!$U$739="","",Checks!$U$739)&amp;IF(Checks!$AB$739="","",CHAR(10)&amp;"CA: "&amp;Checks!$AB$739)</f>
        <v/>
      </c>
      <c r="E63" s="113" t="str">
        <f aca="false">IF(Checks!$V$739="","",Checks!$V$739)&amp;IF(Checks!$AC$739="","",IF(Checks!$V$739="","",CHAR(10))&amp;"N/A just.: "&amp;Checks!$AC$739)&amp;IF(Checks!$W$739="","",CHAR(10)&amp;"Batch: "&amp;Checks!$W$739)&amp;IF(AND(Checks!$X$739="",Checks!$Y$739=""),"",CHAR(10)&amp;"Exp: "&amp;Checks!$X$739&amp;"  /  Act: "&amp;Checks!$Y$739)</f>
        <v/>
      </c>
      <c r="F63" s="113" t="str">
        <f aca="false">IF(Checks!$Z$739="","","Evidence: "&amp;Checks!$Z$739)&amp;IF(Checks!$AA$739="","",IF(Checks!$Z$739="","",CHAR(10))&amp;"CA: "&amp;Checks!$AA$739)</f>
        <v/>
      </c>
      <c r="G63" s="113" t="str">
        <f aca="false">IF(ISNUMBER(Checks!$AD$739),TEXT(Checks!$AD$739,"DD-MMM-YY HH:MM")&amp;" "&amp;Checks!$P$739,"")&amp;IF(Checks!$AE$739="","",CHAR(10)&amp;"Verifier: "&amp;Checks!$AE$739)&amp;IF(Checks!$T$739="","",CHAR(10)&amp;"PIC: "&amp;Checks!$T$739)</f>
        <v/>
      </c>
      <c r="H63" s="114" t="str">
        <f aca="false">IF(Checks!$AH$739="","",Checks!$AH$739)</f>
        <v>OPEN</v>
      </c>
    </row>
    <row r="64" customFormat="false" ht="114" hidden="false" customHeight="true" outlineLevel="0" collapsed="false">
      <c r="A64" s="113" t="str">
        <f aca="false">Checks!$A$740&amp;CHAR(10)&amp;IF(Checks!$I$740="","",Checks!$I$740&amp;": ")&amp;Checks!$J$740</f>
        <v>F22-UPL-08
F&amp;B Linen: Napkin - on board</v>
      </c>
      <c r="B64" s="113" t="str">
        <f aca="false">Checks!$K$740&amp;IF(Checks!$O$740="","",IF(Checks!$K$740="","",CHAR(10))&amp;"Note: "&amp;Checks!$O$740)</f>
        <v>Available (ticked in reference)</v>
      </c>
      <c r="C64" s="113" t="str">
        <f aca="false">Checks!$N$740&amp;CHAR(10)&amp;IF(ISNUMBER(Checks!$R$740),TEXT(Checks!$R$740,"DD-MMM-YY HH:MM"),"")&amp;" "&amp;Checks!$P$740</f>
        <v>Required
30-Oct-26 23:20 KUL</v>
      </c>
      <c r="D64" s="113" t="str">
        <f aca="false">IF(Checks!$U$740="","",Checks!$U$740)&amp;IF(Checks!$AB$740="","",CHAR(10)&amp;"CA: "&amp;Checks!$AB$740)</f>
        <v/>
      </c>
      <c r="E64" s="113" t="str">
        <f aca="false">IF(Checks!$V$740="","",Checks!$V$740)&amp;IF(Checks!$AC$740="","",IF(Checks!$V$740="","",CHAR(10))&amp;"N/A just.: "&amp;Checks!$AC$740)&amp;IF(Checks!$W$740="","",CHAR(10)&amp;"Batch: "&amp;Checks!$W$740)&amp;IF(AND(Checks!$X$740="",Checks!$Y$740=""),"",CHAR(10)&amp;"Exp: "&amp;Checks!$X$740&amp;"  /  Act: "&amp;Checks!$Y$740)</f>
        <v/>
      </c>
      <c r="F64" s="113" t="str">
        <f aca="false">IF(Checks!$Z$740="","","Evidence: "&amp;Checks!$Z$740)&amp;IF(Checks!$AA$740="","",IF(Checks!$Z$740="","",CHAR(10))&amp;"CA: "&amp;Checks!$AA$740)</f>
        <v/>
      </c>
      <c r="G64" s="113" t="str">
        <f aca="false">IF(ISNUMBER(Checks!$AD$740),TEXT(Checks!$AD$740,"DD-MMM-YY HH:MM")&amp;" "&amp;Checks!$P$740,"")&amp;IF(Checks!$AE$740="","",CHAR(10)&amp;"Verifier: "&amp;Checks!$AE$740)&amp;IF(Checks!$T$740="","",CHAR(10)&amp;"PIC: "&amp;Checks!$T$740)</f>
        <v/>
      </c>
      <c r="H64" s="114" t="str">
        <f aca="false">IF(Checks!$AH$740="","",Checks!$AH$740)</f>
        <v>OPEN</v>
      </c>
    </row>
    <row r="65" customFormat="false" ht="114" hidden="false" customHeight="true" outlineLevel="0" collapsed="false">
      <c r="A65" s="113" t="str">
        <f aca="false">Checks!$A$741&amp;CHAR(10)&amp;IF(Checks!$I$741="","",Checks!$I$741&amp;": ")&amp;Checks!$J$741</f>
        <v>F22-UPL-09
F&amp;B Linen: Table cloth - on board</v>
      </c>
      <c r="B65" s="113" t="str">
        <f aca="false">Checks!$K$741&amp;IF(Checks!$O$741="","",IF(Checks!$K$741="","",CHAR(10))&amp;"Note: "&amp;Checks!$O$741)</f>
        <v>Available (ticked in reference)</v>
      </c>
      <c r="C65" s="113" t="str">
        <f aca="false">Checks!$N$741&amp;CHAR(10)&amp;IF(ISNUMBER(Checks!$R$741),TEXT(Checks!$R$741,"DD-MMM-YY HH:MM"),"")&amp;" "&amp;Checks!$P$741</f>
        <v>Required
30-Oct-26 23:20 KUL</v>
      </c>
      <c r="D65" s="113" t="str">
        <f aca="false">IF(Checks!$U$741="","",Checks!$U$741)&amp;IF(Checks!$AB$741="","",CHAR(10)&amp;"CA: "&amp;Checks!$AB$741)</f>
        <v/>
      </c>
      <c r="E65" s="113" t="str">
        <f aca="false">IF(Checks!$V$741="","",Checks!$V$741)&amp;IF(Checks!$AC$741="","",IF(Checks!$V$741="","",CHAR(10))&amp;"N/A just.: "&amp;Checks!$AC$741)&amp;IF(Checks!$W$741="","",CHAR(10)&amp;"Batch: "&amp;Checks!$W$741)&amp;IF(AND(Checks!$X$741="",Checks!$Y$741=""),"",CHAR(10)&amp;"Exp: "&amp;Checks!$X$741&amp;"  /  Act: "&amp;Checks!$Y$741)</f>
        <v/>
      </c>
      <c r="F65" s="113" t="str">
        <f aca="false">IF(Checks!$Z$741="","","Evidence: "&amp;Checks!$Z$741)&amp;IF(Checks!$AA$741="","",IF(Checks!$Z$741="","",CHAR(10))&amp;"CA: "&amp;Checks!$AA$741)</f>
        <v/>
      </c>
      <c r="G65" s="113" t="str">
        <f aca="false">IF(ISNUMBER(Checks!$AD$741),TEXT(Checks!$AD$741,"DD-MMM-YY HH:MM")&amp;" "&amp;Checks!$P$741,"")&amp;IF(Checks!$AE$741="","",CHAR(10)&amp;"Verifier: "&amp;Checks!$AE$741)&amp;IF(Checks!$T$741="","",CHAR(10)&amp;"PIC: "&amp;Checks!$T$741)</f>
        <v/>
      </c>
      <c r="H65" s="114" t="str">
        <f aca="false">IF(Checks!$AH$741="","",Checks!$AH$741)</f>
        <v>OPEN</v>
      </c>
    </row>
    <row r="66" customFormat="false" ht="114" hidden="false" customHeight="true" outlineLevel="0" collapsed="false">
      <c r="A66" s="113" t="str">
        <f aca="false">Checks!$A$742&amp;CHAR(10)&amp;IF(Checks!$I$742="","",Checks!$I$742&amp;": ")&amp;Checks!$J$742</f>
        <v>F22-UPL-10
F&amp;B Linen: Bread linen (using table cloth) - on board</v>
      </c>
      <c r="B66" s="113" t="str">
        <f aca="false">Checks!$K$742&amp;IF(Checks!$O$742="","",IF(Checks!$K$742="","",CHAR(10))&amp;"Note: "&amp;Checks!$O$742)</f>
        <v>Available (ticked in reference)</v>
      </c>
      <c r="C66" s="113" t="str">
        <f aca="false">Checks!$N$742&amp;CHAR(10)&amp;IF(ISNUMBER(Checks!$R$742),TEXT(Checks!$R$742,"DD-MMM-YY HH:MM"),"")&amp;" "&amp;Checks!$P$742</f>
        <v>Required
30-Oct-26 23:20 KUL</v>
      </c>
      <c r="D66" s="113" t="str">
        <f aca="false">IF(Checks!$U$742="","",Checks!$U$742)&amp;IF(Checks!$AB$742="","",CHAR(10)&amp;"CA: "&amp;Checks!$AB$742)</f>
        <v/>
      </c>
      <c r="E66" s="113" t="str">
        <f aca="false">IF(Checks!$V$742="","",Checks!$V$742)&amp;IF(Checks!$AC$742="","",IF(Checks!$V$742="","",CHAR(10))&amp;"N/A just.: "&amp;Checks!$AC$742)&amp;IF(Checks!$W$742="","",CHAR(10)&amp;"Batch: "&amp;Checks!$W$742)&amp;IF(AND(Checks!$X$742="",Checks!$Y$742=""),"",CHAR(10)&amp;"Exp: "&amp;Checks!$X$742&amp;"  /  Act: "&amp;Checks!$Y$742)</f>
        <v/>
      </c>
      <c r="F66" s="113" t="str">
        <f aca="false">IF(Checks!$Z$742="","","Evidence: "&amp;Checks!$Z$742)&amp;IF(Checks!$AA$742="","",IF(Checks!$Z$742="","",CHAR(10))&amp;"CA: "&amp;Checks!$AA$742)</f>
        <v/>
      </c>
      <c r="G66" s="113" t="str">
        <f aca="false">IF(ISNUMBER(Checks!$AD$742),TEXT(Checks!$AD$742,"DD-MMM-YY HH:MM")&amp;" "&amp;Checks!$P$742,"")&amp;IF(Checks!$AE$742="","",CHAR(10)&amp;"Verifier: "&amp;Checks!$AE$742)&amp;IF(Checks!$T$742="","",CHAR(10)&amp;"PIC: "&amp;Checks!$T$742)</f>
        <v/>
      </c>
      <c r="H66" s="114" t="str">
        <f aca="false">IF(Checks!$AH$742="","",Checks!$AH$742)</f>
        <v>OPEN</v>
      </c>
    </row>
    <row r="67" customFormat="false" ht="114" hidden="false" customHeight="true" outlineLevel="0" collapsed="false">
      <c r="A67" s="113" t="str">
        <f aca="false">Checks!$A$743&amp;CHAR(10)&amp;IF(Checks!$I$743="","",Checks!$I$743&amp;": ")&amp;Checks!$J$743</f>
        <v>F22-UPL-11
F&amp;B Linen: Trolley cloth - on board</v>
      </c>
      <c r="B67" s="113" t="str">
        <f aca="false">SUBSTITUTE(Checks!$K$743&amp;IF(Checks!$O$743="","",IF(Checks!$K$743="","",CHAR(10))&amp;"Note: "&amp;Checks!$O$743),"F&amp;B LINEN!","Ref: F&amp;B LINEN!")</f>
        <v>Wide body: Top/Middle &amp; Bottom
Note: Per note Ref: F&amp;B LINEN!B79:C80.</v>
      </c>
      <c r="C67" s="113" t="str">
        <f aca="false">Checks!$N$743&amp;CHAR(10)&amp;IF(ISNUMBER(Checks!$R$743),TEXT(Checks!$R$743,"DD-MMM-YY HH:MM"),"")&amp;" "&amp;Checks!$P$743</f>
        <v>Required
30-Oct-26 23:20 KUL</v>
      </c>
      <c r="D67" s="113" t="str">
        <f aca="false">IF(Checks!$U$743="","",Checks!$U$743)&amp;IF(Checks!$AB$743="","",CHAR(10)&amp;"CA: "&amp;Checks!$AB$743)</f>
        <v/>
      </c>
      <c r="E67" s="113" t="str">
        <f aca="false">IF(Checks!$V$743="","",Checks!$V$743)&amp;IF(Checks!$AC$743="","",IF(Checks!$V$743="","",CHAR(10))&amp;"N/A just.: "&amp;Checks!$AC$743)&amp;IF(Checks!$W$743="","",CHAR(10)&amp;"Batch: "&amp;Checks!$W$743)&amp;IF(AND(Checks!$X$743="",Checks!$Y$743=""),"",CHAR(10)&amp;"Exp: "&amp;Checks!$X$743&amp;"  /  Act: "&amp;Checks!$Y$743)</f>
        <v/>
      </c>
      <c r="F67" s="113" t="str">
        <f aca="false">IF(Checks!$Z$743="","","Evidence: "&amp;Checks!$Z$743)&amp;IF(Checks!$AA$743="","",IF(Checks!$Z$743="","",CHAR(10))&amp;"CA: "&amp;Checks!$AA$743)</f>
        <v/>
      </c>
      <c r="G67" s="113" t="str">
        <f aca="false">IF(ISNUMBER(Checks!$AD$743),TEXT(Checks!$AD$743,"DD-MMM-YY HH:MM")&amp;" "&amp;Checks!$P$743,"")&amp;IF(Checks!$AE$743="","",CHAR(10)&amp;"Verifier: "&amp;Checks!$AE$743)&amp;IF(Checks!$T$743="","",CHAR(10)&amp;"PIC: "&amp;Checks!$T$743)</f>
        <v/>
      </c>
      <c r="H67" s="114" t="str">
        <f aca="false">IF(Checks!$AH$743="","",Checks!$AH$743)</f>
        <v>OPEN</v>
      </c>
    </row>
    <row r="68" customFormat="false" ht="114" hidden="false" customHeight="true" outlineLevel="0" collapsed="false">
      <c r="A68" s="113" t="str">
        <f aca="false">Checks!$A$744&amp;CHAR(10)&amp;IF(Checks!$I$744="","",Checks!$I$744&amp;": ")&amp;Checks!$J$744</f>
        <v>F22-UPL-12
F&amp;B Linen: Linen bag - on board</v>
      </c>
      <c r="B68" s="113" t="str">
        <f aca="false">Checks!$K$744&amp;IF(Checks!$O$744="","",IF(Checks!$K$744="","",CHAR(10))&amp;"Note: "&amp;Checks!$O$744)</f>
        <v>Available (ticked in reference)</v>
      </c>
      <c r="C68" s="113" t="str">
        <f aca="false">Checks!$N$744&amp;CHAR(10)&amp;IF(ISNUMBER(Checks!$R$744),TEXT(Checks!$R$744,"DD-MMM-YY HH:MM"),"")&amp;" "&amp;Checks!$P$744</f>
        <v>Required
30-Oct-26 23:20 KUL</v>
      </c>
      <c r="D68" s="113" t="str">
        <f aca="false">IF(Checks!$U$744="","",Checks!$U$744)&amp;IF(Checks!$AB$744="","",CHAR(10)&amp;"CA: "&amp;Checks!$AB$744)</f>
        <v/>
      </c>
      <c r="E68" s="113" t="str">
        <f aca="false">IF(Checks!$V$744="","",Checks!$V$744)&amp;IF(Checks!$AC$744="","",IF(Checks!$V$744="","",CHAR(10))&amp;"N/A just.: "&amp;Checks!$AC$744)&amp;IF(Checks!$W$744="","",CHAR(10)&amp;"Batch: "&amp;Checks!$W$744)&amp;IF(AND(Checks!$X$744="",Checks!$Y$744=""),"",CHAR(10)&amp;"Exp: "&amp;Checks!$X$744&amp;"  /  Act: "&amp;Checks!$Y$744)</f>
        <v/>
      </c>
      <c r="F68" s="113" t="str">
        <f aca="false">IF(Checks!$Z$744="","","Evidence: "&amp;Checks!$Z$744)&amp;IF(Checks!$AA$744="","",IF(Checks!$Z$744="","",CHAR(10))&amp;"CA: "&amp;Checks!$AA$744)</f>
        <v/>
      </c>
      <c r="G68" s="113" t="str">
        <f aca="false">IF(ISNUMBER(Checks!$AD$744),TEXT(Checks!$AD$744,"DD-MMM-YY HH:MM")&amp;" "&amp;Checks!$P$744,"")&amp;IF(Checks!$AE$744="","",CHAR(10)&amp;"Verifier: "&amp;Checks!$AE$744)&amp;IF(Checks!$T$744="","",CHAR(10)&amp;"PIC: "&amp;Checks!$T$744)</f>
        <v/>
      </c>
      <c r="H68" s="114" t="str">
        <f aca="false">IF(Checks!$AH$744="","",Checks!$AH$744)</f>
        <v>OPEN</v>
      </c>
    </row>
    <row r="69" customFormat="false" ht="114" hidden="false" customHeight="true" outlineLevel="0" collapsed="false">
      <c r="A69" s="113" t="str">
        <f aca="false">Checks!$A$745&amp;CHAR(10)&amp;IF(Checks!$I$745="","",Checks!$I$745&amp;": ")&amp;Checks!$J$745</f>
        <v>F22-UPL-13
Seat Linen: Seat pillow (BS &amp; BC) - on board</v>
      </c>
      <c r="B69" s="113" t="str">
        <f aca="false">Checks!$K$745&amp;IF(Checks!$O$745="","",IF(Checks!$K$745="","",CHAR(10))&amp;"Note: "&amp;Checks!$O$745)</f>
        <v>Available 100% (ticked in reference)</v>
      </c>
      <c r="C69" s="113" t="str">
        <f aca="false">Checks!$N$745&amp;CHAR(10)&amp;IF(ISNUMBER(Checks!$R$745),TEXT(Checks!$R$745,"DD-MMM-YY HH:MM"),"")&amp;" "&amp;Checks!$P$745</f>
        <v>Required
30-Oct-26 23:20 KUL</v>
      </c>
      <c r="D69" s="113" t="str">
        <f aca="false">IF(Checks!$U$745="","",Checks!$U$745)&amp;IF(Checks!$AB$745="","",CHAR(10)&amp;"CA: "&amp;Checks!$AB$745)</f>
        <v/>
      </c>
      <c r="E69" s="113" t="str">
        <f aca="false">IF(Checks!$V$745="","",Checks!$V$745)&amp;IF(Checks!$AC$745="","",IF(Checks!$V$745="","",CHAR(10))&amp;"N/A just.: "&amp;Checks!$AC$745)&amp;IF(Checks!$W$745="","",CHAR(10)&amp;"Batch: "&amp;Checks!$W$745)&amp;IF(AND(Checks!$X$745="",Checks!$Y$745=""),"",CHAR(10)&amp;"Exp: "&amp;Checks!$X$745&amp;"  /  Act: "&amp;Checks!$Y$745)</f>
        <v/>
      </c>
      <c r="F69" s="113" t="str">
        <f aca="false">IF(Checks!$Z$745="","","Evidence: "&amp;Checks!$Z$745)&amp;IF(Checks!$AA$745="","",IF(Checks!$Z$745="","",CHAR(10))&amp;"CA: "&amp;Checks!$AA$745)</f>
        <v/>
      </c>
      <c r="G69" s="113" t="str">
        <f aca="false">IF(ISNUMBER(Checks!$AD$745),TEXT(Checks!$AD$745,"DD-MMM-YY HH:MM")&amp;" "&amp;Checks!$P$745,"")&amp;IF(Checks!$AE$745="","",CHAR(10)&amp;"Verifier: "&amp;Checks!$AE$745)&amp;IF(Checks!$T$745="","",CHAR(10)&amp;"PIC: "&amp;Checks!$T$745)</f>
        <v/>
      </c>
      <c r="H69" s="114" t="str">
        <f aca="false">IF(Checks!$AH$745="","",Checks!$AH$745)</f>
        <v>OPEN</v>
      </c>
    </row>
    <row r="70" customFormat="false" ht="114" hidden="false" customHeight="true" outlineLevel="0" collapsed="false">
      <c r="A70" s="113" t="str">
        <f aca="false">Checks!$A$746&amp;CHAR(10)&amp;IF(Checks!$I$746="","",Checks!$I$746&amp;": ")&amp;Checks!$J$746</f>
        <v>F22-UPL-14
Seat Linen: Duvet (BS &amp; BC) - on board</v>
      </c>
      <c r="B70" s="113" t="str">
        <f aca="false">Checks!$K$746&amp;IF(Checks!$O$746="","",IF(Checks!$K$746="","",CHAR(10))&amp;"Note: "&amp;Checks!$O$746)</f>
        <v>Available 100% (ticked in reference)</v>
      </c>
      <c r="C70" s="113" t="str">
        <f aca="false">Checks!$N$746&amp;CHAR(10)&amp;IF(ISNUMBER(Checks!$R$746),TEXT(Checks!$R$746,"DD-MMM-YY HH:MM"),"")&amp;" "&amp;Checks!$P$746</f>
        <v>Required
30-Oct-26 23:20 KUL</v>
      </c>
      <c r="D70" s="113" t="str">
        <f aca="false">IF(Checks!$U$746="","",Checks!$U$746)&amp;IF(Checks!$AB$746="","",CHAR(10)&amp;"CA: "&amp;Checks!$AB$746)</f>
        <v/>
      </c>
      <c r="E70" s="113" t="str">
        <f aca="false">IF(Checks!$V$746="","",Checks!$V$746)&amp;IF(Checks!$AC$746="","",IF(Checks!$V$746="","",CHAR(10))&amp;"N/A just.: "&amp;Checks!$AC$746)&amp;IF(Checks!$W$746="","",CHAR(10)&amp;"Batch: "&amp;Checks!$W$746)&amp;IF(AND(Checks!$X$746="",Checks!$Y$746=""),"",CHAR(10)&amp;"Exp: "&amp;Checks!$X$746&amp;"  /  Act: "&amp;Checks!$Y$746)</f>
        <v/>
      </c>
      <c r="F70" s="113" t="str">
        <f aca="false">IF(Checks!$Z$746="","","Evidence: "&amp;Checks!$Z$746)&amp;IF(Checks!$AA$746="","",IF(Checks!$Z$746="","",CHAR(10))&amp;"CA: "&amp;Checks!$AA$746)</f>
        <v/>
      </c>
      <c r="G70" s="113" t="str">
        <f aca="false">IF(ISNUMBER(Checks!$AD$746),TEXT(Checks!$AD$746,"DD-MMM-YY HH:MM")&amp;" "&amp;Checks!$P$746,"")&amp;IF(Checks!$AE$746="","",CHAR(10)&amp;"Verifier: "&amp;Checks!$AE$746)&amp;IF(Checks!$T$746="","",CHAR(10)&amp;"PIC: "&amp;Checks!$T$746)</f>
        <v/>
      </c>
      <c r="H70" s="114" t="str">
        <f aca="false">IF(Checks!$AH$746="","",Checks!$AH$746)</f>
        <v>OPEN</v>
      </c>
    </row>
    <row r="71" customFormat="false" ht="114" hidden="false" customHeight="true" outlineLevel="0" collapsed="false">
      <c r="A71" s="113" t="str">
        <f aca="false">Checks!$A$747&amp;CHAR(10)&amp;IF(Checks!$I$747="","",Checks!$I$747&amp;": ")&amp;Checks!$J$747</f>
        <v>F22-UPL-15
Seat Linen: Mattress (BS &amp; BC) - on board</v>
      </c>
      <c r="B71" s="113" t="str">
        <f aca="false">Checks!$K$747&amp;IF(Checks!$O$747="","",IF(Checks!$K$747="","",CHAR(10))&amp;"Note: "&amp;Checks!$O$747)</f>
        <v>Available 100% (ticked in reference)</v>
      </c>
      <c r="C71" s="113" t="str">
        <f aca="false">Checks!$N$747&amp;CHAR(10)&amp;IF(ISNUMBER(Checks!$R$747),TEXT(Checks!$R$747,"DD-MMM-YY HH:MM"),"")&amp;" "&amp;Checks!$P$747</f>
        <v>Required
30-Oct-26 23:20 KUL</v>
      </c>
      <c r="D71" s="113" t="str">
        <f aca="false">IF(Checks!$U$747="","",Checks!$U$747)&amp;IF(Checks!$AB$747="","",CHAR(10)&amp;"CA: "&amp;Checks!$AB$747)</f>
        <v/>
      </c>
      <c r="E71" s="113" t="str">
        <f aca="false">IF(Checks!$V$747="","",Checks!$V$747)&amp;IF(Checks!$AC$747="","",IF(Checks!$V$747="","",CHAR(10))&amp;"N/A just.: "&amp;Checks!$AC$747)&amp;IF(Checks!$W$747="","",CHAR(10)&amp;"Batch: "&amp;Checks!$W$747)&amp;IF(AND(Checks!$X$747="",Checks!$Y$747=""),"",CHAR(10)&amp;"Exp: "&amp;Checks!$X$747&amp;"  /  Act: "&amp;Checks!$Y$747)</f>
        <v/>
      </c>
      <c r="F71" s="113" t="str">
        <f aca="false">IF(Checks!$Z$747="","","Evidence: "&amp;Checks!$Z$747)&amp;IF(Checks!$AA$747="","",IF(Checks!$Z$747="","",CHAR(10))&amp;"CA: "&amp;Checks!$AA$747)</f>
        <v/>
      </c>
      <c r="G71" s="113" t="str">
        <f aca="false">IF(ISNUMBER(Checks!$AD$747),TEXT(Checks!$AD$747,"DD-MMM-YY HH:MM")&amp;" "&amp;Checks!$P$747,"")&amp;IF(Checks!$AE$747="","",CHAR(10)&amp;"Verifier: "&amp;Checks!$AE$747)&amp;IF(Checks!$T$747="","",CHAR(10)&amp;"PIC: "&amp;Checks!$T$747)</f>
        <v/>
      </c>
      <c r="H71" s="114" t="str">
        <f aca="false">IF(Checks!$AH$747="","",Checks!$AH$747)</f>
        <v>OPEN</v>
      </c>
    </row>
    <row r="72" customFormat="false" ht="114" hidden="false" customHeight="true" outlineLevel="0" collapsed="false">
      <c r="A72" s="113" t="str">
        <f aca="false">Checks!$A$748&amp;CHAR(10)&amp;IF(Checks!$I$748="","",Checks!$I$748&amp;": ")&amp;Checks!$J$748</f>
        <v>F22-UPL-16
Signature Drinks: Signature drink &amp; garnish (BC) - on board</v>
      </c>
      <c r="B72" s="113" t="str">
        <f aca="false">Checks!$K$748&amp;IF(Checks!$O$748="","",IF(Checks!$K$748="","",CHAR(10))&amp;"Note: "&amp;Checks!$O$748)</f>
        <v>Available (ticked in reference)
Note: Signature drinks &amp; garnish uplifted from KUL (note D79).</v>
      </c>
      <c r="C72" s="113" t="str">
        <f aca="false">Checks!$N$748&amp;CHAR(10)&amp;IF(ISNUMBER(Checks!$R$748),TEXT(Checks!$R$748,"DD-MMM-YY HH:MM"),"")&amp;" "&amp;Checks!$P$748</f>
        <v>Required
30-Oct-26 23:20 KUL</v>
      </c>
      <c r="D72" s="113" t="str">
        <f aca="false">IF(Checks!$U$748="","",Checks!$U$748)&amp;IF(Checks!$AB$748="","",CHAR(10)&amp;"CA: "&amp;Checks!$AB$748)</f>
        <v/>
      </c>
      <c r="E72" s="113" t="str">
        <f aca="false">IF(Checks!$V$748="","",Checks!$V$748)&amp;IF(Checks!$AC$748="","",IF(Checks!$V$748="","",CHAR(10))&amp;"N/A just.: "&amp;Checks!$AC$748)&amp;IF(Checks!$W$748="","",CHAR(10)&amp;"Batch: "&amp;Checks!$W$748)&amp;IF(AND(Checks!$X$748="",Checks!$Y$748=""),"",CHAR(10)&amp;"Exp: "&amp;Checks!$X$748&amp;"  /  Act: "&amp;Checks!$Y$748)</f>
        <v/>
      </c>
      <c r="F72" s="113" t="str">
        <f aca="false">IF(Checks!$Z$748="","","Evidence: "&amp;Checks!$Z$748)&amp;IF(Checks!$AA$748="","",IF(Checks!$Z$748="","",CHAR(10))&amp;"CA: "&amp;Checks!$AA$748)</f>
        <v/>
      </c>
      <c r="G72" s="113" t="str">
        <f aca="false">IF(ISNUMBER(Checks!$AD$748),TEXT(Checks!$AD$748,"DD-MMM-YY HH:MM")&amp;" "&amp;Checks!$P$748,"")&amp;IF(Checks!$AE$748="","",CHAR(10)&amp;"Verifier: "&amp;Checks!$AE$748)&amp;IF(Checks!$T$748="","",CHAR(10)&amp;"PIC: "&amp;Checks!$T$748)</f>
        <v/>
      </c>
      <c r="H72" s="114" t="str">
        <f aca="false">IF(Checks!$AH$748="","",Checks!$AH$748)</f>
        <v>OPEN</v>
      </c>
    </row>
    <row r="74" customFormat="false" ht="24" hidden="false" customHeight="true" outlineLevel="0" collapsed="false">
      <c r="A74" s="115" t="s">
        <v>1650</v>
      </c>
      <c r="B74" s="115"/>
      <c r="C74" s="115"/>
      <c r="D74" s="115"/>
      <c r="E74" s="115" t="s">
        <v>1651</v>
      </c>
      <c r="F74" s="115"/>
      <c r="G74" s="115"/>
      <c r="H74" s="115"/>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sheetData>
  <sheetProtection sheet="true" formatCells="false" formatColumns="false" formatRows="false" sort="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2026-09-28T11:18:49Z</dcterms:created>
  <dc:creator>openpyxl</dc:creator>
  <dc:description/>
  <dc:language>en-US</dc:language>
  <cp:lastModifiedBy/>
  <dcterms:modified xsi:type="dcterms:W3CDTF">2026-09-28T11:18:54Z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